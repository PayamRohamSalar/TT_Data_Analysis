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1840" windowHeight="13740"/>
  </bookViews>
  <sheets>
    <sheet name="Sheet1" sheetId="1" r:id="rId1"/>
  </sheets>
  <definedNames>
    <definedName name="_xlnm._FilterDatabase" localSheetId="0" hidden="1">Sheet1!$A$2:$BM$536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536" i="1" l="1"/>
  <c r="AK536" i="1"/>
  <c r="AK236" i="1"/>
  <c r="AK233" i="1"/>
  <c r="AJ236" i="1"/>
  <c r="AJ233" i="1"/>
  <c r="AO55" i="1"/>
  <c r="AO535" i="1"/>
  <c r="AN535" i="1"/>
  <c r="AO515" i="1"/>
  <c r="AN515" i="1"/>
  <c r="AO499" i="1"/>
  <c r="AN499" i="1"/>
  <c r="AO491" i="1"/>
  <c r="AN491" i="1"/>
  <c r="AO474" i="1"/>
  <c r="AN474" i="1"/>
  <c r="AO449" i="1"/>
  <c r="AN449" i="1"/>
  <c r="AO436" i="1"/>
  <c r="AN436" i="1"/>
  <c r="AO426" i="1"/>
  <c r="AN426" i="1"/>
  <c r="AO412" i="1"/>
  <c r="AN412" i="1"/>
  <c r="AO397" i="1"/>
  <c r="AN397" i="1"/>
  <c r="AO383" i="1"/>
  <c r="AN383" i="1"/>
  <c r="AO367" i="1"/>
  <c r="AN367" i="1"/>
  <c r="AO343" i="1"/>
  <c r="AN343" i="1"/>
  <c r="AO331" i="1"/>
  <c r="AN331" i="1"/>
  <c r="AO324" i="1"/>
  <c r="AN324" i="1"/>
  <c r="AO315" i="1"/>
  <c r="AN315" i="1"/>
  <c r="AO290" i="1"/>
  <c r="AN290" i="1"/>
  <c r="AO288" i="1"/>
  <c r="AN288" i="1"/>
  <c r="AO275" i="1"/>
  <c r="AN275" i="1"/>
  <c r="AO265" i="1"/>
  <c r="AN265" i="1"/>
  <c r="AO246" i="1"/>
  <c r="AN246" i="1"/>
  <c r="AO236" i="1"/>
  <c r="AN236" i="1"/>
  <c r="AO213" i="1"/>
  <c r="AN213" i="1"/>
  <c r="AO204" i="1"/>
  <c r="AN204" i="1"/>
  <c r="AN179" i="1"/>
  <c r="AO179" i="1"/>
  <c r="AO166" i="1"/>
  <c r="AN166" i="1"/>
  <c r="AO122" i="1"/>
  <c r="AN122" i="1"/>
  <c r="AO108" i="1"/>
  <c r="AN108" i="1"/>
  <c r="AO98" i="1"/>
  <c r="AN98" i="1"/>
  <c r="AO86" i="1"/>
  <c r="AN86" i="1"/>
  <c r="AN55" i="1"/>
  <c r="AO42" i="1"/>
  <c r="AN42" i="1"/>
  <c r="AO26" i="1"/>
  <c r="AN26" i="1"/>
</calcChain>
</file>

<file path=xl/sharedStrings.xml><?xml version="1.0" encoding="utf-8"?>
<sst xmlns="http://schemas.openxmlformats.org/spreadsheetml/2006/main" count="634" uniqueCount="623">
  <si>
    <t>استان</t>
  </si>
  <si>
    <t>کد شعبه</t>
  </si>
  <si>
    <t>شعبه</t>
  </si>
  <si>
    <t>مانده منابع ریالی</t>
  </si>
  <si>
    <t>مانده سایرمنابع (بدون وجوه اداره شده مصرف نشده)</t>
  </si>
  <si>
    <t>وجوه اداره شده مصرف نشده</t>
  </si>
  <si>
    <t>مانده منابع ارزی</t>
  </si>
  <si>
    <t>مانده منابع ریالی و ارزی</t>
  </si>
  <si>
    <t>سپرده قانونی</t>
  </si>
  <si>
    <t>خالص منابع-پس از کسر سپرده قانونی</t>
  </si>
  <si>
    <t>مانده منابع کل در پایان سال قبل</t>
  </si>
  <si>
    <t>مبلغ رشد منابع نسبت به سال قبل</t>
  </si>
  <si>
    <t>درصد رشد منابع نسبت به پایان سال قبل</t>
  </si>
  <si>
    <t>خالص مصارف</t>
  </si>
  <si>
    <t>نسبت مصارف به منابع</t>
  </si>
  <si>
    <t>نسبت خالص مصارف به خالص منابع</t>
  </si>
  <si>
    <t>مانده مطالبات جاری</t>
  </si>
  <si>
    <t>مانده مطالبات غیرجاری</t>
  </si>
  <si>
    <t>مانده سررسید گذشته</t>
  </si>
  <si>
    <t>مانده معوق</t>
  </si>
  <si>
    <t>مانده مشکوک الوصول</t>
  </si>
  <si>
    <t>مانده تسهیلات اعطایی</t>
  </si>
  <si>
    <t>مانده تسهیلات اعطایی در پایان سال قبل</t>
  </si>
  <si>
    <t>درصد (رشد/کاهش) مانده تسهیلات اعطایی نسبت به پایان سال قبل</t>
  </si>
  <si>
    <t>تسهیلات پرداختی</t>
  </si>
  <si>
    <t>تسهیلات بدون تبدیلی</t>
  </si>
  <si>
    <t>تسهیلات پرداختی بابت تبدیل بدهی اعتبارات اسنادی</t>
  </si>
  <si>
    <t>تسهیلات پرداختی بابت تبدیل بدهی ضمانتنامه</t>
  </si>
  <si>
    <t>امهالی-تبدیل شده</t>
  </si>
  <si>
    <t>امهالی-تمدیدی</t>
  </si>
  <si>
    <t>امهالی-تجدید شده</t>
  </si>
  <si>
    <t>تعداد اعتباراسنادی</t>
  </si>
  <si>
    <t>مبلغ اعتبار اسنادی</t>
  </si>
  <si>
    <t>تعداد ضمانتنامه</t>
  </si>
  <si>
    <t>مبلغ ضمانت نامه</t>
  </si>
  <si>
    <t>تعداد ضمانتنامه های تمدیدی</t>
  </si>
  <si>
    <t>مبلغ ضمانتنامه های تمدیدی</t>
  </si>
  <si>
    <t>مانده مطالبات غیرجاری در تاریخ تهیه گزارش</t>
  </si>
  <si>
    <t>مانده مطالبات غیرجاری درپایان سال 1402</t>
  </si>
  <si>
    <t>مبلغ رشد/کاهش مطالبات غیرجاری نسبت به پایان سال قبل</t>
  </si>
  <si>
    <t>درصد رشد/کاهش مطالبات غیرجاری نسبت به پایان سال قبل</t>
  </si>
  <si>
    <t>وصولی</t>
  </si>
  <si>
    <t>وصولی غیرجاری</t>
  </si>
  <si>
    <t>مانده سپرده قرض الحسنه جاری</t>
  </si>
  <si>
    <t>مانده سپرده قرض الحسنه پس انداز</t>
  </si>
  <si>
    <t>مانده سپرده کوتاه مدت</t>
  </si>
  <si>
    <t>مانده سپرده بلندمدت</t>
  </si>
  <si>
    <t>مانده سپرده یکصدم درصد</t>
  </si>
  <si>
    <t>مانده منابع بدون صندوق توسعه ملی</t>
  </si>
  <si>
    <t>سپرده صبا - 100 درصدی</t>
  </si>
  <si>
    <t>منابع رایگان</t>
  </si>
  <si>
    <t>منابع ارازن قیمت</t>
  </si>
  <si>
    <t>منابع گران قیمت</t>
  </si>
  <si>
    <t>تسهیلات پرداخت شده به بخش تعاون</t>
  </si>
  <si>
    <t>تسهیلات پرداخت شده به بخش غیرتعاون</t>
  </si>
  <si>
    <t>اعتبارات اسنادی از محل بدهکاران داخلی</t>
  </si>
  <si>
    <t>مشکوک الوصول اعتبارات اسنادی</t>
  </si>
  <si>
    <t>وصولی اعتبارات اسنادی</t>
  </si>
  <si>
    <t>ضمانت نامه های صادره از محل بدهکاران داخلی</t>
  </si>
  <si>
    <t>مشکوک الوصول ضمانت نامه</t>
  </si>
  <si>
    <t>وصولی ضمانت نامه ها</t>
  </si>
  <si>
    <t>آذربايجان شرقي</t>
  </si>
  <si>
    <t>تبريز</t>
  </si>
  <si>
    <t>مراغه</t>
  </si>
  <si>
    <t>مرند</t>
  </si>
  <si>
    <t>ميانه</t>
  </si>
  <si>
    <t>بناب</t>
  </si>
  <si>
    <t>سراب</t>
  </si>
  <si>
    <t>اهر</t>
  </si>
  <si>
    <t>شبستر</t>
  </si>
  <si>
    <t>کليبر</t>
  </si>
  <si>
    <t>ملکان</t>
  </si>
  <si>
    <t>جلفا</t>
  </si>
  <si>
    <t>آذرشهر</t>
  </si>
  <si>
    <t>شهيد مدني تبريز</t>
  </si>
  <si>
    <t>بستان آباد</t>
  </si>
  <si>
    <t>هشترود</t>
  </si>
  <si>
    <t>ميلاد تبريز</t>
  </si>
  <si>
    <t>زرين</t>
  </si>
  <si>
    <t>استادشهريار</t>
  </si>
  <si>
    <t>چاراويماق</t>
  </si>
  <si>
    <t>ورزقان</t>
  </si>
  <si>
    <t>ولي عصر (عج) تبريز</t>
  </si>
  <si>
    <t>عجب شير</t>
  </si>
  <si>
    <t>سرپرستي آذربايجان شرقي</t>
  </si>
  <si>
    <t>آذربايجان غربي</t>
  </si>
  <si>
    <t>اروميه</t>
  </si>
  <si>
    <t>خوي</t>
  </si>
  <si>
    <t>بوکان</t>
  </si>
  <si>
    <t>مياندوآب</t>
  </si>
  <si>
    <t>مهاباد</t>
  </si>
  <si>
    <t>نقده</t>
  </si>
  <si>
    <t>ماکو</t>
  </si>
  <si>
    <t>سلماس</t>
  </si>
  <si>
    <t>شاهين دژ</t>
  </si>
  <si>
    <t>سردشت</t>
  </si>
  <si>
    <t>پيرانشهر</t>
  </si>
  <si>
    <t>طالقاني اروميه</t>
  </si>
  <si>
    <t>شهيد باکري</t>
  </si>
  <si>
    <t>مولوي اروميه</t>
  </si>
  <si>
    <t>سرپرستي آذربايجان غربي</t>
  </si>
  <si>
    <t>اردبيل</t>
  </si>
  <si>
    <t>پارس آباد</t>
  </si>
  <si>
    <t>مشکين شهر</t>
  </si>
  <si>
    <t>خلخال</t>
  </si>
  <si>
    <t>بيله سوار</t>
  </si>
  <si>
    <t>گرمي</t>
  </si>
  <si>
    <t>نمين</t>
  </si>
  <si>
    <t>نير</t>
  </si>
  <si>
    <t>کوثر</t>
  </si>
  <si>
    <t>امام خميني اردبيل</t>
  </si>
  <si>
    <t>بعثت اردبيل</t>
  </si>
  <si>
    <t>سرپرستي اردبيل</t>
  </si>
  <si>
    <t>اصفهان</t>
  </si>
  <si>
    <t>امير کبير</t>
  </si>
  <si>
    <t>نجف آباد</t>
  </si>
  <si>
    <t>کاشان</t>
  </si>
  <si>
    <t>شمس آبادي</t>
  </si>
  <si>
    <t>زرين شهر</t>
  </si>
  <si>
    <t>شهرضا</t>
  </si>
  <si>
    <t>شاهين شهر</t>
  </si>
  <si>
    <t>گلپايگان</t>
  </si>
  <si>
    <t>اردستان</t>
  </si>
  <si>
    <t>نطنز</t>
  </si>
  <si>
    <t>خميني شهر</t>
  </si>
  <si>
    <t>آران وبيدگل</t>
  </si>
  <si>
    <t>فريدن</t>
  </si>
  <si>
    <t>جمهوري اسلامي اصفهان</t>
  </si>
  <si>
    <t>نائين</t>
  </si>
  <si>
    <t>تيران وکرون</t>
  </si>
  <si>
    <t>مبارکه</t>
  </si>
  <si>
    <t>سپاهان اصفهان</t>
  </si>
  <si>
    <t>بزرگمهر</t>
  </si>
  <si>
    <t>فلاورجان</t>
  </si>
  <si>
    <t>وليعصر کاشان</t>
  </si>
  <si>
    <t>سميرم</t>
  </si>
  <si>
    <t>دهاقان</t>
  </si>
  <si>
    <t>پليس راه نجف آباد</t>
  </si>
  <si>
    <t>برخوار</t>
  </si>
  <si>
    <t>چادگان</t>
  </si>
  <si>
    <t>خوانسار</t>
  </si>
  <si>
    <t>مرکزي فريدونشهر</t>
  </si>
  <si>
    <t>سرپرستي اصفهان</t>
  </si>
  <si>
    <t>البرز</t>
  </si>
  <si>
    <t>کرج</t>
  </si>
  <si>
    <t>هشتگرد</t>
  </si>
  <si>
    <t>اشتهارد</t>
  </si>
  <si>
    <t>نظرآباد</t>
  </si>
  <si>
    <t>شهيد رجائي</t>
  </si>
  <si>
    <t>جلال آل احمد</t>
  </si>
  <si>
    <t>مهستان کرج</t>
  </si>
  <si>
    <t>فرديس</t>
  </si>
  <si>
    <t>محمد شهر</t>
  </si>
  <si>
    <t>مرکزي طالقان</t>
  </si>
  <si>
    <t>سرپرستي البرز</t>
  </si>
  <si>
    <t>ايلام</t>
  </si>
  <si>
    <t>سرابله</t>
  </si>
  <si>
    <t>مهران</t>
  </si>
  <si>
    <t>ايوان</t>
  </si>
  <si>
    <t>دهلران</t>
  </si>
  <si>
    <t>آبدانان</t>
  </si>
  <si>
    <t>دره شهر</t>
  </si>
  <si>
    <t>نواب صفوي ايلام</t>
  </si>
  <si>
    <t>سرپرستي ايلام</t>
  </si>
  <si>
    <t>بوشهر</t>
  </si>
  <si>
    <t>برازجان</t>
  </si>
  <si>
    <t>گناوه</t>
  </si>
  <si>
    <t>امام خميني بوشهر</t>
  </si>
  <si>
    <t>کنگان</t>
  </si>
  <si>
    <t>دشتي</t>
  </si>
  <si>
    <t>دير</t>
  </si>
  <si>
    <t>ديلم</t>
  </si>
  <si>
    <t>ليان</t>
  </si>
  <si>
    <t>عسلويه</t>
  </si>
  <si>
    <t>جم</t>
  </si>
  <si>
    <t>مرکزي تنگستان</t>
  </si>
  <si>
    <t>سرپرستي بوشهر</t>
  </si>
  <si>
    <t>تهران</t>
  </si>
  <si>
    <t>فاطمي</t>
  </si>
  <si>
    <t>سپهبد قرني</t>
  </si>
  <si>
    <t>ورامين</t>
  </si>
  <si>
    <t>اسلامشهر</t>
  </si>
  <si>
    <t>شهرري</t>
  </si>
  <si>
    <t>شهريار</t>
  </si>
  <si>
    <t>پيروزي تهران</t>
  </si>
  <si>
    <t>پاکدشت</t>
  </si>
  <si>
    <t>دماوند</t>
  </si>
  <si>
    <t>فردوسي</t>
  </si>
  <si>
    <t>شميران</t>
  </si>
  <si>
    <t>ايران خودرو</t>
  </si>
  <si>
    <t>توحيد</t>
  </si>
  <si>
    <t>پاسداران</t>
  </si>
  <si>
    <t>شهيدرجايي تهران</t>
  </si>
  <si>
    <t>سرپرستي شهرهاي استان تهران</t>
  </si>
  <si>
    <t>پرند</t>
  </si>
  <si>
    <t>تهرانپارس</t>
  </si>
  <si>
    <t>ميدان ميوه و تره بار</t>
  </si>
  <si>
    <t>خيام</t>
  </si>
  <si>
    <t>غدير</t>
  </si>
  <si>
    <t>شهيد مفتح</t>
  </si>
  <si>
    <t>انقلاب تهران</t>
  </si>
  <si>
    <t>آيت الله کاشاني(تهران)</t>
  </si>
  <si>
    <t>آزادي</t>
  </si>
  <si>
    <t>شهر قدس</t>
  </si>
  <si>
    <t>سعادت آباد</t>
  </si>
  <si>
    <t>ملاصدرا</t>
  </si>
  <si>
    <t>وليعصر تهران</t>
  </si>
  <si>
    <t>توانير</t>
  </si>
  <si>
    <t>جمهوري</t>
  </si>
  <si>
    <t>وصال شيرازي</t>
  </si>
  <si>
    <t>نارمک</t>
  </si>
  <si>
    <t>امام زاده حسن</t>
  </si>
  <si>
    <t>پونک</t>
  </si>
  <si>
    <t>رباط کريم</t>
  </si>
  <si>
    <t>فيروزکوه</t>
  </si>
  <si>
    <t>بومهن</t>
  </si>
  <si>
    <t>طالقاني تهران</t>
  </si>
  <si>
    <t>هويزه تهران</t>
  </si>
  <si>
    <t>احمدآباد مستوفي</t>
  </si>
  <si>
    <t>ميرداماد</t>
  </si>
  <si>
    <t>سرپرستي تهران</t>
  </si>
  <si>
    <t>خراسان جنوبي</t>
  </si>
  <si>
    <t>طبس</t>
  </si>
  <si>
    <t>بيرجند</t>
  </si>
  <si>
    <t>قائن</t>
  </si>
  <si>
    <t>نهبندان</t>
  </si>
  <si>
    <t>فردوس</t>
  </si>
  <si>
    <t>سرايان</t>
  </si>
  <si>
    <t>سربيشه</t>
  </si>
  <si>
    <t>بشرويه</t>
  </si>
  <si>
    <t>جمهوري بيرجند</t>
  </si>
  <si>
    <t>زيرکوه-حاجي آباد</t>
  </si>
  <si>
    <t>شهيد رجايي بيرجند</t>
  </si>
  <si>
    <t>سرپرستي خراسان جنوبي</t>
  </si>
  <si>
    <t>خراسان رضوي</t>
  </si>
  <si>
    <t>مرکزي مشهد</t>
  </si>
  <si>
    <t>امام خميني</t>
  </si>
  <si>
    <t>سبزوار</t>
  </si>
  <si>
    <t>چناران</t>
  </si>
  <si>
    <t>نيشابور</t>
  </si>
  <si>
    <t>سجاد</t>
  </si>
  <si>
    <t>گناباد</t>
  </si>
  <si>
    <t>تربت حيدريه</t>
  </si>
  <si>
    <t>قوچان</t>
  </si>
  <si>
    <t>کاشمر</t>
  </si>
  <si>
    <t>تربت جام</t>
  </si>
  <si>
    <t>خواف</t>
  </si>
  <si>
    <t>هاشميه مشهد</t>
  </si>
  <si>
    <t>تايباد</t>
  </si>
  <si>
    <t>ملاصدراي مشهد</t>
  </si>
  <si>
    <t>بردسکن</t>
  </si>
  <si>
    <t>بلوار معلم مشهد</t>
  </si>
  <si>
    <t>فريمان</t>
  </si>
  <si>
    <t>شانديز</t>
  </si>
  <si>
    <t>سرخس</t>
  </si>
  <si>
    <t>ثامن مشهد</t>
  </si>
  <si>
    <t>خرمشهر مشهد</t>
  </si>
  <si>
    <t>مرکزي مه ولات</t>
  </si>
  <si>
    <t>سرپرستي خراسان رضوي</t>
  </si>
  <si>
    <t>خراسان شمالي</t>
  </si>
  <si>
    <t>بجنورد</t>
  </si>
  <si>
    <t>شيروان</t>
  </si>
  <si>
    <t>اسفراين</t>
  </si>
  <si>
    <t>مانه وسملقان</t>
  </si>
  <si>
    <t>امام خميني بجنورد</t>
  </si>
  <si>
    <t>مرکزي فاروج</t>
  </si>
  <si>
    <t>جاجرم</t>
  </si>
  <si>
    <t>سرپرستي خراسان شمالي</t>
  </si>
  <si>
    <t>خوزستان</t>
  </si>
  <si>
    <t>اهواز</t>
  </si>
  <si>
    <t>دزفول</t>
  </si>
  <si>
    <t>آبادان</t>
  </si>
  <si>
    <t>بهبهان</t>
  </si>
  <si>
    <t>مسجد سليمان</t>
  </si>
  <si>
    <t>رامهرمز</t>
  </si>
  <si>
    <t>ماهشهر</t>
  </si>
  <si>
    <t>ايذه</t>
  </si>
  <si>
    <t>شوشتر</t>
  </si>
  <si>
    <t>انديمشک</t>
  </si>
  <si>
    <t>خرمشهر</t>
  </si>
  <si>
    <t>سوسنگرد</t>
  </si>
  <si>
    <t>شادگان</t>
  </si>
  <si>
    <t>شوش</t>
  </si>
  <si>
    <t>باغ ملک</t>
  </si>
  <si>
    <t>کيانپارس</t>
  </si>
  <si>
    <t>اميديه</t>
  </si>
  <si>
    <t>هنديجان</t>
  </si>
  <si>
    <t>لالي</t>
  </si>
  <si>
    <t>شريعتي اهواز</t>
  </si>
  <si>
    <t>زيتون اهواز</t>
  </si>
  <si>
    <t>سرپرستي خوزستان</t>
  </si>
  <si>
    <t>زنجان</t>
  </si>
  <si>
    <t>ابهر</t>
  </si>
  <si>
    <t>خدابنده</t>
  </si>
  <si>
    <t>خرمدره</t>
  </si>
  <si>
    <t>طارم</t>
  </si>
  <si>
    <t>سعدي زنجان</t>
  </si>
  <si>
    <t>اشراق زنجان</t>
  </si>
  <si>
    <t>ماه نشان</t>
  </si>
  <si>
    <t>سرپرستي زنجان</t>
  </si>
  <si>
    <t>ستاد-امورمالی</t>
  </si>
  <si>
    <t>ستاد</t>
  </si>
  <si>
    <t>ادارات مركزي</t>
  </si>
  <si>
    <t>مديريت مالي و خزانه</t>
  </si>
  <si>
    <t>کارت</t>
  </si>
  <si>
    <t>بانكداري مدرن</t>
  </si>
  <si>
    <t>اتاق پاياپاي الکترونيکي</t>
  </si>
  <si>
    <t>شعبه مجازي</t>
  </si>
  <si>
    <t>اداره اعتبارسنجي مشتريان</t>
  </si>
  <si>
    <t>حسابداري امور بين الملل</t>
  </si>
  <si>
    <t>ارزي مرکز</t>
  </si>
  <si>
    <t>امور بازرسي و حسابرسي داخلي</t>
  </si>
  <si>
    <t>امور بازاريابي و تجهيز منابع</t>
  </si>
  <si>
    <t>واحد مبارزه با پولشويي</t>
  </si>
  <si>
    <t>امور حراست</t>
  </si>
  <si>
    <t>امور اعتباري</t>
  </si>
  <si>
    <t>امور حقوقي</t>
  </si>
  <si>
    <t>امور منابع انساني</t>
  </si>
  <si>
    <t>بين الملل</t>
  </si>
  <si>
    <t>سمنان</t>
  </si>
  <si>
    <t>شاهرود</t>
  </si>
  <si>
    <t>گرمسار</t>
  </si>
  <si>
    <t>دامغان</t>
  </si>
  <si>
    <t>امام خميني شاهرود</t>
  </si>
  <si>
    <t>وليعصر سمنان</t>
  </si>
  <si>
    <t>مهديشهر</t>
  </si>
  <si>
    <t>سرخه حذف شده</t>
  </si>
  <si>
    <t>سرپرستي سمنان</t>
  </si>
  <si>
    <t>سيستان وبلوچستان</t>
  </si>
  <si>
    <t>زاهدان</t>
  </si>
  <si>
    <t>زابل</t>
  </si>
  <si>
    <t>چابهار</t>
  </si>
  <si>
    <t>ايرانشهر</t>
  </si>
  <si>
    <t>شهيد شوشتري</t>
  </si>
  <si>
    <t>سراوان</t>
  </si>
  <si>
    <t>توحيد (زاهدان)</t>
  </si>
  <si>
    <t>وحدت زاهدان</t>
  </si>
  <si>
    <t>زهک</t>
  </si>
  <si>
    <t>کنارک</t>
  </si>
  <si>
    <t>خاش</t>
  </si>
  <si>
    <t>سرپرستي سيستان و بلوچستان</t>
  </si>
  <si>
    <t>شعبه مستقل مرکزی</t>
  </si>
  <si>
    <t>مستقل مركزي</t>
  </si>
  <si>
    <t>فارس</t>
  </si>
  <si>
    <t>شيراز</t>
  </si>
  <si>
    <t>آباده</t>
  </si>
  <si>
    <t>مرودشت</t>
  </si>
  <si>
    <t>ني ريز</t>
  </si>
  <si>
    <t>فسا</t>
  </si>
  <si>
    <t>ممسني</t>
  </si>
  <si>
    <t>کازرون</t>
  </si>
  <si>
    <t>جهرم</t>
  </si>
  <si>
    <t>اقليد</t>
  </si>
  <si>
    <t>لامرد</t>
  </si>
  <si>
    <t>فيروزآباد</t>
  </si>
  <si>
    <t>حافظ شيراز</t>
  </si>
  <si>
    <t>لار</t>
  </si>
  <si>
    <t>استقلال شيراز</t>
  </si>
  <si>
    <t>داراب</t>
  </si>
  <si>
    <t>استهبان</t>
  </si>
  <si>
    <t>شعبه انقلاب شيراز</t>
  </si>
  <si>
    <t>فرهنگ شهر شيراز</t>
  </si>
  <si>
    <t>شهيد چمران شيراز</t>
  </si>
  <si>
    <t>قير و کارزين</t>
  </si>
  <si>
    <t>اميرکبير شيراز</t>
  </si>
  <si>
    <t>ارسنجان</t>
  </si>
  <si>
    <t>مرکزي سپيدان</t>
  </si>
  <si>
    <t>سرپرستي فارس</t>
  </si>
  <si>
    <t>قزوين</t>
  </si>
  <si>
    <t>تاکستان</t>
  </si>
  <si>
    <t>بوئين زهرا</t>
  </si>
  <si>
    <t>آبيک</t>
  </si>
  <si>
    <t>شهيدرجايي قزوين</t>
  </si>
  <si>
    <t>صنعتي البرز قزوين</t>
  </si>
  <si>
    <t>محمديه قزوين</t>
  </si>
  <si>
    <t>سرپرستي قزوين</t>
  </si>
  <si>
    <t>قم</t>
  </si>
  <si>
    <t>ولايت قم</t>
  </si>
  <si>
    <t>معصوميه قم</t>
  </si>
  <si>
    <t>مطهري</t>
  </si>
  <si>
    <t>وليعصر قم</t>
  </si>
  <si>
    <t>سرپرستي قم</t>
  </si>
  <si>
    <t>لرستان</t>
  </si>
  <si>
    <t>خرم آباد</t>
  </si>
  <si>
    <t>بروجرد</t>
  </si>
  <si>
    <t>اليگودرز</t>
  </si>
  <si>
    <t>دورود</t>
  </si>
  <si>
    <t>الشتر</t>
  </si>
  <si>
    <t>کوهدشت</t>
  </si>
  <si>
    <t>علوي خرم آباد</t>
  </si>
  <si>
    <t>ازنا</t>
  </si>
  <si>
    <t>پلدختر</t>
  </si>
  <si>
    <t>مصطفي خميني</t>
  </si>
  <si>
    <t>سرپرستي لرستان</t>
  </si>
  <si>
    <t>مازندران</t>
  </si>
  <si>
    <t>ساري</t>
  </si>
  <si>
    <t>بابل</t>
  </si>
  <si>
    <t>قائمشهر</t>
  </si>
  <si>
    <t>نوشهر</t>
  </si>
  <si>
    <t>آمل</t>
  </si>
  <si>
    <t>بهشهر</t>
  </si>
  <si>
    <t>تنکابن</t>
  </si>
  <si>
    <t>بابلسر</t>
  </si>
  <si>
    <t>سوادکوه</t>
  </si>
  <si>
    <t>نور</t>
  </si>
  <si>
    <t>رامسر</t>
  </si>
  <si>
    <t>محمودآباد</t>
  </si>
  <si>
    <t>نکا</t>
  </si>
  <si>
    <t>چالوس</t>
  </si>
  <si>
    <t>جويبار</t>
  </si>
  <si>
    <t>فريدونکنار</t>
  </si>
  <si>
    <t>اميرمازندراني ساري</t>
  </si>
  <si>
    <t>امام خميني آمل</t>
  </si>
  <si>
    <t>طالقاني بابل</t>
  </si>
  <si>
    <t>گلوگاه</t>
  </si>
  <si>
    <t>ميدان امام خميني (ره)</t>
  </si>
  <si>
    <t>عباس آباد</t>
  </si>
  <si>
    <t>سرپرستي مازندران</t>
  </si>
  <si>
    <t>مرکزي</t>
  </si>
  <si>
    <t>اراک</t>
  </si>
  <si>
    <t>ساوه</t>
  </si>
  <si>
    <t>محلات</t>
  </si>
  <si>
    <t>شازند</t>
  </si>
  <si>
    <t>خمين</t>
  </si>
  <si>
    <t>دليجان</t>
  </si>
  <si>
    <t>شهيد بهشتي اراك</t>
  </si>
  <si>
    <t>قائم مقام اراک</t>
  </si>
  <si>
    <t>زرنديه</t>
  </si>
  <si>
    <t>کميجان</t>
  </si>
  <si>
    <t>شهيد چمران ساوه</t>
  </si>
  <si>
    <t>تفرش</t>
  </si>
  <si>
    <t>سرداران اراک</t>
  </si>
  <si>
    <t>مرکزي فرمهين</t>
  </si>
  <si>
    <t>سرپرستي مرکزي</t>
  </si>
  <si>
    <t>هرمزگان</t>
  </si>
  <si>
    <t>خليج فارس</t>
  </si>
  <si>
    <t>رودان</t>
  </si>
  <si>
    <t>بندرلنگه</t>
  </si>
  <si>
    <t>ميناب</t>
  </si>
  <si>
    <t>قشم</t>
  </si>
  <si>
    <t>ميدان شهداء</t>
  </si>
  <si>
    <t>مركزي بندرعباس</t>
  </si>
  <si>
    <t>پارسيان</t>
  </si>
  <si>
    <t>امام خميني بندرعباس</t>
  </si>
  <si>
    <t>کيش</t>
  </si>
  <si>
    <t>بستک</t>
  </si>
  <si>
    <t>حذف شده ( مركزي سابق)</t>
  </si>
  <si>
    <t>سرپرستي هرمزگان</t>
  </si>
  <si>
    <t>همدان</t>
  </si>
  <si>
    <t>مركزي همدان</t>
  </si>
  <si>
    <t>اسدآباد</t>
  </si>
  <si>
    <t>ملاير</t>
  </si>
  <si>
    <t>نهاوند</t>
  </si>
  <si>
    <t>تويسرکان</t>
  </si>
  <si>
    <t>بهار</t>
  </si>
  <si>
    <t>کبودرآهنگ</t>
  </si>
  <si>
    <t>رزن</t>
  </si>
  <si>
    <t>هگمتانه</t>
  </si>
  <si>
    <t>فامنين</t>
  </si>
  <si>
    <t>لالجين</t>
  </si>
  <si>
    <t>درگزين</t>
  </si>
  <si>
    <t>الوند همدان</t>
  </si>
  <si>
    <t>سرپرستي همدان</t>
  </si>
  <si>
    <t>يزد</t>
  </si>
  <si>
    <t>اردکان</t>
  </si>
  <si>
    <t>مهريز</t>
  </si>
  <si>
    <t>ابرکوه</t>
  </si>
  <si>
    <t>بافق</t>
  </si>
  <si>
    <t>جمهوري يزد</t>
  </si>
  <si>
    <t>ميبد</t>
  </si>
  <si>
    <t>آزادگان يزد</t>
  </si>
  <si>
    <t>جانبازان يزد</t>
  </si>
  <si>
    <t>مطهري يزد</t>
  </si>
  <si>
    <t>مرکزي تفت</t>
  </si>
  <si>
    <t>مرکزي خاتم</t>
  </si>
  <si>
    <t>سرپرستي يزد</t>
  </si>
  <si>
    <t>چهارمحال وبختياري</t>
  </si>
  <si>
    <t>شهرکرد</t>
  </si>
  <si>
    <t>بروجن</t>
  </si>
  <si>
    <t>لردکان</t>
  </si>
  <si>
    <t>فارسان</t>
  </si>
  <si>
    <t>اردل</t>
  </si>
  <si>
    <t>آيت الله کاشاني</t>
  </si>
  <si>
    <t>بلداجي</t>
  </si>
  <si>
    <t>مرکزي فرخ شهر</t>
  </si>
  <si>
    <t>سرپرستي چهار محال و بختياري</t>
  </si>
  <si>
    <t>کردستان</t>
  </si>
  <si>
    <t>سنندج</t>
  </si>
  <si>
    <t>قروه</t>
  </si>
  <si>
    <t>سقز</t>
  </si>
  <si>
    <t>مريوان</t>
  </si>
  <si>
    <t>بيجار</t>
  </si>
  <si>
    <t>کامياران</t>
  </si>
  <si>
    <t>ديواندره</t>
  </si>
  <si>
    <t>بانه</t>
  </si>
  <si>
    <t>شهيدتعريف سنندج</t>
  </si>
  <si>
    <t>مرکزي دهگلان</t>
  </si>
  <si>
    <t>مرکزي سرو آباد</t>
  </si>
  <si>
    <t>سرپرستي کردستان</t>
  </si>
  <si>
    <t>کرمان</t>
  </si>
  <si>
    <t>سيرجان</t>
  </si>
  <si>
    <t>رفسنجان</t>
  </si>
  <si>
    <t>بافت</t>
  </si>
  <si>
    <t>جيرفت</t>
  </si>
  <si>
    <t>بم</t>
  </si>
  <si>
    <t>شهربابک</t>
  </si>
  <si>
    <t>زرند</t>
  </si>
  <si>
    <t>خواجوي کرماني</t>
  </si>
  <si>
    <t>کهنوج</t>
  </si>
  <si>
    <t>راور</t>
  </si>
  <si>
    <t>شهيد قاسم سليماني</t>
  </si>
  <si>
    <t>امام خميني کرمان</t>
  </si>
  <si>
    <t>عنبرآباد کرمان</t>
  </si>
  <si>
    <t>مس سرچشمه</t>
  </si>
  <si>
    <t>وليعصر سيرجان</t>
  </si>
  <si>
    <t>انار</t>
  </si>
  <si>
    <t>ريگان</t>
  </si>
  <si>
    <t>جهاد</t>
  </si>
  <si>
    <t>بردسير</t>
  </si>
  <si>
    <t>نيمه شعبان کرمان</t>
  </si>
  <si>
    <t>وحدت کرمان</t>
  </si>
  <si>
    <t>مرکزي کوهبنان</t>
  </si>
  <si>
    <t>سرپرستي کرمان</t>
  </si>
  <si>
    <t>کرمانشاه</t>
  </si>
  <si>
    <t>اسلام آباد غرب</t>
  </si>
  <si>
    <t>پاوه</t>
  </si>
  <si>
    <t>سنقر</t>
  </si>
  <si>
    <t>هرسين</t>
  </si>
  <si>
    <t>شهيد بهشتي کرمانشاه</t>
  </si>
  <si>
    <t>سرپل ذهاب</t>
  </si>
  <si>
    <t>صحنه</t>
  </si>
  <si>
    <t>کنگاور</t>
  </si>
  <si>
    <t>قصرشيرين</t>
  </si>
  <si>
    <t>گيلان غرب</t>
  </si>
  <si>
    <t>شهداي مرصاد</t>
  </si>
  <si>
    <t>آيت الله کاشاني کرمانشاه</t>
  </si>
  <si>
    <t>دالاهو کرمانشاه</t>
  </si>
  <si>
    <t>جوانرود</t>
  </si>
  <si>
    <t>سرپرستي کرمانشاه</t>
  </si>
  <si>
    <t>کهگيلويه وبويراحمد</t>
  </si>
  <si>
    <t>ياسوج</t>
  </si>
  <si>
    <t>گچساران</t>
  </si>
  <si>
    <t>دهدشت</t>
  </si>
  <si>
    <t>شهيد مطهري ياسوج</t>
  </si>
  <si>
    <t>بهمئي</t>
  </si>
  <si>
    <t>شهيدچمران</t>
  </si>
  <si>
    <t>سرپرستي کهکيلويه و بوير احمد</t>
  </si>
  <si>
    <t>گلستان</t>
  </si>
  <si>
    <t>گرگان</t>
  </si>
  <si>
    <t>گنبد کاووس</t>
  </si>
  <si>
    <t>بندر ترکمن</t>
  </si>
  <si>
    <t>آزاد شهر</t>
  </si>
  <si>
    <t>مينودشت</t>
  </si>
  <si>
    <t>کلاله</t>
  </si>
  <si>
    <t>بندرگز</t>
  </si>
  <si>
    <t>علي آبادکتول</t>
  </si>
  <si>
    <t>آق قلا</t>
  </si>
  <si>
    <t>راميان</t>
  </si>
  <si>
    <t>گميشان</t>
  </si>
  <si>
    <t>کردکوي</t>
  </si>
  <si>
    <t>شهيد بهشتي</t>
  </si>
  <si>
    <t>امام خميني گرگان</t>
  </si>
  <si>
    <t>سرپرستي گلستان</t>
  </si>
  <si>
    <t>گيلان</t>
  </si>
  <si>
    <t>مرکزي رشت</t>
  </si>
  <si>
    <t>لاهيجان</t>
  </si>
  <si>
    <t>بندر انزلي</t>
  </si>
  <si>
    <t>تالش</t>
  </si>
  <si>
    <t>آستانه اشرفيه</t>
  </si>
  <si>
    <t>رودسر</t>
  </si>
  <si>
    <t>آستارا</t>
  </si>
  <si>
    <t>لنگرود</t>
  </si>
  <si>
    <t>صومعه سرا</t>
  </si>
  <si>
    <t>رودبار</t>
  </si>
  <si>
    <t>شيون فومني</t>
  </si>
  <si>
    <t>سياهکل</t>
  </si>
  <si>
    <t>رضوانشهر</t>
  </si>
  <si>
    <t>املش</t>
  </si>
  <si>
    <t>شفت</t>
  </si>
  <si>
    <t>سعدي رشت</t>
  </si>
  <si>
    <t>ميرزا کوچک رشت</t>
  </si>
  <si>
    <t>مرکزي ماسال</t>
  </si>
  <si>
    <t>سرپرستي گيلان</t>
  </si>
  <si>
    <t>جمع کل</t>
  </si>
  <si>
    <t>عملکرد شعب منتهی به 1403/08/30</t>
  </si>
  <si>
    <t>مبالغ به میلیون ریال</t>
  </si>
  <si>
    <t>نسبت مطالبات غیرجاری ریالی  و ارزی ( طبق اخرین فرمول بانک مرکزی- جدید)
NPL1</t>
  </si>
  <si>
    <t>سود و وجه التزام دریافتنی( به مصارف اضافه خواهد شد)</t>
  </si>
  <si>
    <t>مانده بدهکاران بابت کارت های اعتباری(به مصرف اضافه خواهد شد )</t>
  </si>
  <si>
    <t>مجموع مطالبات (ناخالص )</t>
  </si>
  <si>
    <t>آذربايجان شرقي جمع کل</t>
  </si>
  <si>
    <t>آذربايجان غربي جمع کل</t>
  </si>
  <si>
    <t>اردبيل جمع کل</t>
  </si>
  <si>
    <t>اصفهان جمع کل</t>
  </si>
  <si>
    <t>البرز جمع کل</t>
  </si>
  <si>
    <t>ايلام جمع کل</t>
  </si>
  <si>
    <t>بوشهر جمع کل</t>
  </si>
  <si>
    <t>تهران جمع کل</t>
  </si>
  <si>
    <t>خراسان جنوبي جمع کل</t>
  </si>
  <si>
    <t>خراسان رضوي جمع کل</t>
  </si>
  <si>
    <t>خراسان شمالي جمع کل</t>
  </si>
  <si>
    <t>خوزستان جمع کل</t>
  </si>
  <si>
    <t>زنجان جمع کل</t>
  </si>
  <si>
    <t>ستاد-امورمالی جمع کل</t>
  </si>
  <si>
    <t>سمنان جمع کل</t>
  </si>
  <si>
    <t>سيستان وبلوچستان جمع کل</t>
  </si>
  <si>
    <t>شعبه مستقل مرکزی جمع کل</t>
  </si>
  <si>
    <t>فارس جمع کل</t>
  </si>
  <si>
    <t>قزوين جمع کل</t>
  </si>
  <si>
    <t>قم جمع کل</t>
  </si>
  <si>
    <t>لرستان جمع کل</t>
  </si>
  <si>
    <t>مازندران جمع کل</t>
  </si>
  <si>
    <t>مرکزي جمع کل</t>
  </si>
  <si>
    <t>هرمزگان جمع کل</t>
  </si>
  <si>
    <t>همدان جمع کل</t>
  </si>
  <si>
    <t>يزد جمع کل</t>
  </si>
  <si>
    <t>چهارمحال وبختياري جمع کل</t>
  </si>
  <si>
    <t>کردستان جمع کل</t>
  </si>
  <si>
    <t>کرمان جمع کل</t>
  </si>
  <si>
    <t>کرمانشاه جمع کل</t>
  </si>
  <si>
    <t>کهگيلويه وبويراحمد جمع کل</t>
  </si>
  <si>
    <t>گلستان جمع کل</t>
  </si>
  <si>
    <t>گيلان جمع کل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</si>
</sst>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,,"/>
  </numFmts>
  <fonts count="9" x14ac:knownFonts="1">
    <font>
      <sz val="11"/>
      <color theme="1"/>
      <name val="Calibri"/>
      <family val="2"/>
      <scheme val="minor"/>
    </font>
    <font>
      <b/>
      <sz val="24"/>
      <color theme="1"/>
      <name val="B Lotus"/>
      <charset val="178"/>
    </font>
    <font>
      <b/>
      <sz val="22"/>
      <color theme="1"/>
      <name val="B Titr"/>
      <charset val="178"/>
    </font>
    <font>
      <sz val="22"/>
      <color theme="1"/>
      <name val="B Lotus"/>
      <charset val="178"/>
    </font>
    <font>
      <b/>
      <sz val="22"/>
      <color theme="1"/>
      <name val="B Lotus"/>
      <charset val="178"/>
    </font>
    <font>
      <sz val="22"/>
      <color rgb="FF000080"/>
      <name val="B Lotus"/>
      <charset val="178"/>
    </font>
    <font>
      <sz val="22"/>
      <color rgb="FF000000"/>
      <name val="B Lotus"/>
      <charset val="178"/>
    </font>
    <font>
      <b/>
      <sz val="48"/>
      <color theme="1"/>
      <name val="B Titr"/>
      <charset val="178"/>
    </font>
    <font>
      <b/>
      <sz val="16"/>
      <color theme="1"/>
      <name val="B Titr"/>
      <charset val="178"/>
    </font>
  </fonts>
  <fills count="6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3" fontId="1" fillId="2" borderId="2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3" fontId="3" fillId="4" borderId="2" xfId="0" applyNumberFormat="1" applyFont="1" applyFill="1" applyBorder="1" applyAlignment="1">
      <alignment horizontal="center" vertical="center" wrapText="1"/>
    </xf>
    <xf numFmtId="4" fontId="3" fillId="0" borderId="2" xfId="0" applyNumberFormat="1" applyFont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164" fontId="3" fillId="5" borderId="2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3" fontId="3" fillId="5" borderId="2" xfId="0" applyNumberFormat="1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36"/>
  <sheetViews>
    <sheetView rightToLeft="1" tabSelected="1" zoomScale="55" zoomScaleNormal="55" workbookViewId="0">
      <selection activeCell="G6" sqref="G6"/>
    </sheetView>
  </sheetViews>
  <sheetFormatPr defaultColWidth="33.42578125" defaultRowHeight="39.75" x14ac:dyDescent="0.25"/>
  <cols>
    <col min="1" max="1" width="40.85546875" style="9" bestFit="1" customWidth="1"/>
    <col min="2" max="2" width="33.42578125" style="9"/>
    <col min="3" max="3" width="45.140625" style="9" bestFit="1" customWidth="1"/>
    <col min="4" max="16384" width="33.42578125" style="9"/>
  </cols>
  <sheetData>
    <row r="1" spans="1:65" ht="96.75" x14ac:dyDescent="0.25">
      <c r="A1" s="34" t="s">
        <v>584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0" t="s">
        <v>585</v>
      </c>
      <c r="N1" s="7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</row>
    <row r="2" spans="1:65" s="1" customFormat="1" ht="261" x14ac:dyDescent="0.25">
      <c r="A2" s="2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4" t="s">
        <v>586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4" t="s">
        <v>587</v>
      </c>
      <c r="Y2" s="4" t="s">
        <v>588</v>
      </c>
      <c r="Z2" s="4" t="s">
        <v>589</v>
      </c>
      <c r="AA2" s="2" t="s">
        <v>22</v>
      </c>
      <c r="AB2" s="2" t="s">
        <v>23</v>
      </c>
      <c r="AC2" s="2" t="s">
        <v>24</v>
      </c>
      <c r="AD2" s="2" t="s">
        <v>25</v>
      </c>
      <c r="AE2" s="2" t="s">
        <v>26</v>
      </c>
      <c r="AF2" s="2" t="s">
        <v>27</v>
      </c>
      <c r="AG2" s="2" t="s">
        <v>28</v>
      </c>
      <c r="AH2" s="5" t="s">
        <v>29</v>
      </c>
      <c r="AI2" s="6" t="s">
        <v>30</v>
      </c>
      <c r="AJ2" s="2" t="s">
        <v>31</v>
      </c>
      <c r="AK2" s="2" t="s">
        <v>32</v>
      </c>
      <c r="AL2" s="2" t="s">
        <v>33</v>
      </c>
      <c r="AM2" s="2" t="s">
        <v>34</v>
      </c>
      <c r="AN2" s="2" t="s">
        <v>35</v>
      </c>
      <c r="AO2" s="2" t="s">
        <v>36</v>
      </c>
      <c r="AP2" s="2" t="s">
        <v>37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43</v>
      </c>
      <c r="AW2" s="2" t="s">
        <v>44</v>
      </c>
      <c r="AX2" s="2" t="s">
        <v>45</v>
      </c>
      <c r="AY2" s="2" t="s">
        <v>46</v>
      </c>
      <c r="AZ2" s="2" t="s">
        <v>47</v>
      </c>
      <c r="BA2" s="2" t="s">
        <v>48</v>
      </c>
      <c r="BB2" s="2" t="s">
        <v>49</v>
      </c>
      <c r="BC2" s="2" t="s">
        <v>50</v>
      </c>
      <c r="BD2" s="2" t="s">
        <v>51</v>
      </c>
      <c r="BE2" s="2" t="s">
        <v>52</v>
      </c>
      <c r="BF2" s="2" t="s">
        <v>53</v>
      </c>
      <c r="BG2" s="2" t="s">
        <v>54</v>
      </c>
      <c r="BH2" s="2" t="s">
        <v>55</v>
      </c>
      <c r="BI2" s="2" t="s">
        <v>56</v>
      </c>
      <c r="BJ2" s="2" t="s">
        <v>57</v>
      </c>
      <c r="BK2" s="2" t="s">
        <v>58</v>
      </c>
      <c r="BL2" s="2" t="s">
        <v>59</v>
      </c>
      <c r="BM2" s="2" t="s">
        <v>60</v>
      </c>
    </row>
    <row r="3" spans="1:65" x14ac:dyDescent="0.25">
      <c r="A3" s="33" t="s">
        <v>61</v>
      </c>
      <c r="B3" s="10">
        <v>1100</v>
      </c>
      <c r="C3" s="10" t="s">
        <v>62</v>
      </c>
      <c r="D3" s="11">
        <v>5432557180503</v>
      </c>
      <c r="E3" s="11">
        <v>335992278527</v>
      </c>
      <c r="F3" s="11">
        <v>83550000000</v>
      </c>
      <c r="G3" s="11">
        <v>829756610334</v>
      </c>
      <c r="H3" s="11">
        <v>6681856069364</v>
      </c>
      <c r="I3" s="11">
        <v>491967081370</v>
      </c>
      <c r="J3" s="11">
        <v>6189888987994</v>
      </c>
      <c r="K3" s="11">
        <v>3103327026232</v>
      </c>
      <c r="L3" s="11">
        <v>3578529043132</v>
      </c>
      <c r="M3" s="12">
        <v>115.31</v>
      </c>
      <c r="N3" s="11">
        <v>5568369683179</v>
      </c>
      <c r="O3" s="12">
        <v>116.66</v>
      </c>
      <c r="P3" s="12">
        <v>89.96</v>
      </c>
      <c r="Q3" s="12">
        <v>7.24</v>
      </c>
      <c r="R3" s="11">
        <v>7359102305530</v>
      </c>
      <c r="S3" s="11">
        <v>435942562977</v>
      </c>
      <c r="T3" s="11">
        <v>183396844960</v>
      </c>
      <c r="U3" s="11">
        <v>10590831032</v>
      </c>
      <c r="V3" s="11">
        <v>241954886985</v>
      </c>
      <c r="W3" s="11">
        <v>7795044868507</v>
      </c>
      <c r="X3" s="11">
        <v>487061410807</v>
      </c>
      <c r="Y3" s="11">
        <v>27420850000</v>
      </c>
      <c r="Z3" s="11">
        <v>8309527129314</v>
      </c>
      <c r="AA3" s="11">
        <v>6388214000360</v>
      </c>
      <c r="AB3" s="12">
        <v>22.02</v>
      </c>
      <c r="AC3" s="11">
        <v>4400903590718</v>
      </c>
      <c r="AD3" s="11">
        <v>4374518998390</v>
      </c>
      <c r="AE3" s="11">
        <v>1246108178420</v>
      </c>
      <c r="AF3" s="11">
        <v>2936999892</v>
      </c>
      <c r="AG3" s="11">
        <v>0</v>
      </c>
      <c r="AH3" s="11">
        <v>0</v>
      </c>
      <c r="AI3" s="11">
        <v>0</v>
      </c>
      <c r="AJ3" s="12">
        <v>5</v>
      </c>
      <c r="AK3" s="11">
        <v>1095130034300</v>
      </c>
      <c r="AL3" s="12">
        <v>95</v>
      </c>
      <c r="AM3" s="11">
        <v>441692842562</v>
      </c>
      <c r="AN3" s="12">
        <v>53</v>
      </c>
      <c r="AO3" s="11">
        <v>583566587159</v>
      </c>
      <c r="AP3" s="11">
        <v>435942562977</v>
      </c>
      <c r="AQ3" s="11">
        <v>269008508239</v>
      </c>
      <c r="AR3" s="11">
        <v>166934054738</v>
      </c>
      <c r="AS3" s="12">
        <v>62.06</v>
      </c>
      <c r="AT3" s="11">
        <v>4373545452457</v>
      </c>
      <c r="AU3" s="11">
        <v>1225927585584</v>
      </c>
      <c r="AV3" s="11">
        <v>404047222208</v>
      </c>
      <c r="AW3" s="11">
        <v>1208040594082</v>
      </c>
      <c r="AX3" s="11">
        <v>1693389364213</v>
      </c>
      <c r="AY3" s="11">
        <v>2127080000000</v>
      </c>
      <c r="AZ3" s="11">
        <v>896682641252</v>
      </c>
      <c r="BA3" s="11">
        <v>6681856069364</v>
      </c>
      <c r="BB3" s="13">
        <v>190274</v>
      </c>
      <c r="BC3" s="11">
        <v>2692813221775</v>
      </c>
      <c r="BD3" s="11">
        <v>1776939364213</v>
      </c>
      <c r="BE3" s="11">
        <v>2212103483376</v>
      </c>
      <c r="BF3" s="11">
        <v>3567498978233</v>
      </c>
      <c r="BG3" s="11">
        <v>833404612485</v>
      </c>
      <c r="BH3" s="11">
        <v>7224310046</v>
      </c>
      <c r="BI3" s="11">
        <v>233685695290</v>
      </c>
      <c r="BJ3" s="11">
        <v>1653708655775</v>
      </c>
      <c r="BK3" s="11">
        <v>0</v>
      </c>
      <c r="BL3" s="11">
        <v>0</v>
      </c>
      <c r="BM3" s="11">
        <v>2936999892</v>
      </c>
    </row>
    <row r="4" spans="1:65" x14ac:dyDescent="0.25">
      <c r="A4" s="32"/>
      <c r="B4" s="10">
        <v>1101</v>
      </c>
      <c r="C4" s="10" t="s">
        <v>63</v>
      </c>
      <c r="D4" s="11">
        <v>1112069277947</v>
      </c>
      <c r="E4" s="11">
        <v>13743000923</v>
      </c>
      <c r="F4" s="11">
        <v>0</v>
      </c>
      <c r="G4" s="11">
        <v>0</v>
      </c>
      <c r="H4" s="11">
        <v>1125812278870</v>
      </c>
      <c r="I4" s="11">
        <v>94699862477</v>
      </c>
      <c r="J4" s="11">
        <v>1031112416393</v>
      </c>
      <c r="K4" s="11">
        <v>883257723181</v>
      </c>
      <c r="L4" s="11">
        <v>242554555689</v>
      </c>
      <c r="M4" s="12">
        <v>27.46</v>
      </c>
      <c r="N4" s="11">
        <v>1267675233702</v>
      </c>
      <c r="O4" s="12">
        <v>116.32</v>
      </c>
      <c r="P4" s="12">
        <v>122.94</v>
      </c>
      <c r="Q4" s="12">
        <v>5.82</v>
      </c>
      <c r="R4" s="11">
        <v>1248385972774</v>
      </c>
      <c r="S4" s="11">
        <v>61186681524</v>
      </c>
      <c r="T4" s="11">
        <v>26396100524</v>
      </c>
      <c r="U4" s="11">
        <v>16315054323</v>
      </c>
      <c r="V4" s="11">
        <v>18475526677</v>
      </c>
      <c r="W4" s="11">
        <v>1309572654298</v>
      </c>
      <c r="X4" s="11">
        <v>92120305223</v>
      </c>
      <c r="Y4" s="11">
        <v>12194620000</v>
      </c>
      <c r="Z4" s="11">
        <v>1413887579521</v>
      </c>
      <c r="AA4" s="11">
        <v>866541615417</v>
      </c>
      <c r="AB4" s="12">
        <v>51.13</v>
      </c>
      <c r="AC4" s="11">
        <v>636637898354</v>
      </c>
      <c r="AD4" s="11">
        <v>636637898354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2">
        <v>0</v>
      </c>
      <c r="AK4" s="11">
        <v>0</v>
      </c>
      <c r="AL4" s="12">
        <v>31</v>
      </c>
      <c r="AM4" s="11">
        <v>83642988508</v>
      </c>
      <c r="AN4" s="12">
        <v>34</v>
      </c>
      <c r="AO4" s="11">
        <v>67678090939</v>
      </c>
      <c r="AP4" s="11">
        <v>61186681524</v>
      </c>
      <c r="AQ4" s="11">
        <v>45977674741</v>
      </c>
      <c r="AR4" s="11">
        <v>15209006783</v>
      </c>
      <c r="AS4" s="12">
        <v>33.08</v>
      </c>
      <c r="AT4" s="11">
        <v>263332977496</v>
      </c>
      <c r="AU4" s="11">
        <v>90650282620</v>
      </c>
      <c r="AV4" s="11">
        <v>157557321915</v>
      </c>
      <c r="AW4" s="11">
        <v>198941124933</v>
      </c>
      <c r="AX4" s="11">
        <v>248446831099</v>
      </c>
      <c r="AY4" s="11">
        <v>507124000000</v>
      </c>
      <c r="AZ4" s="11">
        <v>88524641570</v>
      </c>
      <c r="BA4" s="11">
        <v>1125812278870</v>
      </c>
      <c r="BB4" s="13">
        <v>41544</v>
      </c>
      <c r="BC4" s="11">
        <v>370241447771</v>
      </c>
      <c r="BD4" s="11">
        <v>248446831099</v>
      </c>
      <c r="BE4" s="11">
        <v>507124000000</v>
      </c>
      <c r="BF4" s="11">
        <v>595689598354</v>
      </c>
      <c r="BG4" s="11">
        <v>40948300000</v>
      </c>
      <c r="BH4" s="11">
        <v>0</v>
      </c>
      <c r="BI4" s="11">
        <v>0</v>
      </c>
      <c r="BJ4" s="11">
        <v>0</v>
      </c>
      <c r="BK4" s="11">
        <v>0</v>
      </c>
      <c r="BL4" s="11">
        <v>0</v>
      </c>
      <c r="BM4" s="11">
        <v>0</v>
      </c>
    </row>
    <row r="5" spans="1:65" x14ac:dyDescent="0.25">
      <c r="A5" s="32"/>
      <c r="B5" s="10">
        <v>1102</v>
      </c>
      <c r="C5" s="10" t="s">
        <v>64</v>
      </c>
      <c r="D5" s="11">
        <v>1078973247567</v>
      </c>
      <c r="E5" s="11">
        <v>5416901848</v>
      </c>
      <c r="F5" s="11">
        <v>0</v>
      </c>
      <c r="G5" s="11">
        <v>0</v>
      </c>
      <c r="H5" s="11">
        <v>1084390149415</v>
      </c>
      <c r="I5" s="11">
        <v>87169371506</v>
      </c>
      <c r="J5" s="11">
        <v>997220777909</v>
      </c>
      <c r="K5" s="11">
        <v>837238314419</v>
      </c>
      <c r="L5" s="11">
        <v>247151834996</v>
      </c>
      <c r="M5" s="12">
        <v>29.52</v>
      </c>
      <c r="N5" s="11">
        <v>855079682498</v>
      </c>
      <c r="O5" s="12">
        <v>86.52</v>
      </c>
      <c r="P5" s="12">
        <v>85.75</v>
      </c>
      <c r="Q5" s="12">
        <v>1.39</v>
      </c>
      <c r="R5" s="11">
        <v>924718018787</v>
      </c>
      <c r="S5" s="11">
        <v>13492044611</v>
      </c>
      <c r="T5" s="11">
        <v>11252916305</v>
      </c>
      <c r="U5" s="11">
        <v>2030501309</v>
      </c>
      <c r="V5" s="11">
        <v>208626997</v>
      </c>
      <c r="W5" s="11">
        <v>938210063398</v>
      </c>
      <c r="X5" s="11">
        <v>59294959136</v>
      </c>
      <c r="Y5" s="11">
        <v>16077219998</v>
      </c>
      <c r="Z5" s="11">
        <v>1013582242532</v>
      </c>
      <c r="AA5" s="11">
        <v>826599180304</v>
      </c>
      <c r="AB5" s="12">
        <v>13.5</v>
      </c>
      <c r="AC5" s="11">
        <v>328744478847</v>
      </c>
      <c r="AD5" s="11">
        <v>328744478847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2">
        <v>0</v>
      </c>
      <c r="AK5" s="11">
        <v>0</v>
      </c>
      <c r="AL5" s="12">
        <v>7</v>
      </c>
      <c r="AM5" s="11">
        <v>22417473113</v>
      </c>
      <c r="AN5" s="12">
        <v>2</v>
      </c>
      <c r="AO5" s="11">
        <v>1650000000</v>
      </c>
      <c r="AP5" s="11">
        <v>13492044611</v>
      </c>
      <c r="AQ5" s="11">
        <v>13472171271</v>
      </c>
      <c r="AR5" s="11">
        <v>19873340</v>
      </c>
      <c r="AS5" s="12">
        <v>0.15</v>
      </c>
      <c r="AT5" s="11">
        <v>294730670533</v>
      </c>
      <c r="AU5" s="11">
        <v>82439536410</v>
      </c>
      <c r="AV5" s="11">
        <v>324515035726</v>
      </c>
      <c r="AW5" s="11">
        <v>129952037351</v>
      </c>
      <c r="AX5" s="11">
        <v>258058174490</v>
      </c>
      <c r="AY5" s="11">
        <v>366448000000</v>
      </c>
      <c r="AZ5" s="11">
        <v>158038955999</v>
      </c>
      <c r="BA5" s="11">
        <v>1084390149415</v>
      </c>
      <c r="BB5" s="13">
        <v>12572</v>
      </c>
      <c r="BC5" s="11">
        <v>459883974925</v>
      </c>
      <c r="BD5" s="11">
        <v>258058174490</v>
      </c>
      <c r="BE5" s="11">
        <v>366448000000</v>
      </c>
      <c r="BF5" s="11">
        <v>312044478847</v>
      </c>
      <c r="BG5" s="11">
        <v>16700000000</v>
      </c>
      <c r="BH5" s="11">
        <v>0</v>
      </c>
      <c r="BI5" s="11">
        <v>0</v>
      </c>
      <c r="BJ5" s="11">
        <v>0</v>
      </c>
      <c r="BK5" s="11">
        <v>0</v>
      </c>
      <c r="BL5" s="11">
        <v>0</v>
      </c>
      <c r="BM5" s="11">
        <v>0</v>
      </c>
    </row>
    <row r="6" spans="1:65" x14ac:dyDescent="0.25">
      <c r="A6" s="32"/>
      <c r="B6" s="10">
        <v>1103</v>
      </c>
      <c r="C6" s="10" t="s">
        <v>65</v>
      </c>
      <c r="D6" s="11">
        <v>1907676273145</v>
      </c>
      <c r="E6" s="11">
        <v>17425615622</v>
      </c>
      <c r="F6" s="11">
        <v>0</v>
      </c>
      <c r="G6" s="11">
        <v>0</v>
      </c>
      <c r="H6" s="11">
        <v>1925101888767</v>
      </c>
      <c r="I6" s="11">
        <v>156146653654</v>
      </c>
      <c r="J6" s="11">
        <v>1768955235113</v>
      </c>
      <c r="K6" s="11">
        <v>1273922326516</v>
      </c>
      <c r="L6" s="11">
        <v>651179562251</v>
      </c>
      <c r="M6" s="12">
        <v>51.12</v>
      </c>
      <c r="N6" s="11">
        <v>1028067919939</v>
      </c>
      <c r="O6" s="12">
        <v>57.72</v>
      </c>
      <c r="P6" s="12">
        <v>58.12</v>
      </c>
      <c r="Q6" s="12">
        <v>1.64</v>
      </c>
      <c r="R6" s="11">
        <v>1094201189638</v>
      </c>
      <c r="S6" s="11">
        <v>17051558511</v>
      </c>
      <c r="T6" s="11">
        <v>11850470598</v>
      </c>
      <c r="U6" s="11">
        <v>1377401973</v>
      </c>
      <c r="V6" s="11">
        <v>3823685940</v>
      </c>
      <c r="W6" s="11">
        <v>1111252748149</v>
      </c>
      <c r="X6" s="11">
        <v>90065673631</v>
      </c>
      <c r="Y6" s="11">
        <v>26158982715</v>
      </c>
      <c r="Z6" s="11">
        <v>1227477404495</v>
      </c>
      <c r="AA6" s="11">
        <v>828493934066</v>
      </c>
      <c r="AB6" s="12">
        <v>34.130000000000003</v>
      </c>
      <c r="AC6" s="11">
        <v>456382886124</v>
      </c>
      <c r="AD6" s="11">
        <v>456382886124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2">
        <v>0</v>
      </c>
      <c r="AK6" s="11">
        <v>0</v>
      </c>
      <c r="AL6" s="12">
        <v>36</v>
      </c>
      <c r="AM6" s="11">
        <v>93782566096</v>
      </c>
      <c r="AN6" s="12">
        <v>27</v>
      </c>
      <c r="AO6" s="11">
        <v>91014488201</v>
      </c>
      <c r="AP6" s="11">
        <v>17051558511</v>
      </c>
      <c r="AQ6" s="11">
        <v>19977458207</v>
      </c>
      <c r="AR6" s="11">
        <v>-2925899696</v>
      </c>
      <c r="AS6" s="12">
        <v>-14.65</v>
      </c>
      <c r="AT6" s="11">
        <v>287421677045</v>
      </c>
      <c r="AU6" s="11">
        <v>68051309667</v>
      </c>
      <c r="AV6" s="11">
        <v>168691383230</v>
      </c>
      <c r="AW6" s="11">
        <v>196616701864</v>
      </c>
      <c r="AX6" s="11">
        <v>403726288051</v>
      </c>
      <c r="AY6" s="11">
        <v>1138641900000</v>
      </c>
      <c r="AZ6" s="11">
        <v>214181874752</v>
      </c>
      <c r="BA6" s="11">
        <v>1925101888767</v>
      </c>
      <c r="BB6" s="13">
        <v>81070</v>
      </c>
      <c r="BC6" s="11">
        <v>382733700716</v>
      </c>
      <c r="BD6" s="11">
        <v>403726288051</v>
      </c>
      <c r="BE6" s="11">
        <v>1138641900000</v>
      </c>
      <c r="BF6" s="11">
        <v>349811595609</v>
      </c>
      <c r="BG6" s="11">
        <v>106571290515</v>
      </c>
      <c r="BH6" s="11">
        <v>0</v>
      </c>
      <c r="BI6" s="11">
        <v>0</v>
      </c>
      <c r="BJ6" s="11">
        <v>0</v>
      </c>
      <c r="BK6" s="11">
        <v>0</v>
      </c>
      <c r="BL6" s="11">
        <v>0</v>
      </c>
      <c r="BM6" s="11">
        <v>0</v>
      </c>
    </row>
    <row r="7" spans="1:65" x14ac:dyDescent="0.25">
      <c r="A7" s="32"/>
      <c r="B7" s="10">
        <v>1104</v>
      </c>
      <c r="C7" s="10" t="s">
        <v>66</v>
      </c>
      <c r="D7" s="11">
        <v>908321478191</v>
      </c>
      <c r="E7" s="11">
        <v>2041316600</v>
      </c>
      <c r="F7" s="11">
        <v>0</v>
      </c>
      <c r="G7" s="11">
        <v>0</v>
      </c>
      <c r="H7" s="11">
        <v>910362794791</v>
      </c>
      <c r="I7" s="11">
        <v>70966485494</v>
      </c>
      <c r="J7" s="11">
        <v>839396309297</v>
      </c>
      <c r="K7" s="11">
        <v>914650269024</v>
      </c>
      <c r="L7" s="11">
        <v>-4287474233</v>
      </c>
      <c r="M7" s="12">
        <v>-0.47</v>
      </c>
      <c r="N7" s="11">
        <v>693853378731</v>
      </c>
      <c r="O7" s="12">
        <v>81.510000000000005</v>
      </c>
      <c r="P7" s="12">
        <v>82.66</v>
      </c>
      <c r="Q7" s="12">
        <v>3.18</v>
      </c>
      <c r="R7" s="11">
        <v>717410135540</v>
      </c>
      <c r="S7" s="11">
        <v>24627269109</v>
      </c>
      <c r="T7" s="11">
        <v>12153184719</v>
      </c>
      <c r="U7" s="11">
        <v>8835774359</v>
      </c>
      <c r="V7" s="11">
        <v>3638310031</v>
      </c>
      <c r="W7" s="11">
        <v>742037404649</v>
      </c>
      <c r="X7" s="11">
        <v>59281565902</v>
      </c>
      <c r="Y7" s="11">
        <v>13949350000</v>
      </c>
      <c r="Z7" s="11">
        <v>815268320551</v>
      </c>
      <c r="AA7" s="11">
        <v>646113863013</v>
      </c>
      <c r="AB7" s="12">
        <v>14.85</v>
      </c>
      <c r="AC7" s="11">
        <v>292618262750</v>
      </c>
      <c r="AD7" s="11">
        <v>292618262750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2">
        <v>0</v>
      </c>
      <c r="AK7" s="11">
        <v>0</v>
      </c>
      <c r="AL7" s="12">
        <v>34</v>
      </c>
      <c r="AM7" s="11">
        <v>113148836983</v>
      </c>
      <c r="AN7" s="12">
        <v>9</v>
      </c>
      <c r="AO7" s="11">
        <v>5193820480</v>
      </c>
      <c r="AP7" s="11">
        <v>24627269109</v>
      </c>
      <c r="AQ7" s="11">
        <v>19754385149</v>
      </c>
      <c r="AR7" s="11">
        <v>4872883960</v>
      </c>
      <c r="AS7" s="12">
        <v>24.67</v>
      </c>
      <c r="AT7" s="11">
        <v>257433055290</v>
      </c>
      <c r="AU7" s="11">
        <v>79422017705</v>
      </c>
      <c r="AV7" s="11">
        <v>104569550341</v>
      </c>
      <c r="AW7" s="11">
        <v>201284002038</v>
      </c>
      <c r="AX7" s="11">
        <v>210255525812</v>
      </c>
      <c r="AY7" s="11">
        <v>392212400000</v>
      </c>
      <c r="AZ7" s="11">
        <v>78865506519</v>
      </c>
      <c r="BA7" s="11">
        <v>910362794791</v>
      </c>
      <c r="BB7" s="13">
        <v>17512</v>
      </c>
      <c r="BC7" s="11">
        <v>307894868979</v>
      </c>
      <c r="BD7" s="11">
        <v>210255525812</v>
      </c>
      <c r="BE7" s="11">
        <v>392212400000</v>
      </c>
      <c r="BF7" s="11">
        <v>207288990000</v>
      </c>
      <c r="BG7" s="11">
        <v>85329272750</v>
      </c>
      <c r="BH7" s="11">
        <v>0</v>
      </c>
      <c r="BI7" s="11">
        <v>0</v>
      </c>
      <c r="BJ7" s="11">
        <v>0</v>
      </c>
      <c r="BK7" s="11">
        <v>0</v>
      </c>
      <c r="BL7" s="11">
        <v>0</v>
      </c>
      <c r="BM7" s="11">
        <v>0</v>
      </c>
    </row>
    <row r="8" spans="1:65" x14ac:dyDescent="0.25">
      <c r="A8" s="32"/>
      <c r="B8" s="10">
        <v>1105</v>
      </c>
      <c r="C8" s="10" t="s">
        <v>67</v>
      </c>
      <c r="D8" s="11">
        <v>733865510076</v>
      </c>
      <c r="E8" s="11">
        <v>601491889</v>
      </c>
      <c r="F8" s="11">
        <v>0</v>
      </c>
      <c r="G8" s="11">
        <v>0</v>
      </c>
      <c r="H8" s="11">
        <v>734467001965</v>
      </c>
      <c r="I8" s="11">
        <v>58373155843</v>
      </c>
      <c r="J8" s="11">
        <v>676093846122</v>
      </c>
      <c r="K8" s="11">
        <v>597031777057</v>
      </c>
      <c r="L8" s="11">
        <v>137435224908</v>
      </c>
      <c r="M8" s="12">
        <v>23.02</v>
      </c>
      <c r="N8" s="11">
        <v>469872518952</v>
      </c>
      <c r="O8" s="12">
        <v>65.33</v>
      </c>
      <c r="P8" s="12">
        <v>69.5</v>
      </c>
      <c r="Q8" s="12">
        <v>0.66</v>
      </c>
      <c r="R8" s="11">
        <v>476529721360</v>
      </c>
      <c r="S8" s="11">
        <v>3311275830</v>
      </c>
      <c r="T8" s="11">
        <v>3053808131</v>
      </c>
      <c r="U8" s="11">
        <v>110998558</v>
      </c>
      <c r="V8" s="11">
        <v>146469141</v>
      </c>
      <c r="W8" s="11">
        <v>479840997190</v>
      </c>
      <c r="X8" s="11">
        <v>37592283718</v>
      </c>
      <c r="Y8" s="11">
        <v>10000000000</v>
      </c>
      <c r="Z8" s="11">
        <v>527433280908</v>
      </c>
      <c r="AA8" s="11">
        <v>427961088549</v>
      </c>
      <c r="AB8" s="12">
        <v>12.12</v>
      </c>
      <c r="AC8" s="11">
        <v>209001029629</v>
      </c>
      <c r="AD8" s="11">
        <v>209001029629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2">
        <v>0</v>
      </c>
      <c r="AK8" s="11">
        <v>0</v>
      </c>
      <c r="AL8" s="12">
        <v>0</v>
      </c>
      <c r="AM8" s="11">
        <v>0</v>
      </c>
      <c r="AN8" s="12">
        <v>0</v>
      </c>
      <c r="AO8" s="11">
        <v>0</v>
      </c>
      <c r="AP8" s="11">
        <v>3311275830</v>
      </c>
      <c r="AQ8" s="11">
        <v>3449002646</v>
      </c>
      <c r="AR8" s="11">
        <v>-137726816</v>
      </c>
      <c r="AS8" s="12">
        <v>-3.99</v>
      </c>
      <c r="AT8" s="11">
        <v>191130222541</v>
      </c>
      <c r="AU8" s="11">
        <v>37755549463</v>
      </c>
      <c r="AV8" s="11">
        <v>155264042558</v>
      </c>
      <c r="AW8" s="11">
        <v>131614183804</v>
      </c>
      <c r="AX8" s="11">
        <v>157167683714</v>
      </c>
      <c r="AY8" s="11">
        <v>289819600000</v>
      </c>
      <c r="AZ8" s="11">
        <v>92576576681</v>
      </c>
      <c r="BA8" s="11">
        <v>734467001965</v>
      </c>
      <c r="BB8" s="13">
        <v>5759</v>
      </c>
      <c r="BC8" s="11">
        <v>287479718251</v>
      </c>
      <c r="BD8" s="11">
        <v>157167683714</v>
      </c>
      <c r="BE8" s="11">
        <v>289819600000</v>
      </c>
      <c r="BF8" s="11">
        <v>184851030069</v>
      </c>
      <c r="BG8" s="11">
        <v>24149999560</v>
      </c>
      <c r="BH8" s="11">
        <v>0</v>
      </c>
      <c r="BI8" s="11">
        <v>0</v>
      </c>
      <c r="BJ8" s="11">
        <v>0</v>
      </c>
      <c r="BK8" s="11">
        <v>0</v>
      </c>
      <c r="BL8" s="11">
        <v>0</v>
      </c>
      <c r="BM8" s="11">
        <v>0</v>
      </c>
    </row>
    <row r="9" spans="1:65" x14ac:dyDescent="0.25">
      <c r="A9" s="32"/>
      <c r="B9" s="10">
        <v>1106</v>
      </c>
      <c r="C9" s="10" t="s">
        <v>68</v>
      </c>
      <c r="D9" s="11">
        <v>1114391913233</v>
      </c>
      <c r="E9" s="11">
        <v>7690009708</v>
      </c>
      <c r="F9" s="11">
        <v>0</v>
      </c>
      <c r="G9" s="11">
        <v>0</v>
      </c>
      <c r="H9" s="11">
        <v>1122081922941</v>
      </c>
      <c r="I9" s="11">
        <v>91499304179</v>
      </c>
      <c r="J9" s="11">
        <v>1030582618762</v>
      </c>
      <c r="K9" s="11">
        <v>1175275509274</v>
      </c>
      <c r="L9" s="11">
        <v>-53193586333</v>
      </c>
      <c r="M9" s="12">
        <v>-4.53</v>
      </c>
      <c r="N9" s="11">
        <v>876234329305</v>
      </c>
      <c r="O9" s="12">
        <v>84.78</v>
      </c>
      <c r="P9" s="12">
        <v>85.02</v>
      </c>
      <c r="Q9" s="12">
        <v>0.41</v>
      </c>
      <c r="R9" s="11">
        <v>947407333320</v>
      </c>
      <c r="S9" s="11">
        <v>3876273430</v>
      </c>
      <c r="T9" s="11">
        <v>2568502903</v>
      </c>
      <c r="U9" s="11">
        <v>1190770527</v>
      </c>
      <c r="V9" s="11">
        <v>117000000</v>
      </c>
      <c r="W9" s="11">
        <v>951283606750</v>
      </c>
      <c r="X9" s="11">
        <v>44262213007</v>
      </c>
      <c r="Y9" s="11">
        <v>7530504110</v>
      </c>
      <c r="Z9" s="11">
        <v>1003076323867</v>
      </c>
      <c r="AA9" s="11">
        <v>795276225273</v>
      </c>
      <c r="AB9" s="12">
        <v>19.62</v>
      </c>
      <c r="AC9" s="11">
        <v>326727521333</v>
      </c>
      <c r="AD9" s="11">
        <v>326727521333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2">
        <v>0</v>
      </c>
      <c r="AK9" s="11">
        <v>0</v>
      </c>
      <c r="AL9" s="12">
        <v>47</v>
      </c>
      <c r="AM9" s="11">
        <v>98179862194</v>
      </c>
      <c r="AN9" s="12">
        <v>7</v>
      </c>
      <c r="AO9" s="11">
        <v>32612000000</v>
      </c>
      <c r="AP9" s="11">
        <v>3876273430</v>
      </c>
      <c r="AQ9" s="11">
        <v>10309536123</v>
      </c>
      <c r="AR9" s="11">
        <v>-6433262693</v>
      </c>
      <c r="AS9" s="12">
        <v>-62.4</v>
      </c>
      <c r="AT9" s="11">
        <v>250715685007</v>
      </c>
      <c r="AU9" s="11">
        <v>53264935044</v>
      </c>
      <c r="AV9" s="11">
        <v>126863634768</v>
      </c>
      <c r="AW9" s="11">
        <v>209204639803</v>
      </c>
      <c r="AX9" s="11">
        <v>203699838662</v>
      </c>
      <c r="AY9" s="11">
        <v>574623800000</v>
      </c>
      <c r="AZ9" s="11">
        <v>71352333697</v>
      </c>
      <c r="BA9" s="11">
        <v>1122081922941</v>
      </c>
      <c r="BB9" s="13">
        <v>29238</v>
      </c>
      <c r="BC9" s="11">
        <v>343758284279</v>
      </c>
      <c r="BD9" s="11">
        <v>203699838662</v>
      </c>
      <c r="BE9" s="11">
        <v>574623800000</v>
      </c>
      <c r="BF9" s="11">
        <v>263677521333</v>
      </c>
      <c r="BG9" s="11">
        <v>63050000000</v>
      </c>
      <c r="BH9" s="11">
        <v>0</v>
      </c>
      <c r="BI9" s="11">
        <v>0</v>
      </c>
      <c r="BJ9" s="11">
        <v>0</v>
      </c>
      <c r="BK9" s="11">
        <v>0</v>
      </c>
      <c r="BL9" s="11">
        <v>0</v>
      </c>
      <c r="BM9" s="11">
        <v>0</v>
      </c>
    </row>
    <row r="10" spans="1:65" x14ac:dyDescent="0.25">
      <c r="A10" s="32"/>
      <c r="B10" s="10">
        <v>1107</v>
      </c>
      <c r="C10" s="10" t="s">
        <v>69</v>
      </c>
      <c r="D10" s="11">
        <v>758035920886</v>
      </c>
      <c r="E10" s="11">
        <v>9416529851</v>
      </c>
      <c r="F10" s="11">
        <v>0</v>
      </c>
      <c r="G10" s="11">
        <v>0</v>
      </c>
      <c r="H10" s="11">
        <v>767452450737</v>
      </c>
      <c r="I10" s="11">
        <v>60137612742</v>
      </c>
      <c r="J10" s="11">
        <v>707314837995</v>
      </c>
      <c r="K10" s="11">
        <v>613096611356</v>
      </c>
      <c r="L10" s="11">
        <v>154355839381</v>
      </c>
      <c r="M10" s="12">
        <v>25.18</v>
      </c>
      <c r="N10" s="11">
        <v>609785117847</v>
      </c>
      <c r="O10" s="12">
        <v>85.37</v>
      </c>
      <c r="P10" s="12">
        <v>86.21</v>
      </c>
      <c r="Q10" s="12">
        <v>2.44</v>
      </c>
      <c r="R10" s="11">
        <v>637856988642</v>
      </c>
      <c r="S10" s="11">
        <v>17312342344</v>
      </c>
      <c r="T10" s="11">
        <v>16476177956</v>
      </c>
      <c r="U10" s="11">
        <v>609098560</v>
      </c>
      <c r="V10" s="11">
        <v>227065828</v>
      </c>
      <c r="W10" s="11">
        <v>655169330986</v>
      </c>
      <c r="X10" s="11">
        <v>51779527486</v>
      </c>
      <c r="Y10" s="11">
        <v>9664349958</v>
      </c>
      <c r="Z10" s="11">
        <v>716613208430</v>
      </c>
      <c r="AA10" s="11">
        <v>496847103867</v>
      </c>
      <c r="AB10" s="12">
        <v>31.87</v>
      </c>
      <c r="AC10" s="11">
        <v>415628067969</v>
      </c>
      <c r="AD10" s="11">
        <v>415628067969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2">
        <v>0</v>
      </c>
      <c r="AK10" s="11">
        <v>0</v>
      </c>
      <c r="AL10" s="12">
        <v>6</v>
      </c>
      <c r="AM10" s="11">
        <v>7424960000</v>
      </c>
      <c r="AN10" s="12">
        <v>8</v>
      </c>
      <c r="AO10" s="11">
        <v>25221800000</v>
      </c>
      <c r="AP10" s="11">
        <v>17312342344</v>
      </c>
      <c r="AQ10" s="11">
        <v>12941089249</v>
      </c>
      <c r="AR10" s="11">
        <v>4371253095</v>
      </c>
      <c r="AS10" s="12">
        <v>33.78</v>
      </c>
      <c r="AT10" s="11">
        <v>236407586595</v>
      </c>
      <c r="AU10" s="11">
        <v>64693698434</v>
      </c>
      <c r="AV10" s="11">
        <v>183625424159</v>
      </c>
      <c r="AW10" s="11">
        <v>89169113701</v>
      </c>
      <c r="AX10" s="11">
        <v>181279383026</v>
      </c>
      <c r="AY10" s="11">
        <v>303962000000</v>
      </c>
      <c r="AZ10" s="11">
        <v>74278427298</v>
      </c>
      <c r="BA10" s="11">
        <v>767452450737</v>
      </c>
      <c r="BB10" s="13">
        <v>74103</v>
      </c>
      <c r="BC10" s="11">
        <v>282211067711</v>
      </c>
      <c r="BD10" s="11">
        <v>181279383026</v>
      </c>
      <c r="BE10" s="11">
        <v>303962000000</v>
      </c>
      <c r="BF10" s="11">
        <v>311578067969</v>
      </c>
      <c r="BG10" s="11">
        <v>104050000000</v>
      </c>
      <c r="BH10" s="11">
        <v>0</v>
      </c>
      <c r="BI10" s="11">
        <v>0</v>
      </c>
      <c r="BJ10" s="11">
        <v>0</v>
      </c>
      <c r="BK10" s="11">
        <v>0</v>
      </c>
      <c r="BL10" s="11">
        <v>0</v>
      </c>
      <c r="BM10" s="11">
        <v>0</v>
      </c>
    </row>
    <row r="11" spans="1:65" x14ac:dyDescent="0.25">
      <c r="A11" s="32"/>
      <c r="B11" s="10">
        <v>1108</v>
      </c>
      <c r="C11" s="10" t="s">
        <v>70</v>
      </c>
      <c r="D11" s="11">
        <v>894609394168</v>
      </c>
      <c r="E11" s="11">
        <v>6486326553</v>
      </c>
      <c r="F11" s="11">
        <v>0</v>
      </c>
      <c r="G11" s="11">
        <v>0</v>
      </c>
      <c r="H11" s="11">
        <v>901095720721</v>
      </c>
      <c r="I11" s="11">
        <v>70645869225</v>
      </c>
      <c r="J11" s="11">
        <v>830449851496</v>
      </c>
      <c r="K11" s="11">
        <v>683016364861</v>
      </c>
      <c r="L11" s="11">
        <v>218079355860</v>
      </c>
      <c r="M11" s="12">
        <v>31.93</v>
      </c>
      <c r="N11" s="11">
        <v>1018025682745</v>
      </c>
      <c r="O11" s="12">
        <v>122.95</v>
      </c>
      <c r="P11" s="12">
        <v>122.59</v>
      </c>
      <c r="Q11" s="12">
        <v>2.36</v>
      </c>
      <c r="R11" s="11">
        <v>1080052767306</v>
      </c>
      <c r="S11" s="11">
        <v>27807263606</v>
      </c>
      <c r="T11" s="11">
        <v>17798946723</v>
      </c>
      <c r="U11" s="11">
        <v>9394704535</v>
      </c>
      <c r="V11" s="11">
        <v>613612348</v>
      </c>
      <c r="W11" s="11">
        <v>1107860030912</v>
      </c>
      <c r="X11" s="11">
        <v>60463273547</v>
      </c>
      <c r="Y11" s="11">
        <v>14004169222</v>
      </c>
      <c r="Z11" s="11">
        <v>1182327473681</v>
      </c>
      <c r="AA11" s="11">
        <v>897740093319</v>
      </c>
      <c r="AB11" s="12">
        <v>23.41</v>
      </c>
      <c r="AC11" s="11">
        <v>456525207708</v>
      </c>
      <c r="AD11" s="11">
        <v>412693974833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2">
        <v>0</v>
      </c>
      <c r="AK11" s="11">
        <v>0</v>
      </c>
      <c r="AL11" s="12">
        <v>13</v>
      </c>
      <c r="AM11" s="11">
        <v>6870462335</v>
      </c>
      <c r="AN11" s="12">
        <v>12</v>
      </c>
      <c r="AO11" s="11">
        <v>35478796200</v>
      </c>
      <c r="AP11" s="11">
        <v>27807263606</v>
      </c>
      <c r="AQ11" s="11">
        <v>21666217024</v>
      </c>
      <c r="AR11" s="11">
        <v>6141046582</v>
      </c>
      <c r="AS11" s="12">
        <v>28.34</v>
      </c>
      <c r="AT11" s="11">
        <v>306255204578</v>
      </c>
      <c r="AU11" s="11">
        <v>86980934122</v>
      </c>
      <c r="AV11" s="11">
        <v>108968884612</v>
      </c>
      <c r="AW11" s="11">
        <v>154984563356</v>
      </c>
      <c r="AX11" s="11">
        <v>242553546200</v>
      </c>
      <c r="AY11" s="11">
        <v>388102400000</v>
      </c>
      <c r="AZ11" s="11">
        <v>140705856053</v>
      </c>
      <c r="BA11" s="11">
        <v>901095720721</v>
      </c>
      <c r="BB11" s="13">
        <v>10088</v>
      </c>
      <c r="BC11" s="11">
        <v>270439774521</v>
      </c>
      <c r="BD11" s="11">
        <v>242553546200</v>
      </c>
      <c r="BE11" s="11">
        <v>388102400000</v>
      </c>
      <c r="BF11" s="11">
        <v>317393974833</v>
      </c>
      <c r="BG11" s="11">
        <v>139131232875</v>
      </c>
      <c r="BH11" s="11">
        <v>0</v>
      </c>
      <c r="BI11" s="11">
        <v>0</v>
      </c>
      <c r="BJ11" s="11">
        <v>0</v>
      </c>
      <c r="BK11" s="11">
        <v>0</v>
      </c>
      <c r="BL11" s="11">
        <v>0</v>
      </c>
      <c r="BM11" s="11">
        <v>0</v>
      </c>
    </row>
    <row r="12" spans="1:65" x14ac:dyDescent="0.25">
      <c r="A12" s="32"/>
      <c r="B12" s="10">
        <v>1109</v>
      </c>
      <c r="C12" s="10" t="s">
        <v>71</v>
      </c>
      <c r="D12" s="11">
        <v>794154462937</v>
      </c>
      <c r="E12" s="11">
        <v>7263849896</v>
      </c>
      <c r="F12" s="11">
        <v>0</v>
      </c>
      <c r="G12" s="11">
        <v>0</v>
      </c>
      <c r="H12" s="11">
        <v>801418312833</v>
      </c>
      <c r="I12" s="11">
        <v>60461045612</v>
      </c>
      <c r="J12" s="11">
        <v>740957267221</v>
      </c>
      <c r="K12" s="11">
        <v>936298332835</v>
      </c>
      <c r="L12" s="11">
        <v>-134880020002</v>
      </c>
      <c r="M12" s="12">
        <v>-14.41</v>
      </c>
      <c r="N12" s="11">
        <v>554147749129</v>
      </c>
      <c r="O12" s="12">
        <v>73</v>
      </c>
      <c r="P12" s="12">
        <v>74.790000000000006</v>
      </c>
      <c r="Q12" s="12">
        <v>3.46</v>
      </c>
      <c r="R12" s="11">
        <v>563320010295</v>
      </c>
      <c r="S12" s="11">
        <v>21677330090</v>
      </c>
      <c r="T12" s="11">
        <v>15378581732</v>
      </c>
      <c r="U12" s="11">
        <v>4881842042</v>
      </c>
      <c r="V12" s="11">
        <v>1416906316</v>
      </c>
      <c r="W12" s="11">
        <v>584997340385</v>
      </c>
      <c r="X12" s="11">
        <v>41270278280</v>
      </c>
      <c r="Y12" s="11">
        <v>7698540000</v>
      </c>
      <c r="Z12" s="11">
        <v>633966158665</v>
      </c>
      <c r="AA12" s="11">
        <v>546880900353</v>
      </c>
      <c r="AB12" s="12">
        <v>6.97</v>
      </c>
      <c r="AC12" s="11">
        <v>215385729213</v>
      </c>
      <c r="AD12" s="11">
        <v>215385729213</v>
      </c>
      <c r="AE12" s="11">
        <v>0</v>
      </c>
      <c r="AF12" s="11">
        <v>156000000</v>
      </c>
      <c r="AG12" s="11">
        <v>0</v>
      </c>
      <c r="AH12" s="11">
        <v>0</v>
      </c>
      <c r="AI12" s="11">
        <v>0</v>
      </c>
      <c r="AJ12" s="12">
        <v>0</v>
      </c>
      <c r="AK12" s="11">
        <v>0</v>
      </c>
      <c r="AL12" s="12">
        <v>34</v>
      </c>
      <c r="AM12" s="11">
        <v>109311950151</v>
      </c>
      <c r="AN12" s="12">
        <v>27</v>
      </c>
      <c r="AO12" s="11">
        <v>36634490053</v>
      </c>
      <c r="AP12" s="11">
        <v>21677330090</v>
      </c>
      <c r="AQ12" s="11">
        <v>31689863345</v>
      </c>
      <c r="AR12" s="11">
        <v>-10012533255</v>
      </c>
      <c r="AS12" s="12">
        <v>-31.6</v>
      </c>
      <c r="AT12" s="11">
        <v>215648842902</v>
      </c>
      <c r="AU12" s="11">
        <v>97967362513</v>
      </c>
      <c r="AV12" s="11">
        <v>186338405388</v>
      </c>
      <c r="AW12" s="11">
        <v>183779226507</v>
      </c>
      <c r="AX12" s="11">
        <v>146388831042</v>
      </c>
      <c r="AY12" s="11">
        <v>277648000000</v>
      </c>
      <c r="AZ12" s="11">
        <v>8640737644</v>
      </c>
      <c r="BA12" s="11">
        <v>801418312833</v>
      </c>
      <c r="BB12" s="13">
        <v>62000</v>
      </c>
      <c r="BC12" s="11">
        <v>377381481791</v>
      </c>
      <c r="BD12" s="11">
        <v>146388831042</v>
      </c>
      <c r="BE12" s="11">
        <v>277648000000</v>
      </c>
      <c r="BF12" s="11">
        <v>176435729213</v>
      </c>
      <c r="BG12" s="11">
        <v>38950000000</v>
      </c>
      <c r="BH12" s="11">
        <v>0</v>
      </c>
      <c r="BI12" s="11">
        <v>0</v>
      </c>
      <c r="BJ12" s="11">
        <v>0</v>
      </c>
      <c r="BK12" s="11">
        <v>0</v>
      </c>
      <c r="BL12" s="11">
        <v>0</v>
      </c>
      <c r="BM12" s="11">
        <v>156000000</v>
      </c>
    </row>
    <row r="13" spans="1:65" x14ac:dyDescent="0.25">
      <c r="A13" s="32"/>
      <c r="B13" s="10">
        <v>1110</v>
      </c>
      <c r="C13" s="10" t="s">
        <v>72</v>
      </c>
      <c r="D13" s="11">
        <v>377170822755</v>
      </c>
      <c r="E13" s="11">
        <v>1436700276</v>
      </c>
      <c r="F13" s="11">
        <v>0</v>
      </c>
      <c r="G13" s="11">
        <v>0</v>
      </c>
      <c r="H13" s="11">
        <v>378607523031</v>
      </c>
      <c r="I13" s="11">
        <v>32729341590</v>
      </c>
      <c r="J13" s="11">
        <v>345878181441</v>
      </c>
      <c r="K13" s="11">
        <v>393587952346</v>
      </c>
      <c r="L13" s="11">
        <v>-14980429315</v>
      </c>
      <c r="M13" s="12">
        <v>-3.81</v>
      </c>
      <c r="N13" s="11">
        <v>1114642828834</v>
      </c>
      <c r="O13" s="12">
        <v>312.25</v>
      </c>
      <c r="P13" s="12">
        <v>322.26</v>
      </c>
      <c r="Q13" s="12">
        <v>72.22</v>
      </c>
      <c r="R13" s="11">
        <v>328841796271</v>
      </c>
      <c r="S13" s="11">
        <v>853354378474</v>
      </c>
      <c r="T13" s="11">
        <v>3461930140</v>
      </c>
      <c r="U13" s="11">
        <v>32642880662</v>
      </c>
      <c r="V13" s="11">
        <v>817249567672</v>
      </c>
      <c r="W13" s="11">
        <v>1182196174745</v>
      </c>
      <c r="X13" s="11">
        <v>230991476652</v>
      </c>
      <c r="Y13" s="11">
        <v>3000000000</v>
      </c>
      <c r="Z13" s="11">
        <v>1416187651397</v>
      </c>
      <c r="AA13" s="11">
        <v>814067571917</v>
      </c>
      <c r="AB13" s="12">
        <v>45.22</v>
      </c>
      <c r="AC13" s="11">
        <v>227154684971</v>
      </c>
      <c r="AD13" s="11">
        <v>227154684971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2">
        <v>0</v>
      </c>
      <c r="AK13" s="11">
        <v>0</v>
      </c>
      <c r="AL13" s="12">
        <v>3</v>
      </c>
      <c r="AM13" s="11">
        <v>13091590658</v>
      </c>
      <c r="AN13" s="12">
        <v>2</v>
      </c>
      <c r="AO13" s="11">
        <v>890000000</v>
      </c>
      <c r="AP13" s="11">
        <v>853354378474</v>
      </c>
      <c r="AQ13" s="11">
        <v>555100069416</v>
      </c>
      <c r="AR13" s="11">
        <v>298254309058</v>
      </c>
      <c r="AS13" s="12">
        <v>53.73</v>
      </c>
      <c r="AT13" s="11">
        <v>117154315004</v>
      </c>
      <c r="AU13" s="11">
        <v>40015879779</v>
      </c>
      <c r="AV13" s="11">
        <v>92610282390</v>
      </c>
      <c r="AW13" s="11">
        <v>68401284681</v>
      </c>
      <c r="AX13" s="11">
        <v>79193255684</v>
      </c>
      <c r="AY13" s="11">
        <v>136966000000</v>
      </c>
      <c r="AZ13" s="11">
        <v>49656946169</v>
      </c>
      <c r="BA13" s="11">
        <v>378607523031</v>
      </c>
      <c r="BB13" s="13">
        <v>1070</v>
      </c>
      <c r="BC13" s="11">
        <v>162448267347</v>
      </c>
      <c r="BD13" s="11">
        <v>79193255684</v>
      </c>
      <c r="BE13" s="11">
        <v>136966000000</v>
      </c>
      <c r="BF13" s="11">
        <v>185337251547</v>
      </c>
      <c r="BG13" s="11">
        <v>41817433424</v>
      </c>
      <c r="BH13" s="11">
        <v>0</v>
      </c>
      <c r="BI13" s="11">
        <v>0</v>
      </c>
      <c r="BJ13" s="11">
        <v>0</v>
      </c>
      <c r="BK13" s="11">
        <v>0</v>
      </c>
      <c r="BL13" s="11">
        <v>0</v>
      </c>
      <c r="BM13" s="11">
        <v>0</v>
      </c>
    </row>
    <row r="14" spans="1:65" x14ac:dyDescent="0.25">
      <c r="A14" s="32"/>
      <c r="B14" s="10">
        <v>1111</v>
      </c>
      <c r="C14" s="10" t="s">
        <v>73</v>
      </c>
      <c r="D14" s="11">
        <v>1317351649714</v>
      </c>
      <c r="E14" s="11">
        <v>2139355261</v>
      </c>
      <c r="F14" s="11">
        <v>0</v>
      </c>
      <c r="G14" s="11">
        <v>0</v>
      </c>
      <c r="H14" s="11">
        <v>1319491004975</v>
      </c>
      <c r="I14" s="11">
        <v>109303836044</v>
      </c>
      <c r="J14" s="11">
        <v>1210187168931</v>
      </c>
      <c r="K14" s="11">
        <v>739646400146</v>
      </c>
      <c r="L14" s="11">
        <v>579844604829</v>
      </c>
      <c r="M14" s="12">
        <v>78.39</v>
      </c>
      <c r="N14" s="11">
        <v>922221072925</v>
      </c>
      <c r="O14" s="12">
        <v>75.599999999999994</v>
      </c>
      <c r="P14" s="12">
        <v>76.2</v>
      </c>
      <c r="Q14" s="12">
        <v>0.5</v>
      </c>
      <c r="R14" s="11">
        <v>992370015305</v>
      </c>
      <c r="S14" s="11">
        <v>5148301161</v>
      </c>
      <c r="T14" s="11">
        <v>5002156907</v>
      </c>
      <c r="U14" s="11">
        <v>146144254</v>
      </c>
      <c r="V14" s="11">
        <v>0</v>
      </c>
      <c r="W14" s="11">
        <v>997518316466</v>
      </c>
      <c r="X14" s="11">
        <v>36621297436</v>
      </c>
      <c r="Y14" s="11">
        <v>4832365100</v>
      </c>
      <c r="Z14" s="11">
        <v>1038971979002</v>
      </c>
      <c r="AA14" s="11">
        <v>775023669516</v>
      </c>
      <c r="AB14" s="12">
        <v>28.71</v>
      </c>
      <c r="AC14" s="11">
        <v>726187764225</v>
      </c>
      <c r="AD14" s="11">
        <v>726187764225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2">
        <v>0</v>
      </c>
      <c r="AK14" s="11">
        <v>0</v>
      </c>
      <c r="AL14" s="12">
        <v>2</v>
      </c>
      <c r="AM14" s="11">
        <v>3250000000</v>
      </c>
      <c r="AN14" s="12">
        <v>1</v>
      </c>
      <c r="AO14" s="11">
        <v>840000000</v>
      </c>
      <c r="AP14" s="11">
        <v>5148301161</v>
      </c>
      <c r="AQ14" s="11">
        <v>3551723082</v>
      </c>
      <c r="AR14" s="11">
        <v>1596578079</v>
      </c>
      <c r="AS14" s="12">
        <v>44.95</v>
      </c>
      <c r="AT14" s="11">
        <v>617527813337</v>
      </c>
      <c r="AU14" s="11">
        <v>28290633595</v>
      </c>
      <c r="AV14" s="11">
        <v>115210872105</v>
      </c>
      <c r="AW14" s="11">
        <v>764942459111</v>
      </c>
      <c r="AX14" s="11">
        <v>286455318498</v>
      </c>
      <c r="AY14" s="11">
        <v>150743000000</v>
      </c>
      <c r="AZ14" s="11">
        <v>100292524597</v>
      </c>
      <c r="BA14" s="11">
        <v>1319491004975</v>
      </c>
      <c r="BB14" s="13">
        <v>24859</v>
      </c>
      <c r="BC14" s="11">
        <v>882292686477</v>
      </c>
      <c r="BD14" s="11">
        <v>286455318498</v>
      </c>
      <c r="BE14" s="11">
        <v>150743000000</v>
      </c>
      <c r="BF14" s="11">
        <v>201288763595</v>
      </c>
      <c r="BG14" s="11">
        <v>524899000630</v>
      </c>
      <c r="BH14" s="11">
        <v>0</v>
      </c>
      <c r="BI14" s="11">
        <v>0</v>
      </c>
      <c r="BJ14" s="11">
        <v>0</v>
      </c>
      <c r="BK14" s="11">
        <v>0</v>
      </c>
      <c r="BL14" s="11">
        <v>0</v>
      </c>
      <c r="BM14" s="11">
        <v>0</v>
      </c>
    </row>
    <row r="15" spans="1:65" x14ac:dyDescent="0.25">
      <c r="A15" s="32"/>
      <c r="B15" s="10">
        <v>1112</v>
      </c>
      <c r="C15" s="10" t="s">
        <v>74</v>
      </c>
      <c r="D15" s="11">
        <v>1278371220010</v>
      </c>
      <c r="E15" s="11">
        <v>7306931926</v>
      </c>
      <c r="F15" s="11">
        <v>0</v>
      </c>
      <c r="G15" s="11">
        <v>0</v>
      </c>
      <c r="H15" s="11">
        <v>1285678151936</v>
      </c>
      <c r="I15" s="11">
        <v>103592178236</v>
      </c>
      <c r="J15" s="11">
        <v>1182085973700</v>
      </c>
      <c r="K15" s="11">
        <v>576200609102</v>
      </c>
      <c r="L15" s="11">
        <v>709477542834</v>
      </c>
      <c r="M15" s="12">
        <v>123.13</v>
      </c>
      <c r="N15" s="11">
        <v>747766108461</v>
      </c>
      <c r="O15" s="12">
        <v>62.12</v>
      </c>
      <c r="P15" s="12">
        <v>63.26</v>
      </c>
      <c r="Q15" s="12">
        <v>5.96</v>
      </c>
      <c r="R15" s="11">
        <v>751469131770</v>
      </c>
      <c r="S15" s="11">
        <v>47218333466</v>
      </c>
      <c r="T15" s="11">
        <v>3457168860</v>
      </c>
      <c r="U15" s="11">
        <v>57778000</v>
      </c>
      <c r="V15" s="11">
        <v>43703386606</v>
      </c>
      <c r="W15" s="11">
        <v>798687465236</v>
      </c>
      <c r="X15" s="11">
        <v>55316988499</v>
      </c>
      <c r="Y15" s="11">
        <v>3500000000</v>
      </c>
      <c r="Z15" s="11">
        <v>857504453735</v>
      </c>
      <c r="AA15" s="11">
        <v>608119864079</v>
      </c>
      <c r="AB15" s="12">
        <v>31.34</v>
      </c>
      <c r="AC15" s="11">
        <v>449239405810</v>
      </c>
      <c r="AD15" s="11">
        <v>449239405810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2">
        <v>0</v>
      </c>
      <c r="AK15" s="11">
        <v>0</v>
      </c>
      <c r="AL15" s="12">
        <v>77</v>
      </c>
      <c r="AM15" s="11">
        <v>227381007718</v>
      </c>
      <c r="AN15" s="12">
        <v>9</v>
      </c>
      <c r="AO15" s="11">
        <v>18055340959</v>
      </c>
      <c r="AP15" s="11">
        <v>47218333466</v>
      </c>
      <c r="AQ15" s="11">
        <v>47954566537</v>
      </c>
      <c r="AR15" s="11">
        <v>-736233071</v>
      </c>
      <c r="AS15" s="12">
        <v>-1.54</v>
      </c>
      <c r="AT15" s="11">
        <v>344258770341</v>
      </c>
      <c r="AU15" s="11">
        <v>37234056759</v>
      </c>
      <c r="AV15" s="11">
        <v>359950125373</v>
      </c>
      <c r="AW15" s="11">
        <v>90301046694</v>
      </c>
      <c r="AX15" s="11">
        <v>199283047943</v>
      </c>
      <c r="AY15" s="11">
        <v>628837000000</v>
      </c>
      <c r="AZ15" s="11">
        <v>113942155390</v>
      </c>
      <c r="BA15" s="11">
        <v>1285678151936</v>
      </c>
      <c r="BB15" s="13">
        <v>24074</v>
      </c>
      <c r="BC15" s="11">
        <v>457558103993</v>
      </c>
      <c r="BD15" s="11">
        <v>199283047943</v>
      </c>
      <c r="BE15" s="11">
        <v>628837000000</v>
      </c>
      <c r="BF15" s="11">
        <v>263495486826</v>
      </c>
      <c r="BG15" s="11">
        <v>185743918984</v>
      </c>
      <c r="BH15" s="11">
        <v>0</v>
      </c>
      <c r="BI15" s="11">
        <v>0</v>
      </c>
      <c r="BJ15" s="11">
        <v>0</v>
      </c>
      <c r="BK15" s="11">
        <v>0</v>
      </c>
      <c r="BL15" s="11">
        <v>0</v>
      </c>
      <c r="BM15" s="11">
        <v>0</v>
      </c>
    </row>
    <row r="16" spans="1:65" x14ac:dyDescent="0.25">
      <c r="A16" s="32"/>
      <c r="B16" s="10">
        <v>1113</v>
      </c>
      <c r="C16" s="10" t="s">
        <v>75</v>
      </c>
      <c r="D16" s="11">
        <v>1008605568503</v>
      </c>
      <c r="E16" s="11">
        <v>5638794961</v>
      </c>
      <c r="F16" s="11">
        <v>0</v>
      </c>
      <c r="G16" s="11">
        <v>0</v>
      </c>
      <c r="H16" s="11">
        <v>1014244363464</v>
      </c>
      <c r="I16" s="11">
        <v>80395809555</v>
      </c>
      <c r="J16" s="11">
        <v>933848553909</v>
      </c>
      <c r="K16" s="11">
        <v>1036454899249</v>
      </c>
      <c r="L16" s="11">
        <v>-22210535785</v>
      </c>
      <c r="M16" s="12">
        <v>-2.14</v>
      </c>
      <c r="N16" s="11">
        <v>703313891061</v>
      </c>
      <c r="O16" s="12">
        <v>78.510000000000005</v>
      </c>
      <c r="P16" s="12">
        <v>75.31</v>
      </c>
      <c r="Q16" s="12">
        <v>1.48</v>
      </c>
      <c r="R16" s="11">
        <v>783780833102</v>
      </c>
      <c r="S16" s="11">
        <v>12476396990</v>
      </c>
      <c r="T16" s="11">
        <v>10635642521</v>
      </c>
      <c r="U16" s="11">
        <v>1652249501</v>
      </c>
      <c r="V16" s="11">
        <v>188504968</v>
      </c>
      <c r="W16" s="11">
        <v>796257230092</v>
      </c>
      <c r="X16" s="11">
        <v>51626096214</v>
      </c>
      <c r="Y16" s="11">
        <v>20448692000</v>
      </c>
      <c r="Z16" s="11">
        <v>868332018306</v>
      </c>
      <c r="AA16" s="11">
        <v>730704571499</v>
      </c>
      <c r="AB16" s="12">
        <v>8.9700000000000006</v>
      </c>
      <c r="AC16" s="11">
        <v>354254775032</v>
      </c>
      <c r="AD16" s="11">
        <v>354254775032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2">
        <v>0</v>
      </c>
      <c r="AK16" s="11">
        <v>0</v>
      </c>
      <c r="AL16" s="12">
        <v>1</v>
      </c>
      <c r="AM16" s="11">
        <v>2400000000</v>
      </c>
      <c r="AN16" s="12">
        <v>6</v>
      </c>
      <c r="AO16" s="11">
        <v>6594700000</v>
      </c>
      <c r="AP16" s="11">
        <v>12476396990</v>
      </c>
      <c r="AQ16" s="11">
        <v>8639963011</v>
      </c>
      <c r="AR16" s="11">
        <v>3836433979</v>
      </c>
      <c r="AS16" s="12">
        <v>44.4</v>
      </c>
      <c r="AT16" s="11">
        <v>370675147137</v>
      </c>
      <c r="AU16" s="11">
        <v>60406234212</v>
      </c>
      <c r="AV16" s="11">
        <v>201842877308</v>
      </c>
      <c r="AW16" s="11">
        <v>198472843036</v>
      </c>
      <c r="AX16" s="11">
        <v>226389348159</v>
      </c>
      <c r="AY16" s="11">
        <v>381900500000</v>
      </c>
      <c r="AZ16" s="11">
        <v>133540347141</v>
      </c>
      <c r="BA16" s="11">
        <v>1014244363464</v>
      </c>
      <c r="BB16" s="13">
        <v>14496</v>
      </c>
      <c r="BC16" s="11">
        <v>405954515305</v>
      </c>
      <c r="BD16" s="11">
        <v>226389348159</v>
      </c>
      <c r="BE16" s="11">
        <v>381900500000</v>
      </c>
      <c r="BF16" s="11">
        <v>323413746032</v>
      </c>
      <c r="BG16" s="11">
        <v>30841029000</v>
      </c>
      <c r="BH16" s="11">
        <v>0</v>
      </c>
      <c r="BI16" s="11">
        <v>0</v>
      </c>
      <c r="BJ16" s="11">
        <v>0</v>
      </c>
      <c r="BK16" s="11">
        <v>0</v>
      </c>
      <c r="BL16" s="11">
        <v>0</v>
      </c>
      <c r="BM16" s="11">
        <v>0</v>
      </c>
    </row>
    <row r="17" spans="1:65" x14ac:dyDescent="0.25">
      <c r="A17" s="32"/>
      <c r="B17" s="10">
        <v>1114</v>
      </c>
      <c r="C17" s="10" t="s">
        <v>76</v>
      </c>
      <c r="D17" s="11">
        <v>721254435828</v>
      </c>
      <c r="E17" s="11">
        <v>1744400314</v>
      </c>
      <c r="F17" s="11">
        <v>0</v>
      </c>
      <c r="G17" s="11">
        <v>0</v>
      </c>
      <c r="H17" s="11">
        <v>722998836142</v>
      </c>
      <c r="I17" s="11">
        <v>61262955315</v>
      </c>
      <c r="J17" s="11">
        <v>661735880827</v>
      </c>
      <c r="K17" s="11">
        <v>562894733006</v>
      </c>
      <c r="L17" s="11">
        <v>160104103136</v>
      </c>
      <c r="M17" s="12">
        <v>28.44</v>
      </c>
      <c r="N17" s="11">
        <v>510113243851</v>
      </c>
      <c r="O17" s="12">
        <v>74.13</v>
      </c>
      <c r="P17" s="12">
        <v>77.09</v>
      </c>
      <c r="Q17" s="12">
        <v>0.86</v>
      </c>
      <c r="R17" s="11">
        <v>531003158515</v>
      </c>
      <c r="S17" s="11">
        <v>4989368560</v>
      </c>
      <c r="T17" s="11">
        <v>3684976388</v>
      </c>
      <c r="U17" s="11">
        <v>1105214017</v>
      </c>
      <c r="V17" s="11">
        <v>199178155</v>
      </c>
      <c r="W17" s="11">
        <v>535992527075</v>
      </c>
      <c r="X17" s="11">
        <v>40062577320</v>
      </c>
      <c r="Y17" s="11">
        <v>10481782862</v>
      </c>
      <c r="Z17" s="11">
        <v>586536887257</v>
      </c>
      <c r="AA17" s="11">
        <v>479931871027</v>
      </c>
      <c r="AB17" s="12">
        <v>11.68</v>
      </c>
      <c r="AC17" s="11">
        <v>191208756067</v>
      </c>
      <c r="AD17" s="11">
        <v>191208756067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2">
        <v>0</v>
      </c>
      <c r="AK17" s="11">
        <v>0</v>
      </c>
      <c r="AL17" s="12">
        <v>19</v>
      </c>
      <c r="AM17" s="11">
        <v>100254180000</v>
      </c>
      <c r="AN17" s="12">
        <v>5</v>
      </c>
      <c r="AO17" s="11">
        <v>3085000000</v>
      </c>
      <c r="AP17" s="11">
        <v>4989368560</v>
      </c>
      <c r="AQ17" s="11">
        <v>9481041524</v>
      </c>
      <c r="AR17" s="11">
        <v>-4491672964</v>
      </c>
      <c r="AS17" s="12">
        <v>-47.38</v>
      </c>
      <c r="AT17" s="11">
        <v>184493955860</v>
      </c>
      <c r="AU17" s="11">
        <v>50938713608</v>
      </c>
      <c r="AV17" s="11">
        <v>44211973417</v>
      </c>
      <c r="AW17" s="11">
        <v>227038497135</v>
      </c>
      <c r="AX17" s="11">
        <v>163593465276</v>
      </c>
      <c r="AY17" s="11">
        <v>286410500000</v>
      </c>
      <c r="AZ17" s="11">
        <v>52293655348</v>
      </c>
      <c r="BA17" s="11">
        <v>722998836142</v>
      </c>
      <c r="BB17" s="13">
        <v>121208</v>
      </c>
      <c r="BC17" s="11">
        <v>272994870866</v>
      </c>
      <c r="BD17" s="11">
        <v>163593465276</v>
      </c>
      <c r="BE17" s="11">
        <v>286410500000</v>
      </c>
      <c r="BF17" s="11">
        <v>116638845109</v>
      </c>
      <c r="BG17" s="11">
        <v>74569910958</v>
      </c>
      <c r="BH17" s="11">
        <v>0</v>
      </c>
      <c r="BI17" s="11">
        <v>0</v>
      </c>
      <c r="BJ17" s="11">
        <v>0</v>
      </c>
      <c r="BK17" s="11">
        <v>0</v>
      </c>
      <c r="BL17" s="11">
        <v>0</v>
      </c>
      <c r="BM17" s="11">
        <v>0</v>
      </c>
    </row>
    <row r="18" spans="1:65" x14ac:dyDescent="0.25">
      <c r="A18" s="32"/>
      <c r="B18" s="10">
        <v>1115</v>
      </c>
      <c r="C18" s="10" t="s">
        <v>77</v>
      </c>
      <c r="D18" s="11">
        <v>604087368116</v>
      </c>
      <c r="E18" s="11">
        <v>1401431347</v>
      </c>
      <c r="F18" s="11">
        <v>0</v>
      </c>
      <c r="G18" s="11">
        <v>0</v>
      </c>
      <c r="H18" s="11">
        <v>605488799463</v>
      </c>
      <c r="I18" s="11">
        <v>51880331337</v>
      </c>
      <c r="J18" s="11">
        <v>553608468126</v>
      </c>
      <c r="K18" s="11">
        <v>572416017598</v>
      </c>
      <c r="L18" s="11">
        <v>33072781865</v>
      </c>
      <c r="M18" s="12">
        <v>5.78</v>
      </c>
      <c r="N18" s="11">
        <v>711992893846</v>
      </c>
      <c r="O18" s="12">
        <v>113.03</v>
      </c>
      <c r="P18" s="12">
        <v>128.61000000000001</v>
      </c>
      <c r="Q18" s="12">
        <v>39.299999999999997</v>
      </c>
      <c r="R18" s="11">
        <v>447457138923</v>
      </c>
      <c r="S18" s="11">
        <v>236908407826</v>
      </c>
      <c r="T18" s="11">
        <v>3999694690</v>
      </c>
      <c r="U18" s="11">
        <v>1271998236</v>
      </c>
      <c r="V18" s="11">
        <v>231636714900</v>
      </c>
      <c r="W18" s="11">
        <v>684365546749</v>
      </c>
      <c r="X18" s="11">
        <v>212182269912</v>
      </c>
      <c r="Y18" s="11">
        <v>1955770467</v>
      </c>
      <c r="Z18" s="11">
        <v>898503587128</v>
      </c>
      <c r="AA18" s="11">
        <v>578210116294</v>
      </c>
      <c r="AB18" s="12">
        <v>18.36</v>
      </c>
      <c r="AC18" s="11">
        <v>196438244278</v>
      </c>
      <c r="AD18" s="11">
        <v>196438244278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2">
        <v>0</v>
      </c>
      <c r="AK18" s="11">
        <v>0</v>
      </c>
      <c r="AL18" s="12">
        <v>1</v>
      </c>
      <c r="AM18" s="11">
        <v>3100000000</v>
      </c>
      <c r="AN18" s="12">
        <v>2</v>
      </c>
      <c r="AO18" s="11">
        <v>4080000000</v>
      </c>
      <c r="AP18" s="11">
        <v>236908407826</v>
      </c>
      <c r="AQ18" s="11">
        <v>235131191505</v>
      </c>
      <c r="AR18" s="11">
        <v>1777216321</v>
      </c>
      <c r="AS18" s="12">
        <v>0.76</v>
      </c>
      <c r="AT18" s="11">
        <v>136670256175</v>
      </c>
      <c r="AU18" s="11">
        <v>21426035925</v>
      </c>
      <c r="AV18" s="11">
        <v>279023633140</v>
      </c>
      <c r="AW18" s="11">
        <v>36929492837</v>
      </c>
      <c r="AX18" s="11">
        <v>161644242139</v>
      </c>
      <c r="AY18" s="11">
        <v>126490000000</v>
      </c>
      <c r="AZ18" s="11">
        <v>121269430373</v>
      </c>
      <c r="BA18" s="11">
        <v>605488799463</v>
      </c>
      <c r="BB18" s="13">
        <v>51521</v>
      </c>
      <c r="BC18" s="11">
        <v>317354557324</v>
      </c>
      <c r="BD18" s="11">
        <v>161644242139</v>
      </c>
      <c r="BE18" s="11">
        <v>126490000000</v>
      </c>
      <c r="BF18" s="11">
        <v>150768244278</v>
      </c>
      <c r="BG18" s="11">
        <v>45670000000</v>
      </c>
      <c r="BH18" s="11">
        <v>0</v>
      </c>
      <c r="BI18" s="11">
        <v>0</v>
      </c>
      <c r="BJ18" s="11">
        <v>0</v>
      </c>
      <c r="BK18" s="11">
        <v>0</v>
      </c>
      <c r="BL18" s="11">
        <v>0</v>
      </c>
      <c r="BM18" s="11">
        <v>0</v>
      </c>
    </row>
    <row r="19" spans="1:65" x14ac:dyDescent="0.25">
      <c r="A19" s="32"/>
      <c r="B19" s="10">
        <v>1116</v>
      </c>
      <c r="C19" s="10" t="s">
        <v>78</v>
      </c>
      <c r="D19" s="11">
        <v>1226486022283</v>
      </c>
      <c r="E19" s="11">
        <v>82355030125</v>
      </c>
      <c r="F19" s="11">
        <v>0</v>
      </c>
      <c r="G19" s="11">
        <v>0</v>
      </c>
      <c r="H19" s="11">
        <v>1308841052408</v>
      </c>
      <c r="I19" s="11">
        <v>94503663683</v>
      </c>
      <c r="J19" s="11">
        <v>1214337388725</v>
      </c>
      <c r="K19" s="11">
        <v>1115018944066</v>
      </c>
      <c r="L19" s="11">
        <v>193822108342</v>
      </c>
      <c r="M19" s="12">
        <v>17.38</v>
      </c>
      <c r="N19" s="11">
        <v>874892230560</v>
      </c>
      <c r="O19" s="12">
        <v>75.48</v>
      </c>
      <c r="P19" s="12">
        <v>72.05</v>
      </c>
      <c r="Q19" s="12">
        <v>0.47</v>
      </c>
      <c r="R19" s="11">
        <v>983002522370</v>
      </c>
      <c r="S19" s="11">
        <v>4950609451</v>
      </c>
      <c r="T19" s="11">
        <v>4551493594</v>
      </c>
      <c r="U19" s="11">
        <v>399115857</v>
      </c>
      <c r="V19" s="11">
        <v>0</v>
      </c>
      <c r="W19" s="11">
        <v>987953131821</v>
      </c>
      <c r="X19" s="11">
        <v>61051574933</v>
      </c>
      <c r="Y19" s="11">
        <v>8928715143</v>
      </c>
      <c r="Z19" s="11">
        <v>1057933421897</v>
      </c>
      <c r="AA19" s="11">
        <v>811165600774</v>
      </c>
      <c r="AB19" s="12">
        <v>21.79</v>
      </c>
      <c r="AC19" s="11">
        <v>1129499399050</v>
      </c>
      <c r="AD19" s="11">
        <v>1129499399050</v>
      </c>
      <c r="AE19" s="11">
        <v>667633977254</v>
      </c>
      <c r="AF19" s="11">
        <v>0</v>
      </c>
      <c r="AG19" s="11">
        <v>0</v>
      </c>
      <c r="AH19" s="11">
        <v>0</v>
      </c>
      <c r="AI19" s="11">
        <v>0</v>
      </c>
      <c r="AJ19" s="12">
        <v>18</v>
      </c>
      <c r="AK19" s="11">
        <v>1426266746295</v>
      </c>
      <c r="AL19" s="12">
        <v>12</v>
      </c>
      <c r="AM19" s="11">
        <v>15904191240</v>
      </c>
      <c r="AN19" s="12">
        <v>4</v>
      </c>
      <c r="AO19" s="11">
        <v>80364000000</v>
      </c>
      <c r="AP19" s="11">
        <v>4950609451</v>
      </c>
      <c r="AQ19" s="11">
        <v>1993539775</v>
      </c>
      <c r="AR19" s="11">
        <v>2957069676</v>
      </c>
      <c r="AS19" s="12">
        <v>148.33000000000001</v>
      </c>
      <c r="AT19" s="11">
        <v>1167708646856</v>
      </c>
      <c r="AU19" s="11">
        <v>102207930746</v>
      </c>
      <c r="AV19" s="11">
        <v>360799448129</v>
      </c>
      <c r="AW19" s="11">
        <v>142947548246</v>
      </c>
      <c r="AX19" s="11">
        <v>337678025908</v>
      </c>
      <c r="AY19" s="11">
        <v>385061000000</v>
      </c>
      <c r="AZ19" s="11">
        <v>97090791111</v>
      </c>
      <c r="BA19" s="11">
        <v>1308841052408</v>
      </c>
      <c r="BB19" s="13">
        <v>17500</v>
      </c>
      <c r="BC19" s="11">
        <v>586102026500</v>
      </c>
      <c r="BD19" s="11">
        <v>337678025908</v>
      </c>
      <c r="BE19" s="11">
        <v>385061000000</v>
      </c>
      <c r="BF19" s="11">
        <v>328947630302</v>
      </c>
      <c r="BG19" s="11">
        <v>800551768748</v>
      </c>
      <c r="BH19" s="11">
        <v>15731768942</v>
      </c>
      <c r="BI19" s="11">
        <v>0</v>
      </c>
      <c r="BJ19" s="11">
        <v>728670661451</v>
      </c>
      <c r="BK19" s="11">
        <v>0</v>
      </c>
      <c r="BL19" s="11">
        <v>0</v>
      </c>
      <c r="BM19" s="11">
        <v>0</v>
      </c>
    </row>
    <row r="20" spans="1:65" x14ac:dyDescent="0.25">
      <c r="A20" s="32"/>
      <c r="B20" s="10">
        <v>1117</v>
      </c>
      <c r="C20" s="10" t="s">
        <v>79</v>
      </c>
      <c r="D20" s="11">
        <v>2070830382738</v>
      </c>
      <c r="E20" s="11">
        <v>118773539039</v>
      </c>
      <c r="F20" s="11">
        <v>0</v>
      </c>
      <c r="G20" s="11">
        <v>0</v>
      </c>
      <c r="H20" s="11">
        <v>2189603921777</v>
      </c>
      <c r="I20" s="11">
        <v>170313703073</v>
      </c>
      <c r="J20" s="11">
        <v>2019290218704</v>
      </c>
      <c r="K20" s="11">
        <v>1987111832275</v>
      </c>
      <c r="L20" s="11">
        <v>202492089502</v>
      </c>
      <c r="M20" s="12">
        <v>10.19</v>
      </c>
      <c r="N20" s="11">
        <v>2321780597075</v>
      </c>
      <c r="O20" s="12">
        <v>112.11</v>
      </c>
      <c r="P20" s="12">
        <v>114.98</v>
      </c>
      <c r="Q20" s="12">
        <v>2.34</v>
      </c>
      <c r="R20" s="11">
        <v>2402430801850</v>
      </c>
      <c r="S20" s="11">
        <v>52353577358</v>
      </c>
      <c r="T20" s="11">
        <v>42265895386</v>
      </c>
      <c r="U20" s="11">
        <v>3976775093</v>
      </c>
      <c r="V20" s="11">
        <v>6110906879</v>
      </c>
      <c r="W20" s="11">
        <v>2454784379208</v>
      </c>
      <c r="X20" s="11">
        <v>148949761327</v>
      </c>
      <c r="Y20" s="11">
        <v>19907395642</v>
      </c>
      <c r="Z20" s="11">
        <v>2623641536177</v>
      </c>
      <c r="AA20" s="11">
        <v>1798170523700</v>
      </c>
      <c r="AB20" s="12">
        <v>36.520000000000003</v>
      </c>
      <c r="AC20" s="11">
        <v>1807093122209</v>
      </c>
      <c r="AD20" s="11">
        <v>1807093122209</v>
      </c>
      <c r="AE20" s="11">
        <v>2921297500</v>
      </c>
      <c r="AF20" s="11">
        <v>0</v>
      </c>
      <c r="AG20" s="11">
        <v>0</v>
      </c>
      <c r="AH20" s="11">
        <v>0</v>
      </c>
      <c r="AI20" s="11">
        <v>0</v>
      </c>
      <c r="AJ20" s="12">
        <v>5</v>
      </c>
      <c r="AK20" s="11">
        <v>142395338084</v>
      </c>
      <c r="AL20" s="12">
        <v>32</v>
      </c>
      <c r="AM20" s="11">
        <v>438035055863</v>
      </c>
      <c r="AN20" s="12">
        <v>30</v>
      </c>
      <c r="AO20" s="11">
        <v>128065953753</v>
      </c>
      <c r="AP20" s="11">
        <v>52353577358</v>
      </c>
      <c r="AQ20" s="11">
        <v>40377006052</v>
      </c>
      <c r="AR20" s="11">
        <v>11976571306</v>
      </c>
      <c r="AS20" s="12">
        <v>29.66</v>
      </c>
      <c r="AT20" s="11">
        <v>1426014903918</v>
      </c>
      <c r="AU20" s="11">
        <v>163426698243</v>
      </c>
      <c r="AV20" s="11">
        <v>819075326158</v>
      </c>
      <c r="AW20" s="11">
        <v>278931232434</v>
      </c>
      <c r="AX20" s="11">
        <v>380255324146</v>
      </c>
      <c r="AY20" s="11">
        <v>592568500000</v>
      </c>
      <c r="AZ20" s="11">
        <v>208226627173</v>
      </c>
      <c r="BA20" s="11">
        <v>2189603921777</v>
      </c>
      <c r="BB20" s="13">
        <v>32877</v>
      </c>
      <c r="BC20" s="11">
        <v>1147147329062</v>
      </c>
      <c r="BD20" s="11">
        <v>380255324146</v>
      </c>
      <c r="BE20" s="11">
        <v>662201268569</v>
      </c>
      <c r="BF20" s="11">
        <v>744727184524</v>
      </c>
      <c r="BG20" s="11">
        <v>1062365937685</v>
      </c>
      <c r="BH20" s="11">
        <v>0</v>
      </c>
      <c r="BI20" s="11">
        <v>2921297500</v>
      </c>
      <c r="BJ20" s="11">
        <v>9879265363</v>
      </c>
      <c r="BK20" s="11">
        <v>0</v>
      </c>
      <c r="BL20" s="11">
        <v>0</v>
      </c>
      <c r="BM20" s="11">
        <v>0</v>
      </c>
    </row>
    <row r="21" spans="1:65" x14ac:dyDescent="0.25">
      <c r="A21" s="32"/>
      <c r="B21" s="10">
        <v>1118</v>
      </c>
      <c r="C21" s="10" t="s">
        <v>80</v>
      </c>
      <c r="D21" s="11">
        <v>764703994081</v>
      </c>
      <c r="E21" s="11">
        <v>608030453</v>
      </c>
      <c r="F21" s="11">
        <v>0</v>
      </c>
      <c r="G21" s="11">
        <v>0</v>
      </c>
      <c r="H21" s="11">
        <v>765312024534</v>
      </c>
      <c r="I21" s="11">
        <v>62968148850</v>
      </c>
      <c r="J21" s="11">
        <v>702343875684</v>
      </c>
      <c r="K21" s="11">
        <v>520745914708</v>
      </c>
      <c r="L21" s="11">
        <v>244566109826</v>
      </c>
      <c r="M21" s="12">
        <v>46.96</v>
      </c>
      <c r="N21" s="11">
        <v>531351105059</v>
      </c>
      <c r="O21" s="12">
        <v>70.13</v>
      </c>
      <c r="P21" s="12">
        <v>75.650000000000006</v>
      </c>
      <c r="Q21" s="12">
        <v>7.1</v>
      </c>
      <c r="R21" s="11">
        <v>497129771229</v>
      </c>
      <c r="S21" s="11">
        <v>39551413595</v>
      </c>
      <c r="T21" s="11">
        <v>8450426361</v>
      </c>
      <c r="U21" s="11">
        <v>2733165943</v>
      </c>
      <c r="V21" s="11">
        <v>28367821291</v>
      </c>
      <c r="W21" s="11">
        <v>536681184824</v>
      </c>
      <c r="X21" s="11">
        <v>45235335959</v>
      </c>
      <c r="Y21" s="11">
        <v>8046310000</v>
      </c>
      <c r="Z21" s="11">
        <v>589962830783</v>
      </c>
      <c r="AA21" s="11">
        <v>450424165808</v>
      </c>
      <c r="AB21" s="12">
        <v>19.149999999999999</v>
      </c>
      <c r="AC21" s="11">
        <v>200229067913</v>
      </c>
      <c r="AD21" s="11">
        <v>200229067913</v>
      </c>
      <c r="AE21" s="11">
        <v>0</v>
      </c>
      <c r="AF21" s="11">
        <v>0</v>
      </c>
      <c r="AG21" s="11">
        <v>1500000000</v>
      </c>
      <c r="AH21" s="11">
        <v>0</v>
      </c>
      <c r="AI21" s="11">
        <v>0</v>
      </c>
      <c r="AJ21" s="12">
        <v>0</v>
      </c>
      <c r="AK21" s="11">
        <v>0</v>
      </c>
      <c r="AL21" s="12">
        <v>0</v>
      </c>
      <c r="AM21" s="11">
        <v>0</v>
      </c>
      <c r="AN21" s="12">
        <v>0</v>
      </c>
      <c r="AO21" s="11">
        <v>0</v>
      </c>
      <c r="AP21" s="11">
        <v>39551413595</v>
      </c>
      <c r="AQ21" s="11">
        <v>39240893321</v>
      </c>
      <c r="AR21" s="11">
        <v>310520274</v>
      </c>
      <c r="AS21" s="12">
        <v>0.79</v>
      </c>
      <c r="AT21" s="11">
        <v>149464573562</v>
      </c>
      <c r="AU21" s="11">
        <v>58720450233</v>
      </c>
      <c r="AV21" s="11">
        <v>63900643042</v>
      </c>
      <c r="AW21" s="11">
        <v>204182672226</v>
      </c>
      <c r="AX21" s="11">
        <v>168889478813</v>
      </c>
      <c r="AY21" s="11">
        <v>327731200000</v>
      </c>
      <c r="AZ21" s="11">
        <v>57398956403</v>
      </c>
      <c r="BA21" s="11">
        <v>765312024534</v>
      </c>
      <c r="BB21" s="13">
        <v>17721</v>
      </c>
      <c r="BC21" s="11">
        <v>268691345721</v>
      </c>
      <c r="BD21" s="11">
        <v>168889478813</v>
      </c>
      <c r="BE21" s="11">
        <v>327731200000</v>
      </c>
      <c r="BF21" s="11">
        <v>188649295721</v>
      </c>
      <c r="BG21" s="11">
        <v>11579772192</v>
      </c>
      <c r="BH21" s="11">
        <v>0</v>
      </c>
      <c r="BI21" s="11">
        <v>0</v>
      </c>
      <c r="BJ21" s="11">
        <v>0</v>
      </c>
      <c r="BK21" s="11">
        <v>0</v>
      </c>
      <c r="BL21" s="11">
        <v>0</v>
      </c>
      <c r="BM21" s="11">
        <v>0</v>
      </c>
    </row>
    <row r="22" spans="1:65" x14ac:dyDescent="0.25">
      <c r="A22" s="32"/>
      <c r="B22" s="10">
        <v>1119</v>
      </c>
      <c r="C22" s="10" t="s">
        <v>81</v>
      </c>
      <c r="D22" s="11">
        <v>738825562878</v>
      </c>
      <c r="E22" s="11">
        <v>2296560164</v>
      </c>
      <c r="F22" s="11">
        <v>0</v>
      </c>
      <c r="G22" s="11">
        <v>0</v>
      </c>
      <c r="H22" s="11">
        <v>741122123042</v>
      </c>
      <c r="I22" s="11">
        <v>61393233752</v>
      </c>
      <c r="J22" s="11">
        <v>679728889290</v>
      </c>
      <c r="K22" s="11">
        <v>1109524906237</v>
      </c>
      <c r="L22" s="11">
        <v>-368402783195</v>
      </c>
      <c r="M22" s="12">
        <v>-33.200000000000003</v>
      </c>
      <c r="N22" s="11">
        <v>408209363199</v>
      </c>
      <c r="O22" s="12">
        <v>57.47</v>
      </c>
      <c r="P22" s="12">
        <v>60.05</v>
      </c>
      <c r="Q22" s="12">
        <v>2.2999999999999998</v>
      </c>
      <c r="R22" s="11">
        <v>415760522704</v>
      </c>
      <c r="S22" s="11">
        <v>10192958015</v>
      </c>
      <c r="T22" s="11">
        <v>5179323600</v>
      </c>
      <c r="U22" s="11">
        <v>4366153956</v>
      </c>
      <c r="V22" s="11">
        <v>647480459</v>
      </c>
      <c r="W22" s="11">
        <v>425953480719</v>
      </c>
      <c r="X22" s="11">
        <v>22528584232</v>
      </c>
      <c r="Y22" s="11">
        <v>8800000000</v>
      </c>
      <c r="Z22" s="11">
        <v>457282064951</v>
      </c>
      <c r="AA22" s="11">
        <v>345205423470</v>
      </c>
      <c r="AB22" s="12">
        <v>23.39</v>
      </c>
      <c r="AC22" s="11">
        <v>153019516738</v>
      </c>
      <c r="AD22" s="11">
        <v>153019516738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2">
        <v>0</v>
      </c>
      <c r="AK22" s="11">
        <v>0</v>
      </c>
      <c r="AL22" s="12">
        <v>2</v>
      </c>
      <c r="AM22" s="11">
        <v>2100000000</v>
      </c>
      <c r="AN22" s="12">
        <v>3</v>
      </c>
      <c r="AO22" s="11">
        <v>1025000000</v>
      </c>
      <c r="AP22" s="11">
        <v>10192958015</v>
      </c>
      <c r="AQ22" s="11">
        <v>4696679252</v>
      </c>
      <c r="AR22" s="11">
        <v>5496278763</v>
      </c>
      <c r="AS22" s="12">
        <v>117.02</v>
      </c>
      <c r="AT22" s="11">
        <v>102202360172</v>
      </c>
      <c r="AU22" s="11">
        <v>26824807371</v>
      </c>
      <c r="AV22" s="11">
        <v>71958493292</v>
      </c>
      <c r="AW22" s="11">
        <v>202121385250</v>
      </c>
      <c r="AX22" s="11">
        <v>168884984336</v>
      </c>
      <c r="AY22" s="11">
        <v>295860700000</v>
      </c>
      <c r="AZ22" s="11">
        <v>11962928969</v>
      </c>
      <c r="BA22" s="11">
        <v>741122123042</v>
      </c>
      <c r="BB22" s="13">
        <v>104525</v>
      </c>
      <c r="BC22" s="11">
        <v>276376438706</v>
      </c>
      <c r="BD22" s="11">
        <v>168884984336</v>
      </c>
      <c r="BE22" s="11">
        <v>295860700000</v>
      </c>
      <c r="BF22" s="11">
        <v>127680548000</v>
      </c>
      <c r="BG22" s="11">
        <v>25338968738</v>
      </c>
      <c r="BH22" s="11">
        <v>0</v>
      </c>
      <c r="BI22" s="11">
        <v>0</v>
      </c>
      <c r="BJ22" s="11">
        <v>0</v>
      </c>
      <c r="BK22" s="11">
        <v>0</v>
      </c>
      <c r="BL22" s="11">
        <v>0</v>
      </c>
      <c r="BM22" s="11">
        <v>0</v>
      </c>
    </row>
    <row r="23" spans="1:65" x14ac:dyDescent="0.25">
      <c r="A23" s="32"/>
      <c r="B23" s="10">
        <v>1120</v>
      </c>
      <c r="C23" s="10" t="s">
        <v>82</v>
      </c>
      <c r="D23" s="11">
        <v>1125881843755</v>
      </c>
      <c r="E23" s="11">
        <v>42743671672</v>
      </c>
      <c r="F23" s="11">
        <v>0</v>
      </c>
      <c r="G23" s="11">
        <v>0</v>
      </c>
      <c r="H23" s="11">
        <v>1168625515427</v>
      </c>
      <c r="I23" s="11">
        <v>95732472907</v>
      </c>
      <c r="J23" s="11">
        <v>1072893042520</v>
      </c>
      <c r="K23" s="11">
        <v>1017897218023</v>
      </c>
      <c r="L23" s="11">
        <v>150728297404</v>
      </c>
      <c r="M23" s="12">
        <v>14.81</v>
      </c>
      <c r="N23" s="11">
        <v>1259637599983</v>
      </c>
      <c r="O23" s="12">
        <v>132.9</v>
      </c>
      <c r="P23" s="12">
        <v>117.41</v>
      </c>
      <c r="Q23" s="12">
        <v>1.48</v>
      </c>
      <c r="R23" s="11">
        <v>1531533165219</v>
      </c>
      <c r="S23" s="11">
        <v>21547559728</v>
      </c>
      <c r="T23" s="11">
        <v>8120249912</v>
      </c>
      <c r="U23" s="11">
        <v>4051168107</v>
      </c>
      <c r="V23" s="11">
        <v>9376141709</v>
      </c>
      <c r="W23" s="11">
        <v>1553080724947</v>
      </c>
      <c r="X23" s="11">
        <v>49772373038</v>
      </c>
      <c r="Y23" s="11">
        <v>7953139980</v>
      </c>
      <c r="Z23" s="11">
        <v>1610806237965</v>
      </c>
      <c r="AA23" s="11">
        <v>1259884847922</v>
      </c>
      <c r="AB23" s="12">
        <v>23.27</v>
      </c>
      <c r="AC23" s="11">
        <v>678052285295</v>
      </c>
      <c r="AD23" s="11">
        <v>592159244200</v>
      </c>
      <c r="AE23" s="11">
        <v>72789994200</v>
      </c>
      <c r="AF23" s="11">
        <v>0</v>
      </c>
      <c r="AG23" s="11">
        <v>0</v>
      </c>
      <c r="AH23" s="11">
        <v>0</v>
      </c>
      <c r="AI23" s="11">
        <v>0</v>
      </c>
      <c r="AJ23" s="12">
        <v>9</v>
      </c>
      <c r="AK23" s="11">
        <v>140374752769</v>
      </c>
      <c r="AL23" s="12">
        <v>36</v>
      </c>
      <c r="AM23" s="11">
        <v>297140451175</v>
      </c>
      <c r="AN23" s="12">
        <v>18</v>
      </c>
      <c r="AO23" s="11">
        <v>57662585198</v>
      </c>
      <c r="AP23" s="11">
        <v>21547559728</v>
      </c>
      <c r="AQ23" s="11">
        <v>23032424408</v>
      </c>
      <c r="AR23" s="11">
        <v>-1484864680</v>
      </c>
      <c r="AS23" s="12">
        <v>-6.45</v>
      </c>
      <c r="AT23" s="11">
        <v>511165614938</v>
      </c>
      <c r="AU23" s="11">
        <v>68816237374</v>
      </c>
      <c r="AV23" s="11">
        <v>365329018174</v>
      </c>
      <c r="AW23" s="11">
        <v>99753844624</v>
      </c>
      <c r="AX23" s="11">
        <v>189432980957</v>
      </c>
      <c r="AY23" s="11">
        <v>471366000000</v>
      </c>
      <c r="AZ23" s="11">
        <v>92924781315</v>
      </c>
      <c r="BA23" s="11">
        <v>1168625515427</v>
      </c>
      <c r="BB23" s="13">
        <v>29906</v>
      </c>
      <c r="BC23" s="11">
        <v>507826534470</v>
      </c>
      <c r="BD23" s="11">
        <v>189432980957</v>
      </c>
      <c r="BE23" s="11">
        <v>471366000000</v>
      </c>
      <c r="BF23" s="11">
        <v>547582285295</v>
      </c>
      <c r="BG23" s="11">
        <v>130470000000</v>
      </c>
      <c r="BH23" s="11">
        <v>0</v>
      </c>
      <c r="BI23" s="11">
        <v>0</v>
      </c>
      <c r="BJ23" s="11">
        <v>81807748089</v>
      </c>
      <c r="BK23" s="11">
        <v>0</v>
      </c>
      <c r="BL23" s="11">
        <v>0</v>
      </c>
      <c r="BM23" s="11">
        <v>0</v>
      </c>
    </row>
    <row r="24" spans="1:65" x14ac:dyDescent="0.25">
      <c r="A24" s="32"/>
      <c r="B24" s="10">
        <v>1121</v>
      </c>
      <c r="C24" s="10" t="s">
        <v>83</v>
      </c>
      <c r="D24" s="11">
        <v>506544397352</v>
      </c>
      <c r="E24" s="11">
        <v>11052143147</v>
      </c>
      <c r="F24" s="11">
        <v>0</v>
      </c>
      <c r="G24" s="11">
        <v>0</v>
      </c>
      <c r="H24" s="11">
        <v>517596540499</v>
      </c>
      <c r="I24" s="11">
        <v>45334921821</v>
      </c>
      <c r="J24" s="11">
        <v>472261618678</v>
      </c>
      <c r="K24" s="11">
        <v>486359267880</v>
      </c>
      <c r="L24" s="11">
        <v>31237272619</v>
      </c>
      <c r="M24" s="12">
        <v>6.42</v>
      </c>
      <c r="N24" s="11">
        <v>603281605616</v>
      </c>
      <c r="O24" s="12">
        <v>126.6</v>
      </c>
      <c r="P24" s="12">
        <v>127.74</v>
      </c>
      <c r="Q24" s="12">
        <v>1.95</v>
      </c>
      <c r="R24" s="11">
        <v>641730848539</v>
      </c>
      <c r="S24" s="11">
        <v>13533638845</v>
      </c>
      <c r="T24" s="11">
        <v>11099649947</v>
      </c>
      <c r="U24" s="11">
        <v>2433988898</v>
      </c>
      <c r="V24" s="11">
        <v>0</v>
      </c>
      <c r="W24" s="11">
        <v>655264487384</v>
      </c>
      <c r="X24" s="11">
        <v>40931482734</v>
      </c>
      <c r="Y24" s="11">
        <v>8738700000</v>
      </c>
      <c r="Z24" s="11">
        <v>704934670118</v>
      </c>
      <c r="AA24" s="11">
        <v>605165749570</v>
      </c>
      <c r="AB24" s="12">
        <v>8.2799999999999994</v>
      </c>
      <c r="AC24" s="11">
        <v>390029541449</v>
      </c>
      <c r="AD24" s="11">
        <v>390029541449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2">
        <v>0</v>
      </c>
      <c r="AK24" s="11">
        <v>0</v>
      </c>
      <c r="AL24" s="12">
        <v>105</v>
      </c>
      <c r="AM24" s="11">
        <v>280335690631</v>
      </c>
      <c r="AN24" s="12">
        <v>16</v>
      </c>
      <c r="AO24" s="11">
        <v>48395563231</v>
      </c>
      <c r="AP24" s="11">
        <v>13533638845</v>
      </c>
      <c r="AQ24" s="11">
        <v>11198221311</v>
      </c>
      <c r="AR24" s="11">
        <v>2335417534</v>
      </c>
      <c r="AS24" s="12">
        <v>20.86</v>
      </c>
      <c r="AT24" s="11">
        <v>375914159258</v>
      </c>
      <c r="AU24" s="11">
        <v>147282485779</v>
      </c>
      <c r="AV24" s="11">
        <v>52977985174</v>
      </c>
      <c r="AW24" s="11">
        <v>139562911343</v>
      </c>
      <c r="AX24" s="11">
        <v>104744500835</v>
      </c>
      <c r="AY24" s="11">
        <v>209259000000</v>
      </c>
      <c r="AZ24" s="11">
        <v>95849175995</v>
      </c>
      <c r="BA24" s="11">
        <v>517596540499</v>
      </c>
      <c r="BB24" s="12">
        <v>478</v>
      </c>
      <c r="BC24" s="11">
        <v>203593039664</v>
      </c>
      <c r="BD24" s="11">
        <v>104744500835</v>
      </c>
      <c r="BE24" s="11">
        <v>209259000000</v>
      </c>
      <c r="BF24" s="11">
        <v>231964870041</v>
      </c>
      <c r="BG24" s="11">
        <v>158064671408</v>
      </c>
      <c r="BH24" s="11">
        <v>0</v>
      </c>
      <c r="BI24" s="11">
        <v>0</v>
      </c>
      <c r="BJ24" s="11">
        <v>0</v>
      </c>
      <c r="BK24" s="11">
        <v>0</v>
      </c>
      <c r="BL24" s="11">
        <v>0</v>
      </c>
      <c r="BM24" s="11">
        <v>0</v>
      </c>
    </row>
    <row r="25" spans="1:65" x14ac:dyDescent="0.25">
      <c r="A25" s="32"/>
      <c r="B25" s="10">
        <v>1199</v>
      </c>
      <c r="C25" s="10" t="s">
        <v>84</v>
      </c>
      <c r="D25" s="11">
        <v>0</v>
      </c>
      <c r="E25" s="11">
        <v>9733074529</v>
      </c>
      <c r="F25" s="11">
        <v>0</v>
      </c>
      <c r="G25" s="11">
        <v>0</v>
      </c>
      <c r="H25" s="11">
        <v>9733074529</v>
      </c>
      <c r="I25" s="11">
        <v>764493865</v>
      </c>
      <c r="J25" s="11">
        <v>8968580664</v>
      </c>
      <c r="K25" s="11">
        <v>8069946398</v>
      </c>
      <c r="L25" s="11">
        <v>1663128131</v>
      </c>
      <c r="M25" s="12">
        <v>20.61</v>
      </c>
      <c r="N25" s="11">
        <v>0</v>
      </c>
      <c r="O25" s="12">
        <v>0</v>
      </c>
      <c r="P25" s="12">
        <v>0</v>
      </c>
      <c r="Q25" s="12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2"/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2">
        <v>0</v>
      </c>
      <c r="AK25" s="11">
        <v>0</v>
      </c>
      <c r="AL25" s="12">
        <v>0</v>
      </c>
      <c r="AM25" s="11">
        <v>0</v>
      </c>
      <c r="AN25" s="12">
        <v>0</v>
      </c>
      <c r="AO25" s="11">
        <v>0</v>
      </c>
      <c r="AP25" s="11">
        <v>0</v>
      </c>
      <c r="AQ25" s="11">
        <v>0</v>
      </c>
      <c r="AR25" s="11">
        <v>0</v>
      </c>
      <c r="AS25" s="12"/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9733074529</v>
      </c>
      <c r="BB25" s="12">
        <v>0</v>
      </c>
      <c r="BC25" s="11">
        <v>9733074529</v>
      </c>
      <c r="BD25" s="11">
        <v>0</v>
      </c>
      <c r="BE25" s="11">
        <v>0</v>
      </c>
      <c r="BF25" s="11">
        <v>0</v>
      </c>
      <c r="BG25" s="11">
        <v>0</v>
      </c>
      <c r="BH25" s="11">
        <v>0</v>
      </c>
      <c r="BI25" s="11">
        <v>0</v>
      </c>
      <c r="BJ25" s="11">
        <v>0</v>
      </c>
      <c r="BK25" s="11">
        <v>0</v>
      </c>
      <c r="BL25" s="11">
        <v>0</v>
      </c>
      <c r="BM25" s="11">
        <v>0</v>
      </c>
    </row>
    <row r="26" spans="1:65" x14ac:dyDescent="0.25">
      <c r="A26" s="14" t="s">
        <v>590</v>
      </c>
      <c r="B26" s="15"/>
      <c r="C26" s="15"/>
      <c r="D26" s="16">
        <v>26474767926666</v>
      </c>
      <c r="E26" s="16">
        <v>693306984631</v>
      </c>
      <c r="F26" s="16">
        <v>83550000000</v>
      </c>
      <c r="G26" s="16">
        <v>829756610334</v>
      </c>
      <c r="H26" s="16">
        <v>28081381521631</v>
      </c>
      <c r="I26" s="16">
        <v>2212241532130</v>
      </c>
      <c r="J26" s="16">
        <v>25869139989501</v>
      </c>
      <c r="K26" s="16">
        <v>21143042895789</v>
      </c>
      <c r="L26" s="16">
        <v>6938338625842</v>
      </c>
      <c r="M26" s="17">
        <v>32.82</v>
      </c>
      <c r="N26" s="16">
        <v>23650313836497</v>
      </c>
      <c r="O26" s="17">
        <v>97.16</v>
      </c>
      <c r="P26" s="17">
        <v>91.42</v>
      </c>
      <c r="Q26" s="17">
        <v>8.2100000000000009</v>
      </c>
      <c r="R26" s="16">
        <v>25355494148989</v>
      </c>
      <c r="S26" s="16">
        <v>1928509545501</v>
      </c>
      <c r="T26" s="16">
        <v>410234142857</v>
      </c>
      <c r="U26" s="16">
        <v>110173609742</v>
      </c>
      <c r="V26" s="16">
        <v>1408101792902</v>
      </c>
      <c r="W26" s="16">
        <v>27284003694490</v>
      </c>
      <c r="X26" s="16">
        <v>2018461308993</v>
      </c>
      <c r="Y26" s="16">
        <v>251291457197</v>
      </c>
      <c r="Z26" s="16">
        <v>29553756460680</v>
      </c>
      <c r="AA26" s="16">
        <v>21976741980097</v>
      </c>
      <c r="AB26" s="17">
        <v>24.15</v>
      </c>
      <c r="AC26" s="16">
        <v>14240961235682</v>
      </c>
      <c r="AD26" s="16">
        <v>14084852369384</v>
      </c>
      <c r="AE26" s="16">
        <v>1989453447374</v>
      </c>
      <c r="AF26" s="16">
        <v>3092999892</v>
      </c>
      <c r="AG26" s="16">
        <v>1500000000</v>
      </c>
      <c r="AH26" s="16">
        <v>0</v>
      </c>
      <c r="AI26" s="16">
        <v>0</v>
      </c>
      <c r="AJ26" s="17">
        <v>37</v>
      </c>
      <c r="AK26" s="16">
        <v>2804166871448</v>
      </c>
      <c r="AL26" s="17">
        <v>593</v>
      </c>
      <c r="AM26" s="16">
        <v>2359464109227</v>
      </c>
      <c r="AN26" s="18">
        <f>SUM(AN3:AN25)</f>
        <v>275</v>
      </c>
      <c r="AO26" s="16">
        <f>SUM(AO3:AO25)</f>
        <v>1228108216173</v>
      </c>
      <c r="AP26" s="16">
        <v>1928509545501</v>
      </c>
      <c r="AQ26" s="16">
        <v>1428643225188</v>
      </c>
      <c r="AR26" s="16">
        <v>499866320313</v>
      </c>
      <c r="AS26" s="17">
        <v>34.99</v>
      </c>
      <c r="AT26" s="16">
        <v>12179871891002</v>
      </c>
      <c r="AU26" s="16">
        <v>2692743375186</v>
      </c>
      <c r="AV26" s="16">
        <v>4747331582607</v>
      </c>
      <c r="AW26" s="16">
        <v>5157171405056</v>
      </c>
      <c r="AX26" s="16">
        <v>6211409439003</v>
      </c>
      <c r="AY26" s="16">
        <v>10358855500000</v>
      </c>
      <c r="AZ26" s="16">
        <v>2958295871449</v>
      </c>
      <c r="BA26" s="16">
        <v>28081381521631</v>
      </c>
      <c r="BB26" s="18">
        <v>964395</v>
      </c>
      <c r="BC26" s="16">
        <v>11272910330683</v>
      </c>
      <c r="BD26" s="16">
        <v>6294959439003</v>
      </c>
      <c r="BE26" s="16">
        <v>10513511751945</v>
      </c>
      <c r="BF26" s="16">
        <v>9696764115730</v>
      </c>
      <c r="BG26" s="16">
        <v>4544197119952</v>
      </c>
      <c r="BH26" s="16">
        <v>22956078988</v>
      </c>
      <c r="BI26" s="16">
        <v>236606992790</v>
      </c>
      <c r="BJ26" s="16">
        <v>2474066330678</v>
      </c>
      <c r="BK26" s="16">
        <v>0</v>
      </c>
      <c r="BL26" s="16">
        <v>0</v>
      </c>
      <c r="BM26" s="16">
        <v>3092999892</v>
      </c>
    </row>
    <row r="27" spans="1:65" x14ac:dyDescent="0.25">
      <c r="A27" s="32" t="s">
        <v>85</v>
      </c>
      <c r="B27" s="10">
        <v>1200</v>
      </c>
      <c r="C27" s="10" t="s">
        <v>86</v>
      </c>
      <c r="D27" s="11">
        <v>1824865153411</v>
      </c>
      <c r="E27" s="11">
        <v>302486396333</v>
      </c>
      <c r="F27" s="11">
        <v>41100000000</v>
      </c>
      <c r="G27" s="11">
        <v>87546800</v>
      </c>
      <c r="H27" s="11">
        <v>2168539096544</v>
      </c>
      <c r="I27" s="11">
        <v>175925497003</v>
      </c>
      <c r="J27" s="11">
        <v>1992613599541</v>
      </c>
      <c r="K27" s="11">
        <v>2329580061473</v>
      </c>
      <c r="L27" s="11">
        <v>-161040964929</v>
      </c>
      <c r="M27" s="12">
        <v>-6.91</v>
      </c>
      <c r="N27" s="11">
        <v>5502906009057</v>
      </c>
      <c r="O27" s="12">
        <v>327.12</v>
      </c>
      <c r="P27" s="12">
        <v>276.17</v>
      </c>
      <c r="Q27" s="12">
        <v>1.05</v>
      </c>
      <c r="R27" s="11">
        <v>7015863398186</v>
      </c>
      <c r="S27" s="11">
        <v>77783653737</v>
      </c>
      <c r="T27" s="11">
        <v>62365793242</v>
      </c>
      <c r="U27" s="11">
        <v>10534843257</v>
      </c>
      <c r="V27" s="11">
        <v>4883017238</v>
      </c>
      <c r="W27" s="11">
        <v>7093647051923</v>
      </c>
      <c r="X27" s="11">
        <v>329977040551</v>
      </c>
      <c r="Y27" s="11">
        <v>38834207714</v>
      </c>
      <c r="Z27" s="11">
        <v>7462458300188</v>
      </c>
      <c r="AA27" s="11">
        <v>6294267054606</v>
      </c>
      <c r="AB27" s="12">
        <v>12.7</v>
      </c>
      <c r="AC27" s="11">
        <v>7837053989379</v>
      </c>
      <c r="AD27" s="11">
        <v>7671414596895</v>
      </c>
      <c r="AE27" s="11">
        <v>5950717838813</v>
      </c>
      <c r="AF27" s="11">
        <v>0</v>
      </c>
      <c r="AG27" s="11">
        <v>0</v>
      </c>
      <c r="AH27" s="11">
        <v>0</v>
      </c>
      <c r="AI27" s="11">
        <v>0</v>
      </c>
      <c r="AJ27" s="12">
        <v>28</v>
      </c>
      <c r="AK27" s="11">
        <v>9003773619125</v>
      </c>
      <c r="AL27" s="12">
        <v>13</v>
      </c>
      <c r="AM27" s="11">
        <v>24316179593</v>
      </c>
      <c r="AN27" s="12">
        <v>11</v>
      </c>
      <c r="AO27" s="11">
        <v>12983550070</v>
      </c>
      <c r="AP27" s="11">
        <v>77783653737</v>
      </c>
      <c r="AQ27" s="11">
        <v>16541005400</v>
      </c>
      <c r="AR27" s="11">
        <v>61242648337</v>
      </c>
      <c r="AS27" s="12">
        <v>370.25</v>
      </c>
      <c r="AT27" s="11">
        <v>8394133101279</v>
      </c>
      <c r="AU27" s="11">
        <v>2582477111855</v>
      </c>
      <c r="AV27" s="11">
        <v>434102589822</v>
      </c>
      <c r="AW27" s="11">
        <v>113815889984</v>
      </c>
      <c r="AX27" s="11">
        <v>705493973605</v>
      </c>
      <c r="AY27" s="11">
        <v>571452700000</v>
      </c>
      <c r="AZ27" s="11">
        <v>499526863150</v>
      </c>
      <c r="BA27" s="11">
        <v>2168539096544</v>
      </c>
      <c r="BB27" s="13">
        <v>101767</v>
      </c>
      <c r="BC27" s="11">
        <v>823405165904</v>
      </c>
      <c r="BD27" s="11">
        <v>746593973605</v>
      </c>
      <c r="BE27" s="11">
        <v>598539957035</v>
      </c>
      <c r="BF27" s="11">
        <v>7517583979145</v>
      </c>
      <c r="BG27" s="11">
        <v>319470010234</v>
      </c>
      <c r="BH27" s="11">
        <v>905620137878</v>
      </c>
      <c r="BI27" s="11">
        <v>0</v>
      </c>
      <c r="BJ27" s="11">
        <v>7091999509888</v>
      </c>
      <c r="BK27" s="11">
        <v>0</v>
      </c>
      <c r="BL27" s="11">
        <v>68578528</v>
      </c>
      <c r="BM27" s="11">
        <v>0</v>
      </c>
    </row>
    <row r="28" spans="1:65" x14ac:dyDescent="0.25">
      <c r="A28" s="32"/>
      <c r="B28" s="10">
        <v>1201</v>
      </c>
      <c r="C28" s="10" t="s">
        <v>87</v>
      </c>
      <c r="D28" s="11">
        <v>874279008153</v>
      </c>
      <c r="E28" s="11">
        <v>6182248242</v>
      </c>
      <c r="F28" s="11">
        <v>0</v>
      </c>
      <c r="G28" s="11">
        <v>0</v>
      </c>
      <c r="H28" s="11">
        <v>880461256395</v>
      </c>
      <c r="I28" s="11">
        <v>66627277036</v>
      </c>
      <c r="J28" s="11">
        <v>813833979359</v>
      </c>
      <c r="K28" s="11">
        <v>565262200465</v>
      </c>
      <c r="L28" s="11">
        <v>315199055930</v>
      </c>
      <c r="M28" s="12">
        <v>55.76</v>
      </c>
      <c r="N28" s="11">
        <v>1387205449293</v>
      </c>
      <c r="O28" s="12">
        <v>172.28</v>
      </c>
      <c r="P28" s="12">
        <v>170.45</v>
      </c>
      <c r="Q28" s="12">
        <v>1.81</v>
      </c>
      <c r="R28" s="11">
        <v>1492521429866</v>
      </c>
      <c r="S28" s="11">
        <v>24333485447</v>
      </c>
      <c r="T28" s="11">
        <v>20836721818</v>
      </c>
      <c r="U28" s="11">
        <v>677226289</v>
      </c>
      <c r="V28" s="11">
        <v>2819537340</v>
      </c>
      <c r="W28" s="11">
        <v>1516854915313</v>
      </c>
      <c r="X28" s="11">
        <v>90752037434</v>
      </c>
      <c r="Y28" s="11">
        <v>11673240000</v>
      </c>
      <c r="Z28" s="11">
        <v>1619280192747</v>
      </c>
      <c r="AA28" s="11">
        <v>1409380689703</v>
      </c>
      <c r="AB28" s="12">
        <v>7.63</v>
      </c>
      <c r="AC28" s="11">
        <v>539806715551</v>
      </c>
      <c r="AD28" s="11">
        <v>533686553361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2">
        <v>0</v>
      </c>
      <c r="AK28" s="11">
        <v>0</v>
      </c>
      <c r="AL28" s="12">
        <v>19</v>
      </c>
      <c r="AM28" s="11">
        <v>70641322000</v>
      </c>
      <c r="AN28" s="12">
        <v>2</v>
      </c>
      <c r="AO28" s="11">
        <v>3422813000</v>
      </c>
      <c r="AP28" s="11">
        <v>24333485447</v>
      </c>
      <c r="AQ28" s="11">
        <v>17096385973</v>
      </c>
      <c r="AR28" s="11">
        <v>7237099474</v>
      </c>
      <c r="AS28" s="12">
        <v>42.33</v>
      </c>
      <c r="AT28" s="11">
        <v>567273190004</v>
      </c>
      <c r="AU28" s="11">
        <v>187550343947</v>
      </c>
      <c r="AV28" s="11">
        <v>208596772881</v>
      </c>
      <c r="AW28" s="11">
        <v>83927349567</v>
      </c>
      <c r="AX28" s="11">
        <v>296946885705</v>
      </c>
      <c r="AY28" s="11">
        <v>284808000000</v>
      </c>
      <c r="AZ28" s="11">
        <v>172664843205</v>
      </c>
      <c r="BA28" s="11">
        <v>880461256395</v>
      </c>
      <c r="BB28" s="13">
        <v>49031</v>
      </c>
      <c r="BC28" s="11">
        <v>298706370690</v>
      </c>
      <c r="BD28" s="11">
        <v>296946885705</v>
      </c>
      <c r="BE28" s="11">
        <v>284808000000</v>
      </c>
      <c r="BF28" s="11">
        <v>419956770951</v>
      </c>
      <c r="BG28" s="11">
        <v>119849944600</v>
      </c>
      <c r="BH28" s="11">
        <v>0</v>
      </c>
      <c r="BI28" s="11">
        <v>0</v>
      </c>
      <c r="BJ28" s="11">
        <v>0</v>
      </c>
      <c r="BK28" s="11">
        <v>0</v>
      </c>
      <c r="BL28" s="11">
        <v>0</v>
      </c>
      <c r="BM28" s="11">
        <v>0</v>
      </c>
    </row>
    <row r="29" spans="1:65" x14ac:dyDescent="0.25">
      <c r="A29" s="32"/>
      <c r="B29" s="10">
        <v>1202</v>
      </c>
      <c r="C29" s="10" t="s">
        <v>88</v>
      </c>
      <c r="D29" s="11">
        <v>467004448607</v>
      </c>
      <c r="E29" s="11">
        <v>33112157567</v>
      </c>
      <c r="F29" s="11">
        <v>0</v>
      </c>
      <c r="G29" s="11">
        <v>0</v>
      </c>
      <c r="H29" s="11">
        <v>500116606174</v>
      </c>
      <c r="I29" s="11">
        <v>38883267799</v>
      </c>
      <c r="J29" s="11">
        <v>461233338375</v>
      </c>
      <c r="K29" s="11">
        <v>522282272580</v>
      </c>
      <c r="L29" s="11">
        <v>-22165666406</v>
      </c>
      <c r="M29" s="12">
        <v>-4.24</v>
      </c>
      <c r="N29" s="11">
        <v>790189032203</v>
      </c>
      <c r="O29" s="12">
        <v>185.82</v>
      </c>
      <c r="P29" s="12">
        <v>171.32</v>
      </c>
      <c r="Q29" s="12">
        <v>3.46</v>
      </c>
      <c r="R29" s="11">
        <v>896359438672</v>
      </c>
      <c r="S29" s="11">
        <v>32937893978</v>
      </c>
      <c r="T29" s="11">
        <v>32233712501</v>
      </c>
      <c r="U29" s="11">
        <v>679140068</v>
      </c>
      <c r="V29" s="11">
        <v>25041409</v>
      </c>
      <c r="W29" s="11">
        <v>929297332650</v>
      </c>
      <c r="X29" s="11">
        <v>27241571517</v>
      </c>
      <c r="Y29" s="11">
        <v>1326380000</v>
      </c>
      <c r="Z29" s="11">
        <v>957865284167</v>
      </c>
      <c r="AA29" s="11">
        <v>537876889627</v>
      </c>
      <c r="AB29" s="12">
        <v>72.77</v>
      </c>
      <c r="AC29" s="11">
        <v>949359697003</v>
      </c>
      <c r="AD29" s="11">
        <v>828322216871</v>
      </c>
      <c r="AE29" s="11">
        <v>353792843051</v>
      </c>
      <c r="AF29" s="11">
        <v>0</v>
      </c>
      <c r="AG29" s="11">
        <v>0</v>
      </c>
      <c r="AH29" s="11">
        <v>0</v>
      </c>
      <c r="AI29" s="11">
        <v>0</v>
      </c>
      <c r="AJ29" s="12">
        <v>9</v>
      </c>
      <c r="AK29" s="11">
        <v>834207268603</v>
      </c>
      <c r="AL29" s="12">
        <v>25</v>
      </c>
      <c r="AM29" s="11">
        <v>77557279640</v>
      </c>
      <c r="AN29" s="12">
        <v>3</v>
      </c>
      <c r="AO29" s="11">
        <v>33450000000</v>
      </c>
      <c r="AP29" s="11">
        <v>32937893978</v>
      </c>
      <c r="AQ29" s="11">
        <v>2068445096</v>
      </c>
      <c r="AR29" s="11">
        <v>30869448882</v>
      </c>
      <c r="AS29" s="12">
        <v>1492.4</v>
      </c>
      <c r="AT29" s="11">
        <v>515906849897</v>
      </c>
      <c r="AU29" s="11">
        <v>45767533601</v>
      </c>
      <c r="AV29" s="11">
        <v>196506455217</v>
      </c>
      <c r="AW29" s="11">
        <v>77337494797</v>
      </c>
      <c r="AX29" s="11">
        <v>115465498593</v>
      </c>
      <c r="AY29" s="11">
        <v>77695000000</v>
      </c>
      <c r="AZ29" s="11">
        <v>65536996040</v>
      </c>
      <c r="BA29" s="11">
        <v>500116606174</v>
      </c>
      <c r="BB29" s="13">
        <v>21560</v>
      </c>
      <c r="BC29" s="11">
        <v>306956107581</v>
      </c>
      <c r="BD29" s="11">
        <v>115465498593</v>
      </c>
      <c r="BE29" s="11">
        <v>77695000000</v>
      </c>
      <c r="BF29" s="11">
        <v>355197103991</v>
      </c>
      <c r="BG29" s="11">
        <v>594162593012</v>
      </c>
      <c r="BH29" s="11">
        <v>43811587642</v>
      </c>
      <c r="BI29" s="11">
        <v>0</v>
      </c>
      <c r="BJ29" s="11">
        <v>317680944745</v>
      </c>
      <c r="BK29" s="11">
        <v>0</v>
      </c>
      <c r="BL29" s="11">
        <v>0</v>
      </c>
      <c r="BM29" s="11">
        <v>0</v>
      </c>
    </row>
    <row r="30" spans="1:65" x14ac:dyDescent="0.25">
      <c r="A30" s="32"/>
      <c r="B30" s="10">
        <v>1203</v>
      </c>
      <c r="C30" s="10" t="s">
        <v>89</v>
      </c>
      <c r="D30" s="11">
        <v>1227222829525</v>
      </c>
      <c r="E30" s="11">
        <v>14050790384</v>
      </c>
      <c r="F30" s="11">
        <v>0</v>
      </c>
      <c r="G30" s="11">
        <v>0</v>
      </c>
      <c r="H30" s="11">
        <v>1241273619909</v>
      </c>
      <c r="I30" s="11">
        <v>102272136532</v>
      </c>
      <c r="J30" s="11">
        <v>1139001483377</v>
      </c>
      <c r="K30" s="11">
        <v>1052234356532</v>
      </c>
      <c r="L30" s="11">
        <v>189039263377</v>
      </c>
      <c r="M30" s="12">
        <v>17.97</v>
      </c>
      <c r="N30" s="11">
        <v>924799611125</v>
      </c>
      <c r="O30" s="12">
        <v>81.02</v>
      </c>
      <c r="P30" s="12">
        <v>81.19</v>
      </c>
      <c r="Q30" s="12">
        <v>4.28</v>
      </c>
      <c r="R30" s="11">
        <v>981895696959</v>
      </c>
      <c r="S30" s="11">
        <v>23820666869</v>
      </c>
      <c r="T30" s="11">
        <v>7995147848</v>
      </c>
      <c r="U30" s="11">
        <v>455631876</v>
      </c>
      <c r="V30" s="11">
        <v>15369887145</v>
      </c>
      <c r="W30" s="11">
        <v>1005716363828</v>
      </c>
      <c r="X30" s="11">
        <v>67478778892</v>
      </c>
      <c r="Y30" s="11">
        <v>0</v>
      </c>
      <c r="Z30" s="11">
        <v>1073195142720</v>
      </c>
      <c r="AA30" s="11">
        <v>693934210661</v>
      </c>
      <c r="AB30" s="12">
        <v>44.93</v>
      </c>
      <c r="AC30" s="11">
        <v>504357507574</v>
      </c>
      <c r="AD30" s="11">
        <v>496263507574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2">
        <v>0</v>
      </c>
      <c r="AK30" s="11">
        <v>0</v>
      </c>
      <c r="AL30" s="12">
        <v>37</v>
      </c>
      <c r="AM30" s="11">
        <v>146538333000</v>
      </c>
      <c r="AN30" s="12">
        <v>12</v>
      </c>
      <c r="AO30" s="11">
        <v>147284707218</v>
      </c>
      <c r="AP30" s="11">
        <v>23820666869</v>
      </c>
      <c r="AQ30" s="11">
        <v>21833472993</v>
      </c>
      <c r="AR30" s="11">
        <v>1987193876</v>
      </c>
      <c r="AS30" s="12">
        <v>9.1</v>
      </c>
      <c r="AT30" s="11">
        <v>278492455196</v>
      </c>
      <c r="AU30" s="11">
        <v>72141158714</v>
      </c>
      <c r="AV30" s="11">
        <v>121557175425</v>
      </c>
      <c r="AW30" s="11">
        <v>133711831298</v>
      </c>
      <c r="AX30" s="11">
        <v>310832522802</v>
      </c>
      <c r="AY30" s="11">
        <v>661121300000</v>
      </c>
      <c r="AZ30" s="11">
        <v>155585678727</v>
      </c>
      <c r="BA30" s="11">
        <v>1241273619909</v>
      </c>
      <c r="BB30" s="13">
        <v>209928</v>
      </c>
      <c r="BC30" s="11">
        <v>269319797107</v>
      </c>
      <c r="BD30" s="11">
        <v>310832522802</v>
      </c>
      <c r="BE30" s="11">
        <v>661121300000</v>
      </c>
      <c r="BF30" s="11">
        <v>327839061856</v>
      </c>
      <c r="BG30" s="11">
        <v>176518445718</v>
      </c>
      <c r="BH30" s="11">
        <v>0</v>
      </c>
      <c r="BI30" s="11">
        <v>0</v>
      </c>
      <c r="BJ30" s="11">
        <v>0</v>
      </c>
      <c r="BK30" s="11">
        <v>0</v>
      </c>
      <c r="BL30" s="11">
        <v>0</v>
      </c>
      <c r="BM30" s="11">
        <v>0</v>
      </c>
    </row>
    <row r="31" spans="1:65" x14ac:dyDescent="0.25">
      <c r="A31" s="32"/>
      <c r="B31" s="10">
        <v>1204</v>
      </c>
      <c r="C31" s="10" t="s">
        <v>90</v>
      </c>
      <c r="D31" s="11">
        <v>1156981015986</v>
      </c>
      <c r="E31" s="11">
        <v>20687803820</v>
      </c>
      <c r="F31" s="11">
        <v>0</v>
      </c>
      <c r="G31" s="11">
        <v>0</v>
      </c>
      <c r="H31" s="11">
        <v>1177668819806</v>
      </c>
      <c r="I31" s="11">
        <v>93610225849</v>
      </c>
      <c r="J31" s="11">
        <v>1084058593957</v>
      </c>
      <c r="K31" s="11">
        <v>1266536703518</v>
      </c>
      <c r="L31" s="11">
        <v>-88867883712</v>
      </c>
      <c r="M31" s="12">
        <v>-7.02</v>
      </c>
      <c r="N31" s="11">
        <v>1410435137478</v>
      </c>
      <c r="O31" s="12">
        <v>140.35</v>
      </c>
      <c r="P31" s="12">
        <v>130.11000000000001</v>
      </c>
      <c r="Q31" s="12">
        <v>4.1900000000000004</v>
      </c>
      <c r="R31" s="11">
        <v>1583290532990</v>
      </c>
      <c r="S31" s="11">
        <v>69571370385</v>
      </c>
      <c r="T31" s="11">
        <v>28318831037</v>
      </c>
      <c r="U31" s="11">
        <v>36838451854</v>
      </c>
      <c r="V31" s="11">
        <v>4414087494</v>
      </c>
      <c r="W31" s="11">
        <v>1652861903375</v>
      </c>
      <c r="X31" s="11">
        <v>37590437393</v>
      </c>
      <c r="Y31" s="11">
        <v>0</v>
      </c>
      <c r="Z31" s="11">
        <v>1690452340768</v>
      </c>
      <c r="AA31" s="11">
        <v>1320645147905</v>
      </c>
      <c r="AB31" s="12">
        <v>25.16</v>
      </c>
      <c r="AC31" s="11">
        <v>859917413200</v>
      </c>
      <c r="AD31" s="11">
        <v>614149335398</v>
      </c>
      <c r="AE31" s="11">
        <v>0</v>
      </c>
      <c r="AF31" s="11">
        <v>0</v>
      </c>
      <c r="AG31" s="11">
        <v>9342661573</v>
      </c>
      <c r="AH31" s="11">
        <v>0</v>
      </c>
      <c r="AI31" s="11">
        <v>0</v>
      </c>
      <c r="AJ31" s="12">
        <v>0</v>
      </c>
      <c r="AK31" s="11">
        <v>0</v>
      </c>
      <c r="AL31" s="12">
        <v>39</v>
      </c>
      <c r="AM31" s="11">
        <v>237924424513</v>
      </c>
      <c r="AN31" s="12">
        <v>38</v>
      </c>
      <c r="AO31" s="11">
        <v>27783448187</v>
      </c>
      <c r="AP31" s="11">
        <v>69571370385</v>
      </c>
      <c r="AQ31" s="11">
        <v>9095565935</v>
      </c>
      <c r="AR31" s="11">
        <v>60475804450</v>
      </c>
      <c r="AS31" s="12">
        <v>664.89</v>
      </c>
      <c r="AT31" s="11">
        <v>501271526897</v>
      </c>
      <c r="AU31" s="11">
        <v>179463536564</v>
      </c>
      <c r="AV31" s="11">
        <v>272429598853</v>
      </c>
      <c r="AW31" s="11">
        <v>173372795078</v>
      </c>
      <c r="AX31" s="11">
        <v>303093622055</v>
      </c>
      <c r="AY31" s="11">
        <v>408085000000</v>
      </c>
      <c r="AZ31" s="11">
        <v>227671721381</v>
      </c>
      <c r="BA31" s="11">
        <v>1177668819806</v>
      </c>
      <c r="BB31" s="13">
        <v>65564</v>
      </c>
      <c r="BC31" s="11">
        <v>466490197751</v>
      </c>
      <c r="BD31" s="11">
        <v>303093622055</v>
      </c>
      <c r="BE31" s="11">
        <v>408085000000</v>
      </c>
      <c r="BF31" s="11">
        <v>584222415945</v>
      </c>
      <c r="BG31" s="11">
        <v>275694997255</v>
      </c>
      <c r="BH31" s="11">
        <v>0</v>
      </c>
      <c r="BI31" s="11">
        <v>0</v>
      </c>
      <c r="BJ31" s="11">
        <v>0</v>
      </c>
      <c r="BK31" s="11">
        <v>0</v>
      </c>
      <c r="BL31" s="11">
        <v>0</v>
      </c>
      <c r="BM31" s="11">
        <v>0</v>
      </c>
    </row>
    <row r="32" spans="1:65" x14ac:dyDescent="0.25">
      <c r="A32" s="32"/>
      <c r="B32" s="10">
        <v>1205</v>
      </c>
      <c r="C32" s="10" t="s">
        <v>91</v>
      </c>
      <c r="D32" s="11">
        <v>779422760663</v>
      </c>
      <c r="E32" s="11">
        <v>4376460305</v>
      </c>
      <c r="F32" s="11">
        <v>0</v>
      </c>
      <c r="G32" s="11">
        <v>0</v>
      </c>
      <c r="H32" s="11">
        <v>783799220968</v>
      </c>
      <c r="I32" s="11">
        <v>62962087801</v>
      </c>
      <c r="J32" s="11">
        <v>720837133167</v>
      </c>
      <c r="K32" s="11">
        <v>910523580423</v>
      </c>
      <c r="L32" s="11">
        <v>-126724359455</v>
      </c>
      <c r="M32" s="12">
        <v>-13.92</v>
      </c>
      <c r="N32" s="11">
        <v>1139658907293</v>
      </c>
      <c r="O32" s="12">
        <v>151.9</v>
      </c>
      <c r="P32" s="12">
        <v>158.1</v>
      </c>
      <c r="Q32" s="12">
        <v>0.61</v>
      </c>
      <c r="R32" s="11">
        <v>1182660989362</v>
      </c>
      <c r="S32" s="11">
        <v>7945768170</v>
      </c>
      <c r="T32" s="11">
        <v>6217990024</v>
      </c>
      <c r="U32" s="11">
        <v>1727778146</v>
      </c>
      <c r="V32" s="11">
        <v>0</v>
      </c>
      <c r="W32" s="11">
        <v>1190606757532</v>
      </c>
      <c r="X32" s="11">
        <v>107419026489</v>
      </c>
      <c r="Y32" s="11">
        <v>4200000000</v>
      </c>
      <c r="Z32" s="11">
        <v>1302225784021</v>
      </c>
      <c r="AA32" s="11">
        <v>986253810831</v>
      </c>
      <c r="AB32" s="12">
        <v>20.72</v>
      </c>
      <c r="AC32" s="11">
        <v>480246002068</v>
      </c>
      <c r="AD32" s="11">
        <v>480246002068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2">
        <v>0</v>
      </c>
      <c r="AK32" s="11">
        <v>0</v>
      </c>
      <c r="AL32" s="12">
        <v>0</v>
      </c>
      <c r="AM32" s="11">
        <v>0</v>
      </c>
      <c r="AN32" s="12">
        <v>0</v>
      </c>
      <c r="AO32" s="11">
        <v>0</v>
      </c>
      <c r="AP32" s="11">
        <v>7945768170</v>
      </c>
      <c r="AQ32" s="11">
        <v>8352830342</v>
      </c>
      <c r="AR32" s="11">
        <v>-407062172</v>
      </c>
      <c r="AS32" s="12">
        <v>-4.87</v>
      </c>
      <c r="AT32" s="11">
        <v>403722623537</v>
      </c>
      <c r="AU32" s="11">
        <v>223013366675</v>
      </c>
      <c r="AV32" s="11">
        <v>97217369710</v>
      </c>
      <c r="AW32" s="11">
        <v>59603157184</v>
      </c>
      <c r="AX32" s="11">
        <v>309849633769</v>
      </c>
      <c r="AY32" s="11">
        <v>312752600000</v>
      </c>
      <c r="AZ32" s="11">
        <v>192834018219</v>
      </c>
      <c r="BA32" s="11">
        <v>783799220968</v>
      </c>
      <c r="BB32" s="13">
        <v>24970</v>
      </c>
      <c r="BC32" s="11">
        <v>161196987199</v>
      </c>
      <c r="BD32" s="11">
        <v>309849633769</v>
      </c>
      <c r="BE32" s="11">
        <v>312752600000</v>
      </c>
      <c r="BF32" s="11">
        <v>397006002068</v>
      </c>
      <c r="BG32" s="11">
        <v>83240000000</v>
      </c>
      <c r="BH32" s="11">
        <v>0</v>
      </c>
      <c r="BI32" s="11">
        <v>0</v>
      </c>
      <c r="BJ32" s="11">
        <v>0</v>
      </c>
      <c r="BK32" s="11">
        <v>0</v>
      </c>
      <c r="BL32" s="11">
        <v>0</v>
      </c>
      <c r="BM32" s="11">
        <v>0</v>
      </c>
    </row>
    <row r="33" spans="1:65" x14ac:dyDescent="0.25">
      <c r="A33" s="32"/>
      <c r="B33" s="10">
        <v>1206</v>
      </c>
      <c r="C33" s="10" t="s">
        <v>92</v>
      </c>
      <c r="D33" s="11">
        <v>592333842944</v>
      </c>
      <c r="E33" s="11">
        <v>4006187932</v>
      </c>
      <c r="F33" s="11">
        <v>0</v>
      </c>
      <c r="G33" s="11">
        <v>0</v>
      </c>
      <c r="H33" s="11">
        <v>596340030876</v>
      </c>
      <c r="I33" s="11">
        <v>49099054205</v>
      </c>
      <c r="J33" s="11">
        <v>547240976671</v>
      </c>
      <c r="K33" s="11">
        <v>570426728193</v>
      </c>
      <c r="L33" s="11">
        <v>25913302683</v>
      </c>
      <c r="M33" s="12">
        <v>4.54</v>
      </c>
      <c r="N33" s="11">
        <v>776731944180</v>
      </c>
      <c r="O33" s="12">
        <v>139.02000000000001</v>
      </c>
      <c r="P33" s="12">
        <v>141.94</v>
      </c>
      <c r="Q33" s="12">
        <v>2.0499999999999998</v>
      </c>
      <c r="R33" s="11">
        <v>810543672326</v>
      </c>
      <c r="S33" s="11">
        <v>18471308070</v>
      </c>
      <c r="T33" s="11">
        <v>16201116750</v>
      </c>
      <c r="U33" s="11">
        <v>2241490117</v>
      </c>
      <c r="V33" s="11">
        <v>28701203</v>
      </c>
      <c r="W33" s="11">
        <v>829014980396</v>
      </c>
      <c r="X33" s="11">
        <v>73691286454</v>
      </c>
      <c r="Y33" s="11">
        <v>12299992671</v>
      </c>
      <c r="Z33" s="11">
        <v>915006259521</v>
      </c>
      <c r="AA33" s="11">
        <v>687569892778</v>
      </c>
      <c r="AB33" s="12">
        <v>20.57</v>
      </c>
      <c r="AC33" s="11">
        <v>352008311945</v>
      </c>
      <c r="AD33" s="11">
        <v>290192894089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2">
        <v>0</v>
      </c>
      <c r="AK33" s="11">
        <v>0</v>
      </c>
      <c r="AL33" s="12">
        <v>2</v>
      </c>
      <c r="AM33" s="11">
        <v>19859000000</v>
      </c>
      <c r="AN33" s="12">
        <v>6</v>
      </c>
      <c r="AO33" s="11">
        <v>35112875451</v>
      </c>
      <c r="AP33" s="11">
        <v>18471308070</v>
      </c>
      <c r="AQ33" s="11">
        <v>9077310603</v>
      </c>
      <c r="AR33" s="11">
        <v>9393997467</v>
      </c>
      <c r="AS33" s="12">
        <v>103.49</v>
      </c>
      <c r="AT33" s="11">
        <v>250414701225</v>
      </c>
      <c r="AU33" s="11">
        <v>75182152374</v>
      </c>
      <c r="AV33" s="11">
        <v>109867549945</v>
      </c>
      <c r="AW33" s="11">
        <v>118784606492</v>
      </c>
      <c r="AX33" s="11">
        <v>221217186507</v>
      </c>
      <c r="AY33" s="11">
        <v>142464500000</v>
      </c>
      <c r="AZ33" s="11">
        <v>172482121824</v>
      </c>
      <c r="BA33" s="11">
        <v>596340030876</v>
      </c>
      <c r="BB33" s="13">
        <v>25742</v>
      </c>
      <c r="BC33" s="11">
        <v>232658344369</v>
      </c>
      <c r="BD33" s="11">
        <v>221217186507</v>
      </c>
      <c r="BE33" s="11">
        <v>142464500000</v>
      </c>
      <c r="BF33" s="11">
        <v>183665828661</v>
      </c>
      <c r="BG33" s="11">
        <v>168342483284</v>
      </c>
      <c r="BH33" s="11">
        <v>0</v>
      </c>
      <c r="BI33" s="11">
        <v>0</v>
      </c>
      <c r="BJ33" s="11">
        <v>0</v>
      </c>
      <c r="BK33" s="11">
        <v>0</v>
      </c>
      <c r="BL33" s="11">
        <v>0</v>
      </c>
      <c r="BM33" s="11">
        <v>0</v>
      </c>
    </row>
    <row r="34" spans="1:65" x14ac:dyDescent="0.25">
      <c r="A34" s="32"/>
      <c r="B34" s="10">
        <v>1207</v>
      </c>
      <c r="C34" s="10" t="s">
        <v>93</v>
      </c>
      <c r="D34" s="11">
        <v>740983857663</v>
      </c>
      <c r="E34" s="11">
        <v>2990505240</v>
      </c>
      <c r="F34" s="11">
        <v>0</v>
      </c>
      <c r="G34" s="11">
        <v>0</v>
      </c>
      <c r="H34" s="11">
        <v>743974362903</v>
      </c>
      <c r="I34" s="11">
        <v>65183767161</v>
      </c>
      <c r="J34" s="11">
        <v>678790595742</v>
      </c>
      <c r="K34" s="11">
        <v>750395292097</v>
      </c>
      <c r="L34" s="11">
        <v>-6420929194</v>
      </c>
      <c r="M34" s="12">
        <v>-0.86</v>
      </c>
      <c r="N34" s="11">
        <v>684997779837</v>
      </c>
      <c r="O34" s="12">
        <v>94.06</v>
      </c>
      <c r="P34" s="12">
        <v>100.91</v>
      </c>
      <c r="Q34" s="12">
        <v>3.02</v>
      </c>
      <c r="R34" s="11">
        <v>679112902266</v>
      </c>
      <c r="S34" s="11">
        <v>20685661630</v>
      </c>
      <c r="T34" s="11">
        <v>11771700470</v>
      </c>
      <c r="U34" s="11">
        <v>6667902378</v>
      </c>
      <c r="V34" s="11">
        <v>2246058782</v>
      </c>
      <c r="W34" s="11">
        <v>699798563896</v>
      </c>
      <c r="X34" s="11">
        <v>90387879808</v>
      </c>
      <c r="Y34" s="11">
        <v>24852431625</v>
      </c>
      <c r="Z34" s="11">
        <v>815038875329</v>
      </c>
      <c r="AA34" s="11">
        <v>549603694932</v>
      </c>
      <c r="AB34" s="12">
        <v>27.33</v>
      </c>
      <c r="AC34" s="11">
        <v>322474465933</v>
      </c>
      <c r="AD34" s="11">
        <v>322474465933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2">
        <v>0</v>
      </c>
      <c r="AK34" s="11">
        <v>0</v>
      </c>
      <c r="AL34" s="12">
        <v>7</v>
      </c>
      <c r="AM34" s="11">
        <v>43353700000</v>
      </c>
      <c r="AN34" s="12">
        <v>1</v>
      </c>
      <c r="AO34" s="11">
        <v>2040250000</v>
      </c>
      <c r="AP34" s="11">
        <v>20685661630</v>
      </c>
      <c r="AQ34" s="11">
        <v>16240526414</v>
      </c>
      <c r="AR34" s="11">
        <v>4445135216</v>
      </c>
      <c r="AS34" s="12">
        <v>27.37</v>
      </c>
      <c r="AT34" s="11">
        <v>209105133022</v>
      </c>
      <c r="AU34" s="11">
        <v>72417394954</v>
      </c>
      <c r="AV34" s="11">
        <v>143067869423</v>
      </c>
      <c r="AW34" s="11">
        <v>87842689055</v>
      </c>
      <c r="AX34" s="11">
        <v>179219299185</v>
      </c>
      <c r="AY34" s="11">
        <v>330854000000</v>
      </c>
      <c r="AZ34" s="11">
        <v>96152806573</v>
      </c>
      <c r="BA34" s="11">
        <v>743974362903</v>
      </c>
      <c r="BB34" s="13">
        <v>120292</v>
      </c>
      <c r="BC34" s="11">
        <v>233901063718</v>
      </c>
      <c r="BD34" s="11">
        <v>179219299185</v>
      </c>
      <c r="BE34" s="11">
        <v>330854000000</v>
      </c>
      <c r="BF34" s="11">
        <v>235023057933</v>
      </c>
      <c r="BG34" s="11">
        <v>87451408000</v>
      </c>
      <c r="BH34" s="11">
        <v>0</v>
      </c>
      <c r="BI34" s="11">
        <v>0</v>
      </c>
      <c r="BJ34" s="11">
        <v>0</v>
      </c>
      <c r="BK34" s="11">
        <v>0</v>
      </c>
      <c r="BL34" s="11">
        <v>0</v>
      </c>
      <c r="BM34" s="11">
        <v>0</v>
      </c>
    </row>
    <row r="35" spans="1:65" x14ac:dyDescent="0.25">
      <c r="A35" s="32"/>
      <c r="B35" s="10">
        <v>1208</v>
      </c>
      <c r="C35" s="10" t="s">
        <v>94</v>
      </c>
      <c r="D35" s="11">
        <v>807182353520</v>
      </c>
      <c r="E35" s="11">
        <v>3244068288</v>
      </c>
      <c r="F35" s="11">
        <v>0</v>
      </c>
      <c r="G35" s="11">
        <v>0</v>
      </c>
      <c r="H35" s="11">
        <v>810426421808</v>
      </c>
      <c r="I35" s="11">
        <v>64039154432</v>
      </c>
      <c r="J35" s="11">
        <v>746387267376</v>
      </c>
      <c r="K35" s="11">
        <v>622554718886</v>
      </c>
      <c r="L35" s="11">
        <v>187871702922</v>
      </c>
      <c r="M35" s="12">
        <v>30.18</v>
      </c>
      <c r="N35" s="11">
        <v>674869919412</v>
      </c>
      <c r="O35" s="12">
        <v>93.76</v>
      </c>
      <c r="P35" s="12">
        <v>90.42</v>
      </c>
      <c r="Q35" s="12">
        <v>0.72</v>
      </c>
      <c r="R35" s="11">
        <v>754126780171</v>
      </c>
      <c r="S35" s="11">
        <v>5735591305</v>
      </c>
      <c r="T35" s="11">
        <v>5709922382</v>
      </c>
      <c r="U35" s="11">
        <v>25668923</v>
      </c>
      <c r="V35" s="11">
        <v>0</v>
      </c>
      <c r="W35" s="11">
        <v>759862371476</v>
      </c>
      <c r="X35" s="11">
        <v>30953950016</v>
      </c>
      <c r="Y35" s="11">
        <v>5136125000</v>
      </c>
      <c r="Z35" s="11">
        <v>795952446492</v>
      </c>
      <c r="AA35" s="11">
        <v>636154591390</v>
      </c>
      <c r="AB35" s="12">
        <v>19.45</v>
      </c>
      <c r="AC35" s="11">
        <v>325780181175</v>
      </c>
      <c r="AD35" s="11">
        <v>310510755971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2">
        <v>0</v>
      </c>
      <c r="AK35" s="11">
        <v>0</v>
      </c>
      <c r="AL35" s="12">
        <v>21</v>
      </c>
      <c r="AM35" s="11">
        <v>94656577250</v>
      </c>
      <c r="AN35" s="12">
        <v>16</v>
      </c>
      <c r="AO35" s="11">
        <v>4431253578</v>
      </c>
      <c r="AP35" s="11">
        <v>5735591305</v>
      </c>
      <c r="AQ35" s="11">
        <v>3653833630</v>
      </c>
      <c r="AR35" s="11">
        <v>2081757675</v>
      </c>
      <c r="AS35" s="12">
        <v>56.97</v>
      </c>
      <c r="AT35" s="11">
        <v>248319424934</v>
      </c>
      <c r="AU35" s="11">
        <v>47038527399</v>
      </c>
      <c r="AV35" s="11">
        <v>70061901490</v>
      </c>
      <c r="AW35" s="11">
        <v>69865775608</v>
      </c>
      <c r="AX35" s="11">
        <v>223786676422</v>
      </c>
      <c r="AY35" s="11">
        <v>443468000000</v>
      </c>
      <c r="AZ35" s="11">
        <v>163552881745</v>
      </c>
      <c r="BA35" s="11">
        <v>810426421808</v>
      </c>
      <c r="BB35" s="13">
        <v>53546</v>
      </c>
      <c r="BC35" s="11">
        <v>143171745386</v>
      </c>
      <c r="BD35" s="11">
        <v>223786676422</v>
      </c>
      <c r="BE35" s="11">
        <v>443468000000</v>
      </c>
      <c r="BF35" s="11">
        <v>243910474598</v>
      </c>
      <c r="BG35" s="11">
        <v>81869706577</v>
      </c>
      <c r="BH35" s="11">
        <v>0</v>
      </c>
      <c r="BI35" s="11">
        <v>0</v>
      </c>
      <c r="BJ35" s="11">
        <v>0</v>
      </c>
      <c r="BK35" s="11">
        <v>0</v>
      </c>
      <c r="BL35" s="11">
        <v>0</v>
      </c>
      <c r="BM35" s="11">
        <v>0</v>
      </c>
    </row>
    <row r="36" spans="1:65" x14ac:dyDescent="0.25">
      <c r="A36" s="32"/>
      <c r="B36" s="10">
        <v>1209</v>
      </c>
      <c r="C36" s="10" t="s">
        <v>95</v>
      </c>
      <c r="D36" s="11">
        <v>560778052056</v>
      </c>
      <c r="E36" s="11">
        <v>14087038642</v>
      </c>
      <c r="F36" s="11">
        <v>0</v>
      </c>
      <c r="G36" s="11">
        <v>0</v>
      </c>
      <c r="H36" s="11">
        <v>574865090698</v>
      </c>
      <c r="I36" s="11">
        <v>44830157253</v>
      </c>
      <c r="J36" s="11">
        <v>530034933445</v>
      </c>
      <c r="K36" s="11">
        <v>428939569861</v>
      </c>
      <c r="L36" s="11">
        <v>145925520837</v>
      </c>
      <c r="M36" s="12">
        <v>34.020000000000003</v>
      </c>
      <c r="N36" s="11">
        <v>601054959721</v>
      </c>
      <c r="O36" s="12">
        <v>109.37</v>
      </c>
      <c r="P36" s="12">
        <v>113.4</v>
      </c>
      <c r="Q36" s="12">
        <v>1.61</v>
      </c>
      <c r="R36" s="11">
        <v>618622742346</v>
      </c>
      <c r="S36" s="11">
        <v>10102294348</v>
      </c>
      <c r="T36" s="11">
        <v>6666190935</v>
      </c>
      <c r="U36" s="11">
        <v>3023751613</v>
      </c>
      <c r="V36" s="11">
        <v>412351800</v>
      </c>
      <c r="W36" s="11">
        <v>628725036694</v>
      </c>
      <c r="X36" s="11">
        <v>4842465053</v>
      </c>
      <c r="Y36" s="11">
        <v>0</v>
      </c>
      <c r="Z36" s="11">
        <v>633567501747</v>
      </c>
      <c r="AA36" s="11">
        <v>441170795254</v>
      </c>
      <c r="AB36" s="12">
        <v>42.51</v>
      </c>
      <c r="AC36" s="11">
        <v>265620000000</v>
      </c>
      <c r="AD36" s="11">
        <v>265620000000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2">
        <v>0</v>
      </c>
      <c r="AK36" s="11">
        <v>0</v>
      </c>
      <c r="AL36" s="12">
        <v>4</v>
      </c>
      <c r="AM36" s="11">
        <v>113881213933</v>
      </c>
      <c r="AN36" s="12">
        <v>0</v>
      </c>
      <c r="AO36" s="11">
        <v>0</v>
      </c>
      <c r="AP36" s="11">
        <v>10102294348</v>
      </c>
      <c r="AQ36" s="11">
        <v>6029197915</v>
      </c>
      <c r="AR36" s="11">
        <v>4073096433</v>
      </c>
      <c r="AS36" s="12">
        <v>67.56</v>
      </c>
      <c r="AT36" s="11">
        <v>114370195171</v>
      </c>
      <c r="AU36" s="11">
        <v>30362234641</v>
      </c>
      <c r="AV36" s="11">
        <v>60410532868</v>
      </c>
      <c r="AW36" s="11">
        <v>116330330883</v>
      </c>
      <c r="AX36" s="11">
        <v>175294688305</v>
      </c>
      <c r="AY36" s="11">
        <v>208742500000</v>
      </c>
      <c r="AZ36" s="11">
        <v>86940323652</v>
      </c>
      <c r="BA36" s="11">
        <v>574865090698</v>
      </c>
      <c r="BB36" s="13">
        <v>10324</v>
      </c>
      <c r="BC36" s="11">
        <v>190827902393</v>
      </c>
      <c r="BD36" s="11">
        <v>175294688305</v>
      </c>
      <c r="BE36" s="11">
        <v>208742500000</v>
      </c>
      <c r="BF36" s="11">
        <v>223020000000</v>
      </c>
      <c r="BG36" s="11">
        <v>42600000000</v>
      </c>
      <c r="BH36" s="11">
        <v>0</v>
      </c>
      <c r="BI36" s="11">
        <v>0</v>
      </c>
      <c r="BJ36" s="11">
        <v>0</v>
      </c>
      <c r="BK36" s="11">
        <v>0</v>
      </c>
      <c r="BL36" s="11">
        <v>0</v>
      </c>
      <c r="BM36" s="11">
        <v>0</v>
      </c>
    </row>
    <row r="37" spans="1:65" x14ac:dyDescent="0.25">
      <c r="A37" s="32"/>
      <c r="B37" s="10">
        <v>1210</v>
      </c>
      <c r="C37" s="10" t="s">
        <v>96</v>
      </c>
      <c r="D37" s="11">
        <v>1377513577543</v>
      </c>
      <c r="E37" s="11">
        <v>46900724062</v>
      </c>
      <c r="F37" s="11">
        <v>0</v>
      </c>
      <c r="G37" s="11">
        <v>0</v>
      </c>
      <c r="H37" s="11">
        <v>1424414301605</v>
      </c>
      <c r="I37" s="11">
        <v>104916661113</v>
      </c>
      <c r="J37" s="11">
        <v>1319497640492</v>
      </c>
      <c r="K37" s="11">
        <v>1357263293080</v>
      </c>
      <c r="L37" s="11">
        <v>67151008525</v>
      </c>
      <c r="M37" s="12">
        <v>4.95</v>
      </c>
      <c r="N37" s="11">
        <v>2085571489546</v>
      </c>
      <c r="O37" s="12">
        <v>149.77000000000001</v>
      </c>
      <c r="P37" s="12">
        <v>158.06</v>
      </c>
      <c r="Q37" s="12">
        <v>3.16</v>
      </c>
      <c r="R37" s="11">
        <v>2063306176688</v>
      </c>
      <c r="S37" s="11">
        <v>70037235876</v>
      </c>
      <c r="T37" s="11">
        <v>45647547320</v>
      </c>
      <c r="U37" s="11">
        <v>21980330655</v>
      </c>
      <c r="V37" s="11">
        <v>2409357901</v>
      </c>
      <c r="W37" s="11">
        <v>2133343412564</v>
      </c>
      <c r="X37" s="11">
        <v>100788984234</v>
      </c>
      <c r="Y37" s="11">
        <v>5004890000</v>
      </c>
      <c r="Z37" s="11">
        <v>2239137286798</v>
      </c>
      <c r="AA37" s="11">
        <v>1560205610551</v>
      </c>
      <c r="AB37" s="12">
        <v>36.729999999999997</v>
      </c>
      <c r="AC37" s="11">
        <v>1206897664475</v>
      </c>
      <c r="AD37" s="11">
        <v>1206897664475</v>
      </c>
      <c r="AE37" s="11">
        <v>179839250522</v>
      </c>
      <c r="AF37" s="11">
        <v>1530206872</v>
      </c>
      <c r="AG37" s="11">
        <v>0</v>
      </c>
      <c r="AH37" s="11">
        <v>0</v>
      </c>
      <c r="AI37" s="11">
        <v>0</v>
      </c>
      <c r="AJ37" s="12">
        <v>12</v>
      </c>
      <c r="AK37" s="11">
        <v>514923676965</v>
      </c>
      <c r="AL37" s="12">
        <v>36</v>
      </c>
      <c r="AM37" s="11">
        <v>88080395397</v>
      </c>
      <c r="AN37" s="12">
        <v>12</v>
      </c>
      <c r="AO37" s="11">
        <v>75770229385</v>
      </c>
      <c r="AP37" s="11">
        <v>70037235876</v>
      </c>
      <c r="AQ37" s="11">
        <v>5846114776</v>
      </c>
      <c r="AR37" s="11">
        <v>64191121100</v>
      </c>
      <c r="AS37" s="12">
        <v>1098.01</v>
      </c>
      <c r="AT37" s="11">
        <v>769803276839</v>
      </c>
      <c r="AU37" s="11">
        <v>150951648336</v>
      </c>
      <c r="AV37" s="11">
        <v>358508496593</v>
      </c>
      <c r="AW37" s="11">
        <v>378152876021</v>
      </c>
      <c r="AX37" s="11">
        <v>493876204929</v>
      </c>
      <c r="AY37" s="11">
        <v>146976000000</v>
      </c>
      <c r="AZ37" s="11">
        <v>440115732775</v>
      </c>
      <c r="BA37" s="11">
        <v>1424414301605</v>
      </c>
      <c r="BB37" s="13">
        <v>9714</v>
      </c>
      <c r="BC37" s="11">
        <v>783562096676</v>
      </c>
      <c r="BD37" s="11">
        <v>493876204929</v>
      </c>
      <c r="BE37" s="11">
        <v>146976000000</v>
      </c>
      <c r="BF37" s="11">
        <v>827749327081</v>
      </c>
      <c r="BG37" s="11">
        <v>379148337394</v>
      </c>
      <c r="BH37" s="11">
        <v>0</v>
      </c>
      <c r="BI37" s="11">
        <v>0</v>
      </c>
      <c r="BJ37" s="11">
        <v>316045408933</v>
      </c>
      <c r="BK37" s="11">
        <v>0</v>
      </c>
      <c r="BL37" s="11">
        <v>0</v>
      </c>
      <c r="BM37" s="11">
        <v>1530206872</v>
      </c>
    </row>
    <row r="38" spans="1:65" x14ac:dyDescent="0.25">
      <c r="A38" s="32"/>
      <c r="B38" s="10">
        <v>1211</v>
      </c>
      <c r="C38" s="10" t="s">
        <v>97</v>
      </c>
      <c r="D38" s="11">
        <v>681800879262</v>
      </c>
      <c r="E38" s="11">
        <v>82546384928</v>
      </c>
      <c r="F38" s="11">
        <v>0</v>
      </c>
      <c r="G38" s="11">
        <v>0</v>
      </c>
      <c r="H38" s="11">
        <v>764347264190</v>
      </c>
      <c r="I38" s="11">
        <v>54271355704</v>
      </c>
      <c r="J38" s="11">
        <v>710075908486</v>
      </c>
      <c r="K38" s="11">
        <v>559682346374</v>
      </c>
      <c r="L38" s="11">
        <v>204664917816</v>
      </c>
      <c r="M38" s="12">
        <v>36.57</v>
      </c>
      <c r="N38" s="11">
        <v>1295151490413</v>
      </c>
      <c r="O38" s="12">
        <v>175</v>
      </c>
      <c r="P38" s="12">
        <v>182.4</v>
      </c>
      <c r="Q38" s="12">
        <v>2.2000000000000002</v>
      </c>
      <c r="R38" s="11">
        <v>1307976389192</v>
      </c>
      <c r="S38" s="11">
        <v>29631682197</v>
      </c>
      <c r="T38" s="11">
        <v>21528088966</v>
      </c>
      <c r="U38" s="11">
        <v>5031338993</v>
      </c>
      <c r="V38" s="11">
        <v>3072254238</v>
      </c>
      <c r="W38" s="11">
        <v>1337608071389</v>
      </c>
      <c r="X38" s="11">
        <v>67932413698</v>
      </c>
      <c r="Y38" s="11">
        <v>10846260000</v>
      </c>
      <c r="Z38" s="11">
        <v>1416386745087</v>
      </c>
      <c r="AA38" s="11">
        <v>612603109975</v>
      </c>
      <c r="AB38" s="12">
        <v>118.35</v>
      </c>
      <c r="AC38" s="11">
        <v>1072115695168</v>
      </c>
      <c r="AD38" s="11">
        <v>1072115695168</v>
      </c>
      <c r="AE38" s="11">
        <v>503768434916</v>
      </c>
      <c r="AF38" s="11">
        <v>0</v>
      </c>
      <c r="AG38" s="11">
        <v>0</v>
      </c>
      <c r="AH38" s="11">
        <v>0</v>
      </c>
      <c r="AI38" s="11">
        <v>0</v>
      </c>
      <c r="AJ38" s="12">
        <v>6</v>
      </c>
      <c r="AK38" s="11">
        <v>1437011625000</v>
      </c>
      <c r="AL38" s="12">
        <v>14</v>
      </c>
      <c r="AM38" s="11">
        <v>1110452319849</v>
      </c>
      <c r="AN38" s="12">
        <v>11</v>
      </c>
      <c r="AO38" s="11">
        <v>396390318682</v>
      </c>
      <c r="AP38" s="11">
        <v>29631682197</v>
      </c>
      <c r="AQ38" s="11">
        <v>23730583368</v>
      </c>
      <c r="AR38" s="11">
        <v>5901098829</v>
      </c>
      <c r="AS38" s="12">
        <v>24.87</v>
      </c>
      <c r="AT38" s="11">
        <v>430110810444</v>
      </c>
      <c r="AU38" s="11">
        <v>67820479046</v>
      </c>
      <c r="AV38" s="11">
        <v>168486072359</v>
      </c>
      <c r="AW38" s="11">
        <v>33973401913</v>
      </c>
      <c r="AX38" s="11">
        <v>213584404990</v>
      </c>
      <c r="AY38" s="11">
        <v>265757000000</v>
      </c>
      <c r="AZ38" s="11">
        <v>159256691525</v>
      </c>
      <c r="BA38" s="11">
        <v>764347264190</v>
      </c>
      <c r="BB38" s="13">
        <v>59372</v>
      </c>
      <c r="BC38" s="11">
        <v>285005859200</v>
      </c>
      <c r="BD38" s="11">
        <v>213584404990</v>
      </c>
      <c r="BE38" s="11">
        <v>265757000000</v>
      </c>
      <c r="BF38" s="11">
        <v>146614545077</v>
      </c>
      <c r="BG38" s="11">
        <v>925501150091</v>
      </c>
      <c r="BH38" s="11">
        <v>300020813396</v>
      </c>
      <c r="BI38" s="11">
        <v>1</v>
      </c>
      <c r="BJ38" s="11">
        <v>212296978564</v>
      </c>
      <c r="BK38" s="11">
        <v>0</v>
      </c>
      <c r="BL38" s="11">
        <v>0</v>
      </c>
      <c r="BM38" s="11">
        <v>0</v>
      </c>
    </row>
    <row r="39" spans="1:65" x14ac:dyDescent="0.25">
      <c r="A39" s="32"/>
      <c r="B39" s="10">
        <v>1212</v>
      </c>
      <c r="C39" s="10" t="s">
        <v>98</v>
      </c>
      <c r="D39" s="11">
        <v>803590041204</v>
      </c>
      <c r="E39" s="11">
        <v>190401636303</v>
      </c>
      <c r="F39" s="11">
        <v>0</v>
      </c>
      <c r="G39" s="11">
        <v>0</v>
      </c>
      <c r="H39" s="11">
        <v>993991677507</v>
      </c>
      <c r="I39" s="11">
        <v>87116544063</v>
      </c>
      <c r="J39" s="11">
        <v>906875133444</v>
      </c>
      <c r="K39" s="11">
        <v>1001381877454</v>
      </c>
      <c r="L39" s="11">
        <v>-7390199947</v>
      </c>
      <c r="M39" s="12">
        <v>-0.74</v>
      </c>
      <c r="N39" s="11">
        <v>1046827492413</v>
      </c>
      <c r="O39" s="12">
        <v>105.57</v>
      </c>
      <c r="P39" s="12">
        <v>115.43</v>
      </c>
      <c r="Q39" s="12">
        <v>0.39</v>
      </c>
      <c r="R39" s="11">
        <v>1045250418003</v>
      </c>
      <c r="S39" s="11">
        <v>4110262703</v>
      </c>
      <c r="T39" s="11">
        <v>2834814563</v>
      </c>
      <c r="U39" s="11">
        <v>663359246</v>
      </c>
      <c r="V39" s="11">
        <v>612088894</v>
      </c>
      <c r="W39" s="11">
        <v>1049360680706</v>
      </c>
      <c r="X39" s="11">
        <v>42335652223</v>
      </c>
      <c r="Y39" s="11">
        <v>1360000000</v>
      </c>
      <c r="Z39" s="11">
        <v>1093056332929</v>
      </c>
      <c r="AA39" s="11">
        <v>701853349214</v>
      </c>
      <c r="AB39" s="12">
        <v>49.51</v>
      </c>
      <c r="AC39" s="11">
        <v>2397622372014</v>
      </c>
      <c r="AD39" s="11">
        <v>2397622372014</v>
      </c>
      <c r="AE39" s="11">
        <v>2096624608040</v>
      </c>
      <c r="AF39" s="11">
        <v>0</v>
      </c>
      <c r="AG39" s="11">
        <v>0</v>
      </c>
      <c r="AH39" s="11">
        <v>0</v>
      </c>
      <c r="AI39" s="11">
        <v>0</v>
      </c>
      <c r="AJ39" s="12">
        <v>12</v>
      </c>
      <c r="AK39" s="11">
        <v>1708565911074</v>
      </c>
      <c r="AL39" s="12">
        <v>147</v>
      </c>
      <c r="AM39" s="11">
        <v>2522657878757</v>
      </c>
      <c r="AN39" s="12">
        <v>99</v>
      </c>
      <c r="AO39" s="11">
        <v>620360487152</v>
      </c>
      <c r="AP39" s="11">
        <v>4110262703</v>
      </c>
      <c r="AQ39" s="11">
        <v>7660753016</v>
      </c>
      <c r="AR39" s="11">
        <v>-3550490313</v>
      </c>
      <c r="AS39" s="12">
        <v>-46.35</v>
      </c>
      <c r="AT39" s="11">
        <v>2080568037193</v>
      </c>
      <c r="AU39" s="11">
        <v>185108725700</v>
      </c>
      <c r="AV39" s="11">
        <v>90669467129</v>
      </c>
      <c r="AW39" s="11">
        <v>18730465363</v>
      </c>
      <c r="AX39" s="11">
        <v>218504808712</v>
      </c>
      <c r="AY39" s="11">
        <v>475685300000</v>
      </c>
      <c r="AZ39" s="11">
        <v>144297140426</v>
      </c>
      <c r="BA39" s="11">
        <v>993991677507</v>
      </c>
      <c r="BB39" s="13">
        <v>42103</v>
      </c>
      <c r="BC39" s="11">
        <v>299801568795</v>
      </c>
      <c r="BD39" s="11">
        <v>218504808712</v>
      </c>
      <c r="BE39" s="11">
        <v>475685300000</v>
      </c>
      <c r="BF39" s="11">
        <v>268697763974</v>
      </c>
      <c r="BG39" s="11">
        <v>2128924608040</v>
      </c>
      <c r="BH39" s="11">
        <v>610753769191</v>
      </c>
      <c r="BI39" s="11">
        <v>0</v>
      </c>
      <c r="BJ39" s="11">
        <v>1866810758778</v>
      </c>
      <c r="BK39" s="11">
        <v>0</v>
      </c>
      <c r="BL39" s="11">
        <v>0</v>
      </c>
      <c r="BM39" s="11">
        <v>0</v>
      </c>
    </row>
    <row r="40" spans="1:65" x14ac:dyDescent="0.25">
      <c r="A40" s="32"/>
      <c r="B40" s="10">
        <v>1213</v>
      </c>
      <c r="C40" s="10" t="s">
        <v>99</v>
      </c>
      <c r="D40" s="11">
        <v>570088455276</v>
      </c>
      <c r="E40" s="11">
        <v>84906026649</v>
      </c>
      <c r="F40" s="11">
        <v>0</v>
      </c>
      <c r="G40" s="11">
        <v>0</v>
      </c>
      <c r="H40" s="11">
        <v>654994481925</v>
      </c>
      <c r="I40" s="11">
        <v>50980159787</v>
      </c>
      <c r="J40" s="11">
        <v>604014322138</v>
      </c>
      <c r="K40" s="11">
        <v>269304641264</v>
      </c>
      <c r="L40" s="11">
        <v>385689840661</v>
      </c>
      <c r="M40" s="12">
        <v>143.22</v>
      </c>
      <c r="N40" s="11">
        <v>1751866274911</v>
      </c>
      <c r="O40" s="12">
        <v>265.14</v>
      </c>
      <c r="P40" s="12">
        <v>290.04000000000002</v>
      </c>
      <c r="Q40" s="12">
        <v>0.21</v>
      </c>
      <c r="R40" s="11">
        <v>1733178944393</v>
      </c>
      <c r="S40" s="11">
        <v>3441848984</v>
      </c>
      <c r="T40" s="11">
        <v>3216176006</v>
      </c>
      <c r="U40" s="11">
        <v>0</v>
      </c>
      <c r="V40" s="11">
        <v>225672978</v>
      </c>
      <c r="W40" s="11">
        <v>1736620793377</v>
      </c>
      <c r="X40" s="11">
        <v>88798403018</v>
      </c>
      <c r="Y40" s="11">
        <v>2000000000</v>
      </c>
      <c r="Z40" s="11">
        <v>1827419196395</v>
      </c>
      <c r="AA40" s="11">
        <v>685685817228</v>
      </c>
      <c r="AB40" s="12">
        <v>153.27000000000001</v>
      </c>
      <c r="AC40" s="11">
        <v>1807259661160</v>
      </c>
      <c r="AD40" s="11">
        <v>1807259661160</v>
      </c>
      <c r="AE40" s="11">
        <v>388329721200</v>
      </c>
      <c r="AF40" s="11">
        <v>0</v>
      </c>
      <c r="AG40" s="11">
        <v>0</v>
      </c>
      <c r="AH40" s="11">
        <v>0</v>
      </c>
      <c r="AI40" s="11">
        <v>0</v>
      </c>
      <c r="AJ40" s="12">
        <v>2</v>
      </c>
      <c r="AK40" s="11">
        <v>315280416000</v>
      </c>
      <c r="AL40" s="12">
        <v>5</v>
      </c>
      <c r="AM40" s="11">
        <v>54181500000</v>
      </c>
      <c r="AN40" s="12">
        <v>2</v>
      </c>
      <c r="AO40" s="11">
        <v>6842605097</v>
      </c>
      <c r="AP40" s="11">
        <v>3441848984</v>
      </c>
      <c r="AQ40" s="11">
        <v>1687315904</v>
      </c>
      <c r="AR40" s="11">
        <v>1754533080</v>
      </c>
      <c r="AS40" s="12">
        <v>103.98</v>
      </c>
      <c r="AT40" s="11">
        <v>789324912162</v>
      </c>
      <c r="AU40" s="11">
        <v>43277588022</v>
      </c>
      <c r="AV40" s="11">
        <v>340822281198</v>
      </c>
      <c r="AW40" s="11">
        <v>30771542419</v>
      </c>
      <c r="AX40" s="11">
        <v>94951731659</v>
      </c>
      <c r="AY40" s="11">
        <v>103542900000</v>
      </c>
      <c r="AZ40" s="11">
        <v>38707942126</v>
      </c>
      <c r="BA40" s="11">
        <v>654994481925</v>
      </c>
      <c r="BB40" s="13">
        <v>26525</v>
      </c>
      <c r="BC40" s="11">
        <v>456499850266</v>
      </c>
      <c r="BD40" s="11">
        <v>94951731659</v>
      </c>
      <c r="BE40" s="11">
        <v>103542900000</v>
      </c>
      <c r="BF40" s="11">
        <v>159517355956</v>
      </c>
      <c r="BG40" s="11">
        <v>1647742305204</v>
      </c>
      <c r="BH40" s="11">
        <v>41847625600</v>
      </c>
      <c r="BI40" s="11">
        <v>0</v>
      </c>
      <c r="BJ40" s="11">
        <v>405934045799</v>
      </c>
      <c r="BK40" s="11">
        <v>0</v>
      </c>
      <c r="BL40" s="11">
        <v>0</v>
      </c>
      <c r="BM40" s="11">
        <v>0</v>
      </c>
    </row>
    <row r="41" spans="1:65" x14ac:dyDescent="0.25">
      <c r="A41" s="32"/>
      <c r="B41" s="10">
        <v>1299</v>
      </c>
      <c r="C41" s="10" t="s">
        <v>100</v>
      </c>
      <c r="D41" s="11">
        <v>0</v>
      </c>
      <c r="E41" s="11">
        <v>678329146</v>
      </c>
      <c r="F41" s="11">
        <v>0</v>
      </c>
      <c r="G41" s="11">
        <v>0</v>
      </c>
      <c r="H41" s="11">
        <v>678329146</v>
      </c>
      <c r="I41" s="11">
        <v>53510075</v>
      </c>
      <c r="J41" s="11">
        <v>624819071</v>
      </c>
      <c r="K41" s="11">
        <v>492743646</v>
      </c>
      <c r="L41" s="11">
        <v>185585500</v>
      </c>
      <c r="M41" s="12">
        <v>37.659999999999997</v>
      </c>
      <c r="N41" s="11">
        <v>0</v>
      </c>
      <c r="O41" s="12">
        <v>0</v>
      </c>
      <c r="P41" s="12">
        <v>0</v>
      </c>
      <c r="Q41" s="12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2"/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2">
        <v>0</v>
      </c>
      <c r="AK41" s="11">
        <v>0</v>
      </c>
      <c r="AL41" s="12">
        <v>0</v>
      </c>
      <c r="AM41" s="11">
        <v>0</v>
      </c>
      <c r="AN41" s="12">
        <v>0</v>
      </c>
      <c r="AO41" s="11">
        <v>0</v>
      </c>
      <c r="AP41" s="11">
        <v>0</v>
      </c>
      <c r="AQ41" s="11">
        <v>0</v>
      </c>
      <c r="AR41" s="11">
        <v>0</v>
      </c>
      <c r="AS41" s="12"/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678329146</v>
      </c>
      <c r="BB41" s="12">
        <v>0</v>
      </c>
      <c r="BC41" s="11">
        <v>678329146</v>
      </c>
      <c r="BD41" s="11">
        <v>0</v>
      </c>
      <c r="BE41" s="11">
        <v>0</v>
      </c>
      <c r="BF41" s="11">
        <v>0</v>
      </c>
      <c r="BG41" s="11">
        <v>0</v>
      </c>
      <c r="BH41" s="11">
        <v>0</v>
      </c>
      <c r="BI41" s="11">
        <v>0</v>
      </c>
      <c r="BJ41" s="11">
        <v>0</v>
      </c>
      <c r="BK41" s="11">
        <v>0</v>
      </c>
      <c r="BL41" s="11">
        <v>0</v>
      </c>
      <c r="BM41" s="11">
        <v>0</v>
      </c>
    </row>
    <row r="42" spans="1:65" x14ac:dyDescent="0.25">
      <c r="A42" s="14" t="s">
        <v>591</v>
      </c>
      <c r="B42" s="15"/>
      <c r="C42" s="15"/>
      <c r="D42" s="16">
        <v>12464046275813</v>
      </c>
      <c r="E42" s="16">
        <v>810656757841</v>
      </c>
      <c r="F42" s="16">
        <v>41100000000</v>
      </c>
      <c r="G42" s="16">
        <v>87546800</v>
      </c>
      <c r="H42" s="16">
        <v>13315890580454</v>
      </c>
      <c r="I42" s="16">
        <v>1060770855813</v>
      </c>
      <c r="J42" s="16">
        <v>12255119724641</v>
      </c>
      <c r="K42" s="16">
        <v>12206860385846</v>
      </c>
      <c r="L42" s="16">
        <v>1109030194608</v>
      </c>
      <c r="M42" s="17">
        <v>9.09</v>
      </c>
      <c r="N42" s="16">
        <v>20072265496882</v>
      </c>
      <c r="O42" s="17">
        <v>169.45</v>
      </c>
      <c r="P42" s="17">
        <v>163.79</v>
      </c>
      <c r="Q42" s="17">
        <v>1.83</v>
      </c>
      <c r="R42" s="16">
        <v>22164709511420</v>
      </c>
      <c r="S42" s="16">
        <v>398608723699</v>
      </c>
      <c r="T42" s="16">
        <v>271543753862</v>
      </c>
      <c r="U42" s="16">
        <v>90546913415</v>
      </c>
      <c r="V42" s="16">
        <v>36518056422</v>
      </c>
      <c r="W42" s="16">
        <v>22563318235119</v>
      </c>
      <c r="X42" s="16">
        <v>1160189926780</v>
      </c>
      <c r="Y42" s="16">
        <v>117533527010</v>
      </c>
      <c r="Z42" s="16">
        <v>23841041688909</v>
      </c>
      <c r="AA42" s="16">
        <v>17117204664655</v>
      </c>
      <c r="AB42" s="17">
        <v>31.82</v>
      </c>
      <c r="AC42" s="16">
        <v>18920519676645</v>
      </c>
      <c r="AD42" s="16">
        <v>18296775720977</v>
      </c>
      <c r="AE42" s="16">
        <v>9473072696542</v>
      </c>
      <c r="AF42" s="16">
        <v>1530206872</v>
      </c>
      <c r="AG42" s="16">
        <v>9342661573</v>
      </c>
      <c r="AH42" s="16">
        <v>0</v>
      </c>
      <c r="AI42" s="16">
        <v>0</v>
      </c>
      <c r="AJ42" s="17">
        <v>69</v>
      </c>
      <c r="AK42" s="16">
        <v>13813762516767</v>
      </c>
      <c r="AL42" s="17">
        <v>369</v>
      </c>
      <c r="AM42" s="16">
        <v>4604100123932</v>
      </c>
      <c r="AN42" s="18">
        <f>SUM(AN27:AN41)</f>
        <v>213</v>
      </c>
      <c r="AO42" s="16">
        <f>SUM(AO27:AO41)</f>
        <v>1365872537820</v>
      </c>
      <c r="AP42" s="16">
        <v>398608723699</v>
      </c>
      <c r="AQ42" s="16">
        <v>148913341365</v>
      </c>
      <c r="AR42" s="16">
        <v>249695382334</v>
      </c>
      <c r="AS42" s="17">
        <v>167.68</v>
      </c>
      <c r="AT42" s="16">
        <v>15552816237800</v>
      </c>
      <c r="AU42" s="16">
        <v>3962571801828</v>
      </c>
      <c r="AV42" s="16">
        <v>2672304132913</v>
      </c>
      <c r="AW42" s="16">
        <v>1496220205662</v>
      </c>
      <c r="AX42" s="16">
        <v>3862117137238</v>
      </c>
      <c r="AY42" s="16">
        <v>4433404800000</v>
      </c>
      <c r="AZ42" s="16">
        <v>2615325761368</v>
      </c>
      <c r="BA42" s="16">
        <v>13315890580454</v>
      </c>
      <c r="BB42" s="18">
        <v>820438</v>
      </c>
      <c r="BC42" s="16">
        <v>4952181386181</v>
      </c>
      <c r="BD42" s="16">
        <v>3903217137238</v>
      </c>
      <c r="BE42" s="16">
        <v>4460492057035</v>
      </c>
      <c r="BF42" s="16">
        <v>11890003687236</v>
      </c>
      <c r="BG42" s="16">
        <v>7030515989409</v>
      </c>
      <c r="BH42" s="16">
        <v>1902053933707</v>
      </c>
      <c r="BI42" s="16">
        <v>1</v>
      </c>
      <c r="BJ42" s="16">
        <v>10210767646707</v>
      </c>
      <c r="BK42" s="16">
        <v>0</v>
      </c>
      <c r="BL42" s="16">
        <v>68578528</v>
      </c>
      <c r="BM42" s="16">
        <v>1530206872</v>
      </c>
    </row>
    <row r="43" spans="1:65" x14ac:dyDescent="0.25">
      <c r="A43" s="32" t="s">
        <v>101</v>
      </c>
      <c r="B43" s="10">
        <v>1300</v>
      </c>
      <c r="C43" s="10" t="s">
        <v>101</v>
      </c>
      <c r="D43" s="11">
        <v>1545461242685</v>
      </c>
      <c r="E43" s="11">
        <v>277625461217</v>
      </c>
      <c r="F43" s="11">
        <v>9600000000</v>
      </c>
      <c r="G43" s="11">
        <v>80375400</v>
      </c>
      <c r="H43" s="11">
        <v>1832767079302</v>
      </c>
      <c r="I43" s="11">
        <v>151652097297</v>
      </c>
      <c r="J43" s="11">
        <v>1681114982005</v>
      </c>
      <c r="K43" s="11">
        <v>1778812684248</v>
      </c>
      <c r="L43" s="11">
        <v>53954395054</v>
      </c>
      <c r="M43" s="12">
        <v>3.03</v>
      </c>
      <c r="N43" s="11">
        <v>5765559686521</v>
      </c>
      <c r="O43" s="12">
        <v>429.36</v>
      </c>
      <c r="P43" s="12">
        <v>342.96</v>
      </c>
      <c r="Q43" s="12">
        <v>0.66</v>
      </c>
      <c r="R43" s="11">
        <v>7816846095846</v>
      </c>
      <c r="S43" s="11">
        <v>52326457178</v>
      </c>
      <c r="T43" s="11">
        <v>40846289450</v>
      </c>
      <c r="U43" s="11">
        <v>10048246411</v>
      </c>
      <c r="V43" s="11">
        <v>1431921317</v>
      </c>
      <c r="W43" s="11">
        <v>7869172553024</v>
      </c>
      <c r="X43" s="11">
        <v>317676303916</v>
      </c>
      <c r="Y43" s="11">
        <v>27742728005</v>
      </c>
      <c r="Z43" s="11">
        <v>8214591584945</v>
      </c>
      <c r="AA43" s="11">
        <v>6413060661030</v>
      </c>
      <c r="AB43" s="12">
        <v>22.71</v>
      </c>
      <c r="AC43" s="11">
        <v>2798496347731</v>
      </c>
      <c r="AD43" s="11">
        <v>2486471468175</v>
      </c>
      <c r="AE43" s="11">
        <v>132665342700</v>
      </c>
      <c r="AF43" s="11">
        <v>8650686240</v>
      </c>
      <c r="AG43" s="11">
        <v>0</v>
      </c>
      <c r="AH43" s="11">
        <v>0</v>
      </c>
      <c r="AI43" s="11">
        <v>0</v>
      </c>
      <c r="AJ43" s="12">
        <v>8</v>
      </c>
      <c r="AK43" s="11">
        <v>574440858759</v>
      </c>
      <c r="AL43" s="12">
        <v>13</v>
      </c>
      <c r="AM43" s="11">
        <v>448681450359</v>
      </c>
      <c r="AN43" s="12">
        <v>20</v>
      </c>
      <c r="AO43" s="11">
        <v>336644137639</v>
      </c>
      <c r="AP43" s="11">
        <v>52326457178</v>
      </c>
      <c r="AQ43" s="11">
        <v>27421787621</v>
      </c>
      <c r="AR43" s="11">
        <v>24904669557</v>
      </c>
      <c r="AS43" s="12">
        <v>90.82</v>
      </c>
      <c r="AT43" s="11">
        <v>2063607280380</v>
      </c>
      <c r="AU43" s="11">
        <v>530489440061</v>
      </c>
      <c r="AV43" s="11">
        <v>299412641756</v>
      </c>
      <c r="AW43" s="11">
        <v>399872289723</v>
      </c>
      <c r="AX43" s="11">
        <v>451146711206</v>
      </c>
      <c r="AY43" s="11">
        <v>395029600000</v>
      </c>
      <c r="AZ43" s="11">
        <v>126540959552</v>
      </c>
      <c r="BA43" s="11">
        <v>1832767079302</v>
      </c>
      <c r="BB43" s="13">
        <v>120725</v>
      </c>
      <c r="BC43" s="11">
        <v>770629222604</v>
      </c>
      <c r="BD43" s="11">
        <v>460746711206</v>
      </c>
      <c r="BE43" s="11">
        <v>601391145492</v>
      </c>
      <c r="BF43" s="11">
        <v>2168464620308</v>
      </c>
      <c r="BG43" s="11">
        <v>630031727423</v>
      </c>
      <c r="BH43" s="11">
        <v>42241996095</v>
      </c>
      <c r="BI43" s="11">
        <v>0</v>
      </c>
      <c r="BJ43" s="11">
        <v>91213265251</v>
      </c>
      <c r="BK43" s="11">
        <v>0</v>
      </c>
      <c r="BL43" s="11">
        <v>0</v>
      </c>
      <c r="BM43" s="11">
        <v>246995091301</v>
      </c>
    </row>
    <row r="44" spans="1:65" x14ac:dyDescent="0.25">
      <c r="A44" s="32"/>
      <c r="B44" s="10">
        <v>1301</v>
      </c>
      <c r="C44" s="10" t="s">
        <v>102</v>
      </c>
      <c r="D44" s="11">
        <v>1059430798243</v>
      </c>
      <c r="E44" s="11">
        <v>46899180757</v>
      </c>
      <c r="F44" s="11">
        <v>0</v>
      </c>
      <c r="G44" s="11">
        <v>0</v>
      </c>
      <c r="H44" s="11">
        <v>1106329979000</v>
      </c>
      <c r="I44" s="11">
        <v>92147585891</v>
      </c>
      <c r="J44" s="11">
        <v>1014182393109</v>
      </c>
      <c r="K44" s="11">
        <v>1256768555416</v>
      </c>
      <c r="L44" s="11">
        <v>-150438576416</v>
      </c>
      <c r="M44" s="12">
        <v>-11.97</v>
      </c>
      <c r="N44" s="11">
        <v>1713762726181</v>
      </c>
      <c r="O44" s="12">
        <v>170.21</v>
      </c>
      <c r="P44" s="12">
        <v>168.98</v>
      </c>
      <c r="Q44" s="12">
        <v>4.09</v>
      </c>
      <c r="R44" s="11">
        <v>1806652592810</v>
      </c>
      <c r="S44" s="11">
        <v>76455635563</v>
      </c>
      <c r="T44" s="11">
        <v>30641517279</v>
      </c>
      <c r="U44" s="11">
        <v>7072556393</v>
      </c>
      <c r="V44" s="11">
        <v>38741561891</v>
      </c>
      <c r="W44" s="11">
        <v>1883108228373</v>
      </c>
      <c r="X44" s="11">
        <v>111795445907</v>
      </c>
      <c r="Y44" s="11">
        <v>14977010000</v>
      </c>
      <c r="Z44" s="11">
        <v>2009880684280</v>
      </c>
      <c r="AA44" s="11">
        <v>1602322870556</v>
      </c>
      <c r="AB44" s="12">
        <v>17.52</v>
      </c>
      <c r="AC44" s="11">
        <v>670420870956</v>
      </c>
      <c r="AD44" s="11">
        <v>670420870956</v>
      </c>
      <c r="AE44" s="11">
        <v>0</v>
      </c>
      <c r="AF44" s="11">
        <v>69304303456</v>
      </c>
      <c r="AG44" s="11">
        <v>68378218267</v>
      </c>
      <c r="AH44" s="11">
        <v>0</v>
      </c>
      <c r="AI44" s="11">
        <v>0</v>
      </c>
      <c r="AJ44" s="12">
        <v>0</v>
      </c>
      <c r="AK44" s="11">
        <v>0</v>
      </c>
      <c r="AL44" s="12">
        <v>64</v>
      </c>
      <c r="AM44" s="11">
        <v>451291960394</v>
      </c>
      <c r="AN44" s="12">
        <v>73</v>
      </c>
      <c r="AO44" s="11">
        <v>154677282516</v>
      </c>
      <c r="AP44" s="11">
        <v>76455635563</v>
      </c>
      <c r="AQ44" s="11">
        <v>39792184361</v>
      </c>
      <c r="AR44" s="11">
        <v>36663451202</v>
      </c>
      <c r="AS44" s="12">
        <v>92.14</v>
      </c>
      <c r="AT44" s="11">
        <v>469663936148</v>
      </c>
      <c r="AU44" s="11">
        <v>153601674017</v>
      </c>
      <c r="AV44" s="11">
        <v>182582179164</v>
      </c>
      <c r="AW44" s="11">
        <v>173229598783</v>
      </c>
      <c r="AX44" s="11">
        <v>543232620296</v>
      </c>
      <c r="AY44" s="11">
        <v>160386400000</v>
      </c>
      <c r="AZ44" s="11">
        <v>202127714114</v>
      </c>
      <c r="BA44" s="11">
        <v>1106329979000</v>
      </c>
      <c r="BB44" s="13">
        <v>6944</v>
      </c>
      <c r="BC44" s="11">
        <v>402144224483</v>
      </c>
      <c r="BD44" s="11">
        <v>543232620296</v>
      </c>
      <c r="BE44" s="11">
        <v>160953134221</v>
      </c>
      <c r="BF44" s="11">
        <v>474367467500</v>
      </c>
      <c r="BG44" s="11">
        <v>196053403456</v>
      </c>
      <c r="BH44" s="11">
        <v>0</v>
      </c>
      <c r="BI44" s="11">
        <v>0</v>
      </c>
      <c r="BJ44" s="11">
        <v>0</v>
      </c>
      <c r="BK44" s="11">
        <v>0</v>
      </c>
      <c r="BL44" s="11">
        <v>37140096161</v>
      </c>
      <c r="BM44" s="11">
        <v>26018165396</v>
      </c>
    </row>
    <row r="45" spans="1:65" x14ac:dyDescent="0.25">
      <c r="A45" s="32"/>
      <c r="B45" s="10">
        <v>1302</v>
      </c>
      <c r="C45" s="10" t="s">
        <v>103</v>
      </c>
      <c r="D45" s="11">
        <v>943492375315</v>
      </c>
      <c r="E45" s="11">
        <v>17807159537</v>
      </c>
      <c r="F45" s="11">
        <v>0</v>
      </c>
      <c r="G45" s="11">
        <v>0</v>
      </c>
      <c r="H45" s="11">
        <v>961299534852</v>
      </c>
      <c r="I45" s="11">
        <v>79056498151</v>
      </c>
      <c r="J45" s="11">
        <v>882243036701</v>
      </c>
      <c r="K45" s="11">
        <v>822578152694</v>
      </c>
      <c r="L45" s="11">
        <v>138721382158</v>
      </c>
      <c r="M45" s="12">
        <v>16.86</v>
      </c>
      <c r="N45" s="11">
        <v>1124560471975</v>
      </c>
      <c r="O45" s="12">
        <v>134.86000000000001</v>
      </c>
      <c r="P45" s="12">
        <v>127.47</v>
      </c>
      <c r="Q45" s="12">
        <v>2.29</v>
      </c>
      <c r="R45" s="11">
        <v>1265426265615</v>
      </c>
      <c r="S45" s="11">
        <v>31002962692</v>
      </c>
      <c r="T45" s="11">
        <v>23857695023</v>
      </c>
      <c r="U45" s="11">
        <v>6646109217</v>
      </c>
      <c r="V45" s="11">
        <v>499158452</v>
      </c>
      <c r="W45" s="11">
        <v>1296429228307</v>
      </c>
      <c r="X45" s="11">
        <v>58408094242</v>
      </c>
      <c r="Y45" s="11">
        <v>12598900000</v>
      </c>
      <c r="Z45" s="11">
        <v>1367436222549</v>
      </c>
      <c r="AA45" s="11">
        <v>991752897404</v>
      </c>
      <c r="AB45" s="12">
        <v>30.72</v>
      </c>
      <c r="AC45" s="11">
        <v>491178194320</v>
      </c>
      <c r="AD45" s="11">
        <v>491178194320</v>
      </c>
      <c r="AE45" s="11">
        <v>0</v>
      </c>
      <c r="AF45" s="11">
        <v>0</v>
      </c>
      <c r="AG45" s="11">
        <v>620000000</v>
      </c>
      <c r="AH45" s="11">
        <v>0</v>
      </c>
      <c r="AI45" s="11">
        <v>0</v>
      </c>
      <c r="AJ45" s="12">
        <v>0</v>
      </c>
      <c r="AK45" s="11">
        <v>0</v>
      </c>
      <c r="AL45" s="12">
        <v>17</v>
      </c>
      <c r="AM45" s="11">
        <v>146777718406</v>
      </c>
      <c r="AN45" s="12">
        <v>22</v>
      </c>
      <c r="AO45" s="11">
        <v>51475250000</v>
      </c>
      <c r="AP45" s="11">
        <v>31002962692</v>
      </c>
      <c r="AQ45" s="11">
        <v>16772530038</v>
      </c>
      <c r="AR45" s="11">
        <v>14230432654</v>
      </c>
      <c r="AS45" s="12">
        <v>84.84</v>
      </c>
      <c r="AT45" s="11">
        <v>310497159010</v>
      </c>
      <c r="AU45" s="11">
        <v>84051765981</v>
      </c>
      <c r="AV45" s="11">
        <v>126295511937</v>
      </c>
      <c r="AW45" s="11">
        <v>168845307773</v>
      </c>
      <c r="AX45" s="11">
        <v>316648255605</v>
      </c>
      <c r="AY45" s="11">
        <v>331703300000</v>
      </c>
      <c r="AZ45" s="11">
        <v>202592053101</v>
      </c>
      <c r="BA45" s="11">
        <v>961299534852</v>
      </c>
      <c r="BB45" s="13">
        <v>46195</v>
      </c>
      <c r="BC45" s="11">
        <v>311571658924</v>
      </c>
      <c r="BD45" s="11">
        <v>316648255605</v>
      </c>
      <c r="BE45" s="11">
        <v>333079620323</v>
      </c>
      <c r="BF45" s="11">
        <v>442956924030</v>
      </c>
      <c r="BG45" s="11">
        <v>48221270290</v>
      </c>
      <c r="BH45" s="11">
        <v>0</v>
      </c>
      <c r="BI45" s="11">
        <v>0</v>
      </c>
      <c r="BJ45" s="11">
        <v>0</v>
      </c>
      <c r="BK45" s="11">
        <v>0</v>
      </c>
      <c r="BL45" s="11">
        <v>0</v>
      </c>
      <c r="BM45" s="11">
        <v>0</v>
      </c>
    </row>
    <row r="46" spans="1:65" x14ac:dyDescent="0.25">
      <c r="A46" s="32"/>
      <c r="B46" s="10">
        <v>1303</v>
      </c>
      <c r="C46" s="10" t="s">
        <v>104</v>
      </c>
      <c r="D46" s="11">
        <v>845038822555</v>
      </c>
      <c r="E46" s="11">
        <v>4030682930</v>
      </c>
      <c r="F46" s="11">
        <v>0</v>
      </c>
      <c r="G46" s="11">
        <v>0</v>
      </c>
      <c r="H46" s="11">
        <v>849069505485</v>
      </c>
      <c r="I46" s="11">
        <v>66663696870</v>
      </c>
      <c r="J46" s="11">
        <v>782405808615</v>
      </c>
      <c r="K46" s="11">
        <v>749836071470</v>
      </c>
      <c r="L46" s="11">
        <v>99233434015</v>
      </c>
      <c r="M46" s="12">
        <v>13.23</v>
      </c>
      <c r="N46" s="11">
        <v>834860688207</v>
      </c>
      <c r="O46" s="12">
        <v>108.56</v>
      </c>
      <c r="P46" s="12">
        <v>106.7</v>
      </c>
      <c r="Q46" s="12">
        <v>0.88</v>
      </c>
      <c r="R46" s="11">
        <v>912985334315</v>
      </c>
      <c r="S46" s="11">
        <v>8741127627</v>
      </c>
      <c r="T46" s="11">
        <v>7704962485</v>
      </c>
      <c r="U46" s="11">
        <v>628200752</v>
      </c>
      <c r="V46" s="11">
        <v>407964390</v>
      </c>
      <c r="W46" s="11">
        <v>921726461942</v>
      </c>
      <c r="X46" s="11">
        <v>56549276223</v>
      </c>
      <c r="Y46" s="11">
        <v>11399338499</v>
      </c>
      <c r="Z46" s="11">
        <v>989675076664</v>
      </c>
      <c r="AA46" s="11">
        <v>761393670050</v>
      </c>
      <c r="AB46" s="12">
        <v>21.06</v>
      </c>
      <c r="AC46" s="11">
        <v>372937753064</v>
      </c>
      <c r="AD46" s="11">
        <v>344445543600</v>
      </c>
      <c r="AE46" s="11">
        <v>0</v>
      </c>
      <c r="AF46" s="11">
        <v>864000000</v>
      </c>
      <c r="AG46" s="11">
        <v>637467594</v>
      </c>
      <c r="AH46" s="11">
        <v>0</v>
      </c>
      <c r="AI46" s="11">
        <v>0</v>
      </c>
      <c r="AJ46" s="12">
        <v>0</v>
      </c>
      <c r="AK46" s="11">
        <v>0</v>
      </c>
      <c r="AL46" s="12">
        <v>12</v>
      </c>
      <c r="AM46" s="11">
        <v>9100773187</v>
      </c>
      <c r="AN46" s="12">
        <v>40</v>
      </c>
      <c r="AO46" s="11">
        <v>18996637068</v>
      </c>
      <c r="AP46" s="11">
        <v>8741127627</v>
      </c>
      <c r="AQ46" s="11">
        <v>6079628695</v>
      </c>
      <c r="AR46" s="11">
        <v>2661498932</v>
      </c>
      <c r="AS46" s="12">
        <v>43.78</v>
      </c>
      <c r="AT46" s="11">
        <v>223251340692</v>
      </c>
      <c r="AU46" s="11">
        <v>39650819694</v>
      </c>
      <c r="AV46" s="11">
        <v>124302683494</v>
      </c>
      <c r="AW46" s="11">
        <v>113938467059</v>
      </c>
      <c r="AX46" s="11">
        <v>241323872002</v>
      </c>
      <c r="AY46" s="11">
        <v>365473800000</v>
      </c>
      <c r="AZ46" s="11">
        <v>156662237596</v>
      </c>
      <c r="BA46" s="11">
        <v>849069505485</v>
      </c>
      <c r="BB46" s="13">
        <v>64497</v>
      </c>
      <c r="BC46" s="11">
        <v>241529709797</v>
      </c>
      <c r="BD46" s="11">
        <v>240723872002</v>
      </c>
      <c r="BE46" s="11">
        <v>366815923686</v>
      </c>
      <c r="BF46" s="11">
        <v>341224243064</v>
      </c>
      <c r="BG46" s="11">
        <v>31713510000</v>
      </c>
      <c r="BH46" s="11">
        <v>0</v>
      </c>
      <c r="BI46" s="11">
        <v>0</v>
      </c>
      <c r="BJ46" s="11">
        <v>0</v>
      </c>
      <c r="BK46" s="11">
        <v>0</v>
      </c>
      <c r="BL46" s="11">
        <v>0</v>
      </c>
      <c r="BM46" s="11">
        <v>865467616</v>
      </c>
    </row>
    <row r="47" spans="1:65" x14ac:dyDescent="0.25">
      <c r="A47" s="32"/>
      <c r="B47" s="10">
        <v>1304</v>
      </c>
      <c r="C47" s="10" t="s">
        <v>105</v>
      </c>
      <c r="D47" s="11">
        <v>560306622085</v>
      </c>
      <c r="E47" s="11">
        <v>12154500080</v>
      </c>
      <c r="F47" s="11">
        <v>0</v>
      </c>
      <c r="G47" s="11">
        <v>0</v>
      </c>
      <c r="H47" s="11">
        <v>572461122165</v>
      </c>
      <c r="I47" s="11">
        <v>41953611494</v>
      </c>
      <c r="J47" s="11">
        <v>530507510671</v>
      </c>
      <c r="K47" s="11">
        <v>507360546083</v>
      </c>
      <c r="L47" s="11">
        <v>65100576082</v>
      </c>
      <c r="M47" s="12">
        <v>12.83</v>
      </c>
      <c r="N47" s="11">
        <v>798028284701</v>
      </c>
      <c r="O47" s="12">
        <v>149.78</v>
      </c>
      <c r="P47" s="12">
        <v>150.43</v>
      </c>
      <c r="Q47" s="12">
        <v>3.86</v>
      </c>
      <c r="R47" s="11">
        <v>825595753226</v>
      </c>
      <c r="S47" s="11">
        <v>31854832598</v>
      </c>
      <c r="T47" s="11">
        <v>9380300525</v>
      </c>
      <c r="U47" s="11">
        <v>12728252315</v>
      </c>
      <c r="V47" s="11">
        <v>9746279758</v>
      </c>
      <c r="W47" s="11">
        <v>857450585824</v>
      </c>
      <c r="X47" s="11">
        <v>50044750292</v>
      </c>
      <c r="Y47" s="11">
        <v>8000000000</v>
      </c>
      <c r="Z47" s="11">
        <v>915495336116</v>
      </c>
      <c r="AA47" s="11">
        <v>795658998521</v>
      </c>
      <c r="AB47" s="12">
        <v>7.77</v>
      </c>
      <c r="AC47" s="11">
        <v>254577250507</v>
      </c>
      <c r="AD47" s="11">
        <v>254577250507</v>
      </c>
      <c r="AE47" s="11">
        <v>0</v>
      </c>
      <c r="AF47" s="11">
        <v>2430429572</v>
      </c>
      <c r="AG47" s="11">
        <v>45696620771</v>
      </c>
      <c r="AH47" s="11">
        <v>0</v>
      </c>
      <c r="AI47" s="11">
        <v>4632000000</v>
      </c>
      <c r="AJ47" s="12">
        <v>0</v>
      </c>
      <c r="AK47" s="11">
        <v>0</v>
      </c>
      <c r="AL47" s="12">
        <v>16</v>
      </c>
      <c r="AM47" s="11">
        <v>32487668719</v>
      </c>
      <c r="AN47" s="12">
        <v>15</v>
      </c>
      <c r="AO47" s="11">
        <v>81299784394</v>
      </c>
      <c r="AP47" s="11">
        <v>31854832598</v>
      </c>
      <c r="AQ47" s="11">
        <v>33217659035</v>
      </c>
      <c r="AR47" s="11">
        <v>-1362826437</v>
      </c>
      <c r="AS47" s="12">
        <v>-4.0999999999999996</v>
      </c>
      <c r="AT47" s="11">
        <v>262943681504</v>
      </c>
      <c r="AU47" s="11">
        <v>91757698671</v>
      </c>
      <c r="AV47" s="11">
        <v>104552872153</v>
      </c>
      <c r="AW47" s="11">
        <v>129527612009</v>
      </c>
      <c r="AX47" s="11">
        <v>150542137923</v>
      </c>
      <c r="AY47" s="11">
        <v>175684000000</v>
      </c>
      <c r="AZ47" s="11">
        <v>97626439558</v>
      </c>
      <c r="BA47" s="11">
        <v>572461122165</v>
      </c>
      <c r="BB47" s="13">
        <v>6483</v>
      </c>
      <c r="BC47" s="11">
        <v>244719138528</v>
      </c>
      <c r="BD47" s="11">
        <v>150542137923</v>
      </c>
      <c r="BE47" s="11">
        <v>177199845714</v>
      </c>
      <c r="BF47" s="11">
        <v>189115740935</v>
      </c>
      <c r="BG47" s="11">
        <v>65461509572</v>
      </c>
      <c r="BH47" s="11">
        <v>0</v>
      </c>
      <c r="BI47" s="11">
        <v>0</v>
      </c>
      <c r="BJ47" s="11">
        <v>0</v>
      </c>
      <c r="BK47" s="11">
        <v>433545656</v>
      </c>
      <c r="BL47" s="11">
        <v>0</v>
      </c>
      <c r="BM47" s="11">
        <v>1856706300</v>
      </c>
    </row>
    <row r="48" spans="1:65" x14ac:dyDescent="0.25">
      <c r="A48" s="32"/>
      <c r="B48" s="10">
        <v>1305</v>
      </c>
      <c r="C48" s="10" t="s">
        <v>106</v>
      </c>
      <c r="D48" s="11">
        <v>541106818884</v>
      </c>
      <c r="E48" s="11">
        <v>12453569821</v>
      </c>
      <c r="F48" s="11">
        <v>0</v>
      </c>
      <c r="G48" s="11">
        <v>0</v>
      </c>
      <c r="H48" s="11">
        <v>553560388705</v>
      </c>
      <c r="I48" s="11">
        <v>45509902789</v>
      </c>
      <c r="J48" s="11">
        <v>508050485916</v>
      </c>
      <c r="K48" s="11">
        <v>537458077162</v>
      </c>
      <c r="L48" s="11">
        <v>16102311543</v>
      </c>
      <c r="M48" s="12">
        <v>3</v>
      </c>
      <c r="N48" s="11">
        <v>1059928547527</v>
      </c>
      <c r="O48" s="12">
        <v>201.36</v>
      </c>
      <c r="P48" s="12">
        <v>208.63</v>
      </c>
      <c r="Q48" s="12">
        <v>2.19</v>
      </c>
      <c r="R48" s="11">
        <v>1089871340869</v>
      </c>
      <c r="S48" s="11">
        <v>24768998076</v>
      </c>
      <c r="T48" s="11">
        <v>14025822102</v>
      </c>
      <c r="U48" s="11">
        <v>10143491593</v>
      </c>
      <c r="V48" s="11">
        <v>599684381</v>
      </c>
      <c r="W48" s="11">
        <v>1114640338945</v>
      </c>
      <c r="X48" s="11">
        <v>71185710190</v>
      </c>
      <c r="Y48" s="11">
        <v>10547771595</v>
      </c>
      <c r="Z48" s="11">
        <v>1196373820730</v>
      </c>
      <c r="AA48" s="11">
        <v>992722245162</v>
      </c>
      <c r="AB48" s="12">
        <v>12.28</v>
      </c>
      <c r="AC48" s="11">
        <v>314727882815</v>
      </c>
      <c r="AD48" s="11">
        <v>314727882815</v>
      </c>
      <c r="AE48" s="11">
        <v>0</v>
      </c>
      <c r="AF48" s="11">
        <v>0</v>
      </c>
      <c r="AG48" s="11">
        <v>8655000000</v>
      </c>
      <c r="AH48" s="11">
        <v>0</v>
      </c>
      <c r="AI48" s="11">
        <v>7426000000</v>
      </c>
      <c r="AJ48" s="12">
        <v>0</v>
      </c>
      <c r="AK48" s="11">
        <v>0</v>
      </c>
      <c r="AL48" s="12">
        <v>46</v>
      </c>
      <c r="AM48" s="11">
        <v>116036837667</v>
      </c>
      <c r="AN48" s="12">
        <v>21</v>
      </c>
      <c r="AO48" s="11">
        <v>23771940790</v>
      </c>
      <c r="AP48" s="11">
        <v>24768998076</v>
      </c>
      <c r="AQ48" s="11">
        <v>17897258314</v>
      </c>
      <c r="AR48" s="11">
        <v>6871739762</v>
      </c>
      <c r="AS48" s="12">
        <v>38.4</v>
      </c>
      <c r="AT48" s="11">
        <v>262697123624</v>
      </c>
      <c r="AU48" s="11">
        <v>72541010404</v>
      </c>
      <c r="AV48" s="11">
        <v>78263152495</v>
      </c>
      <c r="AW48" s="11">
        <v>111134578119</v>
      </c>
      <c r="AX48" s="11">
        <v>156799088270</v>
      </c>
      <c r="AY48" s="11">
        <v>194910000000</v>
      </c>
      <c r="AZ48" s="11">
        <v>71794004572</v>
      </c>
      <c r="BA48" s="11">
        <v>553560388705</v>
      </c>
      <c r="BB48" s="13">
        <v>8045</v>
      </c>
      <c r="BC48" s="11">
        <v>201851300435</v>
      </c>
      <c r="BD48" s="11">
        <v>156799088270</v>
      </c>
      <c r="BE48" s="11">
        <v>194910000000</v>
      </c>
      <c r="BF48" s="11">
        <v>240378762815</v>
      </c>
      <c r="BG48" s="11">
        <v>74349120000</v>
      </c>
      <c r="BH48" s="11">
        <v>0</v>
      </c>
      <c r="BI48" s="11">
        <v>0</v>
      </c>
      <c r="BJ48" s="11">
        <v>0</v>
      </c>
      <c r="BK48" s="11">
        <v>0</v>
      </c>
      <c r="BL48" s="11">
        <v>0</v>
      </c>
      <c r="BM48" s="11">
        <v>0</v>
      </c>
    </row>
    <row r="49" spans="1:65" x14ac:dyDescent="0.25">
      <c r="A49" s="32"/>
      <c r="B49" s="10">
        <v>1306</v>
      </c>
      <c r="C49" s="10" t="s">
        <v>107</v>
      </c>
      <c r="D49" s="11">
        <v>516822020882</v>
      </c>
      <c r="E49" s="11">
        <v>2787693764</v>
      </c>
      <c r="F49" s="11">
        <v>0</v>
      </c>
      <c r="G49" s="11">
        <v>0</v>
      </c>
      <c r="H49" s="11">
        <v>519609714646</v>
      </c>
      <c r="I49" s="11">
        <v>41099069078</v>
      </c>
      <c r="J49" s="11">
        <v>478510645568</v>
      </c>
      <c r="K49" s="11">
        <v>413539463761</v>
      </c>
      <c r="L49" s="11">
        <v>106070250885</v>
      </c>
      <c r="M49" s="12">
        <v>25.65</v>
      </c>
      <c r="N49" s="11">
        <v>524051808785</v>
      </c>
      <c r="O49" s="12">
        <v>120.3</v>
      </c>
      <c r="P49" s="12">
        <v>109.52</v>
      </c>
      <c r="Q49" s="12">
        <v>4.59</v>
      </c>
      <c r="R49" s="11">
        <v>598281559858</v>
      </c>
      <c r="S49" s="11">
        <v>26822019914</v>
      </c>
      <c r="T49" s="11">
        <v>25128709438</v>
      </c>
      <c r="U49" s="11">
        <v>1693310476</v>
      </c>
      <c r="V49" s="11">
        <v>0</v>
      </c>
      <c r="W49" s="11">
        <v>625103579772</v>
      </c>
      <c r="X49" s="11">
        <v>28152796110</v>
      </c>
      <c r="Y49" s="11">
        <v>3800000000</v>
      </c>
      <c r="Z49" s="11">
        <v>657056375882</v>
      </c>
      <c r="AA49" s="11">
        <v>474543028582</v>
      </c>
      <c r="AB49" s="12">
        <v>31.73</v>
      </c>
      <c r="AC49" s="11">
        <v>313183765150</v>
      </c>
      <c r="AD49" s="11">
        <v>198525140496</v>
      </c>
      <c r="AE49" s="11">
        <v>0</v>
      </c>
      <c r="AF49" s="11">
        <v>0</v>
      </c>
      <c r="AG49" s="11">
        <v>49200000000</v>
      </c>
      <c r="AH49" s="11">
        <v>0</v>
      </c>
      <c r="AI49" s="11">
        <v>0</v>
      </c>
      <c r="AJ49" s="12">
        <v>0</v>
      </c>
      <c r="AK49" s="11">
        <v>0</v>
      </c>
      <c r="AL49" s="12">
        <v>3</v>
      </c>
      <c r="AM49" s="11">
        <v>9410000000</v>
      </c>
      <c r="AN49" s="12">
        <v>5</v>
      </c>
      <c r="AO49" s="11">
        <v>1616500000</v>
      </c>
      <c r="AP49" s="11">
        <v>26822019914</v>
      </c>
      <c r="AQ49" s="11">
        <v>4878304436</v>
      </c>
      <c r="AR49" s="11">
        <v>21943715478</v>
      </c>
      <c r="AS49" s="12">
        <v>449.82</v>
      </c>
      <c r="AT49" s="11">
        <v>123549375756</v>
      </c>
      <c r="AU49" s="11">
        <v>32981261576</v>
      </c>
      <c r="AV49" s="11">
        <v>110381029937</v>
      </c>
      <c r="AW49" s="11">
        <v>124796292123</v>
      </c>
      <c r="AX49" s="11">
        <v>93289798822</v>
      </c>
      <c r="AY49" s="11">
        <v>188354900000</v>
      </c>
      <c r="AZ49" s="11">
        <v>43769852838</v>
      </c>
      <c r="BA49" s="11">
        <v>519609714646</v>
      </c>
      <c r="BB49" s="13">
        <v>47974</v>
      </c>
      <c r="BC49" s="11">
        <v>237965015824</v>
      </c>
      <c r="BD49" s="11">
        <v>93289798822</v>
      </c>
      <c r="BE49" s="11">
        <v>188354900000</v>
      </c>
      <c r="BF49" s="11">
        <v>281773109420</v>
      </c>
      <c r="BG49" s="11">
        <v>31410655730</v>
      </c>
      <c r="BH49" s="11">
        <v>0</v>
      </c>
      <c r="BI49" s="11">
        <v>0</v>
      </c>
      <c r="BJ49" s="11">
        <v>0</v>
      </c>
      <c r="BK49" s="11">
        <v>0</v>
      </c>
      <c r="BL49" s="11">
        <v>0</v>
      </c>
      <c r="BM49" s="11">
        <v>0</v>
      </c>
    </row>
    <row r="50" spans="1:65" x14ac:dyDescent="0.25">
      <c r="A50" s="32"/>
      <c r="B50" s="10">
        <v>1307</v>
      </c>
      <c r="C50" s="10" t="s">
        <v>108</v>
      </c>
      <c r="D50" s="11">
        <v>761827622641</v>
      </c>
      <c r="E50" s="11">
        <v>4065339449</v>
      </c>
      <c r="F50" s="11">
        <v>0</v>
      </c>
      <c r="G50" s="11">
        <v>0</v>
      </c>
      <c r="H50" s="11">
        <v>765892962090</v>
      </c>
      <c r="I50" s="11">
        <v>59890988717</v>
      </c>
      <c r="J50" s="11">
        <v>706001973373</v>
      </c>
      <c r="K50" s="11">
        <v>489886482077</v>
      </c>
      <c r="L50" s="11">
        <v>276006480013</v>
      </c>
      <c r="M50" s="12">
        <v>56.34</v>
      </c>
      <c r="N50" s="11">
        <v>605323877775</v>
      </c>
      <c r="O50" s="12">
        <v>83.96</v>
      </c>
      <c r="P50" s="12">
        <v>85.74</v>
      </c>
      <c r="Q50" s="12">
        <v>6.3</v>
      </c>
      <c r="R50" s="11">
        <v>600829984710</v>
      </c>
      <c r="S50" s="11">
        <v>42182401703</v>
      </c>
      <c r="T50" s="11">
        <v>41649564334</v>
      </c>
      <c r="U50" s="11">
        <v>371910880</v>
      </c>
      <c r="V50" s="11">
        <v>160926489</v>
      </c>
      <c r="W50" s="11">
        <v>643012386413</v>
      </c>
      <c r="X50" s="11">
        <v>31517017103</v>
      </c>
      <c r="Y50" s="11">
        <v>6663800000</v>
      </c>
      <c r="Z50" s="11">
        <v>681193203516</v>
      </c>
      <c r="AA50" s="11">
        <v>458358556119</v>
      </c>
      <c r="AB50" s="12">
        <v>40.29</v>
      </c>
      <c r="AC50" s="11">
        <v>341451900000</v>
      </c>
      <c r="AD50" s="11">
        <v>341451900000</v>
      </c>
      <c r="AE50" s="11">
        <v>0</v>
      </c>
      <c r="AF50" s="11">
        <v>0</v>
      </c>
      <c r="AG50" s="11">
        <v>8666483121</v>
      </c>
      <c r="AH50" s="11">
        <v>0</v>
      </c>
      <c r="AI50" s="11">
        <v>0</v>
      </c>
      <c r="AJ50" s="12">
        <v>0</v>
      </c>
      <c r="AK50" s="11">
        <v>0</v>
      </c>
      <c r="AL50" s="12">
        <v>4</v>
      </c>
      <c r="AM50" s="11">
        <v>19868834039</v>
      </c>
      <c r="AN50" s="12">
        <v>7</v>
      </c>
      <c r="AO50" s="11">
        <v>2487660000</v>
      </c>
      <c r="AP50" s="11">
        <v>42182401703</v>
      </c>
      <c r="AQ50" s="11">
        <v>2476966242</v>
      </c>
      <c r="AR50" s="11">
        <v>39705435461</v>
      </c>
      <c r="AS50" s="19">
        <v>1602.99</v>
      </c>
      <c r="AT50" s="11">
        <v>139591579197</v>
      </c>
      <c r="AU50" s="11">
        <v>17003408591</v>
      </c>
      <c r="AV50" s="11">
        <v>137577383395</v>
      </c>
      <c r="AW50" s="11">
        <v>173388846519</v>
      </c>
      <c r="AX50" s="11">
        <v>122288392727</v>
      </c>
      <c r="AY50" s="11">
        <v>328573000000</v>
      </c>
      <c r="AZ50" s="11">
        <v>50082139612</v>
      </c>
      <c r="BA50" s="11">
        <v>765892962090</v>
      </c>
      <c r="BB50" s="13">
        <v>8724</v>
      </c>
      <c r="BC50" s="11">
        <v>313814877536</v>
      </c>
      <c r="BD50" s="11">
        <v>122288392727</v>
      </c>
      <c r="BE50" s="11">
        <v>329789691827</v>
      </c>
      <c r="BF50" s="11">
        <v>168299900000</v>
      </c>
      <c r="BG50" s="11">
        <v>173152000000</v>
      </c>
      <c r="BH50" s="11">
        <v>0</v>
      </c>
      <c r="BI50" s="11">
        <v>0</v>
      </c>
      <c r="BJ50" s="11">
        <v>0</v>
      </c>
      <c r="BK50" s="11">
        <v>0</v>
      </c>
      <c r="BL50" s="11">
        <v>0</v>
      </c>
      <c r="BM50" s="11">
        <v>0</v>
      </c>
    </row>
    <row r="51" spans="1:65" x14ac:dyDescent="0.25">
      <c r="A51" s="32"/>
      <c r="B51" s="10">
        <v>1308</v>
      </c>
      <c r="C51" s="10" t="s">
        <v>109</v>
      </c>
      <c r="D51" s="11">
        <v>671692996768</v>
      </c>
      <c r="E51" s="11">
        <v>27337282287</v>
      </c>
      <c r="F51" s="11">
        <v>0</v>
      </c>
      <c r="G51" s="11">
        <v>0</v>
      </c>
      <c r="H51" s="11">
        <v>699030279055</v>
      </c>
      <c r="I51" s="11">
        <v>54031008258</v>
      </c>
      <c r="J51" s="11">
        <v>644999270797</v>
      </c>
      <c r="K51" s="11">
        <v>529425272083</v>
      </c>
      <c r="L51" s="11">
        <v>169605006972</v>
      </c>
      <c r="M51" s="12">
        <v>32.04</v>
      </c>
      <c r="N51" s="11">
        <v>498836498343</v>
      </c>
      <c r="O51" s="12">
        <v>75.930000000000007</v>
      </c>
      <c r="P51" s="12">
        <v>77.34</v>
      </c>
      <c r="Q51" s="12">
        <v>0.7</v>
      </c>
      <c r="R51" s="11">
        <v>526853051469</v>
      </c>
      <c r="S51" s="11">
        <v>3947184074</v>
      </c>
      <c r="T51" s="11">
        <v>3136348905</v>
      </c>
      <c r="U51" s="11">
        <v>810835169</v>
      </c>
      <c r="V51" s="11">
        <v>0</v>
      </c>
      <c r="W51" s="11">
        <v>530800235543</v>
      </c>
      <c r="X51" s="11">
        <v>28023408598</v>
      </c>
      <c r="Y51" s="11">
        <v>7092916300</v>
      </c>
      <c r="Z51" s="11">
        <v>565916560441</v>
      </c>
      <c r="AA51" s="11">
        <v>415183931729</v>
      </c>
      <c r="AB51" s="12">
        <v>27.85</v>
      </c>
      <c r="AC51" s="11">
        <v>249232150000</v>
      </c>
      <c r="AD51" s="11">
        <v>249232150000</v>
      </c>
      <c r="AE51" s="11">
        <v>0</v>
      </c>
      <c r="AF51" s="11">
        <v>650000</v>
      </c>
      <c r="AG51" s="11">
        <v>388893374</v>
      </c>
      <c r="AH51" s="11">
        <v>0</v>
      </c>
      <c r="AI51" s="11">
        <v>0</v>
      </c>
      <c r="AJ51" s="12">
        <v>0</v>
      </c>
      <c r="AK51" s="11">
        <v>0</v>
      </c>
      <c r="AL51" s="12">
        <v>23</v>
      </c>
      <c r="AM51" s="11">
        <v>190267857111</v>
      </c>
      <c r="AN51" s="12">
        <v>28</v>
      </c>
      <c r="AO51" s="11">
        <v>205089323150</v>
      </c>
      <c r="AP51" s="11">
        <v>3947184074</v>
      </c>
      <c r="AQ51" s="11">
        <v>3592446287</v>
      </c>
      <c r="AR51" s="11">
        <v>354737787</v>
      </c>
      <c r="AS51" s="12">
        <v>9.8699999999999992</v>
      </c>
      <c r="AT51" s="11">
        <v>142687985985</v>
      </c>
      <c r="AU51" s="11">
        <v>21780308264</v>
      </c>
      <c r="AV51" s="11">
        <v>119912248931</v>
      </c>
      <c r="AW51" s="11">
        <v>92064041401</v>
      </c>
      <c r="AX51" s="11">
        <v>163207706436</v>
      </c>
      <c r="AY51" s="11">
        <v>296509000000</v>
      </c>
      <c r="AZ51" s="11">
        <v>24966613658</v>
      </c>
      <c r="BA51" s="11">
        <v>699030279055</v>
      </c>
      <c r="BB51" s="13">
        <v>17568</v>
      </c>
      <c r="BC51" s="11">
        <v>239124454416</v>
      </c>
      <c r="BD51" s="11">
        <v>163207706436</v>
      </c>
      <c r="BE51" s="11">
        <v>296698118203</v>
      </c>
      <c r="BF51" s="11">
        <v>152432150000</v>
      </c>
      <c r="BG51" s="11">
        <v>96800000000</v>
      </c>
      <c r="BH51" s="11">
        <v>0</v>
      </c>
      <c r="BI51" s="11">
        <v>0</v>
      </c>
      <c r="BJ51" s="11">
        <v>0</v>
      </c>
      <c r="BK51" s="11">
        <v>0</v>
      </c>
      <c r="BL51" s="11">
        <v>0</v>
      </c>
      <c r="BM51" s="11">
        <v>650000</v>
      </c>
    </row>
    <row r="52" spans="1:65" x14ac:dyDescent="0.25">
      <c r="A52" s="32"/>
      <c r="B52" s="10">
        <v>1309</v>
      </c>
      <c r="C52" s="10" t="s">
        <v>110</v>
      </c>
      <c r="D52" s="11">
        <v>704663866875</v>
      </c>
      <c r="E52" s="11">
        <v>201806552462</v>
      </c>
      <c r="F52" s="11">
        <v>0</v>
      </c>
      <c r="G52" s="11">
        <v>0</v>
      </c>
      <c r="H52" s="11">
        <v>906470419337</v>
      </c>
      <c r="I52" s="11">
        <v>72815723959</v>
      </c>
      <c r="J52" s="11">
        <v>833654695378</v>
      </c>
      <c r="K52" s="11">
        <v>1146869216238</v>
      </c>
      <c r="L52" s="11">
        <v>-240398796901</v>
      </c>
      <c r="M52" s="12">
        <v>-20.96</v>
      </c>
      <c r="N52" s="11">
        <v>1493318075316</v>
      </c>
      <c r="O52" s="12">
        <v>180.65</v>
      </c>
      <c r="P52" s="12">
        <v>179.13</v>
      </c>
      <c r="Q52" s="12">
        <v>5.19</v>
      </c>
      <c r="R52" s="11">
        <v>1550053813459</v>
      </c>
      <c r="S52" s="11">
        <v>87486281604</v>
      </c>
      <c r="T52" s="11">
        <v>72424278990</v>
      </c>
      <c r="U52" s="11">
        <v>11115611903</v>
      </c>
      <c r="V52" s="11">
        <v>3946390711</v>
      </c>
      <c r="W52" s="11">
        <v>1637540095063</v>
      </c>
      <c r="X52" s="11">
        <v>71222797980</v>
      </c>
      <c r="Y52" s="11">
        <v>12143915000</v>
      </c>
      <c r="Z52" s="11">
        <v>1720906808043</v>
      </c>
      <c r="AA52" s="11">
        <v>1751578599220</v>
      </c>
      <c r="AB52" s="12">
        <v>-6.51</v>
      </c>
      <c r="AC52" s="11">
        <v>966219841561</v>
      </c>
      <c r="AD52" s="11">
        <v>877009759370</v>
      </c>
      <c r="AE52" s="11">
        <v>0</v>
      </c>
      <c r="AF52" s="11">
        <v>75240000000</v>
      </c>
      <c r="AG52" s="11">
        <v>0</v>
      </c>
      <c r="AH52" s="11">
        <v>0</v>
      </c>
      <c r="AI52" s="11">
        <v>0</v>
      </c>
      <c r="AJ52" s="12">
        <v>0</v>
      </c>
      <c r="AK52" s="11">
        <v>0</v>
      </c>
      <c r="AL52" s="12">
        <v>7</v>
      </c>
      <c r="AM52" s="11">
        <v>3851229349393</v>
      </c>
      <c r="AN52" s="12">
        <v>17</v>
      </c>
      <c r="AO52" s="11">
        <v>597182492812</v>
      </c>
      <c r="AP52" s="11">
        <v>87486281604</v>
      </c>
      <c r="AQ52" s="11">
        <v>30822641361</v>
      </c>
      <c r="AR52" s="11">
        <v>56663640243</v>
      </c>
      <c r="AS52" s="12">
        <v>183.84</v>
      </c>
      <c r="AT52" s="11">
        <v>1260944731269</v>
      </c>
      <c r="AU52" s="11">
        <v>157411741094</v>
      </c>
      <c r="AV52" s="11">
        <v>212188049802</v>
      </c>
      <c r="AW52" s="11">
        <v>118928076308</v>
      </c>
      <c r="AX52" s="11">
        <v>143416740765</v>
      </c>
      <c r="AY52" s="11">
        <v>230131000000</v>
      </c>
      <c r="AZ52" s="11">
        <v>48364355092</v>
      </c>
      <c r="BA52" s="11">
        <v>906470419337</v>
      </c>
      <c r="BB52" s="13">
        <v>39647</v>
      </c>
      <c r="BC52" s="11">
        <v>532922678572</v>
      </c>
      <c r="BD52" s="11">
        <v>143416740765</v>
      </c>
      <c r="BE52" s="11">
        <v>230131000000</v>
      </c>
      <c r="BF52" s="11">
        <v>82679530000</v>
      </c>
      <c r="BG52" s="11">
        <v>883540311561</v>
      </c>
      <c r="BH52" s="11">
        <v>0</v>
      </c>
      <c r="BI52" s="11">
        <v>0</v>
      </c>
      <c r="BJ52" s="11">
        <v>0</v>
      </c>
      <c r="BK52" s="11">
        <v>0</v>
      </c>
      <c r="BL52" s="11">
        <v>270000000</v>
      </c>
      <c r="BM52" s="11">
        <v>79442303808</v>
      </c>
    </row>
    <row r="53" spans="1:65" x14ac:dyDescent="0.25">
      <c r="A53" s="32"/>
      <c r="B53" s="10">
        <v>1310</v>
      </c>
      <c r="C53" s="10" t="s">
        <v>111</v>
      </c>
      <c r="D53" s="11">
        <v>502615058530</v>
      </c>
      <c r="E53" s="11">
        <v>4957831626</v>
      </c>
      <c r="F53" s="11">
        <v>0</v>
      </c>
      <c r="G53" s="11">
        <v>0</v>
      </c>
      <c r="H53" s="11">
        <v>507572890156</v>
      </c>
      <c r="I53" s="11">
        <v>42951325086</v>
      </c>
      <c r="J53" s="11">
        <v>464621565070</v>
      </c>
      <c r="K53" s="11">
        <v>444746113004</v>
      </c>
      <c r="L53" s="11">
        <v>62826777152</v>
      </c>
      <c r="M53" s="12">
        <v>14.13</v>
      </c>
      <c r="N53" s="11">
        <v>370793699727</v>
      </c>
      <c r="O53" s="12">
        <v>89.19</v>
      </c>
      <c r="P53" s="12">
        <v>79.81</v>
      </c>
      <c r="Q53" s="12">
        <v>1.71</v>
      </c>
      <c r="R53" s="11">
        <v>444390264091</v>
      </c>
      <c r="S53" s="11">
        <v>8330939996</v>
      </c>
      <c r="T53" s="11">
        <v>7346655954</v>
      </c>
      <c r="U53" s="11">
        <v>984284042</v>
      </c>
      <c r="V53" s="11">
        <v>0</v>
      </c>
      <c r="W53" s="11">
        <v>452721204087</v>
      </c>
      <c r="X53" s="11">
        <v>27337747089</v>
      </c>
      <c r="Y53" s="11">
        <v>8500000000</v>
      </c>
      <c r="Z53" s="11">
        <v>488558951176</v>
      </c>
      <c r="AA53" s="11">
        <v>58633826931</v>
      </c>
      <c r="AB53" s="12">
        <v>672.12</v>
      </c>
      <c r="AC53" s="11">
        <v>374411724255</v>
      </c>
      <c r="AD53" s="11">
        <v>374411724255</v>
      </c>
      <c r="AE53" s="11">
        <v>0</v>
      </c>
      <c r="AF53" s="11">
        <v>0</v>
      </c>
      <c r="AG53" s="11">
        <v>2399220881</v>
      </c>
      <c r="AH53" s="11">
        <v>0</v>
      </c>
      <c r="AI53" s="11">
        <v>0</v>
      </c>
      <c r="AJ53" s="12">
        <v>0</v>
      </c>
      <c r="AK53" s="11">
        <v>0</v>
      </c>
      <c r="AL53" s="12">
        <v>20</v>
      </c>
      <c r="AM53" s="11">
        <v>74248568560</v>
      </c>
      <c r="AN53" s="12">
        <v>4</v>
      </c>
      <c r="AO53" s="11">
        <v>8179000000</v>
      </c>
      <c r="AP53" s="11">
        <v>8330939996</v>
      </c>
      <c r="AQ53" s="11">
        <v>0</v>
      </c>
      <c r="AR53" s="11">
        <v>8330939996</v>
      </c>
      <c r="AS53" s="12"/>
      <c r="AT53" s="11">
        <v>30478220240</v>
      </c>
      <c r="AU53" s="11">
        <v>2544970495</v>
      </c>
      <c r="AV53" s="11">
        <v>10597816362</v>
      </c>
      <c r="AW53" s="11">
        <v>80749506660</v>
      </c>
      <c r="AX53" s="11">
        <v>140537735508</v>
      </c>
      <c r="AY53" s="11">
        <v>270730000000</v>
      </c>
      <c r="AZ53" s="11">
        <v>134427818764</v>
      </c>
      <c r="BA53" s="11">
        <v>507572890156</v>
      </c>
      <c r="BB53" s="12">
        <v>0</v>
      </c>
      <c r="BC53" s="11">
        <v>96305154648</v>
      </c>
      <c r="BD53" s="11">
        <v>140537735508</v>
      </c>
      <c r="BE53" s="11">
        <v>270730000000</v>
      </c>
      <c r="BF53" s="11">
        <v>202469695085</v>
      </c>
      <c r="BG53" s="11">
        <v>171942029170</v>
      </c>
      <c r="BH53" s="11">
        <v>0</v>
      </c>
      <c r="BI53" s="11">
        <v>0</v>
      </c>
      <c r="BJ53" s="11">
        <v>0</v>
      </c>
      <c r="BK53" s="11">
        <v>0</v>
      </c>
      <c r="BL53" s="11">
        <v>0</v>
      </c>
      <c r="BM53" s="11">
        <v>0</v>
      </c>
    </row>
    <row r="54" spans="1:65" x14ac:dyDescent="0.25">
      <c r="A54" s="32"/>
      <c r="B54" s="10">
        <v>1399</v>
      </c>
      <c r="C54" s="10" t="s">
        <v>112</v>
      </c>
      <c r="D54" s="11">
        <v>0</v>
      </c>
      <c r="E54" s="11">
        <v>1574372409</v>
      </c>
      <c r="F54" s="11">
        <v>0</v>
      </c>
      <c r="G54" s="11">
        <v>0</v>
      </c>
      <c r="H54" s="11">
        <v>1574372409</v>
      </c>
      <c r="I54" s="11">
        <v>122472445</v>
      </c>
      <c r="J54" s="11">
        <v>1451899964</v>
      </c>
      <c r="K54" s="11">
        <v>322817781</v>
      </c>
      <c r="L54" s="11">
        <v>1251554628</v>
      </c>
      <c r="M54" s="12">
        <v>387.7</v>
      </c>
      <c r="N54" s="11">
        <v>0</v>
      </c>
      <c r="O54" s="12">
        <v>0</v>
      </c>
      <c r="P54" s="12">
        <v>0</v>
      </c>
      <c r="Q54" s="12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2"/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2">
        <v>0</v>
      </c>
      <c r="AK54" s="11">
        <v>0</v>
      </c>
      <c r="AL54" s="12">
        <v>0</v>
      </c>
      <c r="AM54" s="11">
        <v>0</v>
      </c>
      <c r="AN54" s="12">
        <v>0</v>
      </c>
      <c r="AO54" s="11">
        <v>0</v>
      </c>
      <c r="AP54" s="11">
        <v>0</v>
      </c>
      <c r="AQ54" s="11">
        <v>0</v>
      </c>
      <c r="AR54" s="11">
        <v>0</v>
      </c>
      <c r="AS54" s="12"/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</v>
      </c>
      <c r="BA54" s="11">
        <v>1574372409</v>
      </c>
      <c r="BB54" s="12">
        <v>0</v>
      </c>
      <c r="BC54" s="11">
        <v>1574372409</v>
      </c>
      <c r="BD54" s="11">
        <v>0</v>
      </c>
      <c r="BE54" s="11">
        <v>0</v>
      </c>
      <c r="BF54" s="11">
        <v>0</v>
      </c>
      <c r="BG54" s="11">
        <v>0</v>
      </c>
      <c r="BH54" s="11">
        <v>0</v>
      </c>
      <c r="BI54" s="11">
        <v>0</v>
      </c>
      <c r="BJ54" s="11">
        <v>0</v>
      </c>
      <c r="BK54" s="11">
        <v>0</v>
      </c>
      <c r="BL54" s="11">
        <v>0</v>
      </c>
      <c r="BM54" s="11">
        <v>0</v>
      </c>
    </row>
    <row r="55" spans="1:65" x14ac:dyDescent="0.25">
      <c r="A55" s="14" t="s">
        <v>592</v>
      </c>
      <c r="B55" s="15"/>
      <c r="C55" s="15"/>
      <c r="D55" s="16">
        <v>8652458245463</v>
      </c>
      <c r="E55" s="16">
        <v>613499626339</v>
      </c>
      <c r="F55" s="16">
        <v>9600000000</v>
      </c>
      <c r="G55" s="16">
        <v>80375400</v>
      </c>
      <c r="H55" s="16">
        <v>9275638247202</v>
      </c>
      <c r="I55" s="16">
        <v>747893980035</v>
      </c>
      <c r="J55" s="16">
        <v>8527744267167</v>
      </c>
      <c r="K55" s="16">
        <v>8677603452017</v>
      </c>
      <c r="L55" s="16">
        <v>598034795185</v>
      </c>
      <c r="M55" s="17">
        <v>6.89</v>
      </c>
      <c r="N55" s="16">
        <v>14789024365058</v>
      </c>
      <c r="O55" s="17">
        <v>192.24</v>
      </c>
      <c r="P55" s="17">
        <v>173.42</v>
      </c>
      <c r="Q55" s="17">
        <v>2.2000000000000002</v>
      </c>
      <c r="R55" s="16">
        <v>17437786056268</v>
      </c>
      <c r="S55" s="16">
        <v>393918841025</v>
      </c>
      <c r="T55" s="16">
        <v>276142144485</v>
      </c>
      <c r="U55" s="16">
        <v>62242809151</v>
      </c>
      <c r="V55" s="16">
        <v>55533887389</v>
      </c>
      <c r="W55" s="16">
        <v>17831704897293</v>
      </c>
      <c r="X55" s="16">
        <v>851913347650</v>
      </c>
      <c r="Y55" s="16">
        <v>123466379399</v>
      </c>
      <c r="Z55" s="16">
        <v>18807084624342</v>
      </c>
      <c r="AA55" s="16">
        <v>14715209285304</v>
      </c>
      <c r="AB55" s="17">
        <v>21.18</v>
      </c>
      <c r="AC55" s="16">
        <v>7146837680359</v>
      </c>
      <c r="AD55" s="16">
        <v>6602451884494</v>
      </c>
      <c r="AE55" s="16">
        <v>132665342700</v>
      </c>
      <c r="AF55" s="16">
        <v>156490069268</v>
      </c>
      <c r="AG55" s="16">
        <v>184641904008</v>
      </c>
      <c r="AH55" s="16">
        <v>0</v>
      </c>
      <c r="AI55" s="16">
        <v>12058000000</v>
      </c>
      <c r="AJ55" s="17">
        <v>8</v>
      </c>
      <c r="AK55" s="16">
        <v>574440858759</v>
      </c>
      <c r="AL55" s="17">
        <v>225</v>
      </c>
      <c r="AM55" s="16">
        <v>5349401017835</v>
      </c>
      <c r="AN55" s="18">
        <f>SUM(AN43:AN54)</f>
        <v>252</v>
      </c>
      <c r="AO55" s="16">
        <f>SUM(AO43:AO54)</f>
        <v>1481420008369</v>
      </c>
      <c r="AP55" s="16">
        <v>393918841025</v>
      </c>
      <c r="AQ55" s="16">
        <v>182951406390</v>
      </c>
      <c r="AR55" s="16">
        <v>210967434635</v>
      </c>
      <c r="AS55" s="17">
        <v>115.31</v>
      </c>
      <c r="AT55" s="16">
        <v>5289912413805</v>
      </c>
      <c r="AU55" s="16">
        <v>1203814098848</v>
      </c>
      <c r="AV55" s="16">
        <v>1506065569426</v>
      </c>
      <c r="AW55" s="16">
        <v>1686474616477</v>
      </c>
      <c r="AX55" s="16">
        <v>2522433059560</v>
      </c>
      <c r="AY55" s="16">
        <v>2937485000000</v>
      </c>
      <c r="AZ55" s="16">
        <v>1158954188457</v>
      </c>
      <c r="BA55" s="16">
        <v>9275638247202</v>
      </c>
      <c r="BB55" s="18">
        <v>366802</v>
      </c>
      <c r="BC55" s="16">
        <v>3594151808176</v>
      </c>
      <c r="BD55" s="16">
        <v>2531433059560</v>
      </c>
      <c r="BE55" s="16">
        <v>3150053379466</v>
      </c>
      <c r="BF55" s="16">
        <v>4744162143157</v>
      </c>
      <c r="BG55" s="16">
        <v>2402675537202</v>
      </c>
      <c r="BH55" s="16">
        <v>42241996095</v>
      </c>
      <c r="BI55" s="16">
        <v>0</v>
      </c>
      <c r="BJ55" s="16">
        <v>91213265251</v>
      </c>
      <c r="BK55" s="16">
        <v>433545656</v>
      </c>
      <c r="BL55" s="16">
        <v>37410096161</v>
      </c>
      <c r="BM55" s="16">
        <v>355178384421</v>
      </c>
    </row>
    <row r="56" spans="1:65" x14ac:dyDescent="0.25">
      <c r="A56" s="32" t="s">
        <v>113</v>
      </c>
      <c r="B56" s="10">
        <v>1400</v>
      </c>
      <c r="C56" s="10" t="s">
        <v>113</v>
      </c>
      <c r="D56" s="11">
        <v>5796031569796</v>
      </c>
      <c r="E56" s="11">
        <v>1577257622245</v>
      </c>
      <c r="F56" s="11">
        <v>69857000000</v>
      </c>
      <c r="G56" s="11">
        <v>1962960766856</v>
      </c>
      <c r="H56" s="11">
        <v>9406106958897</v>
      </c>
      <c r="I56" s="11">
        <v>649031742350</v>
      </c>
      <c r="J56" s="11">
        <v>8757075216547</v>
      </c>
      <c r="K56" s="11">
        <v>10586890947403</v>
      </c>
      <c r="L56" s="11">
        <v>-1180783988506</v>
      </c>
      <c r="M56" s="12">
        <v>-11.15</v>
      </c>
      <c r="N56" s="11">
        <v>12509782542519</v>
      </c>
      <c r="O56" s="12">
        <v>165.52</v>
      </c>
      <c r="P56" s="12">
        <v>142.85</v>
      </c>
      <c r="Q56" s="12">
        <v>4.38</v>
      </c>
      <c r="R56" s="11">
        <v>14990756120418</v>
      </c>
      <c r="S56" s="11">
        <v>578494921313</v>
      </c>
      <c r="T56" s="11">
        <v>140186551009</v>
      </c>
      <c r="U56" s="11">
        <v>136073048676</v>
      </c>
      <c r="V56" s="11">
        <v>302235321628</v>
      </c>
      <c r="W56" s="11">
        <v>15569251041731</v>
      </c>
      <c r="X56" s="11">
        <v>549075533714</v>
      </c>
      <c r="Y56" s="11">
        <v>26334631800</v>
      </c>
      <c r="Z56" s="11">
        <v>16144661207245</v>
      </c>
      <c r="AA56" s="11">
        <v>12046035700308</v>
      </c>
      <c r="AB56" s="12">
        <v>29.25</v>
      </c>
      <c r="AC56" s="11">
        <v>24384560418085</v>
      </c>
      <c r="AD56" s="11">
        <v>24043822173920</v>
      </c>
      <c r="AE56" s="11">
        <v>19797819766815</v>
      </c>
      <c r="AF56" s="11">
        <v>130035062654</v>
      </c>
      <c r="AG56" s="11">
        <v>761503022410</v>
      </c>
      <c r="AH56" s="11">
        <v>0</v>
      </c>
      <c r="AI56" s="11">
        <v>94251126022</v>
      </c>
      <c r="AJ56" s="12">
        <v>81</v>
      </c>
      <c r="AK56" s="11">
        <v>27608489513025</v>
      </c>
      <c r="AL56" s="12">
        <v>40</v>
      </c>
      <c r="AM56" s="11">
        <v>3973741821296</v>
      </c>
      <c r="AN56" s="12">
        <v>27</v>
      </c>
      <c r="AO56" s="11">
        <v>555321607973</v>
      </c>
      <c r="AP56" s="11">
        <v>578494921313</v>
      </c>
      <c r="AQ56" s="11">
        <v>302993349478</v>
      </c>
      <c r="AR56" s="11">
        <v>275501571835</v>
      </c>
      <c r="AS56" s="12">
        <v>90.93</v>
      </c>
      <c r="AT56" s="11">
        <v>22779974106722</v>
      </c>
      <c r="AU56" s="11">
        <v>3399376269864</v>
      </c>
      <c r="AV56" s="11">
        <v>1754464058538</v>
      </c>
      <c r="AW56" s="11">
        <v>587795997231</v>
      </c>
      <c r="AX56" s="11">
        <v>3056058514027</v>
      </c>
      <c r="AY56" s="11">
        <v>397713000000</v>
      </c>
      <c r="AZ56" s="11">
        <v>95404240502</v>
      </c>
      <c r="BA56" s="11">
        <v>9406106958897</v>
      </c>
      <c r="BB56" s="13">
        <v>171363</v>
      </c>
      <c r="BC56" s="11">
        <v>5699675631877</v>
      </c>
      <c r="BD56" s="11">
        <v>3125915514027</v>
      </c>
      <c r="BE56" s="11">
        <v>580515812993</v>
      </c>
      <c r="BF56" s="11">
        <v>20624805816346</v>
      </c>
      <c r="BG56" s="11">
        <v>3759754601739</v>
      </c>
      <c r="BH56" s="11">
        <v>3147293949737</v>
      </c>
      <c r="BI56" s="11">
        <v>188963122395</v>
      </c>
      <c r="BJ56" s="11">
        <v>18778243230963</v>
      </c>
      <c r="BK56" s="11">
        <v>122355813600</v>
      </c>
      <c r="BL56" s="11">
        <v>42889100983</v>
      </c>
      <c r="BM56" s="11">
        <v>7679249054</v>
      </c>
    </row>
    <row r="57" spans="1:65" x14ac:dyDescent="0.25">
      <c r="A57" s="32"/>
      <c r="B57" s="10">
        <v>1401</v>
      </c>
      <c r="C57" s="10" t="s">
        <v>114</v>
      </c>
      <c r="D57" s="11">
        <v>1310565231771</v>
      </c>
      <c r="E57" s="11">
        <v>729308976121</v>
      </c>
      <c r="F57" s="11">
        <v>0</v>
      </c>
      <c r="G57" s="11">
        <v>0</v>
      </c>
      <c r="H57" s="11">
        <v>2039874207892</v>
      </c>
      <c r="I57" s="11">
        <v>179201960888</v>
      </c>
      <c r="J57" s="11">
        <v>1860672247004</v>
      </c>
      <c r="K57" s="11">
        <v>2472821535580</v>
      </c>
      <c r="L57" s="11">
        <v>-432947327688</v>
      </c>
      <c r="M57" s="12">
        <v>-17.510000000000002</v>
      </c>
      <c r="N57" s="11">
        <v>1575458617972</v>
      </c>
      <c r="O57" s="12">
        <v>83.53</v>
      </c>
      <c r="P57" s="12">
        <v>84.67</v>
      </c>
      <c r="Q57" s="12">
        <v>3.56</v>
      </c>
      <c r="R57" s="11">
        <v>1642205203236</v>
      </c>
      <c r="S57" s="11">
        <v>61707677036</v>
      </c>
      <c r="T57" s="11">
        <v>61707677036</v>
      </c>
      <c r="U57" s="11">
        <v>0</v>
      </c>
      <c r="V57" s="11">
        <v>0</v>
      </c>
      <c r="W57" s="11">
        <v>1703912880272</v>
      </c>
      <c r="X57" s="11">
        <v>27839535849</v>
      </c>
      <c r="Y57" s="11">
        <v>2000000000</v>
      </c>
      <c r="Z57" s="11">
        <v>1733752416121</v>
      </c>
      <c r="AA57" s="11">
        <v>2333586172243</v>
      </c>
      <c r="AB57" s="12">
        <v>-26.98</v>
      </c>
      <c r="AC57" s="11">
        <v>1972916241745</v>
      </c>
      <c r="AD57" s="11">
        <v>1972916241745</v>
      </c>
      <c r="AE57" s="11">
        <v>1195229615669</v>
      </c>
      <c r="AF57" s="11">
        <v>0</v>
      </c>
      <c r="AG57" s="11">
        <v>16000000000</v>
      </c>
      <c r="AH57" s="11">
        <v>0</v>
      </c>
      <c r="AI57" s="11">
        <v>0</v>
      </c>
      <c r="AJ57" s="12">
        <v>38</v>
      </c>
      <c r="AK57" s="11">
        <v>1607104783302</v>
      </c>
      <c r="AL57" s="12">
        <v>99</v>
      </c>
      <c r="AM57" s="11">
        <v>4538576389060</v>
      </c>
      <c r="AN57" s="12">
        <v>123</v>
      </c>
      <c r="AO57" s="11">
        <v>3495476753025</v>
      </c>
      <c r="AP57" s="11">
        <v>61707677036</v>
      </c>
      <c r="AQ57" s="11">
        <v>57308745154</v>
      </c>
      <c r="AR57" s="11">
        <v>4398931882</v>
      </c>
      <c r="AS57" s="12">
        <v>7.68</v>
      </c>
      <c r="AT57" s="11">
        <v>2836134481682</v>
      </c>
      <c r="AU57" s="11">
        <v>344801042227</v>
      </c>
      <c r="AV57" s="11">
        <v>719745101133</v>
      </c>
      <c r="AW57" s="11">
        <v>133646067687</v>
      </c>
      <c r="AX57" s="11">
        <v>248477262951</v>
      </c>
      <c r="AY57" s="11">
        <v>208696800000</v>
      </c>
      <c r="AZ57" s="11">
        <v>125120558703</v>
      </c>
      <c r="BA57" s="11">
        <v>2039874207892</v>
      </c>
      <c r="BB57" s="13">
        <v>93958</v>
      </c>
      <c r="BC57" s="11">
        <v>1582700144941</v>
      </c>
      <c r="BD57" s="11">
        <v>248477262951</v>
      </c>
      <c r="BE57" s="11">
        <v>208696800000</v>
      </c>
      <c r="BF57" s="11">
        <v>1623445988351</v>
      </c>
      <c r="BG57" s="11">
        <v>349470253394</v>
      </c>
      <c r="BH57" s="11">
        <v>215209636241</v>
      </c>
      <c r="BI57" s="11">
        <v>0</v>
      </c>
      <c r="BJ57" s="11">
        <v>1702024393822</v>
      </c>
      <c r="BK57" s="11">
        <v>0</v>
      </c>
      <c r="BL57" s="11">
        <v>0</v>
      </c>
      <c r="BM57" s="11">
        <v>0</v>
      </c>
    </row>
    <row r="58" spans="1:65" x14ac:dyDescent="0.25">
      <c r="A58" s="32"/>
      <c r="B58" s="10">
        <v>1402</v>
      </c>
      <c r="C58" s="10" t="s">
        <v>115</v>
      </c>
      <c r="D58" s="11">
        <v>1081082367301</v>
      </c>
      <c r="E58" s="11">
        <v>82914255941</v>
      </c>
      <c r="F58" s="11">
        <v>0</v>
      </c>
      <c r="G58" s="11">
        <v>0</v>
      </c>
      <c r="H58" s="11">
        <v>1163996623242</v>
      </c>
      <c r="I58" s="11">
        <v>88392905602</v>
      </c>
      <c r="J58" s="11">
        <v>1075603717640</v>
      </c>
      <c r="K58" s="11">
        <v>998153209900</v>
      </c>
      <c r="L58" s="11">
        <v>165843413342</v>
      </c>
      <c r="M58" s="12">
        <v>16.62</v>
      </c>
      <c r="N58" s="11">
        <v>608568262284</v>
      </c>
      <c r="O58" s="12">
        <v>59.19</v>
      </c>
      <c r="P58" s="12">
        <v>56.58</v>
      </c>
      <c r="Q58" s="12">
        <v>0.75</v>
      </c>
      <c r="R58" s="11">
        <v>683817315006</v>
      </c>
      <c r="S58" s="11">
        <v>5190591156</v>
      </c>
      <c r="T58" s="11">
        <v>5124345697</v>
      </c>
      <c r="U58" s="11">
        <v>66245459</v>
      </c>
      <c r="V58" s="11">
        <v>0</v>
      </c>
      <c r="W58" s="11">
        <v>689007906162</v>
      </c>
      <c r="X58" s="11">
        <v>29447715349</v>
      </c>
      <c r="Y58" s="11">
        <v>3001260000</v>
      </c>
      <c r="Z58" s="11">
        <v>721456881511</v>
      </c>
      <c r="AA58" s="11">
        <v>785483701646</v>
      </c>
      <c r="AB58" s="12">
        <v>-12.28</v>
      </c>
      <c r="AC58" s="11">
        <v>919381011057</v>
      </c>
      <c r="AD58" s="11">
        <v>919381011057</v>
      </c>
      <c r="AE58" s="11">
        <v>585891160444</v>
      </c>
      <c r="AF58" s="11">
        <v>0</v>
      </c>
      <c r="AG58" s="11">
        <v>0</v>
      </c>
      <c r="AH58" s="11">
        <v>0</v>
      </c>
      <c r="AI58" s="11">
        <v>0</v>
      </c>
      <c r="AJ58" s="12">
        <v>10</v>
      </c>
      <c r="AK58" s="11">
        <v>1396786165000</v>
      </c>
      <c r="AL58" s="12">
        <v>39</v>
      </c>
      <c r="AM58" s="11">
        <v>425709073527</v>
      </c>
      <c r="AN58" s="12">
        <v>38</v>
      </c>
      <c r="AO58" s="11">
        <v>203701088272</v>
      </c>
      <c r="AP58" s="11">
        <v>5190591156</v>
      </c>
      <c r="AQ58" s="11">
        <v>3416185088</v>
      </c>
      <c r="AR58" s="11">
        <v>1774406068</v>
      </c>
      <c r="AS58" s="12">
        <v>51.94</v>
      </c>
      <c r="AT58" s="11">
        <v>1117965872608</v>
      </c>
      <c r="AU58" s="11">
        <v>234298087197</v>
      </c>
      <c r="AV58" s="11">
        <v>265597437612</v>
      </c>
      <c r="AW58" s="11">
        <v>65986866082</v>
      </c>
      <c r="AX58" s="11">
        <v>363583763607</v>
      </c>
      <c r="AY58" s="11">
        <v>385914300000</v>
      </c>
      <c r="AZ58" s="11">
        <v>146870809510</v>
      </c>
      <c r="BA58" s="11">
        <v>1163996623242</v>
      </c>
      <c r="BB58" s="13">
        <v>92165</v>
      </c>
      <c r="BC58" s="11">
        <v>414498559635</v>
      </c>
      <c r="BD58" s="11">
        <v>363149763607</v>
      </c>
      <c r="BE58" s="11">
        <v>386348300000</v>
      </c>
      <c r="BF58" s="11">
        <v>845328546057</v>
      </c>
      <c r="BG58" s="11">
        <v>74052465000</v>
      </c>
      <c r="BH58" s="11">
        <v>4733936431</v>
      </c>
      <c r="BI58" s="11">
        <v>0</v>
      </c>
      <c r="BJ58" s="11">
        <v>780571014444</v>
      </c>
      <c r="BK58" s="11">
        <v>0</v>
      </c>
      <c r="BL58" s="11">
        <v>0</v>
      </c>
      <c r="BM58" s="11">
        <v>0</v>
      </c>
    </row>
    <row r="59" spans="1:65" x14ac:dyDescent="0.25">
      <c r="A59" s="32"/>
      <c r="B59" s="10">
        <v>1403</v>
      </c>
      <c r="C59" s="10" t="s">
        <v>116</v>
      </c>
      <c r="D59" s="11">
        <v>1557879819876</v>
      </c>
      <c r="E59" s="11">
        <v>28379171241</v>
      </c>
      <c r="F59" s="11">
        <v>0</v>
      </c>
      <c r="G59" s="11">
        <v>0</v>
      </c>
      <c r="H59" s="11">
        <v>1586258991117</v>
      </c>
      <c r="I59" s="11">
        <v>132231846315</v>
      </c>
      <c r="J59" s="11">
        <v>1454027144802</v>
      </c>
      <c r="K59" s="11">
        <v>1334757047788</v>
      </c>
      <c r="L59" s="11">
        <v>251501943329</v>
      </c>
      <c r="M59" s="12">
        <v>18.84</v>
      </c>
      <c r="N59" s="11">
        <v>1279196812878</v>
      </c>
      <c r="O59" s="12">
        <v>88.18</v>
      </c>
      <c r="P59" s="12">
        <v>87.98</v>
      </c>
      <c r="Q59" s="12">
        <v>8.69</v>
      </c>
      <c r="R59" s="11">
        <v>1283350504551</v>
      </c>
      <c r="S59" s="11">
        <v>115354364251</v>
      </c>
      <c r="T59" s="11">
        <v>12377650685</v>
      </c>
      <c r="U59" s="11">
        <v>9940876471</v>
      </c>
      <c r="V59" s="11">
        <v>93035837095</v>
      </c>
      <c r="W59" s="11">
        <v>1398704868802</v>
      </c>
      <c r="X59" s="11">
        <v>59227042867</v>
      </c>
      <c r="Y59" s="11">
        <v>0</v>
      </c>
      <c r="Z59" s="11">
        <v>1457931911669</v>
      </c>
      <c r="AA59" s="11">
        <v>1076388640918</v>
      </c>
      <c r="AB59" s="12">
        <v>29.94</v>
      </c>
      <c r="AC59" s="11">
        <v>988222358796</v>
      </c>
      <c r="AD59" s="11">
        <v>988222358796</v>
      </c>
      <c r="AE59" s="11">
        <v>402067199296</v>
      </c>
      <c r="AF59" s="11">
        <v>0</v>
      </c>
      <c r="AG59" s="11">
        <v>0</v>
      </c>
      <c r="AH59" s="11">
        <v>0</v>
      </c>
      <c r="AI59" s="11">
        <v>0</v>
      </c>
      <c r="AJ59" s="12">
        <v>3</v>
      </c>
      <c r="AK59" s="11">
        <v>224412007100</v>
      </c>
      <c r="AL59" s="12">
        <v>30</v>
      </c>
      <c r="AM59" s="11">
        <v>258387868019</v>
      </c>
      <c r="AN59" s="12">
        <v>16</v>
      </c>
      <c r="AO59" s="11">
        <v>107969398896</v>
      </c>
      <c r="AP59" s="11">
        <v>115354364251</v>
      </c>
      <c r="AQ59" s="11">
        <v>30392456716</v>
      </c>
      <c r="AR59" s="11">
        <v>84961907535</v>
      </c>
      <c r="AS59" s="12">
        <v>279.55</v>
      </c>
      <c r="AT59" s="11">
        <v>843260611948</v>
      </c>
      <c r="AU59" s="11">
        <v>286442559627</v>
      </c>
      <c r="AV59" s="11">
        <v>325620439211</v>
      </c>
      <c r="AW59" s="11">
        <v>193910488713</v>
      </c>
      <c r="AX59" s="11">
        <v>351326991952</v>
      </c>
      <c r="AY59" s="11">
        <v>687021900000</v>
      </c>
      <c r="AZ59" s="11">
        <v>142326359157</v>
      </c>
      <c r="BA59" s="11">
        <v>1586258991117</v>
      </c>
      <c r="BB59" s="13">
        <v>139354</v>
      </c>
      <c r="BC59" s="11">
        <v>547910099165</v>
      </c>
      <c r="BD59" s="11">
        <v>348415791952</v>
      </c>
      <c r="BE59" s="11">
        <v>689933100000</v>
      </c>
      <c r="BF59" s="11">
        <v>852874348796</v>
      </c>
      <c r="BG59" s="11">
        <v>135348010000</v>
      </c>
      <c r="BH59" s="11">
        <v>0</v>
      </c>
      <c r="BI59" s="11">
        <v>86015544952</v>
      </c>
      <c r="BJ59" s="11">
        <v>319787854465</v>
      </c>
      <c r="BK59" s="11">
        <v>0</v>
      </c>
      <c r="BL59" s="11">
        <v>0</v>
      </c>
      <c r="BM59" s="11">
        <v>0</v>
      </c>
    </row>
    <row r="60" spans="1:65" x14ac:dyDescent="0.25">
      <c r="A60" s="32"/>
      <c r="B60" s="10">
        <v>1404</v>
      </c>
      <c r="C60" s="10" t="s">
        <v>117</v>
      </c>
      <c r="D60" s="11">
        <v>1880797153014</v>
      </c>
      <c r="E60" s="11">
        <v>297227002099</v>
      </c>
      <c r="F60" s="11">
        <v>0</v>
      </c>
      <c r="G60" s="11">
        <v>2765687761</v>
      </c>
      <c r="H60" s="11">
        <v>2180789842874</v>
      </c>
      <c r="I60" s="11">
        <v>180525661298</v>
      </c>
      <c r="J60" s="11">
        <v>2000264181576</v>
      </c>
      <c r="K60" s="11">
        <v>1397807463576</v>
      </c>
      <c r="L60" s="11">
        <v>782982379298</v>
      </c>
      <c r="M60" s="12">
        <v>56.02</v>
      </c>
      <c r="N60" s="11">
        <v>2110206415729</v>
      </c>
      <c r="O60" s="12">
        <v>103.23</v>
      </c>
      <c r="P60" s="12">
        <v>105.5</v>
      </c>
      <c r="Q60" s="12">
        <v>19.350000000000001</v>
      </c>
      <c r="R60" s="11">
        <v>1984937114693</v>
      </c>
      <c r="S60" s="11">
        <v>266285394611</v>
      </c>
      <c r="T60" s="11">
        <v>1746685646</v>
      </c>
      <c r="U60" s="11">
        <v>5936322083</v>
      </c>
      <c r="V60" s="11">
        <v>258602386882</v>
      </c>
      <c r="W60" s="11">
        <v>2251222509304</v>
      </c>
      <c r="X60" s="11">
        <v>370887683755</v>
      </c>
      <c r="Y60" s="11">
        <v>16753000000</v>
      </c>
      <c r="Z60" s="11">
        <v>2638863193059</v>
      </c>
      <c r="AA60" s="11">
        <v>1988993614745</v>
      </c>
      <c r="AB60" s="12">
        <v>13.18</v>
      </c>
      <c r="AC60" s="11">
        <v>2178271600244</v>
      </c>
      <c r="AD60" s="11">
        <v>2178271600244</v>
      </c>
      <c r="AE60" s="11">
        <v>1341140970386</v>
      </c>
      <c r="AF60" s="11">
        <v>4270557823</v>
      </c>
      <c r="AG60" s="11">
        <v>218215215849</v>
      </c>
      <c r="AH60" s="11">
        <v>0</v>
      </c>
      <c r="AI60" s="11">
        <v>0</v>
      </c>
      <c r="AJ60" s="12">
        <v>24</v>
      </c>
      <c r="AK60" s="11">
        <v>3794513206445</v>
      </c>
      <c r="AL60" s="12">
        <v>184</v>
      </c>
      <c r="AM60" s="11">
        <v>1791100154358</v>
      </c>
      <c r="AN60" s="12">
        <v>49</v>
      </c>
      <c r="AO60" s="11">
        <v>264029526883</v>
      </c>
      <c r="AP60" s="11">
        <v>266285394611</v>
      </c>
      <c r="AQ60" s="11">
        <v>270560284918</v>
      </c>
      <c r="AR60" s="11">
        <v>-4274890307</v>
      </c>
      <c r="AS60" s="12">
        <v>-1.58</v>
      </c>
      <c r="AT60" s="11">
        <v>2102053976419</v>
      </c>
      <c r="AU60" s="11">
        <v>431176219466</v>
      </c>
      <c r="AV60" s="11">
        <v>656678148800</v>
      </c>
      <c r="AW60" s="11">
        <v>137369672908</v>
      </c>
      <c r="AX60" s="11">
        <v>254675831306</v>
      </c>
      <c r="AY60" s="11">
        <v>832073500000</v>
      </c>
      <c r="AZ60" s="11">
        <v>110358909875</v>
      </c>
      <c r="BA60" s="11">
        <v>2180789842874</v>
      </c>
      <c r="BB60" s="13">
        <v>67413</v>
      </c>
      <c r="BC60" s="11">
        <v>989950005623</v>
      </c>
      <c r="BD60" s="11">
        <v>254675831306</v>
      </c>
      <c r="BE60" s="11">
        <v>936164005945</v>
      </c>
      <c r="BF60" s="11">
        <v>846403964495</v>
      </c>
      <c r="BG60" s="11">
        <v>1331867635749</v>
      </c>
      <c r="BH60" s="11">
        <v>111084414883</v>
      </c>
      <c r="BI60" s="11">
        <v>194009758627</v>
      </c>
      <c r="BJ60" s="11">
        <v>1208933587719</v>
      </c>
      <c r="BK60" s="11">
        <v>0</v>
      </c>
      <c r="BL60" s="11">
        <v>0</v>
      </c>
      <c r="BM60" s="11">
        <v>4270557823</v>
      </c>
    </row>
    <row r="61" spans="1:65" x14ac:dyDescent="0.25">
      <c r="A61" s="32"/>
      <c r="B61" s="10">
        <v>1405</v>
      </c>
      <c r="C61" s="10" t="s">
        <v>118</v>
      </c>
      <c r="D61" s="11">
        <v>522856456335</v>
      </c>
      <c r="E61" s="11">
        <v>83936598915</v>
      </c>
      <c r="F61" s="11">
        <v>0</v>
      </c>
      <c r="G61" s="11">
        <v>0</v>
      </c>
      <c r="H61" s="11">
        <v>606793055250</v>
      </c>
      <c r="I61" s="11">
        <v>47419423170</v>
      </c>
      <c r="J61" s="11">
        <v>559373632080</v>
      </c>
      <c r="K61" s="11">
        <v>560660414066</v>
      </c>
      <c r="L61" s="11">
        <v>46132641184</v>
      </c>
      <c r="M61" s="12">
        <v>8.23</v>
      </c>
      <c r="N61" s="11">
        <v>811461508169</v>
      </c>
      <c r="O61" s="12">
        <v>143.06</v>
      </c>
      <c r="P61" s="12">
        <v>145.07</v>
      </c>
      <c r="Q61" s="12">
        <v>1.37</v>
      </c>
      <c r="R61" s="11">
        <v>856083437845</v>
      </c>
      <c r="S61" s="11">
        <v>12019233611</v>
      </c>
      <c r="T61" s="11">
        <v>5945328537</v>
      </c>
      <c r="U61" s="11">
        <v>436213570</v>
      </c>
      <c r="V61" s="11">
        <v>5637691504</v>
      </c>
      <c r="W61" s="11">
        <v>868102671456</v>
      </c>
      <c r="X61" s="11">
        <v>42290904675</v>
      </c>
      <c r="Y61" s="11">
        <v>8000000000</v>
      </c>
      <c r="Z61" s="11">
        <v>918393576131</v>
      </c>
      <c r="AA61" s="11">
        <v>784343067521</v>
      </c>
      <c r="AB61" s="12">
        <v>10.68</v>
      </c>
      <c r="AC61" s="11">
        <v>604647063865</v>
      </c>
      <c r="AD61" s="11">
        <v>604647063865</v>
      </c>
      <c r="AE61" s="11">
        <v>359127275883</v>
      </c>
      <c r="AF61" s="11">
        <v>45331982</v>
      </c>
      <c r="AG61" s="11">
        <v>0</v>
      </c>
      <c r="AH61" s="11">
        <v>0</v>
      </c>
      <c r="AI61" s="11">
        <v>0</v>
      </c>
      <c r="AJ61" s="12">
        <v>3</v>
      </c>
      <c r="AK61" s="11">
        <v>565600000000</v>
      </c>
      <c r="AL61" s="12">
        <v>20</v>
      </c>
      <c r="AM61" s="11">
        <v>444371849730</v>
      </c>
      <c r="AN61" s="12">
        <v>9</v>
      </c>
      <c r="AO61" s="11">
        <v>13251842906</v>
      </c>
      <c r="AP61" s="11">
        <v>12019233611</v>
      </c>
      <c r="AQ61" s="11">
        <v>10762937209</v>
      </c>
      <c r="AR61" s="11">
        <v>1256296402</v>
      </c>
      <c r="AS61" s="12">
        <v>11.67</v>
      </c>
      <c r="AT61" s="11">
        <v>586992262845</v>
      </c>
      <c r="AU61" s="11">
        <v>55798861712</v>
      </c>
      <c r="AV61" s="11">
        <v>212887085919</v>
      </c>
      <c r="AW61" s="11">
        <v>54126299470</v>
      </c>
      <c r="AX61" s="11">
        <v>86507070946</v>
      </c>
      <c r="AY61" s="11">
        <v>169336000000</v>
      </c>
      <c r="AZ61" s="11">
        <v>48292364569</v>
      </c>
      <c r="BA61" s="11">
        <v>606793055250</v>
      </c>
      <c r="BB61" s="13">
        <v>84807</v>
      </c>
      <c r="BC61" s="11">
        <v>350949984304</v>
      </c>
      <c r="BD61" s="11">
        <v>86507070946</v>
      </c>
      <c r="BE61" s="11">
        <v>169336000000</v>
      </c>
      <c r="BF61" s="11">
        <v>107664987982</v>
      </c>
      <c r="BG61" s="11">
        <v>496982075883</v>
      </c>
      <c r="BH61" s="11">
        <v>93706228434</v>
      </c>
      <c r="BI61" s="11">
        <v>0</v>
      </c>
      <c r="BJ61" s="11">
        <v>277700975861</v>
      </c>
      <c r="BK61" s="11">
        <v>0</v>
      </c>
      <c r="BL61" s="11">
        <v>648000000</v>
      </c>
      <c r="BM61" s="11">
        <v>45388892</v>
      </c>
    </row>
    <row r="62" spans="1:65" x14ac:dyDescent="0.25">
      <c r="A62" s="32"/>
      <c r="B62" s="10">
        <v>1406</v>
      </c>
      <c r="C62" s="10" t="s">
        <v>119</v>
      </c>
      <c r="D62" s="11">
        <v>816772459371</v>
      </c>
      <c r="E62" s="11">
        <v>85637215942</v>
      </c>
      <c r="F62" s="11">
        <v>0</v>
      </c>
      <c r="G62" s="11">
        <v>0</v>
      </c>
      <c r="H62" s="11">
        <v>902409675313</v>
      </c>
      <c r="I62" s="11">
        <v>74103343708</v>
      </c>
      <c r="J62" s="11">
        <v>828306331605</v>
      </c>
      <c r="K62" s="11">
        <v>911812264119</v>
      </c>
      <c r="L62" s="11">
        <v>-9402588806</v>
      </c>
      <c r="M62" s="12">
        <v>-1.03</v>
      </c>
      <c r="N62" s="11">
        <v>929110841729</v>
      </c>
      <c r="O62" s="12">
        <v>111.69</v>
      </c>
      <c r="P62" s="12">
        <v>112.17</v>
      </c>
      <c r="Q62" s="12">
        <v>0.87</v>
      </c>
      <c r="R62" s="11">
        <v>1001206643980</v>
      </c>
      <c r="S62" s="11">
        <v>6690103442</v>
      </c>
      <c r="T62" s="11">
        <v>6690103442</v>
      </c>
      <c r="U62" s="11">
        <v>0</v>
      </c>
      <c r="V62" s="11">
        <v>0</v>
      </c>
      <c r="W62" s="11">
        <v>1007896747422</v>
      </c>
      <c r="X62" s="11">
        <v>61178228518</v>
      </c>
      <c r="Y62" s="11">
        <v>12971900000</v>
      </c>
      <c r="Z62" s="11">
        <v>1082046875940</v>
      </c>
      <c r="AA62" s="11">
        <v>589476323140</v>
      </c>
      <c r="AB62" s="12">
        <v>70.98</v>
      </c>
      <c r="AC62" s="11">
        <v>798043770985</v>
      </c>
      <c r="AD62" s="11">
        <v>798043770985</v>
      </c>
      <c r="AE62" s="11">
        <v>164550021658</v>
      </c>
      <c r="AF62" s="11">
        <v>0</v>
      </c>
      <c r="AG62" s="11">
        <v>0</v>
      </c>
      <c r="AH62" s="11">
        <v>0</v>
      </c>
      <c r="AI62" s="11">
        <v>0</v>
      </c>
      <c r="AJ62" s="12">
        <v>4</v>
      </c>
      <c r="AK62" s="11">
        <v>208060000000</v>
      </c>
      <c r="AL62" s="12">
        <v>65</v>
      </c>
      <c r="AM62" s="11">
        <v>749097472819</v>
      </c>
      <c r="AN62" s="12">
        <v>37</v>
      </c>
      <c r="AO62" s="11">
        <v>97414099350</v>
      </c>
      <c r="AP62" s="11">
        <v>6690103442</v>
      </c>
      <c r="AQ62" s="11">
        <v>3783911747</v>
      </c>
      <c r="AR62" s="11">
        <v>2906191695</v>
      </c>
      <c r="AS62" s="12">
        <v>76.8</v>
      </c>
      <c r="AT62" s="11">
        <v>450591603118</v>
      </c>
      <c r="AU62" s="11">
        <v>203282257939</v>
      </c>
      <c r="AV62" s="11">
        <v>170037712687</v>
      </c>
      <c r="AW62" s="11">
        <v>182550784398</v>
      </c>
      <c r="AX62" s="11">
        <v>169625962286</v>
      </c>
      <c r="AY62" s="11">
        <v>294558000000</v>
      </c>
      <c r="AZ62" s="11">
        <v>89767119719</v>
      </c>
      <c r="BA62" s="11">
        <v>902409675313</v>
      </c>
      <c r="BB62" s="13">
        <v>64773</v>
      </c>
      <c r="BC62" s="11">
        <v>436617403669</v>
      </c>
      <c r="BD62" s="11">
        <v>169625962286</v>
      </c>
      <c r="BE62" s="11">
        <v>296166309358</v>
      </c>
      <c r="BF62" s="11">
        <v>760743770985</v>
      </c>
      <c r="BG62" s="11">
        <v>37300000000</v>
      </c>
      <c r="BH62" s="11">
        <v>0</v>
      </c>
      <c r="BI62" s="11">
        <v>0</v>
      </c>
      <c r="BJ62" s="11">
        <v>172801949965</v>
      </c>
      <c r="BK62" s="11">
        <v>0</v>
      </c>
      <c r="BL62" s="11">
        <v>0</v>
      </c>
      <c r="BM62" s="11">
        <v>0</v>
      </c>
    </row>
    <row r="63" spans="1:65" x14ac:dyDescent="0.25">
      <c r="A63" s="32"/>
      <c r="B63" s="10">
        <v>1407</v>
      </c>
      <c r="C63" s="10" t="s">
        <v>120</v>
      </c>
      <c r="D63" s="11">
        <v>1428139413768</v>
      </c>
      <c r="E63" s="11">
        <v>37780627141</v>
      </c>
      <c r="F63" s="11">
        <v>0</v>
      </c>
      <c r="G63" s="11">
        <v>0</v>
      </c>
      <c r="H63" s="11">
        <v>1465920040909</v>
      </c>
      <c r="I63" s="11">
        <v>111945548392</v>
      </c>
      <c r="J63" s="11">
        <v>1353974492517</v>
      </c>
      <c r="K63" s="11">
        <v>1960893224690</v>
      </c>
      <c r="L63" s="11">
        <v>-494973183781</v>
      </c>
      <c r="M63" s="12">
        <v>-25.24</v>
      </c>
      <c r="N63" s="11">
        <v>1567977533304</v>
      </c>
      <c r="O63" s="12">
        <v>116.58</v>
      </c>
      <c r="P63" s="12">
        <v>115.81</v>
      </c>
      <c r="Q63" s="12">
        <v>0.45</v>
      </c>
      <c r="R63" s="11">
        <v>1701551614522</v>
      </c>
      <c r="S63" s="11">
        <v>7415907724</v>
      </c>
      <c r="T63" s="11">
        <v>2792698385</v>
      </c>
      <c r="U63" s="11">
        <v>1429494455</v>
      </c>
      <c r="V63" s="11">
        <v>3193714884</v>
      </c>
      <c r="W63" s="11">
        <v>1708967522246</v>
      </c>
      <c r="X63" s="11">
        <v>50671041095</v>
      </c>
      <c r="Y63" s="11">
        <v>500000000</v>
      </c>
      <c r="Z63" s="11">
        <v>1760138563341</v>
      </c>
      <c r="AA63" s="11">
        <v>1850422182093</v>
      </c>
      <c r="AB63" s="12">
        <v>-7.64</v>
      </c>
      <c r="AC63" s="11">
        <v>1510600350137</v>
      </c>
      <c r="AD63" s="11">
        <v>1510600350137</v>
      </c>
      <c r="AE63" s="11">
        <v>960597347600</v>
      </c>
      <c r="AF63" s="11">
        <v>0</v>
      </c>
      <c r="AG63" s="11">
        <v>0</v>
      </c>
      <c r="AH63" s="11">
        <v>0</v>
      </c>
      <c r="AI63" s="11">
        <v>0</v>
      </c>
      <c r="AJ63" s="12">
        <v>34</v>
      </c>
      <c r="AK63" s="11">
        <v>1222473038600</v>
      </c>
      <c r="AL63" s="12">
        <v>39</v>
      </c>
      <c r="AM63" s="11">
        <v>444082505015</v>
      </c>
      <c r="AN63" s="12">
        <v>31</v>
      </c>
      <c r="AO63" s="11">
        <v>431830783247</v>
      </c>
      <c r="AP63" s="11">
        <v>7415907724</v>
      </c>
      <c r="AQ63" s="11">
        <v>6317434186</v>
      </c>
      <c r="AR63" s="11">
        <v>1098473538</v>
      </c>
      <c r="AS63" s="12">
        <v>17.39</v>
      </c>
      <c r="AT63" s="11">
        <v>1918997764530</v>
      </c>
      <c r="AU63" s="11">
        <v>596216655279</v>
      </c>
      <c r="AV63" s="11">
        <v>906166740373</v>
      </c>
      <c r="AW63" s="11">
        <v>139601168290</v>
      </c>
      <c r="AX63" s="11">
        <v>193723505105</v>
      </c>
      <c r="AY63" s="11">
        <v>188648000000</v>
      </c>
      <c r="AZ63" s="11">
        <v>125013147354</v>
      </c>
      <c r="BA63" s="11">
        <v>1465920040909</v>
      </c>
      <c r="BB63" s="13">
        <v>54310</v>
      </c>
      <c r="BC63" s="11">
        <v>1083514656634</v>
      </c>
      <c r="BD63" s="11">
        <v>193723505105</v>
      </c>
      <c r="BE63" s="11">
        <v>188681879170</v>
      </c>
      <c r="BF63" s="11">
        <v>1208314312672</v>
      </c>
      <c r="BG63" s="11">
        <v>302286037465</v>
      </c>
      <c r="BH63" s="11">
        <v>351199335091</v>
      </c>
      <c r="BI63" s="11">
        <v>0</v>
      </c>
      <c r="BJ63" s="11">
        <v>1249748784286</v>
      </c>
      <c r="BK63" s="11">
        <v>0</v>
      </c>
      <c r="BL63" s="11">
        <v>0</v>
      </c>
      <c r="BM63" s="11">
        <v>0</v>
      </c>
    </row>
    <row r="64" spans="1:65" x14ac:dyDescent="0.25">
      <c r="A64" s="32"/>
      <c r="B64" s="10">
        <v>1408</v>
      </c>
      <c r="C64" s="10" t="s">
        <v>121</v>
      </c>
      <c r="D64" s="11">
        <v>1002888655879</v>
      </c>
      <c r="E64" s="11">
        <v>4650195438</v>
      </c>
      <c r="F64" s="11">
        <v>0</v>
      </c>
      <c r="G64" s="11">
        <v>0</v>
      </c>
      <c r="H64" s="11">
        <v>1007538851317</v>
      </c>
      <c r="I64" s="11">
        <v>82513269408</v>
      </c>
      <c r="J64" s="11">
        <v>925025581909</v>
      </c>
      <c r="K64" s="11">
        <v>1123284440775</v>
      </c>
      <c r="L64" s="11">
        <v>-115745589458</v>
      </c>
      <c r="M64" s="12">
        <v>-10.3</v>
      </c>
      <c r="N64" s="11">
        <v>756015571882</v>
      </c>
      <c r="O64" s="12">
        <v>83.73</v>
      </c>
      <c r="P64" s="12">
        <v>81.73</v>
      </c>
      <c r="Q64" s="12">
        <v>2.0299999999999998</v>
      </c>
      <c r="R64" s="11">
        <v>825191126343</v>
      </c>
      <c r="S64" s="11">
        <v>18413416155</v>
      </c>
      <c r="T64" s="11">
        <v>16653439995</v>
      </c>
      <c r="U64" s="11">
        <v>1759976160</v>
      </c>
      <c r="V64" s="11">
        <v>0</v>
      </c>
      <c r="W64" s="11">
        <v>843604542498</v>
      </c>
      <c r="X64" s="11">
        <v>50362637874</v>
      </c>
      <c r="Y64" s="11">
        <v>12600000000</v>
      </c>
      <c r="Z64" s="11">
        <v>906567180372</v>
      </c>
      <c r="AA64" s="11">
        <v>771071802433</v>
      </c>
      <c r="AB64" s="12">
        <v>9.41</v>
      </c>
      <c r="AC64" s="11">
        <v>264283344753</v>
      </c>
      <c r="AD64" s="11">
        <v>264283344753</v>
      </c>
      <c r="AE64" s="11">
        <v>0</v>
      </c>
      <c r="AF64" s="11">
        <v>0</v>
      </c>
      <c r="AG64" s="11">
        <v>0</v>
      </c>
      <c r="AH64" s="11">
        <v>0</v>
      </c>
      <c r="AI64" s="11">
        <v>1412938286</v>
      </c>
      <c r="AJ64" s="12">
        <v>0</v>
      </c>
      <c r="AK64" s="11">
        <v>0</v>
      </c>
      <c r="AL64" s="12">
        <v>17</v>
      </c>
      <c r="AM64" s="11">
        <v>56586875000</v>
      </c>
      <c r="AN64" s="12">
        <v>2</v>
      </c>
      <c r="AO64" s="11">
        <v>4309077350</v>
      </c>
      <c r="AP64" s="11">
        <v>18413416155</v>
      </c>
      <c r="AQ64" s="11">
        <v>13902588427</v>
      </c>
      <c r="AR64" s="11">
        <v>4510827728</v>
      </c>
      <c r="AS64" s="12">
        <v>32.450000000000003</v>
      </c>
      <c r="AT64" s="11">
        <v>272225187892</v>
      </c>
      <c r="AU64" s="11">
        <v>69872815975</v>
      </c>
      <c r="AV64" s="11">
        <v>204477189663</v>
      </c>
      <c r="AW64" s="11">
        <v>116198409558</v>
      </c>
      <c r="AX64" s="11">
        <v>148416056658</v>
      </c>
      <c r="AY64" s="11">
        <v>533797000000</v>
      </c>
      <c r="AZ64" s="11">
        <v>62883103469</v>
      </c>
      <c r="BA64" s="11">
        <v>1007538851317</v>
      </c>
      <c r="BB64" s="13">
        <v>44477</v>
      </c>
      <c r="BC64" s="11">
        <v>325325794659</v>
      </c>
      <c r="BD64" s="11">
        <v>148416056658</v>
      </c>
      <c r="BE64" s="11">
        <v>533797000000</v>
      </c>
      <c r="BF64" s="11">
        <v>239238204754</v>
      </c>
      <c r="BG64" s="11">
        <v>25045139999</v>
      </c>
      <c r="BH64" s="11">
        <v>0</v>
      </c>
      <c r="BI64" s="11">
        <v>0</v>
      </c>
      <c r="BJ64" s="11">
        <v>0</v>
      </c>
      <c r="BK64" s="11">
        <v>0</v>
      </c>
      <c r="BL64" s="11">
        <v>0</v>
      </c>
      <c r="BM64" s="11">
        <v>0</v>
      </c>
    </row>
    <row r="65" spans="1:65" x14ac:dyDescent="0.25">
      <c r="A65" s="32"/>
      <c r="B65" s="10">
        <v>1409</v>
      </c>
      <c r="C65" s="10" t="s">
        <v>122</v>
      </c>
      <c r="D65" s="11">
        <v>861415791439</v>
      </c>
      <c r="E65" s="11">
        <v>1082404185</v>
      </c>
      <c r="F65" s="11">
        <v>0</v>
      </c>
      <c r="G65" s="11">
        <v>0</v>
      </c>
      <c r="H65" s="11">
        <v>862498195624</v>
      </c>
      <c r="I65" s="11">
        <v>67858525163</v>
      </c>
      <c r="J65" s="11">
        <v>794639670461</v>
      </c>
      <c r="K65" s="11">
        <v>711288934330</v>
      </c>
      <c r="L65" s="11">
        <v>151209261294</v>
      </c>
      <c r="M65" s="12">
        <v>21.26</v>
      </c>
      <c r="N65" s="11">
        <v>650485608763</v>
      </c>
      <c r="O65" s="12">
        <v>86.19</v>
      </c>
      <c r="P65" s="12">
        <v>81.86</v>
      </c>
      <c r="Q65" s="12">
        <v>0.82</v>
      </c>
      <c r="R65" s="11">
        <v>737791358599</v>
      </c>
      <c r="S65" s="11">
        <v>5607155021</v>
      </c>
      <c r="T65" s="11">
        <v>4758422768</v>
      </c>
      <c r="U65" s="11">
        <v>197052325</v>
      </c>
      <c r="V65" s="11">
        <v>651679928</v>
      </c>
      <c r="W65" s="11">
        <v>743398513620</v>
      </c>
      <c r="X65" s="11">
        <v>71398438541</v>
      </c>
      <c r="Y65" s="11">
        <v>14910000000</v>
      </c>
      <c r="Z65" s="11">
        <v>829706952161</v>
      </c>
      <c r="AA65" s="11">
        <v>787499893041</v>
      </c>
      <c r="AB65" s="12">
        <v>-5.6</v>
      </c>
      <c r="AC65" s="11">
        <v>143697823227</v>
      </c>
      <c r="AD65" s="11">
        <v>143697823227</v>
      </c>
      <c r="AE65" s="11">
        <v>0</v>
      </c>
      <c r="AF65" s="11">
        <v>0</v>
      </c>
      <c r="AG65" s="11">
        <v>0</v>
      </c>
      <c r="AH65" s="11">
        <v>0</v>
      </c>
      <c r="AI65" s="11">
        <v>0</v>
      </c>
      <c r="AJ65" s="12">
        <v>0</v>
      </c>
      <c r="AK65" s="11">
        <v>0</v>
      </c>
      <c r="AL65" s="12">
        <v>2</v>
      </c>
      <c r="AM65" s="11">
        <v>2260000000</v>
      </c>
      <c r="AN65" s="12">
        <v>1</v>
      </c>
      <c r="AO65" s="11">
        <v>186051000</v>
      </c>
      <c r="AP65" s="11">
        <v>5607155021</v>
      </c>
      <c r="AQ65" s="11">
        <v>4808340376</v>
      </c>
      <c r="AR65" s="11">
        <v>798814645</v>
      </c>
      <c r="AS65" s="12">
        <v>16.61</v>
      </c>
      <c r="AT65" s="11">
        <v>224515660602</v>
      </c>
      <c r="AU65" s="11">
        <v>92541328237</v>
      </c>
      <c r="AV65" s="11">
        <v>57552829263</v>
      </c>
      <c r="AW65" s="11">
        <v>108158788473</v>
      </c>
      <c r="AX65" s="11">
        <v>89601973703</v>
      </c>
      <c r="AY65" s="11">
        <v>606102200000</v>
      </c>
      <c r="AZ65" s="11">
        <v>45943846522</v>
      </c>
      <c r="BA65" s="11">
        <v>862498195624</v>
      </c>
      <c r="BB65" s="13">
        <v>30269</v>
      </c>
      <c r="BC65" s="11">
        <v>166645698565</v>
      </c>
      <c r="BD65" s="11">
        <v>89601973703</v>
      </c>
      <c r="BE65" s="11">
        <v>606250523356</v>
      </c>
      <c r="BF65" s="11">
        <v>142797823227</v>
      </c>
      <c r="BG65" s="11">
        <v>900000000</v>
      </c>
      <c r="BH65" s="11">
        <v>0</v>
      </c>
      <c r="BI65" s="11">
        <v>0</v>
      </c>
      <c r="BJ65" s="11">
        <v>0</v>
      </c>
      <c r="BK65" s="11">
        <v>0</v>
      </c>
      <c r="BL65" s="11">
        <v>0</v>
      </c>
      <c r="BM65" s="11">
        <v>0</v>
      </c>
    </row>
    <row r="66" spans="1:65" x14ac:dyDescent="0.25">
      <c r="A66" s="32"/>
      <c r="B66" s="10">
        <v>1410</v>
      </c>
      <c r="C66" s="10" t="s">
        <v>123</v>
      </c>
      <c r="D66" s="11">
        <v>661345479549</v>
      </c>
      <c r="E66" s="11">
        <v>6370535169</v>
      </c>
      <c r="F66" s="11">
        <v>0</v>
      </c>
      <c r="G66" s="11">
        <v>0</v>
      </c>
      <c r="H66" s="11">
        <v>667716014718</v>
      </c>
      <c r="I66" s="11">
        <v>52047510378</v>
      </c>
      <c r="J66" s="11">
        <v>615668504340</v>
      </c>
      <c r="K66" s="11">
        <v>643209136599</v>
      </c>
      <c r="L66" s="11">
        <v>24506878119</v>
      </c>
      <c r="M66" s="12">
        <v>3.81</v>
      </c>
      <c r="N66" s="11">
        <v>434471768687</v>
      </c>
      <c r="O66" s="12">
        <v>71.900000000000006</v>
      </c>
      <c r="P66" s="12">
        <v>70.569999999999993</v>
      </c>
      <c r="Q66" s="12">
        <v>1.87</v>
      </c>
      <c r="R66" s="11">
        <v>470063315956</v>
      </c>
      <c r="S66" s="11">
        <v>10025598254</v>
      </c>
      <c r="T66" s="11">
        <v>8129327405</v>
      </c>
      <c r="U66" s="11">
        <v>1847089652</v>
      </c>
      <c r="V66" s="11">
        <v>49181197</v>
      </c>
      <c r="W66" s="11">
        <v>480088914210</v>
      </c>
      <c r="X66" s="11">
        <v>42661156606</v>
      </c>
      <c r="Y66" s="11">
        <v>15468427773</v>
      </c>
      <c r="Z66" s="11">
        <v>538218498589</v>
      </c>
      <c r="AA66" s="11">
        <v>447601806632</v>
      </c>
      <c r="AB66" s="12">
        <v>7.26</v>
      </c>
      <c r="AC66" s="11">
        <v>154866150000</v>
      </c>
      <c r="AD66" s="11">
        <v>154866150000</v>
      </c>
      <c r="AE66" s="11">
        <v>0</v>
      </c>
      <c r="AF66" s="11">
        <v>0</v>
      </c>
      <c r="AG66" s="11">
        <v>0</v>
      </c>
      <c r="AH66" s="11">
        <v>0</v>
      </c>
      <c r="AI66" s="11">
        <v>0</v>
      </c>
      <c r="AJ66" s="12">
        <v>0</v>
      </c>
      <c r="AK66" s="11">
        <v>0</v>
      </c>
      <c r="AL66" s="12">
        <v>8</v>
      </c>
      <c r="AM66" s="11">
        <v>32326229511</v>
      </c>
      <c r="AN66" s="12">
        <v>9</v>
      </c>
      <c r="AO66" s="11">
        <v>30512555500</v>
      </c>
      <c r="AP66" s="11">
        <v>10025598254</v>
      </c>
      <c r="AQ66" s="11">
        <v>6730555804</v>
      </c>
      <c r="AR66" s="11">
        <v>3295042450</v>
      </c>
      <c r="AS66" s="12">
        <v>48.96</v>
      </c>
      <c r="AT66" s="11">
        <v>174752745756</v>
      </c>
      <c r="AU66" s="11">
        <v>55386622059</v>
      </c>
      <c r="AV66" s="11">
        <v>45781515454</v>
      </c>
      <c r="AW66" s="11">
        <v>115884538466</v>
      </c>
      <c r="AX66" s="11">
        <v>159006725629</v>
      </c>
      <c r="AY66" s="11">
        <v>340672700000</v>
      </c>
      <c r="AZ66" s="11">
        <v>61505729326</v>
      </c>
      <c r="BA66" s="11">
        <v>667716014718</v>
      </c>
      <c r="BB66" s="13">
        <v>14562</v>
      </c>
      <c r="BC66" s="11">
        <v>168036589089</v>
      </c>
      <c r="BD66" s="11">
        <v>158886725629</v>
      </c>
      <c r="BE66" s="11">
        <v>340792700000</v>
      </c>
      <c r="BF66" s="11">
        <v>147296150000</v>
      </c>
      <c r="BG66" s="11">
        <v>7570000000</v>
      </c>
      <c r="BH66" s="11">
        <v>0</v>
      </c>
      <c r="BI66" s="11">
        <v>0</v>
      </c>
      <c r="BJ66" s="11">
        <v>0</v>
      </c>
      <c r="BK66" s="11">
        <v>0</v>
      </c>
      <c r="BL66" s="11">
        <v>0</v>
      </c>
      <c r="BM66" s="11">
        <v>0</v>
      </c>
    </row>
    <row r="67" spans="1:65" x14ac:dyDescent="0.25">
      <c r="A67" s="32"/>
      <c r="B67" s="10">
        <v>1411</v>
      </c>
      <c r="C67" s="10" t="s">
        <v>124</v>
      </c>
      <c r="D67" s="11">
        <v>692843907064</v>
      </c>
      <c r="E67" s="11">
        <v>21489305831</v>
      </c>
      <c r="F67" s="11">
        <v>0</v>
      </c>
      <c r="G67" s="11">
        <v>0</v>
      </c>
      <c r="H67" s="11">
        <v>714333212895</v>
      </c>
      <c r="I67" s="11">
        <v>62350596904</v>
      </c>
      <c r="J67" s="11">
        <v>651982615991</v>
      </c>
      <c r="K67" s="11">
        <v>642396550538</v>
      </c>
      <c r="L67" s="11">
        <v>71936662357</v>
      </c>
      <c r="M67" s="12">
        <v>11.2</v>
      </c>
      <c r="N67" s="11">
        <v>968461914424</v>
      </c>
      <c r="O67" s="12">
        <v>136.91999999999999</v>
      </c>
      <c r="P67" s="12">
        <v>148.54</v>
      </c>
      <c r="Q67" s="12">
        <v>10.02</v>
      </c>
      <c r="R67" s="11">
        <v>876381715626</v>
      </c>
      <c r="S67" s="11">
        <v>101661264301</v>
      </c>
      <c r="T67" s="11">
        <v>3449034702</v>
      </c>
      <c r="U67" s="11">
        <v>72236444</v>
      </c>
      <c r="V67" s="11">
        <v>98139993155</v>
      </c>
      <c r="W67" s="11">
        <v>978042979927</v>
      </c>
      <c r="X67" s="11">
        <v>41619075218</v>
      </c>
      <c r="Y67" s="11">
        <v>10481169085</v>
      </c>
      <c r="Z67" s="11">
        <v>1030143224230</v>
      </c>
      <c r="AA67" s="11">
        <v>406037803503</v>
      </c>
      <c r="AB67" s="12">
        <v>140.87</v>
      </c>
      <c r="AC67" s="11">
        <v>1210420719990</v>
      </c>
      <c r="AD67" s="11">
        <v>1210420719990</v>
      </c>
      <c r="AE67" s="11">
        <v>750966063591</v>
      </c>
      <c r="AF67" s="11">
        <v>0</v>
      </c>
      <c r="AG67" s="11">
        <v>0</v>
      </c>
      <c r="AH67" s="11">
        <v>0</v>
      </c>
      <c r="AI67" s="11">
        <v>0</v>
      </c>
      <c r="AJ67" s="12">
        <v>6</v>
      </c>
      <c r="AK67" s="11">
        <v>887000845693</v>
      </c>
      <c r="AL67" s="12">
        <v>11</v>
      </c>
      <c r="AM67" s="11">
        <v>132433780000</v>
      </c>
      <c r="AN67" s="12">
        <v>10</v>
      </c>
      <c r="AO67" s="11">
        <v>18978380280</v>
      </c>
      <c r="AP67" s="11">
        <v>101661264301</v>
      </c>
      <c r="AQ67" s="11">
        <v>3761300829</v>
      </c>
      <c r="AR67" s="11">
        <v>97899963472</v>
      </c>
      <c r="AS67" s="19">
        <v>2602.8200000000002</v>
      </c>
      <c r="AT67" s="11">
        <v>686094384818</v>
      </c>
      <c r="AU67" s="11">
        <v>295106588740</v>
      </c>
      <c r="AV67" s="11">
        <v>248026891717</v>
      </c>
      <c r="AW67" s="11">
        <v>68933104009</v>
      </c>
      <c r="AX67" s="11">
        <v>168391411338</v>
      </c>
      <c r="AY67" s="11">
        <v>207492500000</v>
      </c>
      <c r="AZ67" s="11">
        <v>72363471708</v>
      </c>
      <c r="BA67" s="11">
        <v>714333212895</v>
      </c>
      <c r="BB67" s="13">
        <v>80377</v>
      </c>
      <c r="BC67" s="11">
        <v>338449301557</v>
      </c>
      <c r="BD67" s="11">
        <v>168391411338</v>
      </c>
      <c r="BE67" s="11">
        <v>207492500000</v>
      </c>
      <c r="BF67" s="11">
        <v>1164970719990</v>
      </c>
      <c r="BG67" s="11">
        <v>45450000000</v>
      </c>
      <c r="BH67" s="11">
        <v>176724883354</v>
      </c>
      <c r="BI67" s="11">
        <v>98139993155</v>
      </c>
      <c r="BJ67" s="11">
        <v>498401371395</v>
      </c>
      <c r="BK67" s="11">
        <v>0</v>
      </c>
      <c r="BL67" s="11">
        <v>0</v>
      </c>
      <c r="BM67" s="11">
        <v>0</v>
      </c>
    </row>
    <row r="68" spans="1:65" x14ac:dyDescent="0.25">
      <c r="A68" s="32"/>
      <c r="B68" s="10">
        <v>1412</v>
      </c>
      <c r="C68" s="10" t="s">
        <v>125</v>
      </c>
      <c r="D68" s="11">
        <v>1150075879290</v>
      </c>
      <c r="E68" s="11">
        <v>40929359045</v>
      </c>
      <c r="F68" s="11">
        <v>0</v>
      </c>
      <c r="G68" s="11">
        <v>0</v>
      </c>
      <c r="H68" s="11">
        <v>1191005238335</v>
      </c>
      <c r="I68" s="11">
        <v>100200463004</v>
      </c>
      <c r="J68" s="11">
        <v>1090804775331</v>
      </c>
      <c r="K68" s="11">
        <v>1330593774091</v>
      </c>
      <c r="L68" s="11">
        <v>-139588535756</v>
      </c>
      <c r="M68" s="12">
        <v>-10.49</v>
      </c>
      <c r="N68" s="11">
        <v>587605719734</v>
      </c>
      <c r="O68" s="12">
        <v>56.69</v>
      </c>
      <c r="P68" s="12">
        <v>53.87</v>
      </c>
      <c r="Q68" s="12">
        <v>1.22</v>
      </c>
      <c r="R68" s="11">
        <v>666702079081</v>
      </c>
      <c r="S68" s="11">
        <v>8496938651</v>
      </c>
      <c r="T68" s="11">
        <v>4893027285</v>
      </c>
      <c r="U68" s="11">
        <v>3603911366</v>
      </c>
      <c r="V68" s="11">
        <v>0</v>
      </c>
      <c r="W68" s="11">
        <v>675199017732</v>
      </c>
      <c r="X68" s="11">
        <v>20523547136</v>
      </c>
      <c r="Y68" s="11">
        <v>3000000000</v>
      </c>
      <c r="Z68" s="11">
        <v>698722564868</v>
      </c>
      <c r="AA68" s="11">
        <v>742903646418</v>
      </c>
      <c r="AB68" s="12">
        <v>-9.11</v>
      </c>
      <c r="AC68" s="11">
        <v>223340070295</v>
      </c>
      <c r="AD68" s="11">
        <v>223340070295</v>
      </c>
      <c r="AE68" s="11">
        <v>0</v>
      </c>
      <c r="AF68" s="11">
        <v>864000000</v>
      </c>
      <c r="AG68" s="11">
        <v>0</v>
      </c>
      <c r="AH68" s="11">
        <v>0</v>
      </c>
      <c r="AI68" s="11">
        <v>0</v>
      </c>
      <c r="AJ68" s="12">
        <v>0</v>
      </c>
      <c r="AK68" s="11">
        <v>0</v>
      </c>
      <c r="AL68" s="12">
        <v>8</v>
      </c>
      <c r="AM68" s="11">
        <v>166783005391</v>
      </c>
      <c r="AN68" s="12">
        <v>3</v>
      </c>
      <c r="AO68" s="11">
        <v>105487500000</v>
      </c>
      <c r="AP68" s="11">
        <v>8496938651</v>
      </c>
      <c r="AQ68" s="11">
        <v>8199910775</v>
      </c>
      <c r="AR68" s="11">
        <v>297027876</v>
      </c>
      <c r="AS68" s="12">
        <v>3.62</v>
      </c>
      <c r="AT68" s="11">
        <v>361800708794</v>
      </c>
      <c r="AU68" s="11">
        <v>40325334236</v>
      </c>
      <c r="AV68" s="11">
        <v>204350566610</v>
      </c>
      <c r="AW68" s="11">
        <v>219862419695</v>
      </c>
      <c r="AX68" s="11">
        <v>175563092985</v>
      </c>
      <c r="AY68" s="11">
        <v>550299800000</v>
      </c>
      <c r="AZ68" s="11">
        <v>96200649332</v>
      </c>
      <c r="BA68" s="11">
        <v>1191005238335</v>
      </c>
      <c r="BB68" s="13">
        <v>38499</v>
      </c>
      <c r="BC68" s="11">
        <v>465142345350</v>
      </c>
      <c r="BD68" s="11">
        <v>165854292985</v>
      </c>
      <c r="BE68" s="11">
        <v>560008600000</v>
      </c>
      <c r="BF68" s="11">
        <v>189480964249</v>
      </c>
      <c r="BG68" s="11">
        <v>33859106046</v>
      </c>
      <c r="BH68" s="11">
        <v>0</v>
      </c>
      <c r="BI68" s="11">
        <v>0</v>
      </c>
      <c r="BJ68" s="11">
        <v>0</v>
      </c>
      <c r="BK68" s="11">
        <v>0</v>
      </c>
      <c r="BL68" s="11">
        <v>0</v>
      </c>
      <c r="BM68" s="11">
        <v>864000000</v>
      </c>
    </row>
    <row r="69" spans="1:65" x14ac:dyDescent="0.25">
      <c r="A69" s="32"/>
      <c r="B69" s="10">
        <v>1413</v>
      </c>
      <c r="C69" s="10" t="s">
        <v>126</v>
      </c>
      <c r="D69" s="11">
        <v>1147378293406</v>
      </c>
      <c r="E69" s="11">
        <v>9593891963</v>
      </c>
      <c r="F69" s="11">
        <v>0</v>
      </c>
      <c r="G69" s="11">
        <v>0</v>
      </c>
      <c r="H69" s="11">
        <v>1156972185369</v>
      </c>
      <c r="I69" s="11">
        <v>95904602437</v>
      </c>
      <c r="J69" s="11">
        <v>1061067582932</v>
      </c>
      <c r="K69" s="11">
        <v>1102198814210</v>
      </c>
      <c r="L69" s="11">
        <v>54773371159</v>
      </c>
      <c r="M69" s="12">
        <v>4.97</v>
      </c>
      <c r="N69" s="11">
        <v>972343099341</v>
      </c>
      <c r="O69" s="12">
        <v>93.01</v>
      </c>
      <c r="P69" s="12">
        <v>91.64</v>
      </c>
      <c r="Q69" s="12">
        <v>2.5</v>
      </c>
      <c r="R69" s="11">
        <v>1048263179622</v>
      </c>
      <c r="S69" s="11">
        <v>27867755569</v>
      </c>
      <c r="T69" s="11">
        <v>25844258740</v>
      </c>
      <c r="U69" s="11">
        <v>2023496829</v>
      </c>
      <c r="V69" s="11">
        <v>0</v>
      </c>
      <c r="W69" s="11">
        <v>1076130935191</v>
      </c>
      <c r="X69" s="11">
        <v>37594947876</v>
      </c>
      <c r="Y69" s="11">
        <v>800000000</v>
      </c>
      <c r="Z69" s="11">
        <v>1114525883067</v>
      </c>
      <c r="AA69" s="11">
        <v>960197769688</v>
      </c>
      <c r="AB69" s="12">
        <v>12.07</v>
      </c>
      <c r="AC69" s="11">
        <v>418462795794</v>
      </c>
      <c r="AD69" s="11">
        <v>418462795794</v>
      </c>
      <c r="AE69" s="11">
        <v>0</v>
      </c>
      <c r="AF69" s="11">
        <v>303798544</v>
      </c>
      <c r="AG69" s="11">
        <v>0</v>
      </c>
      <c r="AH69" s="11">
        <v>0</v>
      </c>
      <c r="AI69" s="11">
        <v>0</v>
      </c>
      <c r="AJ69" s="12">
        <v>0</v>
      </c>
      <c r="AK69" s="11">
        <v>0</v>
      </c>
      <c r="AL69" s="12">
        <v>14</v>
      </c>
      <c r="AM69" s="11">
        <v>16288536760</v>
      </c>
      <c r="AN69" s="12">
        <v>14</v>
      </c>
      <c r="AO69" s="11">
        <v>42224591120</v>
      </c>
      <c r="AP69" s="11">
        <v>27867755569</v>
      </c>
      <c r="AQ69" s="11">
        <v>21135155619</v>
      </c>
      <c r="AR69" s="11">
        <v>6732599950</v>
      </c>
      <c r="AS69" s="12">
        <v>31.85</v>
      </c>
      <c r="AT69" s="11">
        <v>441860639021</v>
      </c>
      <c r="AU69" s="11">
        <v>116495611136</v>
      </c>
      <c r="AV69" s="11">
        <v>96980441777</v>
      </c>
      <c r="AW69" s="11">
        <v>175446242871</v>
      </c>
      <c r="AX69" s="11">
        <v>203972608758</v>
      </c>
      <c r="AY69" s="11">
        <v>670979000000</v>
      </c>
      <c r="AZ69" s="11">
        <v>102893752589</v>
      </c>
      <c r="BA69" s="11">
        <v>1156972185369</v>
      </c>
      <c r="BB69" s="13">
        <v>104120</v>
      </c>
      <c r="BC69" s="11">
        <v>282020576611</v>
      </c>
      <c r="BD69" s="11">
        <v>202422608758</v>
      </c>
      <c r="BE69" s="11">
        <v>672529000000</v>
      </c>
      <c r="BF69" s="11">
        <v>188662795794</v>
      </c>
      <c r="BG69" s="11">
        <v>229800000000</v>
      </c>
      <c r="BH69" s="11">
        <v>0</v>
      </c>
      <c r="BI69" s="11">
        <v>0</v>
      </c>
      <c r="BJ69" s="11">
        <v>0</v>
      </c>
      <c r="BK69" s="11">
        <v>0</v>
      </c>
      <c r="BL69" s="11">
        <v>0</v>
      </c>
      <c r="BM69" s="11">
        <v>310231126</v>
      </c>
    </row>
    <row r="70" spans="1:65" x14ac:dyDescent="0.25">
      <c r="A70" s="32"/>
      <c r="B70" s="10">
        <v>1414</v>
      </c>
      <c r="C70" s="10" t="s">
        <v>127</v>
      </c>
      <c r="D70" s="11">
        <v>1126989552079</v>
      </c>
      <c r="E70" s="11">
        <v>155603866806</v>
      </c>
      <c r="F70" s="11">
        <v>0</v>
      </c>
      <c r="G70" s="11">
        <v>0</v>
      </c>
      <c r="H70" s="11">
        <v>1282593418885</v>
      </c>
      <c r="I70" s="11">
        <v>104805344754</v>
      </c>
      <c r="J70" s="11">
        <v>1177788074131</v>
      </c>
      <c r="K70" s="11">
        <v>1109326846273</v>
      </c>
      <c r="L70" s="11">
        <v>173266572612</v>
      </c>
      <c r="M70" s="12">
        <v>15.62</v>
      </c>
      <c r="N70" s="11">
        <v>1578710092802</v>
      </c>
      <c r="O70" s="12">
        <v>128.22999999999999</v>
      </c>
      <c r="P70" s="12">
        <v>134.04</v>
      </c>
      <c r="Q70" s="12">
        <v>7.0000000000000007E-2</v>
      </c>
      <c r="R70" s="11">
        <v>1643962732295</v>
      </c>
      <c r="S70" s="11">
        <v>677108245</v>
      </c>
      <c r="T70" s="11">
        <v>132954958</v>
      </c>
      <c r="U70" s="11">
        <v>127698147</v>
      </c>
      <c r="V70" s="11">
        <v>416455140</v>
      </c>
      <c r="W70" s="11">
        <v>1644639840540</v>
      </c>
      <c r="X70" s="11">
        <v>38956640753</v>
      </c>
      <c r="Y70" s="11">
        <v>1000000000</v>
      </c>
      <c r="Z70" s="11">
        <v>1684596481293</v>
      </c>
      <c r="AA70" s="11">
        <v>1060218513233</v>
      </c>
      <c r="AB70" s="12">
        <v>55.12</v>
      </c>
      <c r="AC70" s="11">
        <v>1630354125353</v>
      </c>
      <c r="AD70" s="11">
        <v>1630354125353</v>
      </c>
      <c r="AE70" s="11">
        <v>502349325353</v>
      </c>
      <c r="AF70" s="11">
        <v>0</v>
      </c>
      <c r="AG70" s="11">
        <v>0</v>
      </c>
      <c r="AH70" s="11">
        <v>0</v>
      </c>
      <c r="AI70" s="11">
        <v>0</v>
      </c>
      <c r="AJ70" s="12">
        <v>6</v>
      </c>
      <c r="AK70" s="11">
        <v>233338941336</v>
      </c>
      <c r="AL70" s="12">
        <v>145</v>
      </c>
      <c r="AM70" s="11">
        <v>1362078345779</v>
      </c>
      <c r="AN70" s="12">
        <v>33</v>
      </c>
      <c r="AO70" s="11">
        <v>363240139360</v>
      </c>
      <c r="AP70" s="11">
        <v>677108245</v>
      </c>
      <c r="AQ70" s="11">
        <v>3088856940</v>
      </c>
      <c r="AR70" s="11">
        <v>-2411748695</v>
      </c>
      <c r="AS70" s="12">
        <v>-78.08</v>
      </c>
      <c r="AT70" s="11">
        <v>1255749760586</v>
      </c>
      <c r="AU70" s="11">
        <v>407352332326</v>
      </c>
      <c r="AV70" s="11">
        <v>238313074544</v>
      </c>
      <c r="AW70" s="11">
        <v>186345032309</v>
      </c>
      <c r="AX70" s="11">
        <v>220413345226</v>
      </c>
      <c r="AY70" s="11">
        <v>481918100000</v>
      </c>
      <c r="AZ70" s="11">
        <v>137243021810</v>
      </c>
      <c r="BA70" s="11">
        <v>1282593418885</v>
      </c>
      <c r="BB70" s="13">
        <v>149433</v>
      </c>
      <c r="BC70" s="11">
        <v>580261973659</v>
      </c>
      <c r="BD70" s="11">
        <v>220413345226</v>
      </c>
      <c r="BE70" s="11">
        <v>481918100000</v>
      </c>
      <c r="BF70" s="11">
        <v>728725243215</v>
      </c>
      <c r="BG70" s="11">
        <v>901628882138</v>
      </c>
      <c r="BH70" s="11">
        <v>0</v>
      </c>
      <c r="BI70" s="11">
        <v>0</v>
      </c>
      <c r="BJ70" s="11">
        <v>669846037219</v>
      </c>
      <c r="BK70" s="11">
        <v>0</v>
      </c>
      <c r="BL70" s="11">
        <v>0</v>
      </c>
      <c r="BM70" s="11">
        <v>0</v>
      </c>
    </row>
    <row r="71" spans="1:65" x14ac:dyDescent="0.25">
      <c r="A71" s="32"/>
      <c r="B71" s="10">
        <v>1415</v>
      </c>
      <c r="C71" s="10" t="s">
        <v>128</v>
      </c>
      <c r="D71" s="11">
        <v>648422665816</v>
      </c>
      <c r="E71" s="11">
        <v>2294640587</v>
      </c>
      <c r="F71" s="11">
        <v>0</v>
      </c>
      <c r="G71" s="11">
        <v>0</v>
      </c>
      <c r="H71" s="11">
        <v>650717306403</v>
      </c>
      <c r="I71" s="11">
        <v>53520124466</v>
      </c>
      <c r="J71" s="11">
        <v>597197181937</v>
      </c>
      <c r="K71" s="11">
        <v>586662335104</v>
      </c>
      <c r="L71" s="11">
        <v>64054971299</v>
      </c>
      <c r="M71" s="12">
        <v>10.92</v>
      </c>
      <c r="N71" s="11">
        <v>669129039355</v>
      </c>
      <c r="O71" s="12">
        <v>111.7</v>
      </c>
      <c r="P71" s="12">
        <v>112.04</v>
      </c>
      <c r="Q71" s="12">
        <v>5.83</v>
      </c>
      <c r="R71" s="11">
        <v>681033203894</v>
      </c>
      <c r="S71" s="11">
        <v>45848245813</v>
      </c>
      <c r="T71" s="11">
        <v>45848245813</v>
      </c>
      <c r="U71" s="11">
        <v>0</v>
      </c>
      <c r="V71" s="11">
        <v>0</v>
      </c>
      <c r="W71" s="11">
        <v>726881449707</v>
      </c>
      <c r="X71" s="11">
        <v>50499229165</v>
      </c>
      <c r="Y71" s="11">
        <v>8750000000</v>
      </c>
      <c r="Z71" s="11">
        <v>786130678872</v>
      </c>
      <c r="AA71" s="11">
        <v>639415226324</v>
      </c>
      <c r="AB71" s="12">
        <v>13.68</v>
      </c>
      <c r="AC71" s="11">
        <v>381084214896</v>
      </c>
      <c r="AD71" s="11">
        <v>381084214896</v>
      </c>
      <c r="AE71" s="11">
        <v>177198077154</v>
      </c>
      <c r="AF71" s="11">
        <v>9112500</v>
      </c>
      <c r="AG71" s="11">
        <v>0</v>
      </c>
      <c r="AH71" s="11">
        <v>0</v>
      </c>
      <c r="AI71" s="11">
        <v>37129712467</v>
      </c>
      <c r="AJ71" s="12">
        <v>1</v>
      </c>
      <c r="AK71" s="11">
        <v>99997863504</v>
      </c>
      <c r="AL71" s="12">
        <v>2</v>
      </c>
      <c r="AM71" s="11">
        <v>24286000000</v>
      </c>
      <c r="AN71" s="12">
        <v>5</v>
      </c>
      <c r="AO71" s="11">
        <v>8650000000</v>
      </c>
      <c r="AP71" s="11">
        <v>45848245813</v>
      </c>
      <c r="AQ71" s="11">
        <v>4870169903</v>
      </c>
      <c r="AR71" s="11">
        <v>40978075910</v>
      </c>
      <c r="AS71" s="12">
        <v>841.41</v>
      </c>
      <c r="AT71" s="11">
        <v>340783479138</v>
      </c>
      <c r="AU71" s="11">
        <v>32494324865</v>
      </c>
      <c r="AV71" s="11">
        <v>124132775540</v>
      </c>
      <c r="AW71" s="11">
        <v>60009829461</v>
      </c>
      <c r="AX71" s="11">
        <v>143622960815</v>
      </c>
      <c r="AY71" s="11">
        <v>320657100000</v>
      </c>
      <c r="AZ71" s="11">
        <v>47592532629</v>
      </c>
      <c r="BA71" s="11">
        <v>650717306403</v>
      </c>
      <c r="BB71" s="13">
        <v>87927</v>
      </c>
      <c r="BC71" s="11">
        <v>186437245588</v>
      </c>
      <c r="BD71" s="11">
        <v>143622960815</v>
      </c>
      <c r="BE71" s="11">
        <v>320657100000</v>
      </c>
      <c r="BF71" s="11">
        <v>176106137742</v>
      </c>
      <c r="BG71" s="11">
        <v>204978077154</v>
      </c>
      <c r="BH71" s="11">
        <v>79998290804</v>
      </c>
      <c r="BI71" s="11">
        <v>0</v>
      </c>
      <c r="BJ71" s="11">
        <v>101356717856</v>
      </c>
      <c r="BK71" s="11">
        <v>0</v>
      </c>
      <c r="BL71" s="11">
        <v>0</v>
      </c>
      <c r="BM71" s="11">
        <v>9120239</v>
      </c>
    </row>
    <row r="72" spans="1:65" x14ac:dyDescent="0.25">
      <c r="A72" s="32"/>
      <c r="B72" s="10">
        <v>1416</v>
      </c>
      <c r="C72" s="10" t="s">
        <v>129</v>
      </c>
      <c r="D72" s="11">
        <v>2263014293905</v>
      </c>
      <c r="E72" s="11">
        <v>37403962266</v>
      </c>
      <c r="F72" s="11">
        <v>0</v>
      </c>
      <c r="G72" s="11">
        <v>0</v>
      </c>
      <c r="H72" s="11">
        <v>2300418256171</v>
      </c>
      <c r="I72" s="11">
        <v>193506276313</v>
      </c>
      <c r="J72" s="11">
        <v>2106911979858</v>
      </c>
      <c r="K72" s="11">
        <v>2359887803026</v>
      </c>
      <c r="L72" s="11">
        <v>-59469546855</v>
      </c>
      <c r="M72" s="12">
        <v>-2.52</v>
      </c>
      <c r="N72" s="11">
        <v>1469102171928</v>
      </c>
      <c r="O72" s="12">
        <v>70.33</v>
      </c>
      <c r="P72" s="12">
        <v>69.73</v>
      </c>
      <c r="Q72" s="12">
        <v>10.76</v>
      </c>
      <c r="R72" s="11">
        <v>1445116977132</v>
      </c>
      <c r="S72" s="11">
        <v>172775316073</v>
      </c>
      <c r="T72" s="11">
        <v>14796650686</v>
      </c>
      <c r="U72" s="11">
        <v>1073865387</v>
      </c>
      <c r="V72" s="11">
        <v>156904800000</v>
      </c>
      <c r="W72" s="11">
        <v>1617892293205</v>
      </c>
      <c r="X72" s="11">
        <v>40481310884</v>
      </c>
      <c r="Y72" s="11">
        <v>500567123</v>
      </c>
      <c r="Z72" s="11">
        <v>1658874171212</v>
      </c>
      <c r="AA72" s="11">
        <v>1241567155264</v>
      </c>
      <c r="AB72" s="12">
        <v>30.31</v>
      </c>
      <c r="AC72" s="11">
        <v>1380917265741</v>
      </c>
      <c r="AD72" s="11">
        <v>1380917265741</v>
      </c>
      <c r="AE72" s="11">
        <v>950720457341</v>
      </c>
      <c r="AF72" s="11">
        <v>0</v>
      </c>
      <c r="AG72" s="11">
        <v>0</v>
      </c>
      <c r="AH72" s="11">
        <v>0</v>
      </c>
      <c r="AI72" s="11">
        <v>0</v>
      </c>
      <c r="AJ72" s="12">
        <v>1</v>
      </c>
      <c r="AK72" s="11">
        <v>140760000000</v>
      </c>
      <c r="AL72" s="12">
        <v>40</v>
      </c>
      <c r="AM72" s="11">
        <v>168686111985</v>
      </c>
      <c r="AN72" s="12">
        <v>21</v>
      </c>
      <c r="AO72" s="11">
        <v>173232207809</v>
      </c>
      <c r="AP72" s="11">
        <v>172775316073</v>
      </c>
      <c r="AQ72" s="11">
        <v>7391348090</v>
      </c>
      <c r="AR72" s="11">
        <v>165383967983</v>
      </c>
      <c r="AS72" s="19">
        <v>2237.5300000000002</v>
      </c>
      <c r="AT72" s="11">
        <v>1197701043994</v>
      </c>
      <c r="AU72" s="11">
        <v>161024367230</v>
      </c>
      <c r="AV72" s="11">
        <v>224553247814</v>
      </c>
      <c r="AW72" s="11">
        <v>68304532338</v>
      </c>
      <c r="AX72" s="11">
        <v>223566013753</v>
      </c>
      <c r="AY72" s="11">
        <v>1746590500000</v>
      </c>
      <c r="AZ72" s="11">
        <v>138996000411</v>
      </c>
      <c r="BA72" s="11">
        <v>2300418256171</v>
      </c>
      <c r="BB72" s="13">
        <v>13478</v>
      </c>
      <c r="BC72" s="11">
        <v>330261742418</v>
      </c>
      <c r="BD72" s="11">
        <v>217381213753</v>
      </c>
      <c r="BE72" s="11">
        <v>1752775300000</v>
      </c>
      <c r="BF72" s="11">
        <v>1285992693398</v>
      </c>
      <c r="BG72" s="11">
        <v>94924572343</v>
      </c>
      <c r="BH72" s="11">
        <v>113684000000</v>
      </c>
      <c r="BI72" s="11">
        <v>156904800000</v>
      </c>
      <c r="BJ72" s="11">
        <v>741032971078</v>
      </c>
      <c r="BK72" s="11">
        <v>0</v>
      </c>
      <c r="BL72" s="11">
        <v>0</v>
      </c>
      <c r="BM72" s="11">
        <v>0</v>
      </c>
    </row>
    <row r="73" spans="1:65" x14ac:dyDescent="0.25">
      <c r="A73" s="32"/>
      <c r="B73" s="10">
        <v>1417</v>
      </c>
      <c r="C73" s="10" t="s">
        <v>130</v>
      </c>
      <c r="D73" s="11">
        <v>730434465407</v>
      </c>
      <c r="E73" s="11">
        <v>120009027466</v>
      </c>
      <c r="F73" s="11">
        <v>0</v>
      </c>
      <c r="G73" s="11">
        <v>0</v>
      </c>
      <c r="H73" s="11">
        <v>850443492873</v>
      </c>
      <c r="I73" s="11">
        <v>78243057210</v>
      </c>
      <c r="J73" s="11">
        <v>772200435663</v>
      </c>
      <c r="K73" s="11">
        <v>899493464542</v>
      </c>
      <c r="L73" s="11">
        <v>-49049971669</v>
      </c>
      <c r="M73" s="12">
        <v>-5.45</v>
      </c>
      <c r="N73" s="11">
        <v>937191816176</v>
      </c>
      <c r="O73" s="12">
        <v>120.96</v>
      </c>
      <c r="P73" s="12">
        <v>121.37</v>
      </c>
      <c r="Q73" s="12">
        <v>2.99</v>
      </c>
      <c r="R73" s="11">
        <v>997022828317</v>
      </c>
      <c r="S73" s="11">
        <v>31633694623</v>
      </c>
      <c r="T73" s="11">
        <v>8166823729</v>
      </c>
      <c r="U73" s="11">
        <v>0</v>
      </c>
      <c r="V73" s="11">
        <v>23466870894</v>
      </c>
      <c r="W73" s="11">
        <v>1028656522940</v>
      </c>
      <c r="X73" s="11">
        <v>37146869698</v>
      </c>
      <c r="Y73" s="11">
        <v>5499140000</v>
      </c>
      <c r="Z73" s="11">
        <v>1071302532638</v>
      </c>
      <c r="AA73" s="11">
        <v>796765628365</v>
      </c>
      <c r="AB73" s="12">
        <v>29.1</v>
      </c>
      <c r="AC73" s="11">
        <v>1520049524832</v>
      </c>
      <c r="AD73" s="11">
        <v>1520049524832</v>
      </c>
      <c r="AE73" s="11">
        <v>1230257948260</v>
      </c>
      <c r="AF73" s="11">
        <v>1789545</v>
      </c>
      <c r="AG73" s="11">
        <v>0</v>
      </c>
      <c r="AH73" s="11">
        <v>0</v>
      </c>
      <c r="AI73" s="11">
        <v>0</v>
      </c>
      <c r="AJ73" s="12">
        <v>25</v>
      </c>
      <c r="AK73" s="11">
        <v>2314301250352</v>
      </c>
      <c r="AL73" s="12">
        <v>53</v>
      </c>
      <c r="AM73" s="11">
        <v>493853559350</v>
      </c>
      <c r="AN73" s="12">
        <v>19</v>
      </c>
      <c r="AO73" s="11">
        <v>56262688611</v>
      </c>
      <c r="AP73" s="11">
        <v>31633694623</v>
      </c>
      <c r="AQ73" s="11">
        <v>6568409819</v>
      </c>
      <c r="AR73" s="11">
        <v>25065284804</v>
      </c>
      <c r="AS73" s="12">
        <v>381.6</v>
      </c>
      <c r="AT73" s="11">
        <v>1390633626866</v>
      </c>
      <c r="AU73" s="11">
        <v>299350552641</v>
      </c>
      <c r="AV73" s="11">
        <v>222920343407</v>
      </c>
      <c r="AW73" s="11">
        <v>63788742893</v>
      </c>
      <c r="AX73" s="11">
        <v>249256379107</v>
      </c>
      <c r="AY73" s="11">
        <v>194469000000</v>
      </c>
      <c r="AZ73" s="11">
        <v>197960001419</v>
      </c>
      <c r="BA73" s="11">
        <v>850443492873</v>
      </c>
      <c r="BB73" s="13">
        <v>63207</v>
      </c>
      <c r="BC73" s="11">
        <v>406718113766</v>
      </c>
      <c r="BD73" s="11">
        <v>249222379107</v>
      </c>
      <c r="BE73" s="11">
        <v>194503000000</v>
      </c>
      <c r="BF73" s="11">
        <v>1025222966489</v>
      </c>
      <c r="BG73" s="11">
        <v>494826558343</v>
      </c>
      <c r="BH73" s="11">
        <v>195055007836</v>
      </c>
      <c r="BI73" s="11">
        <v>23466870894</v>
      </c>
      <c r="BJ73" s="11">
        <v>1018051454496</v>
      </c>
      <c r="BK73" s="11">
        <v>0</v>
      </c>
      <c r="BL73" s="11">
        <v>0</v>
      </c>
      <c r="BM73" s="11">
        <v>1420443967</v>
      </c>
    </row>
    <row r="74" spans="1:65" x14ac:dyDescent="0.25">
      <c r="A74" s="32"/>
      <c r="B74" s="10">
        <v>1418</v>
      </c>
      <c r="C74" s="10" t="s">
        <v>131</v>
      </c>
      <c r="D74" s="11">
        <v>1945063001266</v>
      </c>
      <c r="E74" s="11">
        <v>504286522939</v>
      </c>
      <c r="F74" s="11">
        <v>0</v>
      </c>
      <c r="G74" s="11">
        <v>0</v>
      </c>
      <c r="H74" s="11">
        <v>2449349524205</v>
      </c>
      <c r="I74" s="11">
        <v>173647413780</v>
      </c>
      <c r="J74" s="11">
        <v>2275702110425</v>
      </c>
      <c r="K74" s="11">
        <v>2307067779118</v>
      </c>
      <c r="L74" s="11">
        <v>142281745087</v>
      </c>
      <c r="M74" s="12">
        <v>6.17</v>
      </c>
      <c r="N74" s="11">
        <v>1798856399094</v>
      </c>
      <c r="O74" s="12">
        <v>75.900000000000006</v>
      </c>
      <c r="P74" s="12">
        <v>79.05</v>
      </c>
      <c r="Q74" s="12">
        <v>0</v>
      </c>
      <c r="R74" s="11">
        <v>1859103387094</v>
      </c>
      <c r="S74" s="11">
        <v>0</v>
      </c>
      <c r="T74" s="11">
        <v>0</v>
      </c>
      <c r="U74" s="11">
        <v>0</v>
      </c>
      <c r="V74" s="11">
        <v>0</v>
      </c>
      <c r="W74" s="11">
        <v>1859103387094</v>
      </c>
      <c r="X74" s="11">
        <v>48904960915</v>
      </c>
      <c r="Y74" s="11">
        <v>5499221066</v>
      </c>
      <c r="Z74" s="11">
        <v>1913507569075</v>
      </c>
      <c r="AA74" s="11">
        <v>1059471850846</v>
      </c>
      <c r="AB74" s="12">
        <v>75.47</v>
      </c>
      <c r="AC74" s="11">
        <v>5075037953433</v>
      </c>
      <c r="AD74" s="11">
        <v>5075037953433</v>
      </c>
      <c r="AE74" s="11">
        <v>4604698643847</v>
      </c>
      <c r="AF74" s="11">
        <v>146557410565</v>
      </c>
      <c r="AG74" s="11">
        <v>121494955890</v>
      </c>
      <c r="AH74" s="11">
        <v>0</v>
      </c>
      <c r="AI74" s="11">
        <v>0</v>
      </c>
      <c r="AJ74" s="12">
        <v>39</v>
      </c>
      <c r="AK74" s="11">
        <v>6200485559856</v>
      </c>
      <c r="AL74" s="12">
        <v>157</v>
      </c>
      <c r="AM74" s="11">
        <v>2053234837429</v>
      </c>
      <c r="AN74" s="12">
        <v>81</v>
      </c>
      <c r="AO74" s="11">
        <v>1044345196286</v>
      </c>
      <c r="AP74" s="11">
        <v>0</v>
      </c>
      <c r="AQ74" s="11">
        <v>0</v>
      </c>
      <c r="AR74" s="11">
        <v>0</v>
      </c>
      <c r="AS74" s="12"/>
      <c r="AT74" s="11">
        <v>4515919036236</v>
      </c>
      <c r="AU74" s="11">
        <v>656380967491</v>
      </c>
      <c r="AV74" s="11">
        <v>453084787744</v>
      </c>
      <c r="AW74" s="11">
        <v>49152345907</v>
      </c>
      <c r="AX74" s="11">
        <v>219507867615</v>
      </c>
      <c r="AY74" s="11">
        <v>1223318000000</v>
      </c>
      <c r="AZ74" s="11">
        <v>141069247339</v>
      </c>
      <c r="BA74" s="11">
        <v>2449349524205</v>
      </c>
      <c r="BB74" s="13">
        <v>134934</v>
      </c>
      <c r="BC74" s="11">
        <v>1006523656590</v>
      </c>
      <c r="BD74" s="11">
        <v>219507867615</v>
      </c>
      <c r="BE74" s="11">
        <v>1223318000000</v>
      </c>
      <c r="BF74" s="11">
        <v>2606424195945</v>
      </c>
      <c r="BG74" s="11">
        <v>2468613757488</v>
      </c>
      <c r="BH74" s="11">
        <v>1075248598440</v>
      </c>
      <c r="BI74" s="11">
        <v>0</v>
      </c>
      <c r="BJ74" s="11">
        <v>3665250761444</v>
      </c>
      <c r="BK74" s="11">
        <v>0</v>
      </c>
      <c r="BL74" s="11">
        <v>0</v>
      </c>
      <c r="BM74" s="11">
        <v>146557410565</v>
      </c>
    </row>
    <row r="75" spans="1:65" x14ac:dyDescent="0.25">
      <c r="A75" s="32"/>
      <c r="B75" s="10">
        <v>1419</v>
      </c>
      <c r="C75" s="10" t="s">
        <v>132</v>
      </c>
      <c r="D75" s="11">
        <v>2643809506289</v>
      </c>
      <c r="E75" s="11">
        <v>228385168655</v>
      </c>
      <c r="F75" s="11">
        <v>0</v>
      </c>
      <c r="G75" s="11">
        <v>83961100</v>
      </c>
      <c r="H75" s="11">
        <v>2872278636044</v>
      </c>
      <c r="I75" s="11">
        <v>207869671353</v>
      </c>
      <c r="J75" s="11">
        <v>2664408964691</v>
      </c>
      <c r="K75" s="11">
        <v>2052591816781</v>
      </c>
      <c r="L75" s="11">
        <v>819686819263</v>
      </c>
      <c r="M75" s="12">
        <v>39.93</v>
      </c>
      <c r="N75" s="11">
        <v>1913759999855</v>
      </c>
      <c r="O75" s="12">
        <v>71.47</v>
      </c>
      <c r="P75" s="12">
        <v>71.83</v>
      </c>
      <c r="Q75" s="12">
        <v>11.13</v>
      </c>
      <c r="R75" s="11">
        <v>1828617635558</v>
      </c>
      <c r="S75" s="11">
        <v>224262174833</v>
      </c>
      <c r="T75" s="11">
        <v>8375832495</v>
      </c>
      <c r="U75" s="11">
        <v>1169722300</v>
      </c>
      <c r="V75" s="11">
        <v>214716620038</v>
      </c>
      <c r="W75" s="11">
        <v>2052879810391</v>
      </c>
      <c r="X75" s="11">
        <v>65791525796</v>
      </c>
      <c r="Y75" s="11">
        <v>13185380100</v>
      </c>
      <c r="Z75" s="11">
        <v>2131856716287</v>
      </c>
      <c r="AA75" s="11">
        <v>1544754675967</v>
      </c>
      <c r="AB75" s="12">
        <v>32.89</v>
      </c>
      <c r="AC75" s="11">
        <v>1698001109672</v>
      </c>
      <c r="AD75" s="11">
        <v>1698001109672</v>
      </c>
      <c r="AE75" s="11">
        <v>866496672297</v>
      </c>
      <c r="AF75" s="11">
        <v>38313000</v>
      </c>
      <c r="AG75" s="11">
        <v>231212126179</v>
      </c>
      <c r="AH75" s="11">
        <v>0</v>
      </c>
      <c r="AI75" s="11">
        <v>0</v>
      </c>
      <c r="AJ75" s="12">
        <v>13</v>
      </c>
      <c r="AK75" s="11">
        <v>1491076800734</v>
      </c>
      <c r="AL75" s="12">
        <v>24</v>
      </c>
      <c r="AM75" s="11">
        <v>428417210512</v>
      </c>
      <c r="AN75" s="12">
        <v>57</v>
      </c>
      <c r="AO75" s="11">
        <v>634694211414</v>
      </c>
      <c r="AP75" s="11">
        <v>224262174833</v>
      </c>
      <c r="AQ75" s="11">
        <v>196006824839</v>
      </c>
      <c r="AR75" s="11">
        <v>28255349994</v>
      </c>
      <c r="AS75" s="12">
        <v>14.42</v>
      </c>
      <c r="AT75" s="11">
        <v>1512121054925</v>
      </c>
      <c r="AU75" s="11">
        <v>238054296883</v>
      </c>
      <c r="AV75" s="11">
        <v>1352935000155</v>
      </c>
      <c r="AW75" s="11">
        <v>132874631319</v>
      </c>
      <c r="AX75" s="11">
        <v>374334874815</v>
      </c>
      <c r="AY75" s="11">
        <v>783665000000</v>
      </c>
      <c r="AZ75" s="11">
        <v>86372779294</v>
      </c>
      <c r="BA75" s="11">
        <v>2872278636044</v>
      </c>
      <c r="BB75" s="13">
        <v>198333</v>
      </c>
      <c r="BC75" s="11">
        <v>1618840120984</v>
      </c>
      <c r="BD75" s="11">
        <v>374334874815</v>
      </c>
      <c r="BE75" s="11">
        <v>879103640245</v>
      </c>
      <c r="BF75" s="11">
        <v>789173056213</v>
      </c>
      <c r="BG75" s="11">
        <v>908828053459</v>
      </c>
      <c r="BH75" s="11">
        <v>178819207322</v>
      </c>
      <c r="BI75" s="11">
        <v>0</v>
      </c>
      <c r="BJ75" s="11">
        <v>890561128092</v>
      </c>
      <c r="BK75" s="11">
        <v>0</v>
      </c>
      <c r="BL75" s="11">
        <v>0</v>
      </c>
      <c r="BM75" s="11">
        <v>44430483</v>
      </c>
    </row>
    <row r="76" spans="1:65" x14ac:dyDescent="0.25">
      <c r="A76" s="32"/>
      <c r="B76" s="10">
        <v>1420</v>
      </c>
      <c r="C76" s="10" t="s">
        <v>133</v>
      </c>
      <c r="D76" s="11">
        <v>1810013234289</v>
      </c>
      <c r="E76" s="11">
        <v>461947152335</v>
      </c>
      <c r="F76" s="11">
        <v>0</v>
      </c>
      <c r="G76" s="11">
        <v>0</v>
      </c>
      <c r="H76" s="11">
        <v>2271960386624</v>
      </c>
      <c r="I76" s="11">
        <v>133431321549</v>
      </c>
      <c r="J76" s="11">
        <v>2138529065075</v>
      </c>
      <c r="K76" s="11">
        <v>2039355659058</v>
      </c>
      <c r="L76" s="11">
        <v>232604727566</v>
      </c>
      <c r="M76" s="12">
        <v>11.41</v>
      </c>
      <c r="N76" s="11">
        <v>1802700860232</v>
      </c>
      <c r="O76" s="12">
        <v>85.34</v>
      </c>
      <c r="P76" s="12">
        <v>84.3</v>
      </c>
      <c r="Q76" s="12">
        <v>0</v>
      </c>
      <c r="R76" s="11">
        <v>1938842071920</v>
      </c>
      <c r="S76" s="11">
        <v>0</v>
      </c>
      <c r="T76" s="11">
        <v>0</v>
      </c>
      <c r="U76" s="11">
        <v>0</v>
      </c>
      <c r="V76" s="11">
        <v>0</v>
      </c>
      <c r="W76" s="11">
        <v>1938842071920</v>
      </c>
      <c r="X76" s="11">
        <v>19368272468</v>
      </c>
      <c r="Y76" s="11">
        <v>1500000000</v>
      </c>
      <c r="Z76" s="11">
        <v>1959710344388</v>
      </c>
      <c r="AA76" s="11">
        <v>1869849899264</v>
      </c>
      <c r="AB76" s="12">
        <v>3.69</v>
      </c>
      <c r="AC76" s="11">
        <v>3153807308758</v>
      </c>
      <c r="AD76" s="11">
        <v>3153807308758</v>
      </c>
      <c r="AE76" s="11">
        <v>2462627107685</v>
      </c>
      <c r="AF76" s="11">
        <v>40280261073</v>
      </c>
      <c r="AG76" s="11">
        <v>0</v>
      </c>
      <c r="AH76" s="11">
        <v>0</v>
      </c>
      <c r="AI76" s="11">
        <v>0</v>
      </c>
      <c r="AJ76" s="12">
        <v>24</v>
      </c>
      <c r="AK76" s="11">
        <v>5983818624025</v>
      </c>
      <c r="AL76" s="12">
        <v>88</v>
      </c>
      <c r="AM76" s="11">
        <v>3820424948193</v>
      </c>
      <c r="AN76" s="12">
        <v>90</v>
      </c>
      <c r="AO76" s="11">
        <v>3914631551264</v>
      </c>
      <c r="AP76" s="11">
        <v>0</v>
      </c>
      <c r="AQ76" s="11">
        <v>0</v>
      </c>
      <c r="AR76" s="11">
        <v>0</v>
      </c>
      <c r="AS76" s="12"/>
      <c r="AT76" s="11">
        <v>3338911965952</v>
      </c>
      <c r="AU76" s="11">
        <v>694586342451</v>
      </c>
      <c r="AV76" s="11">
        <v>1020447140312</v>
      </c>
      <c r="AW76" s="11">
        <v>148145996673</v>
      </c>
      <c r="AX76" s="11">
        <v>290775397304</v>
      </c>
      <c r="AY76" s="11">
        <v>350644700000</v>
      </c>
      <c r="AZ76" s="11">
        <v>196436099852</v>
      </c>
      <c r="BA76" s="11">
        <v>2271960386624</v>
      </c>
      <c r="BB76" s="13">
        <v>1358</v>
      </c>
      <c r="BC76" s="11">
        <v>1630540289320</v>
      </c>
      <c r="BD76" s="11">
        <v>290775397304</v>
      </c>
      <c r="BE76" s="11">
        <v>350644700000</v>
      </c>
      <c r="BF76" s="11">
        <v>3085307308758</v>
      </c>
      <c r="BG76" s="11">
        <v>68500000000</v>
      </c>
      <c r="BH76" s="11">
        <v>605503865638</v>
      </c>
      <c r="BI76" s="11">
        <v>0</v>
      </c>
      <c r="BJ76" s="11">
        <v>2475261892407</v>
      </c>
      <c r="BK76" s="11">
        <v>18449354662</v>
      </c>
      <c r="BL76" s="11">
        <v>0</v>
      </c>
      <c r="BM76" s="11">
        <v>21883363186</v>
      </c>
    </row>
    <row r="77" spans="1:65" x14ac:dyDescent="0.25">
      <c r="A77" s="32"/>
      <c r="B77" s="10">
        <v>1421</v>
      </c>
      <c r="C77" s="10" t="s">
        <v>134</v>
      </c>
      <c r="D77" s="11">
        <v>1358358467966</v>
      </c>
      <c r="E77" s="11">
        <v>54813754150</v>
      </c>
      <c r="F77" s="11">
        <v>0</v>
      </c>
      <c r="G77" s="11">
        <v>1554186297988</v>
      </c>
      <c r="H77" s="11">
        <v>2967358520104</v>
      </c>
      <c r="I77" s="11">
        <v>236576910826</v>
      </c>
      <c r="J77" s="11">
        <v>2730781609278</v>
      </c>
      <c r="K77" s="11">
        <v>2445921224734</v>
      </c>
      <c r="L77" s="11">
        <v>521437295370</v>
      </c>
      <c r="M77" s="12">
        <v>21.32</v>
      </c>
      <c r="N77" s="11">
        <v>2403099314219</v>
      </c>
      <c r="O77" s="12">
        <v>83.68</v>
      </c>
      <c r="P77" s="12">
        <v>88</v>
      </c>
      <c r="Q77" s="12">
        <v>6.79</v>
      </c>
      <c r="R77" s="11">
        <v>2322499051798</v>
      </c>
      <c r="S77" s="11">
        <v>160628537979</v>
      </c>
      <c r="T77" s="11">
        <v>14211462072</v>
      </c>
      <c r="U77" s="11">
        <v>8666133094</v>
      </c>
      <c r="V77" s="11">
        <v>137750942813</v>
      </c>
      <c r="W77" s="11">
        <v>2483127589777</v>
      </c>
      <c r="X77" s="11">
        <v>104360238230</v>
      </c>
      <c r="Y77" s="11">
        <v>4970000000</v>
      </c>
      <c r="Z77" s="11">
        <v>2592457828007</v>
      </c>
      <c r="AA77" s="11">
        <v>1692454394032</v>
      </c>
      <c r="AB77" s="12">
        <v>46.72</v>
      </c>
      <c r="AC77" s="11">
        <v>1577118378314</v>
      </c>
      <c r="AD77" s="11">
        <v>1577118378314</v>
      </c>
      <c r="AE77" s="11">
        <v>741660519806</v>
      </c>
      <c r="AF77" s="11">
        <v>11313138508</v>
      </c>
      <c r="AG77" s="11">
        <v>225468643288</v>
      </c>
      <c r="AH77" s="11">
        <v>0</v>
      </c>
      <c r="AI77" s="11">
        <v>0</v>
      </c>
      <c r="AJ77" s="12">
        <v>10</v>
      </c>
      <c r="AK77" s="11">
        <v>645427362150</v>
      </c>
      <c r="AL77" s="12">
        <v>51</v>
      </c>
      <c r="AM77" s="11">
        <v>194619468404</v>
      </c>
      <c r="AN77" s="12">
        <v>33</v>
      </c>
      <c r="AO77" s="11">
        <v>27991722054</v>
      </c>
      <c r="AP77" s="11">
        <v>160628537979</v>
      </c>
      <c r="AQ77" s="11">
        <v>38801639483</v>
      </c>
      <c r="AR77" s="11">
        <v>121826898496</v>
      </c>
      <c r="AS77" s="12">
        <v>313.97000000000003</v>
      </c>
      <c r="AT77" s="11">
        <v>1181960165850</v>
      </c>
      <c r="AU77" s="11">
        <v>319215533109</v>
      </c>
      <c r="AV77" s="11">
        <v>495601919554</v>
      </c>
      <c r="AW77" s="11">
        <v>251892997452</v>
      </c>
      <c r="AX77" s="11">
        <v>286875950960</v>
      </c>
      <c r="AY77" s="11">
        <v>323987600000</v>
      </c>
      <c r="AZ77" s="11">
        <v>64700610096</v>
      </c>
      <c r="BA77" s="11">
        <v>2967358520104</v>
      </c>
      <c r="BB77" s="13">
        <v>94427</v>
      </c>
      <c r="BC77" s="11">
        <v>2356494969144</v>
      </c>
      <c r="BD77" s="11">
        <v>285700950960</v>
      </c>
      <c r="BE77" s="11">
        <v>325162600000</v>
      </c>
      <c r="BF77" s="11">
        <v>440567521488</v>
      </c>
      <c r="BG77" s="11">
        <v>1136550856826</v>
      </c>
      <c r="BH77" s="11">
        <v>522727799614</v>
      </c>
      <c r="BI77" s="11">
        <v>0</v>
      </c>
      <c r="BJ77" s="11">
        <v>567009090610</v>
      </c>
      <c r="BK77" s="11">
        <v>0</v>
      </c>
      <c r="BL77" s="11">
        <v>0</v>
      </c>
      <c r="BM77" s="11">
        <v>11313138508</v>
      </c>
    </row>
    <row r="78" spans="1:65" x14ac:dyDescent="0.25">
      <c r="A78" s="32"/>
      <c r="B78" s="10">
        <v>1422</v>
      </c>
      <c r="C78" s="10" t="s">
        <v>135</v>
      </c>
      <c r="D78" s="11">
        <v>529506926087</v>
      </c>
      <c r="E78" s="11">
        <v>5953487142</v>
      </c>
      <c r="F78" s="11">
        <v>0</v>
      </c>
      <c r="G78" s="11">
        <v>0</v>
      </c>
      <c r="H78" s="11">
        <v>535460413229</v>
      </c>
      <c r="I78" s="11">
        <v>44399630373</v>
      </c>
      <c r="J78" s="11">
        <v>491060782856</v>
      </c>
      <c r="K78" s="11">
        <v>360014970414</v>
      </c>
      <c r="L78" s="11">
        <v>175445442815</v>
      </c>
      <c r="M78" s="12">
        <v>48.73</v>
      </c>
      <c r="N78" s="11">
        <v>442359463617</v>
      </c>
      <c r="O78" s="12">
        <v>92.29</v>
      </c>
      <c r="P78" s="12">
        <v>90.08</v>
      </c>
      <c r="Q78" s="12">
        <v>0.53</v>
      </c>
      <c r="R78" s="11">
        <v>491312129815</v>
      </c>
      <c r="S78" s="11">
        <v>2867397465</v>
      </c>
      <c r="T78" s="11">
        <v>1207728011</v>
      </c>
      <c r="U78" s="11">
        <v>1659669454</v>
      </c>
      <c r="V78" s="11">
        <v>0</v>
      </c>
      <c r="W78" s="11">
        <v>494179527280</v>
      </c>
      <c r="X78" s="11">
        <v>45106239808</v>
      </c>
      <c r="Y78" s="11">
        <v>0</v>
      </c>
      <c r="Z78" s="11">
        <v>539285767088</v>
      </c>
      <c r="AA78" s="11">
        <v>443572350976</v>
      </c>
      <c r="AB78" s="12">
        <v>11.41</v>
      </c>
      <c r="AC78" s="11">
        <v>157910000000</v>
      </c>
      <c r="AD78" s="11">
        <v>157910000000</v>
      </c>
      <c r="AE78" s="11">
        <v>0</v>
      </c>
      <c r="AF78" s="11">
        <v>0</v>
      </c>
      <c r="AG78" s="11">
        <v>0</v>
      </c>
      <c r="AH78" s="11">
        <v>0</v>
      </c>
      <c r="AI78" s="11">
        <v>0</v>
      </c>
      <c r="AJ78" s="12">
        <v>0</v>
      </c>
      <c r="AK78" s="11">
        <v>0</v>
      </c>
      <c r="AL78" s="12">
        <v>13</v>
      </c>
      <c r="AM78" s="11">
        <v>36242600000</v>
      </c>
      <c r="AN78" s="12">
        <v>6</v>
      </c>
      <c r="AO78" s="11">
        <v>1715200000</v>
      </c>
      <c r="AP78" s="11">
        <v>2867397465</v>
      </c>
      <c r="AQ78" s="11">
        <v>3370214666</v>
      </c>
      <c r="AR78" s="11">
        <v>-502817201</v>
      </c>
      <c r="AS78" s="12">
        <v>-14.92</v>
      </c>
      <c r="AT78" s="11">
        <v>158687634848</v>
      </c>
      <c r="AU78" s="11">
        <v>42958138650</v>
      </c>
      <c r="AV78" s="11">
        <v>53016401718</v>
      </c>
      <c r="AW78" s="11">
        <v>65734067312</v>
      </c>
      <c r="AX78" s="11">
        <v>135464457057</v>
      </c>
      <c r="AY78" s="11">
        <v>275292000000</v>
      </c>
      <c r="AZ78" s="11">
        <v>80719407705</v>
      </c>
      <c r="BA78" s="11">
        <v>535460413229</v>
      </c>
      <c r="BB78" s="13">
        <v>5519</v>
      </c>
      <c r="BC78" s="11">
        <v>123369744842</v>
      </c>
      <c r="BD78" s="11">
        <v>135464457057</v>
      </c>
      <c r="BE78" s="11">
        <v>276626211330</v>
      </c>
      <c r="BF78" s="11">
        <v>87340000000</v>
      </c>
      <c r="BG78" s="11">
        <v>70570000000</v>
      </c>
      <c r="BH78" s="11">
        <v>0</v>
      </c>
      <c r="BI78" s="11">
        <v>0</v>
      </c>
      <c r="BJ78" s="11">
        <v>0</v>
      </c>
      <c r="BK78" s="11">
        <v>0</v>
      </c>
      <c r="BL78" s="11">
        <v>0</v>
      </c>
      <c r="BM78" s="11">
        <v>0</v>
      </c>
    </row>
    <row r="79" spans="1:65" x14ac:dyDescent="0.25">
      <c r="A79" s="32"/>
      <c r="B79" s="10">
        <v>1423</v>
      </c>
      <c r="C79" s="10" t="s">
        <v>136</v>
      </c>
      <c r="D79" s="11">
        <v>435157011974</v>
      </c>
      <c r="E79" s="11">
        <v>4180179498</v>
      </c>
      <c r="F79" s="11">
        <v>0</v>
      </c>
      <c r="G79" s="11">
        <v>0</v>
      </c>
      <c r="H79" s="11">
        <v>439337191472</v>
      </c>
      <c r="I79" s="11">
        <v>35732688595</v>
      </c>
      <c r="J79" s="11">
        <v>403604502877</v>
      </c>
      <c r="K79" s="11">
        <v>386922214739</v>
      </c>
      <c r="L79" s="11">
        <v>52414976733</v>
      </c>
      <c r="M79" s="12">
        <v>13.55</v>
      </c>
      <c r="N79" s="11">
        <v>326620263849</v>
      </c>
      <c r="O79" s="12">
        <v>77.92</v>
      </c>
      <c r="P79" s="12">
        <v>80.930000000000007</v>
      </c>
      <c r="Q79" s="12">
        <v>1.98</v>
      </c>
      <c r="R79" s="11">
        <v>334235198697</v>
      </c>
      <c r="S79" s="11">
        <v>8080623236</v>
      </c>
      <c r="T79" s="11">
        <v>8080623236</v>
      </c>
      <c r="U79" s="11">
        <v>0</v>
      </c>
      <c r="V79" s="11">
        <v>0</v>
      </c>
      <c r="W79" s="11">
        <v>342315821933</v>
      </c>
      <c r="X79" s="11">
        <v>50276198209</v>
      </c>
      <c r="Y79" s="11">
        <v>14822591302</v>
      </c>
      <c r="Z79" s="11">
        <v>407414611444</v>
      </c>
      <c r="AA79" s="11">
        <v>341272521517</v>
      </c>
      <c r="AB79" s="12">
        <v>0.31</v>
      </c>
      <c r="AC79" s="11">
        <v>112205567670</v>
      </c>
      <c r="AD79" s="11">
        <v>112205567670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2">
        <v>0</v>
      </c>
      <c r="AK79" s="11">
        <v>0</v>
      </c>
      <c r="AL79" s="12">
        <v>0</v>
      </c>
      <c r="AM79" s="11">
        <v>0</v>
      </c>
      <c r="AN79" s="12">
        <v>23</v>
      </c>
      <c r="AO79" s="11">
        <v>53955783152</v>
      </c>
      <c r="AP79" s="11">
        <v>8080623236</v>
      </c>
      <c r="AQ79" s="11">
        <v>3550799674</v>
      </c>
      <c r="AR79" s="11">
        <v>4529823562</v>
      </c>
      <c r="AS79" s="12">
        <v>127.57</v>
      </c>
      <c r="AT79" s="11">
        <v>138371700660</v>
      </c>
      <c r="AU79" s="11">
        <v>35061888225</v>
      </c>
      <c r="AV79" s="11">
        <v>72216273233</v>
      </c>
      <c r="AW79" s="11">
        <v>28191449142</v>
      </c>
      <c r="AX79" s="11">
        <v>131282789599</v>
      </c>
      <c r="AY79" s="11">
        <v>203466500000</v>
      </c>
      <c r="AZ79" s="11">
        <v>67293395950</v>
      </c>
      <c r="BA79" s="11">
        <v>439337191472</v>
      </c>
      <c r="BB79" s="13">
        <v>27235</v>
      </c>
      <c r="BC79" s="11">
        <v>103269753849</v>
      </c>
      <c r="BD79" s="11">
        <v>131282789599</v>
      </c>
      <c r="BE79" s="11">
        <v>204784648024</v>
      </c>
      <c r="BF79" s="11">
        <v>100405827670</v>
      </c>
      <c r="BG79" s="11">
        <v>11799740000</v>
      </c>
      <c r="BH79" s="11">
        <v>0</v>
      </c>
      <c r="BI79" s="11">
        <v>0</v>
      </c>
      <c r="BJ79" s="11">
        <v>0</v>
      </c>
      <c r="BK79" s="11">
        <v>0</v>
      </c>
      <c r="BL79" s="11">
        <v>0</v>
      </c>
      <c r="BM79" s="11">
        <v>0</v>
      </c>
    </row>
    <row r="80" spans="1:65" x14ac:dyDescent="0.25">
      <c r="A80" s="32"/>
      <c r="B80" s="10">
        <v>1424</v>
      </c>
      <c r="C80" s="10" t="s">
        <v>137</v>
      </c>
      <c r="D80" s="11">
        <v>1200110154218</v>
      </c>
      <c r="E80" s="11">
        <v>133087590521</v>
      </c>
      <c r="F80" s="11">
        <v>0</v>
      </c>
      <c r="G80" s="11">
        <v>0</v>
      </c>
      <c r="H80" s="11">
        <v>1333197744739</v>
      </c>
      <c r="I80" s="11">
        <v>93894097091</v>
      </c>
      <c r="J80" s="11">
        <v>1239303647648</v>
      </c>
      <c r="K80" s="11">
        <v>872093285591</v>
      </c>
      <c r="L80" s="11">
        <v>461104459148</v>
      </c>
      <c r="M80" s="12">
        <v>52.87</v>
      </c>
      <c r="N80" s="11">
        <v>968828173079</v>
      </c>
      <c r="O80" s="12">
        <v>79.08</v>
      </c>
      <c r="P80" s="12">
        <v>78.180000000000007</v>
      </c>
      <c r="Q80" s="12">
        <v>1.04</v>
      </c>
      <c r="R80" s="11">
        <v>1052076640926</v>
      </c>
      <c r="S80" s="11">
        <v>2181114863</v>
      </c>
      <c r="T80" s="11">
        <v>1815276819</v>
      </c>
      <c r="U80" s="11">
        <v>365838044</v>
      </c>
      <c r="V80" s="11">
        <v>0</v>
      </c>
      <c r="W80" s="11">
        <v>1054257755789</v>
      </c>
      <c r="X80" s="11">
        <v>16288233435</v>
      </c>
      <c r="Y80" s="11">
        <v>0</v>
      </c>
      <c r="Z80" s="11">
        <v>1070545989224</v>
      </c>
      <c r="AA80" s="11">
        <v>577858534353</v>
      </c>
      <c r="AB80" s="12">
        <v>82.44</v>
      </c>
      <c r="AC80" s="11">
        <v>1948917483221</v>
      </c>
      <c r="AD80" s="11">
        <v>1948917483221</v>
      </c>
      <c r="AE80" s="11">
        <v>1729613528221</v>
      </c>
      <c r="AF80" s="11">
        <v>1344000000</v>
      </c>
      <c r="AG80" s="11">
        <v>450706855138</v>
      </c>
      <c r="AH80" s="11">
        <v>0</v>
      </c>
      <c r="AI80" s="11">
        <v>0</v>
      </c>
      <c r="AJ80" s="12">
        <v>8</v>
      </c>
      <c r="AK80" s="11">
        <v>2684212421698</v>
      </c>
      <c r="AL80" s="12">
        <v>34</v>
      </c>
      <c r="AM80" s="11">
        <v>238464281500</v>
      </c>
      <c r="AN80" s="12">
        <v>23</v>
      </c>
      <c r="AO80" s="11">
        <v>90545753259</v>
      </c>
      <c r="AP80" s="11">
        <v>2181114863</v>
      </c>
      <c r="AQ80" s="11">
        <v>2528944243</v>
      </c>
      <c r="AR80" s="11">
        <v>-347829380</v>
      </c>
      <c r="AS80" s="19">
        <v>-13.75</v>
      </c>
      <c r="AT80" s="11">
        <v>1623459591453</v>
      </c>
      <c r="AU80" s="11">
        <v>1331397839826</v>
      </c>
      <c r="AV80" s="11">
        <v>417967821384</v>
      </c>
      <c r="AW80" s="11">
        <v>60258423587</v>
      </c>
      <c r="AX80" s="11">
        <v>171221209247</v>
      </c>
      <c r="AY80" s="11">
        <v>550662700000</v>
      </c>
      <c r="AZ80" s="11">
        <v>77929923620</v>
      </c>
      <c r="BA80" s="11">
        <v>1333197744739</v>
      </c>
      <c r="BB80" s="13">
        <v>24234</v>
      </c>
      <c r="BC80" s="11">
        <v>611313835492</v>
      </c>
      <c r="BD80" s="11">
        <v>171221209247</v>
      </c>
      <c r="BE80" s="11">
        <v>550662700000</v>
      </c>
      <c r="BF80" s="11">
        <v>1879553483221</v>
      </c>
      <c r="BG80" s="11">
        <v>69364000000</v>
      </c>
      <c r="BH80" s="11">
        <v>0</v>
      </c>
      <c r="BI80" s="11">
        <v>0</v>
      </c>
      <c r="BJ80" s="11">
        <v>1355325146280</v>
      </c>
      <c r="BK80" s="11">
        <v>0</v>
      </c>
      <c r="BL80" s="11">
        <v>0</v>
      </c>
      <c r="BM80" s="11">
        <v>1344000000</v>
      </c>
    </row>
    <row r="81" spans="1:65" x14ac:dyDescent="0.25">
      <c r="A81" s="32"/>
      <c r="B81" s="10">
        <v>1425</v>
      </c>
      <c r="C81" s="10" t="s">
        <v>138</v>
      </c>
      <c r="D81" s="11">
        <v>1257531395716</v>
      </c>
      <c r="E81" s="11">
        <v>41935674316</v>
      </c>
      <c r="F81" s="11">
        <v>0</v>
      </c>
      <c r="G81" s="11">
        <v>0</v>
      </c>
      <c r="H81" s="11">
        <v>1299467070032</v>
      </c>
      <c r="I81" s="11">
        <v>106440158586</v>
      </c>
      <c r="J81" s="11">
        <v>1193026911446</v>
      </c>
      <c r="K81" s="11">
        <v>1287656639874</v>
      </c>
      <c r="L81" s="11">
        <v>11810430158</v>
      </c>
      <c r="M81" s="12">
        <v>0.92</v>
      </c>
      <c r="N81" s="11">
        <v>690307018206</v>
      </c>
      <c r="O81" s="12">
        <v>58.12</v>
      </c>
      <c r="P81" s="12">
        <v>57.86</v>
      </c>
      <c r="Q81" s="12">
        <v>0.74</v>
      </c>
      <c r="R81" s="11">
        <v>749406212067</v>
      </c>
      <c r="S81" s="11">
        <v>5834936749</v>
      </c>
      <c r="T81" s="11">
        <v>5834936749</v>
      </c>
      <c r="U81" s="11">
        <v>0</v>
      </c>
      <c r="V81" s="11">
        <v>0</v>
      </c>
      <c r="W81" s="11">
        <v>755241148816</v>
      </c>
      <c r="X81" s="11">
        <v>23446310707</v>
      </c>
      <c r="Y81" s="11">
        <v>6700000000</v>
      </c>
      <c r="Z81" s="11">
        <v>785387459523</v>
      </c>
      <c r="AA81" s="11">
        <v>652340680425</v>
      </c>
      <c r="AB81" s="12">
        <v>15.77</v>
      </c>
      <c r="AC81" s="11">
        <v>394337719789</v>
      </c>
      <c r="AD81" s="11">
        <v>394337719789</v>
      </c>
      <c r="AE81" s="11">
        <v>74645930660</v>
      </c>
      <c r="AF81" s="11">
        <v>0</v>
      </c>
      <c r="AG81" s="11">
        <v>0</v>
      </c>
      <c r="AH81" s="11">
        <v>0</v>
      </c>
      <c r="AI81" s="11">
        <v>0</v>
      </c>
      <c r="AJ81" s="12">
        <v>3</v>
      </c>
      <c r="AK81" s="11">
        <v>156014804604</v>
      </c>
      <c r="AL81" s="12">
        <v>67</v>
      </c>
      <c r="AM81" s="11">
        <v>343359507297</v>
      </c>
      <c r="AN81" s="12">
        <v>53</v>
      </c>
      <c r="AO81" s="11">
        <v>197717772062</v>
      </c>
      <c r="AP81" s="11">
        <v>5834936749</v>
      </c>
      <c r="AQ81" s="11">
        <v>29427724797</v>
      </c>
      <c r="AR81" s="11">
        <v>-23592788048</v>
      </c>
      <c r="AS81" s="12">
        <v>-80.17</v>
      </c>
      <c r="AT81" s="11">
        <v>338144006088</v>
      </c>
      <c r="AU81" s="11">
        <v>95590501859</v>
      </c>
      <c r="AV81" s="11">
        <v>245930521793</v>
      </c>
      <c r="AW81" s="11">
        <v>125481091215</v>
      </c>
      <c r="AX81" s="11">
        <v>234665082708</v>
      </c>
      <c r="AY81" s="11">
        <v>651454700000</v>
      </c>
      <c r="AZ81" s="11">
        <v>45951055677</v>
      </c>
      <c r="BA81" s="11">
        <v>1299467070032</v>
      </c>
      <c r="BB81" s="13">
        <v>151932</v>
      </c>
      <c r="BC81" s="11">
        <v>413347287324</v>
      </c>
      <c r="BD81" s="11">
        <v>234665082708</v>
      </c>
      <c r="BE81" s="11">
        <v>651454700000</v>
      </c>
      <c r="BF81" s="11">
        <v>318157719789</v>
      </c>
      <c r="BG81" s="11">
        <v>76180000000</v>
      </c>
      <c r="BH81" s="11">
        <v>21415380450</v>
      </c>
      <c r="BI81" s="11">
        <v>0</v>
      </c>
      <c r="BJ81" s="11">
        <v>30772619737</v>
      </c>
      <c r="BK81" s="11">
        <v>0</v>
      </c>
      <c r="BL81" s="11">
        <v>0</v>
      </c>
      <c r="BM81" s="11">
        <v>0</v>
      </c>
    </row>
    <row r="82" spans="1:65" x14ac:dyDescent="0.25">
      <c r="A82" s="32"/>
      <c r="B82" s="10">
        <v>1426</v>
      </c>
      <c r="C82" s="10" t="s">
        <v>139</v>
      </c>
      <c r="D82" s="11">
        <v>902987765577</v>
      </c>
      <c r="E82" s="11">
        <v>11230714057</v>
      </c>
      <c r="F82" s="11">
        <v>0</v>
      </c>
      <c r="G82" s="11">
        <v>0</v>
      </c>
      <c r="H82" s="11">
        <v>914218479634</v>
      </c>
      <c r="I82" s="11">
        <v>74550295150</v>
      </c>
      <c r="J82" s="11">
        <v>839668184484</v>
      </c>
      <c r="K82" s="11">
        <v>736787072743</v>
      </c>
      <c r="L82" s="11">
        <v>177431406891</v>
      </c>
      <c r="M82" s="12">
        <v>24.08</v>
      </c>
      <c r="N82" s="11">
        <v>605514789679</v>
      </c>
      <c r="O82" s="12">
        <v>68.040000000000006</v>
      </c>
      <c r="P82" s="12">
        <v>72.11</v>
      </c>
      <c r="Q82" s="12">
        <v>1.36</v>
      </c>
      <c r="R82" s="11">
        <v>612261849223</v>
      </c>
      <c r="S82" s="11">
        <v>9808990129</v>
      </c>
      <c r="T82" s="11">
        <v>9651926329</v>
      </c>
      <c r="U82" s="11">
        <v>157063800</v>
      </c>
      <c r="V82" s="11">
        <v>0</v>
      </c>
      <c r="W82" s="11">
        <v>622070839352</v>
      </c>
      <c r="X82" s="11">
        <v>80092779134</v>
      </c>
      <c r="Y82" s="11">
        <v>21146800000</v>
      </c>
      <c r="Z82" s="11">
        <v>723310418486</v>
      </c>
      <c r="AA82" s="11">
        <v>593739538509</v>
      </c>
      <c r="AB82" s="12">
        <v>4.7699999999999996</v>
      </c>
      <c r="AC82" s="11">
        <v>219635785523</v>
      </c>
      <c r="AD82" s="11">
        <v>219635785523</v>
      </c>
      <c r="AE82" s="11">
        <v>0</v>
      </c>
      <c r="AF82" s="11">
        <v>0</v>
      </c>
      <c r="AG82" s="11">
        <v>0</v>
      </c>
      <c r="AH82" s="11">
        <v>0</v>
      </c>
      <c r="AI82" s="11">
        <v>0</v>
      </c>
      <c r="AJ82" s="12">
        <v>0</v>
      </c>
      <c r="AK82" s="11">
        <v>0</v>
      </c>
      <c r="AL82" s="12">
        <v>26</v>
      </c>
      <c r="AM82" s="11">
        <v>73736180566</v>
      </c>
      <c r="AN82" s="12">
        <v>30</v>
      </c>
      <c r="AO82" s="11">
        <v>32357803735</v>
      </c>
      <c r="AP82" s="11">
        <v>9808990129</v>
      </c>
      <c r="AQ82" s="11">
        <v>8309612792</v>
      </c>
      <c r="AR82" s="11">
        <v>1499377337</v>
      </c>
      <c r="AS82" s="12">
        <v>18.04</v>
      </c>
      <c r="AT82" s="11">
        <v>232569414267</v>
      </c>
      <c r="AU82" s="11">
        <v>49185103766</v>
      </c>
      <c r="AV82" s="11">
        <v>157351368866</v>
      </c>
      <c r="AW82" s="11">
        <v>101292276444</v>
      </c>
      <c r="AX82" s="11">
        <v>231406220267</v>
      </c>
      <c r="AY82" s="11">
        <v>412937900000</v>
      </c>
      <c r="AZ82" s="11">
        <v>176965310575</v>
      </c>
      <c r="BA82" s="11">
        <v>914218479634</v>
      </c>
      <c r="BB82" s="13">
        <v>31545</v>
      </c>
      <c r="BC82" s="11">
        <v>269874359367</v>
      </c>
      <c r="BD82" s="11">
        <v>231096220267</v>
      </c>
      <c r="BE82" s="11">
        <v>413247900000</v>
      </c>
      <c r="BF82" s="11">
        <v>171568427233</v>
      </c>
      <c r="BG82" s="11">
        <v>48067358290</v>
      </c>
      <c r="BH82" s="11">
        <v>0</v>
      </c>
      <c r="BI82" s="11">
        <v>0</v>
      </c>
      <c r="BJ82" s="11">
        <v>0</v>
      </c>
      <c r="BK82" s="11">
        <v>0</v>
      </c>
      <c r="BL82" s="11">
        <v>0</v>
      </c>
      <c r="BM82" s="11">
        <v>0</v>
      </c>
    </row>
    <row r="83" spans="1:65" x14ac:dyDescent="0.25">
      <c r="A83" s="32"/>
      <c r="B83" s="10">
        <v>1427</v>
      </c>
      <c r="C83" s="10" t="s">
        <v>140</v>
      </c>
      <c r="D83" s="11">
        <v>1423567348829</v>
      </c>
      <c r="E83" s="11">
        <v>5936449625</v>
      </c>
      <c r="F83" s="11">
        <v>0</v>
      </c>
      <c r="G83" s="11">
        <v>0</v>
      </c>
      <c r="H83" s="11">
        <v>1429503798454</v>
      </c>
      <c r="I83" s="11">
        <v>99712472156</v>
      </c>
      <c r="J83" s="11">
        <v>1329791326298</v>
      </c>
      <c r="K83" s="11">
        <v>786039063539</v>
      </c>
      <c r="L83" s="11">
        <v>643464734915</v>
      </c>
      <c r="M83" s="12">
        <v>81.86</v>
      </c>
      <c r="N83" s="11">
        <v>388870648850</v>
      </c>
      <c r="O83" s="12">
        <v>29.35</v>
      </c>
      <c r="P83" s="12">
        <v>29.24</v>
      </c>
      <c r="Q83" s="12">
        <v>3.3</v>
      </c>
      <c r="R83" s="11">
        <v>403056564375</v>
      </c>
      <c r="S83" s="11">
        <v>16433336871</v>
      </c>
      <c r="T83" s="11">
        <v>16433336871</v>
      </c>
      <c r="U83" s="11">
        <v>0</v>
      </c>
      <c r="V83" s="11">
        <v>0</v>
      </c>
      <c r="W83" s="11">
        <v>419489901246</v>
      </c>
      <c r="X83" s="11">
        <v>59496789694</v>
      </c>
      <c r="Y83" s="11">
        <v>18299500000</v>
      </c>
      <c r="Z83" s="11">
        <v>497286190940</v>
      </c>
      <c r="AA83" s="11">
        <v>408935772670</v>
      </c>
      <c r="AB83" s="12">
        <v>2.58</v>
      </c>
      <c r="AC83" s="11">
        <v>152836446100</v>
      </c>
      <c r="AD83" s="11">
        <v>152836446100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  <c r="AJ83" s="12">
        <v>0</v>
      </c>
      <c r="AK83" s="11">
        <v>0</v>
      </c>
      <c r="AL83" s="12">
        <v>3</v>
      </c>
      <c r="AM83" s="11">
        <v>16696060184</v>
      </c>
      <c r="AN83" s="12">
        <v>7</v>
      </c>
      <c r="AO83" s="11">
        <v>13332082000</v>
      </c>
      <c r="AP83" s="11">
        <v>16433336871</v>
      </c>
      <c r="AQ83" s="11">
        <v>17101525347</v>
      </c>
      <c r="AR83" s="11">
        <v>-668188476</v>
      </c>
      <c r="AS83" s="12">
        <v>-3.91</v>
      </c>
      <c r="AT83" s="11">
        <v>190883880681</v>
      </c>
      <c r="AU83" s="11">
        <v>54508110540</v>
      </c>
      <c r="AV83" s="11">
        <v>81598800411</v>
      </c>
      <c r="AW83" s="11">
        <v>78531544229</v>
      </c>
      <c r="AX83" s="11">
        <v>177358404189</v>
      </c>
      <c r="AY83" s="11">
        <v>1086078600000</v>
      </c>
      <c r="AZ83" s="11">
        <v>137114489494</v>
      </c>
      <c r="BA83" s="11">
        <v>1429503798454</v>
      </c>
      <c r="BB83" s="13">
        <v>45174</v>
      </c>
      <c r="BC83" s="11">
        <v>166066794265</v>
      </c>
      <c r="BD83" s="11">
        <v>177358404189</v>
      </c>
      <c r="BE83" s="11">
        <v>1086078600000</v>
      </c>
      <c r="BF83" s="11">
        <v>137136446100</v>
      </c>
      <c r="BG83" s="11">
        <v>15700000000</v>
      </c>
      <c r="BH83" s="11">
        <v>0</v>
      </c>
      <c r="BI83" s="11">
        <v>0</v>
      </c>
      <c r="BJ83" s="11">
        <v>0</v>
      </c>
      <c r="BK83" s="11">
        <v>0</v>
      </c>
      <c r="BL83" s="11">
        <v>0</v>
      </c>
      <c r="BM83" s="11">
        <v>0</v>
      </c>
    </row>
    <row r="84" spans="1:65" x14ac:dyDescent="0.25">
      <c r="A84" s="32"/>
      <c r="B84" s="10">
        <v>1428</v>
      </c>
      <c r="C84" s="10" t="s">
        <v>141</v>
      </c>
      <c r="D84" s="11">
        <v>668138825254</v>
      </c>
      <c r="E84" s="11">
        <v>4916209021</v>
      </c>
      <c r="F84" s="11">
        <v>0</v>
      </c>
      <c r="G84" s="11">
        <v>0</v>
      </c>
      <c r="H84" s="11">
        <v>673055034275</v>
      </c>
      <c r="I84" s="11">
        <v>55213330036</v>
      </c>
      <c r="J84" s="11">
        <v>617841704239</v>
      </c>
      <c r="K84" s="11">
        <v>475206420065</v>
      </c>
      <c r="L84" s="11">
        <v>197848614210</v>
      </c>
      <c r="M84" s="12">
        <v>41.63</v>
      </c>
      <c r="N84" s="11">
        <v>249945703121</v>
      </c>
      <c r="O84" s="12">
        <v>45.04</v>
      </c>
      <c r="P84" s="12">
        <v>40.450000000000003</v>
      </c>
      <c r="Q84" s="12">
        <v>0.64</v>
      </c>
      <c r="R84" s="11">
        <v>301198092122</v>
      </c>
      <c r="S84" s="11">
        <v>1969085737</v>
      </c>
      <c r="T84" s="11">
        <v>1969085737</v>
      </c>
      <c r="U84" s="11">
        <v>0</v>
      </c>
      <c r="V84" s="11">
        <v>0</v>
      </c>
      <c r="W84" s="11">
        <v>303167177859</v>
      </c>
      <c r="X84" s="11">
        <v>3995344555</v>
      </c>
      <c r="Y84" s="11">
        <v>0</v>
      </c>
      <c r="Z84" s="11">
        <v>307162522414</v>
      </c>
      <c r="AA84" s="11">
        <v>114258331968</v>
      </c>
      <c r="AB84" s="12">
        <v>165.33</v>
      </c>
      <c r="AC84" s="11">
        <v>189885000000</v>
      </c>
      <c r="AD84" s="11">
        <v>189885000000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  <c r="AJ84" s="12">
        <v>0</v>
      </c>
      <c r="AK84" s="11">
        <v>0</v>
      </c>
      <c r="AL84" s="12">
        <v>14</v>
      </c>
      <c r="AM84" s="11">
        <v>49904661537</v>
      </c>
      <c r="AN84" s="12">
        <v>2</v>
      </c>
      <c r="AO84" s="11">
        <v>1612264468</v>
      </c>
      <c r="AP84" s="11">
        <v>1969085737</v>
      </c>
      <c r="AQ84" s="11">
        <v>0</v>
      </c>
      <c r="AR84" s="11">
        <v>1969085737</v>
      </c>
      <c r="AS84" s="12"/>
      <c r="AT84" s="11">
        <v>52308868612</v>
      </c>
      <c r="AU84" s="11">
        <v>5810808815</v>
      </c>
      <c r="AV84" s="11">
        <v>12851118835</v>
      </c>
      <c r="AW84" s="11">
        <v>57320564709</v>
      </c>
      <c r="AX84" s="11">
        <v>142486141710</v>
      </c>
      <c r="AY84" s="11">
        <v>455481000000</v>
      </c>
      <c r="AZ84" s="11">
        <v>138083223231</v>
      </c>
      <c r="BA84" s="11">
        <v>673055034275</v>
      </c>
      <c r="BB84" s="12">
        <v>0</v>
      </c>
      <c r="BC84" s="11">
        <v>75087892565</v>
      </c>
      <c r="BD84" s="11">
        <v>142486141710</v>
      </c>
      <c r="BE84" s="11">
        <v>455481000000</v>
      </c>
      <c r="BF84" s="11">
        <v>186385000000</v>
      </c>
      <c r="BG84" s="11">
        <v>3500000000</v>
      </c>
      <c r="BH84" s="11">
        <v>0</v>
      </c>
      <c r="BI84" s="11">
        <v>0</v>
      </c>
      <c r="BJ84" s="11">
        <v>0</v>
      </c>
      <c r="BK84" s="11">
        <v>0</v>
      </c>
      <c r="BL84" s="11">
        <v>0</v>
      </c>
      <c r="BM84" s="11">
        <v>0</v>
      </c>
    </row>
    <row r="85" spans="1:65" x14ac:dyDescent="0.25">
      <c r="A85" s="32"/>
      <c r="B85" s="10">
        <v>1499</v>
      </c>
      <c r="C85" s="10" t="s">
        <v>142</v>
      </c>
      <c r="D85" s="11">
        <v>0</v>
      </c>
      <c r="E85" s="11">
        <v>8068906088</v>
      </c>
      <c r="F85" s="11">
        <v>0</v>
      </c>
      <c r="G85" s="11">
        <v>0</v>
      </c>
      <c r="H85" s="11">
        <v>8068906088</v>
      </c>
      <c r="I85" s="11">
        <v>661667281</v>
      </c>
      <c r="J85" s="11">
        <v>7407238807</v>
      </c>
      <c r="K85" s="11">
        <v>7811282321</v>
      </c>
      <c r="L85" s="11">
        <v>257623767</v>
      </c>
      <c r="M85" s="12">
        <v>3.3</v>
      </c>
      <c r="N85" s="11">
        <v>0</v>
      </c>
      <c r="O85" s="12">
        <v>0</v>
      </c>
      <c r="P85" s="12">
        <v>0</v>
      </c>
      <c r="Q85" s="12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2"/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2">
        <v>0</v>
      </c>
      <c r="AK85" s="11">
        <v>0</v>
      </c>
      <c r="AL85" s="12">
        <v>0</v>
      </c>
      <c r="AM85" s="11">
        <v>0</v>
      </c>
      <c r="AN85" s="12">
        <v>0</v>
      </c>
      <c r="AO85" s="11">
        <v>0</v>
      </c>
      <c r="AP85" s="11">
        <v>0</v>
      </c>
      <c r="AQ85" s="11">
        <v>0</v>
      </c>
      <c r="AR85" s="11">
        <v>0</v>
      </c>
      <c r="AS85" s="12"/>
      <c r="AT85" s="11">
        <v>0</v>
      </c>
      <c r="AU85" s="11">
        <v>0</v>
      </c>
      <c r="AV85" s="11">
        <v>0</v>
      </c>
      <c r="AW85" s="11">
        <v>0</v>
      </c>
      <c r="AX85" s="11">
        <v>0</v>
      </c>
      <c r="AY85" s="11">
        <v>0</v>
      </c>
      <c r="AZ85" s="11">
        <v>0</v>
      </c>
      <c r="BA85" s="11">
        <v>8068906088</v>
      </c>
      <c r="BB85" s="12">
        <v>0</v>
      </c>
      <c r="BC85" s="11">
        <v>8068906088</v>
      </c>
      <c r="BD85" s="11">
        <v>0</v>
      </c>
      <c r="BE85" s="11">
        <v>0</v>
      </c>
      <c r="BF85" s="11">
        <v>0</v>
      </c>
      <c r="BG85" s="11">
        <v>0</v>
      </c>
      <c r="BH85" s="11">
        <v>0</v>
      </c>
      <c r="BI85" s="11">
        <v>0</v>
      </c>
      <c r="BJ85" s="11">
        <v>0</v>
      </c>
      <c r="BK85" s="11">
        <v>0</v>
      </c>
      <c r="BL85" s="11">
        <v>0</v>
      </c>
      <c r="BM85" s="11">
        <v>0</v>
      </c>
    </row>
    <row r="86" spans="1:65" x14ac:dyDescent="0.25">
      <c r="A86" s="14" t="s">
        <v>593</v>
      </c>
      <c r="B86" s="15"/>
      <c r="C86" s="15"/>
      <c r="D86" s="16">
        <v>38853177092531</v>
      </c>
      <c r="E86" s="16">
        <v>4786610466748</v>
      </c>
      <c r="F86" s="16">
        <v>69857000000</v>
      </c>
      <c r="G86" s="16">
        <v>3519996713705</v>
      </c>
      <c r="H86" s="16">
        <v>47229641272984</v>
      </c>
      <c r="I86" s="16">
        <v>3615931858536</v>
      </c>
      <c r="J86" s="16">
        <v>43613709414448</v>
      </c>
      <c r="K86" s="16">
        <v>44489605635587</v>
      </c>
      <c r="L86" s="16">
        <v>2740035637397</v>
      </c>
      <c r="M86" s="17">
        <v>6.16</v>
      </c>
      <c r="N86" s="16">
        <v>42006141971477</v>
      </c>
      <c r="O86" s="17">
        <v>100.23</v>
      </c>
      <c r="P86" s="17">
        <v>96.31</v>
      </c>
      <c r="Q86" s="17">
        <v>4.71</v>
      </c>
      <c r="R86" s="16">
        <v>45428045304711</v>
      </c>
      <c r="S86" s="16">
        <v>1908230883711</v>
      </c>
      <c r="T86" s="16">
        <v>436823434837</v>
      </c>
      <c r="U86" s="16">
        <v>176605953716</v>
      </c>
      <c r="V86" s="16">
        <v>1294801495158</v>
      </c>
      <c r="W86" s="16">
        <v>47336276188422</v>
      </c>
      <c r="X86" s="16">
        <v>2138988432524</v>
      </c>
      <c r="Y86" s="16">
        <v>228693588249</v>
      </c>
      <c r="Z86" s="16">
        <v>49703958209195</v>
      </c>
      <c r="AA86" s="16">
        <v>38606517198042</v>
      </c>
      <c r="AB86" s="17">
        <v>22.61</v>
      </c>
      <c r="AC86" s="16">
        <v>55363811602275</v>
      </c>
      <c r="AD86" s="16">
        <v>55023073358110</v>
      </c>
      <c r="AE86" s="16">
        <v>38897657631966</v>
      </c>
      <c r="AF86" s="16">
        <v>335062776194</v>
      </c>
      <c r="AG86" s="16">
        <v>2024600818754</v>
      </c>
      <c r="AH86" s="16">
        <v>0</v>
      </c>
      <c r="AI86" s="16">
        <v>132793776775</v>
      </c>
      <c r="AJ86" s="17">
        <v>333</v>
      </c>
      <c r="AK86" s="16">
        <v>57463873187424</v>
      </c>
      <c r="AL86" s="18">
        <v>1293</v>
      </c>
      <c r="AM86" s="16">
        <v>22335749333222</v>
      </c>
      <c r="AN86" s="18">
        <f>SUM(AN56:AN85)</f>
        <v>852</v>
      </c>
      <c r="AO86" s="16">
        <f>SUM(AO56:AO85)</f>
        <v>11984977631276</v>
      </c>
      <c r="AP86" s="16">
        <v>1908230883711</v>
      </c>
      <c r="AQ86" s="16">
        <v>1065089226919</v>
      </c>
      <c r="AR86" s="16">
        <v>843141656792</v>
      </c>
      <c r="AS86" s="17">
        <v>79.16</v>
      </c>
      <c r="AT86" s="16">
        <v>52265425236911</v>
      </c>
      <c r="AU86" s="16">
        <v>10644091362371</v>
      </c>
      <c r="AV86" s="16">
        <v>11041286754067</v>
      </c>
      <c r="AW86" s="16">
        <v>3776794372841</v>
      </c>
      <c r="AX86" s="16">
        <v>8901167865623</v>
      </c>
      <c r="AY86" s="16">
        <v>15133928100000</v>
      </c>
      <c r="AZ86" s="16">
        <v>3059371161437</v>
      </c>
      <c r="BA86" s="16">
        <v>47229641272984</v>
      </c>
      <c r="BB86" s="18">
        <v>2109183</v>
      </c>
      <c r="BC86" s="16">
        <v>22737913476940</v>
      </c>
      <c r="BD86" s="16">
        <v>8948597065623</v>
      </c>
      <c r="BE86" s="16">
        <v>15543130730421</v>
      </c>
      <c r="BF86" s="16">
        <v>41960094420959</v>
      </c>
      <c r="BG86" s="16">
        <v>13403717181316</v>
      </c>
      <c r="BH86" s="16">
        <v>6892404534275</v>
      </c>
      <c r="BI86" s="16">
        <v>747500090023</v>
      </c>
      <c r="BJ86" s="16">
        <v>36502680982139</v>
      </c>
      <c r="BK86" s="16">
        <v>140805168262</v>
      </c>
      <c r="BL86" s="16">
        <v>43537100983</v>
      </c>
      <c r="BM86" s="16">
        <v>195741333843</v>
      </c>
    </row>
    <row r="87" spans="1:65" x14ac:dyDescent="0.25">
      <c r="A87" s="32" t="s">
        <v>143</v>
      </c>
      <c r="B87" s="10">
        <v>1702</v>
      </c>
      <c r="C87" s="10" t="s">
        <v>144</v>
      </c>
      <c r="D87" s="11">
        <v>7108018485599</v>
      </c>
      <c r="E87" s="11">
        <v>400018077185</v>
      </c>
      <c r="F87" s="11">
        <v>0</v>
      </c>
      <c r="G87" s="11">
        <v>146913895312</v>
      </c>
      <c r="H87" s="11">
        <v>7654950458096</v>
      </c>
      <c r="I87" s="11">
        <v>445112967093</v>
      </c>
      <c r="J87" s="11">
        <v>7209837491003</v>
      </c>
      <c r="K87" s="11">
        <v>4921937795143</v>
      </c>
      <c r="L87" s="11">
        <v>2733012662953</v>
      </c>
      <c r="M87" s="12">
        <v>55.53</v>
      </c>
      <c r="N87" s="11">
        <v>7289080353211</v>
      </c>
      <c r="O87" s="12">
        <v>103.57</v>
      </c>
      <c r="P87" s="12">
        <v>101.1</v>
      </c>
      <c r="Q87" s="12">
        <v>24.27</v>
      </c>
      <c r="R87" s="11">
        <v>5933755519447</v>
      </c>
      <c r="S87" s="11">
        <v>1994409003028</v>
      </c>
      <c r="T87" s="11">
        <v>22618025649</v>
      </c>
      <c r="U87" s="11">
        <v>467903876093</v>
      </c>
      <c r="V87" s="11">
        <v>1503887101286</v>
      </c>
      <c r="W87" s="11">
        <v>7928164522475</v>
      </c>
      <c r="X87" s="11">
        <v>602725072079</v>
      </c>
      <c r="Y87" s="11">
        <v>21589803127</v>
      </c>
      <c r="Z87" s="11">
        <v>8552479397681</v>
      </c>
      <c r="AA87" s="11">
        <v>6948124561777</v>
      </c>
      <c r="AB87" s="12">
        <v>14.11</v>
      </c>
      <c r="AC87" s="11">
        <v>5676918876145</v>
      </c>
      <c r="AD87" s="11">
        <v>5676918876145</v>
      </c>
      <c r="AE87" s="11">
        <v>2642315261502</v>
      </c>
      <c r="AF87" s="11">
        <v>49661261964</v>
      </c>
      <c r="AG87" s="11">
        <v>0</v>
      </c>
      <c r="AH87" s="11">
        <v>0</v>
      </c>
      <c r="AI87" s="11">
        <v>0</v>
      </c>
      <c r="AJ87" s="12">
        <v>8</v>
      </c>
      <c r="AK87" s="11">
        <v>1773857387500</v>
      </c>
      <c r="AL87" s="12">
        <v>33</v>
      </c>
      <c r="AM87" s="11">
        <v>756001388781</v>
      </c>
      <c r="AN87" s="12">
        <v>6</v>
      </c>
      <c r="AO87" s="11">
        <v>47944887917</v>
      </c>
      <c r="AP87" s="11">
        <v>1994409003028</v>
      </c>
      <c r="AQ87" s="11">
        <v>565224649486</v>
      </c>
      <c r="AR87" s="11">
        <v>1429184353542</v>
      </c>
      <c r="AS87" s="12">
        <v>252.85</v>
      </c>
      <c r="AT87" s="11">
        <v>5502085516072</v>
      </c>
      <c r="AU87" s="11">
        <v>1287384906593</v>
      </c>
      <c r="AV87" s="11">
        <v>406321043336</v>
      </c>
      <c r="AW87" s="11">
        <v>423218418246</v>
      </c>
      <c r="AX87" s="11">
        <v>1100082724017</v>
      </c>
      <c r="AY87" s="11">
        <v>5178396300000</v>
      </c>
      <c r="AZ87" s="11">
        <v>801336731259</v>
      </c>
      <c r="BA87" s="11">
        <v>7654950458096</v>
      </c>
      <c r="BB87" s="13">
        <v>37823</v>
      </c>
      <c r="BC87" s="11">
        <v>1303979240170</v>
      </c>
      <c r="BD87" s="11">
        <v>1100082724017</v>
      </c>
      <c r="BE87" s="11">
        <v>5250888493909</v>
      </c>
      <c r="BF87" s="11">
        <v>1789456597035</v>
      </c>
      <c r="BG87" s="11">
        <v>3887462279110</v>
      </c>
      <c r="BH87" s="11">
        <v>0</v>
      </c>
      <c r="BI87" s="11">
        <v>1459044359815</v>
      </c>
      <c r="BJ87" s="11">
        <v>1359985605894</v>
      </c>
      <c r="BK87" s="11">
        <v>0</v>
      </c>
      <c r="BL87" s="11">
        <v>0</v>
      </c>
      <c r="BM87" s="11">
        <v>50068461728</v>
      </c>
    </row>
    <row r="88" spans="1:65" x14ac:dyDescent="0.25">
      <c r="A88" s="32"/>
      <c r="B88" s="10">
        <v>1707</v>
      </c>
      <c r="C88" s="10" t="s">
        <v>145</v>
      </c>
      <c r="D88" s="11">
        <v>1970638157080</v>
      </c>
      <c r="E88" s="11">
        <v>398709831465</v>
      </c>
      <c r="F88" s="11">
        <v>0</v>
      </c>
      <c r="G88" s="11">
        <v>0</v>
      </c>
      <c r="H88" s="11">
        <v>2369347988545</v>
      </c>
      <c r="I88" s="11">
        <v>224789128371</v>
      </c>
      <c r="J88" s="11">
        <v>2144558860174</v>
      </c>
      <c r="K88" s="11">
        <v>2181095071995</v>
      </c>
      <c r="L88" s="11">
        <v>188252916550</v>
      </c>
      <c r="M88" s="12">
        <v>8.6300000000000008</v>
      </c>
      <c r="N88" s="11">
        <v>1671710346264</v>
      </c>
      <c r="O88" s="12">
        <v>74.42</v>
      </c>
      <c r="P88" s="12">
        <v>77.95</v>
      </c>
      <c r="Q88" s="12">
        <v>0.76</v>
      </c>
      <c r="R88" s="11">
        <v>1749514419733</v>
      </c>
      <c r="S88" s="11">
        <v>13808361990</v>
      </c>
      <c r="T88" s="11">
        <v>11190919110</v>
      </c>
      <c r="U88" s="11">
        <v>1977845780</v>
      </c>
      <c r="V88" s="11">
        <v>639597100</v>
      </c>
      <c r="W88" s="11">
        <v>1763322781723</v>
      </c>
      <c r="X88" s="11">
        <v>106536033999</v>
      </c>
      <c r="Y88" s="11">
        <v>27151098123</v>
      </c>
      <c r="Z88" s="11">
        <v>1897009913845</v>
      </c>
      <c r="AA88" s="11">
        <v>1234241455703</v>
      </c>
      <c r="AB88" s="12">
        <v>42.87</v>
      </c>
      <c r="AC88" s="11">
        <v>2883644143093</v>
      </c>
      <c r="AD88" s="11">
        <v>2883644143093</v>
      </c>
      <c r="AE88" s="11">
        <v>1786044111547</v>
      </c>
      <c r="AF88" s="11">
        <v>87018439979</v>
      </c>
      <c r="AG88" s="11">
        <v>0</v>
      </c>
      <c r="AH88" s="11">
        <v>0</v>
      </c>
      <c r="AI88" s="11">
        <v>0</v>
      </c>
      <c r="AJ88" s="12">
        <v>15</v>
      </c>
      <c r="AK88" s="11">
        <v>4152482960789</v>
      </c>
      <c r="AL88" s="12">
        <v>89</v>
      </c>
      <c r="AM88" s="11">
        <v>1267080431967</v>
      </c>
      <c r="AN88" s="12">
        <v>50</v>
      </c>
      <c r="AO88" s="11">
        <v>2768140161785</v>
      </c>
      <c r="AP88" s="11">
        <v>13808361990</v>
      </c>
      <c r="AQ88" s="11">
        <v>10845493136</v>
      </c>
      <c r="AR88" s="11">
        <v>2962868854</v>
      </c>
      <c r="AS88" s="12">
        <v>27.32</v>
      </c>
      <c r="AT88" s="11">
        <v>2516840417857</v>
      </c>
      <c r="AU88" s="11">
        <v>67165947140</v>
      </c>
      <c r="AV88" s="11">
        <v>581292020320</v>
      </c>
      <c r="AW88" s="11">
        <v>132435078133</v>
      </c>
      <c r="AX88" s="11">
        <v>568644158627</v>
      </c>
      <c r="AY88" s="11">
        <v>688266900000</v>
      </c>
      <c r="AZ88" s="11">
        <v>172154943089</v>
      </c>
      <c r="BA88" s="11">
        <v>2369347988545</v>
      </c>
      <c r="BB88" s="13">
        <v>30229</v>
      </c>
      <c r="BC88" s="11">
        <v>1112436929918</v>
      </c>
      <c r="BD88" s="11">
        <v>568644158627</v>
      </c>
      <c r="BE88" s="11">
        <v>688266900000</v>
      </c>
      <c r="BF88" s="11">
        <v>565672617910</v>
      </c>
      <c r="BG88" s="11">
        <v>2317971525183</v>
      </c>
      <c r="BH88" s="11">
        <v>110956103870</v>
      </c>
      <c r="BI88" s="11">
        <v>0</v>
      </c>
      <c r="BJ88" s="11">
        <v>1767453203103</v>
      </c>
      <c r="BK88" s="11">
        <v>54795729228</v>
      </c>
      <c r="BL88" s="11">
        <v>0</v>
      </c>
      <c r="BM88" s="11">
        <v>4619315045</v>
      </c>
    </row>
    <row r="89" spans="1:65" x14ac:dyDescent="0.25">
      <c r="A89" s="32"/>
      <c r="B89" s="10">
        <v>1712</v>
      </c>
      <c r="C89" s="10" t="s">
        <v>146</v>
      </c>
      <c r="D89" s="11">
        <v>2360012860745</v>
      </c>
      <c r="E89" s="11">
        <v>155659923061</v>
      </c>
      <c r="F89" s="11">
        <v>0</v>
      </c>
      <c r="G89" s="11">
        <v>0</v>
      </c>
      <c r="H89" s="11">
        <v>2515672783806</v>
      </c>
      <c r="I89" s="11">
        <v>171874678140</v>
      </c>
      <c r="J89" s="11">
        <v>2343798105666</v>
      </c>
      <c r="K89" s="11">
        <v>2365030048372</v>
      </c>
      <c r="L89" s="11">
        <v>150642735434</v>
      </c>
      <c r="M89" s="12">
        <v>6.37</v>
      </c>
      <c r="N89" s="11">
        <v>2602929281477</v>
      </c>
      <c r="O89" s="12">
        <v>106.31</v>
      </c>
      <c r="P89" s="12">
        <v>111.06</v>
      </c>
      <c r="Q89" s="12">
        <v>22.97</v>
      </c>
      <c r="R89" s="11">
        <v>2044936920361</v>
      </c>
      <c r="S89" s="11">
        <v>629506592296</v>
      </c>
      <c r="T89" s="11">
        <v>54227520853</v>
      </c>
      <c r="U89" s="11">
        <v>25031115394</v>
      </c>
      <c r="V89" s="11">
        <v>550247956049</v>
      </c>
      <c r="W89" s="11">
        <v>2674443512657</v>
      </c>
      <c r="X89" s="11">
        <v>258980505176</v>
      </c>
      <c r="Y89" s="11">
        <v>28731469580</v>
      </c>
      <c r="Z89" s="11">
        <v>2962155487413</v>
      </c>
      <c r="AA89" s="11">
        <v>2166552092286</v>
      </c>
      <c r="AB89" s="12">
        <v>23.44</v>
      </c>
      <c r="AC89" s="11">
        <v>2381841010254</v>
      </c>
      <c r="AD89" s="11">
        <v>2381841010254</v>
      </c>
      <c r="AE89" s="11">
        <v>907436081989</v>
      </c>
      <c r="AF89" s="11">
        <v>217614371037</v>
      </c>
      <c r="AG89" s="11">
        <v>0</v>
      </c>
      <c r="AH89" s="11">
        <v>0</v>
      </c>
      <c r="AI89" s="11">
        <v>0</v>
      </c>
      <c r="AJ89" s="12">
        <v>8</v>
      </c>
      <c r="AK89" s="11">
        <v>509575642158</v>
      </c>
      <c r="AL89" s="12">
        <v>33</v>
      </c>
      <c r="AM89" s="11">
        <v>698385857570</v>
      </c>
      <c r="AN89" s="12">
        <v>27</v>
      </c>
      <c r="AO89" s="11">
        <v>770194837971</v>
      </c>
      <c r="AP89" s="11">
        <v>629506592296</v>
      </c>
      <c r="AQ89" s="11">
        <v>24608843279</v>
      </c>
      <c r="AR89" s="11">
        <v>604897749017</v>
      </c>
      <c r="AS89" s="19">
        <v>2458.0500000000002</v>
      </c>
      <c r="AT89" s="11">
        <v>2169561599985</v>
      </c>
      <c r="AU89" s="11">
        <v>341489244913</v>
      </c>
      <c r="AV89" s="11">
        <v>750249332977</v>
      </c>
      <c r="AW89" s="11">
        <v>779270820513</v>
      </c>
      <c r="AX89" s="11">
        <v>495258707255</v>
      </c>
      <c r="AY89" s="11">
        <v>335234000000</v>
      </c>
      <c r="AZ89" s="11">
        <v>271333643311</v>
      </c>
      <c r="BA89" s="11">
        <v>2515672783806</v>
      </c>
      <c r="BB89" s="13">
        <v>77681</v>
      </c>
      <c r="BC89" s="11">
        <v>1685180076551</v>
      </c>
      <c r="BD89" s="11">
        <v>495258707255</v>
      </c>
      <c r="BE89" s="11">
        <v>335234000000</v>
      </c>
      <c r="BF89" s="11">
        <v>2302951191965</v>
      </c>
      <c r="BG89" s="11">
        <v>78889818289</v>
      </c>
      <c r="BH89" s="11">
        <v>26343932229</v>
      </c>
      <c r="BI89" s="11">
        <v>531383728873</v>
      </c>
      <c r="BJ89" s="11">
        <v>376719309848</v>
      </c>
      <c r="BK89" s="11">
        <v>0</v>
      </c>
      <c r="BL89" s="11">
        <v>0</v>
      </c>
      <c r="BM89" s="11">
        <v>219883065524</v>
      </c>
    </row>
    <row r="90" spans="1:65" x14ac:dyDescent="0.25">
      <c r="A90" s="32"/>
      <c r="B90" s="10">
        <v>1713</v>
      </c>
      <c r="C90" s="10" t="s">
        <v>147</v>
      </c>
      <c r="D90" s="11">
        <v>2087893049465</v>
      </c>
      <c r="E90" s="11">
        <v>371050867005</v>
      </c>
      <c r="F90" s="11">
        <v>0</v>
      </c>
      <c r="G90" s="11">
        <v>0</v>
      </c>
      <c r="H90" s="11">
        <v>2458943916470</v>
      </c>
      <c r="I90" s="11">
        <v>198243907619</v>
      </c>
      <c r="J90" s="11">
        <v>2260700008851</v>
      </c>
      <c r="K90" s="11">
        <v>1798769278221</v>
      </c>
      <c r="L90" s="11">
        <v>660174638249</v>
      </c>
      <c r="M90" s="12">
        <v>36.700000000000003</v>
      </c>
      <c r="N90" s="11">
        <v>2209491424156</v>
      </c>
      <c r="O90" s="12">
        <v>92.89</v>
      </c>
      <c r="P90" s="12">
        <v>97.73</v>
      </c>
      <c r="Q90" s="12">
        <v>0.68</v>
      </c>
      <c r="R90" s="11">
        <v>2268386730909</v>
      </c>
      <c r="S90" s="11">
        <v>15669546993</v>
      </c>
      <c r="T90" s="11">
        <v>11510423956</v>
      </c>
      <c r="U90" s="11">
        <v>611848576</v>
      </c>
      <c r="V90" s="11">
        <v>3547274461</v>
      </c>
      <c r="W90" s="11">
        <v>2284056277902</v>
      </c>
      <c r="X90" s="11">
        <v>169841032833</v>
      </c>
      <c r="Y90" s="11">
        <v>21785090000</v>
      </c>
      <c r="Z90" s="11">
        <v>2475682400735</v>
      </c>
      <c r="AA90" s="11">
        <v>1679660678204</v>
      </c>
      <c r="AB90" s="12">
        <v>35.979999999999997</v>
      </c>
      <c r="AC90" s="11">
        <v>1694460784753</v>
      </c>
      <c r="AD90" s="11">
        <v>1694460784753</v>
      </c>
      <c r="AE90" s="11">
        <v>258906017266</v>
      </c>
      <c r="AF90" s="11">
        <v>602489015</v>
      </c>
      <c r="AG90" s="11">
        <v>0</v>
      </c>
      <c r="AH90" s="11">
        <v>0</v>
      </c>
      <c r="AI90" s="11">
        <v>0</v>
      </c>
      <c r="AJ90" s="12">
        <v>4</v>
      </c>
      <c r="AK90" s="11">
        <v>702791203487</v>
      </c>
      <c r="AL90" s="12">
        <v>44</v>
      </c>
      <c r="AM90" s="11">
        <v>2464845750904</v>
      </c>
      <c r="AN90" s="12">
        <v>32</v>
      </c>
      <c r="AO90" s="11">
        <v>639877738337</v>
      </c>
      <c r="AP90" s="11">
        <v>15669546993</v>
      </c>
      <c r="AQ90" s="11">
        <v>5601351822</v>
      </c>
      <c r="AR90" s="11">
        <v>10068195171</v>
      </c>
      <c r="AS90" s="12">
        <v>179.75</v>
      </c>
      <c r="AT90" s="11">
        <v>1285579287377</v>
      </c>
      <c r="AU90" s="11">
        <v>306045498494</v>
      </c>
      <c r="AV90" s="11">
        <v>598019313386</v>
      </c>
      <c r="AW90" s="11">
        <v>817493386998</v>
      </c>
      <c r="AX90" s="11">
        <v>236626949081</v>
      </c>
      <c r="AY90" s="11">
        <v>435753400000</v>
      </c>
      <c r="AZ90" s="11">
        <v>139576514569</v>
      </c>
      <c r="BA90" s="11">
        <v>2458943916470</v>
      </c>
      <c r="BB90" s="13">
        <v>26890</v>
      </c>
      <c r="BC90" s="11">
        <v>1786563567389</v>
      </c>
      <c r="BD90" s="11">
        <v>236626949081</v>
      </c>
      <c r="BE90" s="11">
        <v>435753400000</v>
      </c>
      <c r="BF90" s="11">
        <v>1561943236628</v>
      </c>
      <c r="BG90" s="11">
        <v>132517548125</v>
      </c>
      <c r="BH90" s="11">
        <v>16490668614</v>
      </c>
      <c r="BI90" s="11">
        <v>0</v>
      </c>
      <c r="BJ90" s="11">
        <v>248870087860</v>
      </c>
      <c r="BK90" s="11">
        <v>0</v>
      </c>
      <c r="BL90" s="11">
        <v>0</v>
      </c>
      <c r="BM90" s="11">
        <v>602489015</v>
      </c>
    </row>
    <row r="91" spans="1:65" x14ac:dyDescent="0.25">
      <c r="A91" s="32"/>
      <c r="B91" s="10">
        <v>1717</v>
      </c>
      <c r="C91" s="10" t="s">
        <v>148</v>
      </c>
      <c r="D91" s="11">
        <v>3606297170098</v>
      </c>
      <c r="E91" s="11">
        <v>26714281995</v>
      </c>
      <c r="F91" s="11">
        <v>104000000000</v>
      </c>
      <c r="G91" s="11">
        <v>167922200</v>
      </c>
      <c r="H91" s="11">
        <v>3737179374293</v>
      </c>
      <c r="I91" s="11">
        <v>296230314581</v>
      </c>
      <c r="J91" s="11">
        <v>3440949059712</v>
      </c>
      <c r="K91" s="11">
        <v>4197665625283</v>
      </c>
      <c r="L91" s="11">
        <v>-460486250990</v>
      </c>
      <c r="M91" s="12">
        <v>-10.97</v>
      </c>
      <c r="N91" s="11">
        <v>5492877932935</v>
      </c>
      <c r="O91" s="12">
        <v>179.5</v>
      </c>
      <c r="P91" s="12">
        <v>159.63</v>
      </c>
      <c r="Q91" s="12">
        <v>3.47</v>
      </c>
      <c r="R91" s="11">
        <v>6558075179030</v>
      </c>
      <c r="S91" s="11">
        <v>150117286625</v>
      </c>
      <c r="T91" s="11">
        <v>14551670593</v>
      </c>
      <c r="U91" s="11">
        <v>62591824904</v>
      </c>
      <c r="V91" s="11">
        <v>72973791128</v>
      </c>
      <c r="W91" s="11">
        <v>6708192465655</v>
      </c>
      <c r="X91" s="11">
        <v>407376731327</v>
      </c>
      <c r="Y91" s="11">
        <v>43787700000</v>
      </c>
      <c r="Z91" s="11">
        <v>7159356896982</v>
      </c>
      <c r="AA91" s="11">
        <v>5250542076258</v>
      </c>
      <c r="AB91" s="12">
        <v>27.76</v>
      </c>
      <c r="AC91" s="11">
        <v>3085819823803</v>
      </c>
      <c r="AD91" s="11">
        <v>3085819823803</v>
      </c>
      <c r="AE91" s="11">
        <v>98095580000</v>
      </c>
      <c r="AF91" s="11">
        <v>0</v>
      </c>
      <c r="AG91" s="11">
        <v>0</v>
      </c>
      <c r="AH91" s="11">
        <v>0</v>
      </c>
      <c r="AI91" s="11">
        <v>0</v>
      </c>
      <c r="AJ91" s="12">
        <v>2</v>
      </c>
      <c r="AK91" s="11">
        <v>183528400000</v>
      </c>
      <c r="AL91" s="12">
        <v>17</v>
      </c>
      <c r="AM91" s="11">
        <v>31486425702</v>
      </c>
      <c r="AN91" s="12">
        <v>4</v>
      </c>
      <c r="AO91" s="11">
        <v>20366292327</v>
      </c>
      <c r="AP91" s="11">
        <v>150117286625</v>
      </c>
      <c r="AQ91" s="11">
        <v>139056272564</v>
      </c>
      <c r="AR91" s="11">
        <v>11061014061</v>
      </c>
      <c r="AS91" s="12">
        <v>7.95</v>
      </c>
      <c r="AT91" s="11">
        <v>2477810955206</v>
      </c>
      <c r="AU91" s="11">
        <v>96917725831</v>
      </c>
      <c r="AV91" s="11">
        <v>1195333535830</v>
      </c>
      <c r="AW91" s="11">
        <v>495735407181</v>
      </c>
      <c r="AX91" s="11">
        <v>1209347227087</v>
      </c>
      <c r="AY91" s="11">
        <v>705881000000</v>
      </c>
      <c r="AZ91" s="11">
        <v>420861735407</v>
      </c>
      <c r="BA91" s="11">
        <v>3737179374293</v>
      </c>
      <c r="BB91" s="13">
        <v>27938</v>
      </c>
      <c r="BC91" s="11">
        <v>1717951147206</v>
      </c>
      <c r="BD91" s="11">
        <v>1313347227087</v>
      </c>
      <c r="BE91" s="11">
        <v>705881000000</v>
      </c>
      <c r="BF91" s="11">
        <v>2699267887970</v>
      </c>
      <c r="BG91" s="11">
        <v>386551935833</v>
      </c>
      <c r="BH91" s="11">
        <v>0</v>
      </c>
      <c r="BI91" s="11">
        <v>9643280020</v>
      </c>
      <c r="BJ91" s="11">
        <v>100822859192</v>
      </c>
      <c r="BK91" s="11">
        <v>0</v>
      </c>
      <c r="BL91" s="11">
        <v>0</v>
      </c>
      <c r="BM91" s="11">
        <v>0</v>
      </c>
    </row>
    <row r="92" spans="1:65" x14ac:dyDescent="0.25">
      <c r="A92" s="32"/>
      <c r="B92" s="10">
        <v>1721</v>
      </c>
      <c r="C92" s="10" t="s">
        <v>149</v>
      </c>
      <c r="D92" s="11">
        <v>1462692062287</v>
      </c>
      <c r="E92" s="11">
        <v>101699716655</v>
      </c>
      <c r="F92" s="11">
        <v>0</v>
      </c>
      <c r="G92" s="11">
        <v>0</v>
      </c>
      <c r="H92" s="11">
        <v>1564391778942</v>
      </c>
      <c r="I92" s="11">
        <v>123277275335</v>
      </c>
      <c r="J92" s="11">
        <v>1441114503607</v>
      </c>
      <c r="K92" s="11">
        <v>1320429937086</v>
      </c>
      <c r="L92" s="11">
        <v>243961841856</v>
      </c>
      <c r="M92" s="12">
        <v>18.48</v>
      </c>
      <c r="N92" s="11">
        <v>1636704490013</v>
      </c>
      <c r="O92" s="12">
        <v>111.51</v>
      </c>
      <c r="P92" s="12">
        <v>113.57</v>
      </c>
      <c r="Q92" s="12">
        <v>0.61</v>
      </c>
      <c r="R92" s="11">
        <v>1732816518341</v>
      </c>
      <c r="S92" s="11">
        <v>11682515527</v>
      </c>
      <c r="T92" s="11">
        <v>8642755407</v>
      </c>
      <c r="U92" s="11">
        <v>2968130979</v>
      </c>
      <c r="V92" s="11">
        <v>71629141</v>
      </c>
      <c r="W92" s="11">
        <v>1744499033868</v>
      </c>
      <c r="X92" s="11">
        <v>147143543589</v>
      </c>
      <c r="Y92" s="11">
        <v>30065634808</v>
      </c>
      <c r="Z92" s="11">
        <v>1921708212265</v>
      </c>
      <c r="AA92" s="11">
        <v>1178302760650</v>
      </c>
      <c r="AB92" s="12">
        <v>48.05</v>
      </c>
      <c r="AC92" s="11">
        <v>1226424657162</v>
      </c>
      <c r="AD92" s="11">
        <v>1143542728859</v>
      </c>
      <c r="AE92" s="11">
        <v>120286063831</v>
      </c>
      <c r="AF92" s="11">
        <v>5673606</v>
      </c>
      <c r="AG92" s="11">
        <v>0</v>
      </c>
      <c r="AH92" s="11">
        <v>0</v>
      </c>
      <c r="AI92" s="11">
        <v>0</v>
      </c>
      <c r="AJ92" s="12">
        <v>12</v>
      </c>
      <c r="AK92" s="11">
        <v>422308724930</v>
      </c>
      <c r="AL92" s="12">
        <v>34</v>
      </c>
      <c r="AM92" s="11">
        <v>910293990406</v>
      </c>
      <c r="AN92" s="12">
        <v>23</v>
      </c>
      <c r="AO92" s="11">
        <v>221908415952</v>
      </c>
      <c r="AP92" s="11">
        <v>11682515527</v>
      </c>
      <c r="AQ92" s="11">
        <v>21959829797</v>
      </c>
      <c r="AR92" s="11">
        <v>-10277314270</v>
      </c>
      <c r="AS92" s="12">
        <v>-46.8</v>
      </c>
      <c r="AT92" s="11">
        <v>789308105953</v>
      </c>
      <c r="AU92" s="11">
        <v>108097440946</v>
      </c>
      <c r="AV92" s="11">
        <v>265406411907</v>
      </c>
      <c r="AW92" s="11">
        <v>431831955350</v>
      </c>
      <c r="AX92" s="11">
        <v>376815095030</v>
      </c>
      <c r="AY92" s="11">
        <v>388638600000</v>
      </c>
      <c r="AZ92" s="11">
        <v>154196543250</v>
      </c>
      <c r="BA92" s="11">
        <v>1564391778942</v>
      </c>
      <c r="BB92" s="13">
        <v>45682</v>
      </c>
      <c r="BC92" s="11">
        <v>798938083912</v>
      </c>
      <c r="BD92" s="11">
        <v>376505095030</v>
      </c>
      <c r="BE92" s="11">
        <v>388948600000</v>
      </c>
      <c r="BF92" s="11">
        <v>1169360206032</v>
      </c>
      <c r="BG92" s="11">
        <v>57064451130</v>
      </c>
      <c r="BH92" s="11">
        <v>73063978348</v>
      </c>
      <c r="BI92" s="11">
        <v>0</v>
      </c>
      <c r="BJ92" s="11">
        <v>69064828924</v>
      </c>
      <c r="BK92" s="11">
        <v>0</v>
      </c>
      <c r="BL92" s="11">
        <v>0</v>
      </c>
      <c r="BM92" s="11">
        <v>5681692</v>
      </c>
    </row>
    <row r="93" spans="1:65" x14ac:dyDescent="0.25">
      <c r="A93" s="32"/>
      <c r="B93" s="10">
        <v>4106</v>
      </c>
      <c r="C93" s="10" t="s">
        <v>150</v>
      </c>
      <c r="D93" s="11">
        <v>1075869191580</v>
      </c>
      <c r="E93" s="11">
        <v>299771451741</v>
      </c>
      <c r="F93" s="11">
        <v>0</v>
      </c>
      <c r="G93" s="11">
        <v>0</v>
      </c>
      <c r="H93" s="11">
        <v>1375640643321</v>
      </c>
      <c r="I93" s="11">
        <v>104764750217</v>
      </c>
      <c r="J93" s="11">
        <v>1270875893104</v>
      </c>
      <c r="K93" s="11">
        <v>1190395073069</v>
      </c>
      <c r="L93" s="11">
        <v>185245570252</v>
      </c>
      <c r="M93" s="12">
        <v>15.56</v>
      </c>
      <c r="N93" s="11">
        <v>1005353156383</v>
      </c>
      <c r="O93" s="12">
        <v>78.180000000000007</v>
      </c>
      <c r="P93" s="12">
        <v>79.11</v>
      </c>
      <c r="Q93" s="12">
        <v>5.51</v>
      </c>
      <c r="R93" s="11">
        <v>1020026708032</v>
      </c>
      <c r="S93" s="11">
        <v>55453049473</v>
      </c>
      <c r="T93" s="11">
        <v>10936221070</v>
      </c>
      <c r="U93" s="11">
        <v>10460995783</v>
      </c>
      <c r="V93" s="11">
        <v>34055832620</v>
      </c>
      <c r="W93" s="11">
        <v>1075479757505</v>
      </c>
      <c r="X93" s="11">
        <v>86353249016</v>
      </c>
      <c r="Y93" s="11">
        <v>10358207100</v>
      </c>
      <c r="Z93" s="11">
        <v>1172191213621</v>
      </c>
      <c r="AA93" s="11">
        <v>774707471858</v>
      </c>
      <c r="AB93" s="12">
        <v>38.82</v>
      </c>
      <c r="AC93" s="11">
        <v>562901738885</v>
      </c>
      <c r="AD93" s="11">
        <v>562901738885</v>
      </c>
      <c r="AE93" s="11">
        <v>53802079398</v>
      </c>
      <c r="AF93" s="11">
        <v>0</v>
      </c>
      <c r="AG93" s="11">
        <v>0</v>
      </c>
      <c r="AH93" s="11">
        <v>0</v>
      </c>
      <c r="AI93" s="11">
        <v>0</v>
      </c>
      <c r="AJ93" s="12">
        <v>6</v>
      </c>
      <c r="AK93" s="11">
        <v>920815126784</v>
      </c>
      <c r="AL93" s="12">
        <v>156</v>
      </c>
      <c r="AM93" s="11">
        <v>2183915760521</v>
      </c>
      <c r="AN93" s="12">
        <v>28</v>
      </c>
      <c r="AO93" s="11">
        <v>105371679185</v>
      </c>
      <c r="AP93" s="11">
        <v>55453049473</v>
      </c>
      <c r="AQ93" s="11">
        <v>48891681221</v>
      </c>
      <c r="AR93" s="11">
        <v>6561368252</v>
      </c>
      <c r="AS93" s="12">
        <v>13.42</v>
      </c>
      <c r="AT93" s="11">
        <v>333597548573</v>
      </c>
      <c r="AU93" s="11">
        <v>54840938422</v>
      </c>
      <c r="AV93" s="11">
        <v>345814354804</v>
      </c>
      <c r="AW93" s="11">
        <v>101526552150</v>
      </c>
      <c r="AX93" s="11">
        <v>291212484626</v>
      </c>
      <c r="AY93" s="11">
        <v>337315800000</v>
      </c>
      <c r="AZ93" s="11">
        <v>99976379293</v>
      </c>
      <c r="BA93" s="11">
        <v>1375640643321</v>
      </c>
      <c r="BB93" s="13">
        <v>30137</v>
      </c>
      <c r="BC93" s="11">
        <v>691854815355</v>
      </c>
      <c r="BD93" s="11">
        <v>291212484626</v>
      </c>
      <c r="BE93" s="11">
        <v>392573343340</v>
      </c>
      <c r="BF93" s="11">
        <v>243421246252</v>
      </c>
      <c r="BG93" s="11">
        <v>319480492633</v>
      </c>
      <c r="BH93" s="11">
        <v>0</v>
      </c>
      <c r="BI93" s="11">
        <v>0</v>
      </c>
      <c r="BJ93" s="11">
        <v>53812306738</v>
      </c>
      <c r="BK93" s="11">
        <v>0</v>
      </c>
      <c r="BL93" s="11">
        <v>25088224027</v>
      </c>
      <c r="BM93" s="11">
        <v>0</v>
      </c>
    </row>
    <row r="94" spans="1:65" x14ac:dyDescent="0.25">
      <c r="A94" s="32"/>
      <c r="B94" s="10">
        <v>4107</v>
      </c>
      <c r="C94" s="10" t="s">
        <v>151</v>
      </c>
      <c r="D94" s="11">
        <v>895658226572</v>
      </c>
      <c r="E94" s="11">
        <v>124588118434</v>
      </c>
      <c r="F94" s="11">
        <v>0</v>
      </c>
      <c r="G94" s="11">
        <v>0</v>
      </c>
      <c r="H94" s="11">
        <v>1020246345006</v>
      </c>
      <c r="I94" s="11">
        <v>80393577383</v>
      </c>
      <c r="J94" s="11">
        <v>939852767623</v>
      </c>
      <c r="K94" s="11">
        <v>1099535329976</v>
      </c>
      <c r="L94" s="11">
        <v>-79288984970</v>
      </c>
      <c r="M94" s="12">
        <v>-7.21</v>
      </c>
      <c r="N94" s="11">
        <v>2158448218288</v>
      </c>
      <c r="O94" s="12">
        <v>198.31</v>
      </c>
      <c r="P94" s="12">
        <v>229.66</v>
      </c>
      <c r="Q94" s="12">
        <v>3.25</v>
      </c>
      <c r="R94" s="11">
        <v>1948499344935</v>
      </c>
      <c r="S94" s="11">
        <v>74762558565</v>
      </c>
      <c r="T94" s="11">
        <v>49099332338</v>
      </c>
      <c r="U94" s="11">
        <v>23108776089</v>
      </c>
      <c r="V94" s="11">
        <v>2554450138</v>
      </c>
      <c r="W94" s="11">
        <v>2023261903500</v>
      </c>
      <c r="X94" s="11">
        <v>290765709337</v>
      </c>
      <c r="Y94" s="11">
        <v>28369383222</v>
      </c>
      <c r="Z94" s="11">
        <v>2342396996059</v>
      </c>
      <c r="AA94" s="11">
        <v>1820792661476</v>
      </c>
      <c r="AB94" s="12">
        <v>11.12</v>
      </c>
      <c r="AC94" s="11">
        <v>970583633035</v>
      </c>
      <c r="AD94" s="11">
        <v>970583633035</v>
      </c>
      <c r="AE94" s="11">
        <v>106831017216</v>
      </c>
      <c r="AF94" s="11">
        <v>0</v>
      </c>
      <c r="AG94" s="11">
        <v>0</v>
      </c>
      <c r="AH94" s="11">
        <v>0</v>
      </c>
      <c r="AI94" s="11">
        <v>0</v>
      </c>
      <c r="AJ94" s="12">
        <v>5</v>
      </c>
      <c r="AK94" s="11">
        <v>312300000000</v>
      </c>
      <c r="AL94" s="12">
        <v>126</v>
      </c>
      <c r="AM94" s="11">
        <v>1253779498310</v>
      </c>
      <c r="AN94" s="12">
        <v>25</v>
      </c>
      <c r="AO94" s="11">
        <v>184914830358</v>
      </c>
      <c r="AP94" s="11">
        <v>74762558565</v>
      </c>
      <c r="AQ94" s="11">
        <v>39344151942</v>
      </c>
      <c r="AR94" s="11">
        <v>35418406623</v>
      </c>
      <c r="AS94" s="12">
        <v>90.02</v>
      </c>
      <c r="AT94" s="11">
        <v>818857289873</v>
      </c>
      <c r="AU94" s="11">
        <v>169215159292</v>
      </c>
      <c r="AV94" s="11">
        <v>144945345037</v>
      </c>
      <c r="AW94" s="11">
        <v>108004914523</v>
      </c>
      <c r="AX94" s="11">
        <v>354414867012</v>
      </c>
      <c r="AY94" s="11">
        <v>288293100000</v>
      </c>
      <c r="AZ94" s="11">
        <v>287749398123</v>
      </c>
      <c r="BA94" s="11">
        <v>1020246345006</v>
      </c>
      <c r="BB94" s="13">
        <v>14533</v>
      </c>
      <c r="BC94" s="11">
        <v>377538377994</v>
      </c>
      <c r="BD94" s="11">
        <v>354414867012</v>
      </c>
      <c r="BE94" s="11">
        <v>288293100000</v>
      </c>
      <c r="BF94" s="11">
        <v>406211766081</v>
      </c>
      <c r="BG94" s="11">
        <v>564371866954</v>
      </c>
      <c r="BH94" s="11">
        <v>18185961791</v>
      </c>
      <c r="BI94" s="11">
        <v>0</v>
      </c>
      <c r="BJ94" s="11">
        <v>88783043621</v>
      </c>
      <c r="BK94" s="11">
        <v>0</v>
      </c>
      <c r="BL94" s="11">
        <v>0</v>
      </c>
      <c r="BM94" s="11">
        <v>0</v>
      </c>
    </row>
    <row r="95" spans="1:65" x14ac:dyDescent="0.25">
      <c r="A95" s="32"/>
      <c r="B95" s="10">
        <v>4108</v>
      </c>
      <c r="C95" s="10" t="s">
        <v>152</v>
      </c>
      <c r="D95" s="11">
        <v>1251882758102</v>
      </c>
      <c r="E95" s="11">
        <v>34409277320</v>
      </c>
      <c r="F95" s="11">
        <v>0</v>
      </c>
      <c r="G95" s="11">
        <v>0</v>
      </c>
      <c r="H95" s="11">
        <v>1286292035422</v>
      </c>
      <c r="I95" s="11">
        <v>108333377032</v>
      </c>
      <c r="J95" s="11">
        <v>1177958658390</v>
      </c>
      <c r="K95" s="11">
        <v>1495360918627</v>
      </c>
      <c r="L95" s="11">
        <v>-209068883205</v>
      </c>
      <c r="M95" s="12">
        <v>-13.98</v>
      </c>
      <c r="N95" s="11">
        <v>751356630257</v>
      </c>
      <c r="O95" s="12">
        <v>60.07</v>
      </c>
      <c r="P95" s="12">
        <v>63.78</v>
      </c>
      <c r="Q95" s="12">
        <v>1</v>
      </c>
      <c r="R95" s="11">
        <v>764657740651</v>
      </c>
      <c r="S95" s="11">
        <v>7966055395</v>
      </c>
      <c r="T95" s="11">
        <v>4372887790</v>
      </c>
      <c r="U95" s="11">
        <v>787197641</v>
      </c>
      <c r="V95" s="11">
        <v>2805969964</v>
      </c>
      <c r="W95" s="11">
        <v>772623796046</v>
      </c>
      <c r="X95" s="11">
        <v>78916037171</v>
      </c>
      <c r="Y95" s="11">
        <v>19099300000</v>
      </c>
      <c r="Z95" s="11">
        <v>870639133217</v>
      </c>
      <c r="AA95" s="11">
        <v>799123404992</v>
      </c>
      <c r="AB95" s="12">
        <v>-3.32</v>
      </c>
      <c r="AC95" s="11">
        <v>405600182427</v>
      </c>
      <c r="AD95" s="11">
        <v>405600182427</v>
      </c>
      <c r="AE95" s="11">
        <v>10480801162</v>
      </c>
      <c r="AF95" s="11">
        <v>174150000</v>
      </c>
      <c r="AG95" s="11">
        <v>0</v>
      </c>
      <c r="AH95" s="11">
        <v>0</v>
      </c>
      <c r="AI95" s="11">
        <v>0</v>
      </c>
      <c r="AJ95" s="12">
        <v>3</v>
      </c>
      <c r="AK95" s="11">
        <v>59109856704</v>
      </c>
      <c r="AL95" s="12">
        <v>24</v>
      </c>
      <c r="AM95" s="11">
        <v>127544890644</v>
      </c>
      <c r="AN95" s="12">
        <v>8</v>
      </c>
      <c r="AO95" s="11">
        <v>74836334968</v>
      </c>
      <c r="AP95" s="11">
        <v>7966055395</v>
      </c>
      <c r="AQ95" s="11">
        <v>7758047897</v>
      </c>
      <c r="AR95" s="11">
        <v>208007498</v>
      </c>
      <c r="AS95" s="12">
        <v>2.68</v>
      </c>
      <c r="AT95" s="11">
        <v>487281512187</v>
      </c>
      <c r="AU95" s="11">
        <v>24297493842</v>
      </c>
      <c r="AV95" s="11">
        <v>228989502072</v>
      </c>
      <c r="AW95" s="11">
        <v>114221175031</v>
      </c>
      <c r="AX95" s="11">
        <v>348995280999</v>
      </c>
      <c r="AY95" s="11">
        <v>559676800000</v>
      </c>
      <c r="AZ95" s="11">
        <v>161042754795</v>
      </c>
      <c r="BA95" s="11">
        <v>1286292035422</v>
      </c>
      <c r="BB95" s="13">
        <v>19036</v>
      </c>
      <c r="BC95" s="11">
        <v>375285903799</v>
      </c>
      <c r="BD95" s="11">
        <v>348995280999</v>
      </c>
      <c r="BE95" s="11">
        <v>562010850624</v>
      </c>
      <c r="BF95" s="11">
        <v>327725031265</v>
      </c>
      <c r="BG95" s="11">
        <v>77875151162</v>
      </c>
      <c r="BH95" s="11">
        <v>0</v>
      </c>
      <c r="BI95" s="11">
        <v>0</v>
      </c>
      <c r="BJ95" s="11">
        <v>10511334272</v>
      </c>
      <c r="BK95" s="11">
        <v>0</v>
      </c>
      <c r="BL95" s="11">
        <v>0</v>
      </c>
      <c r="BM95" s="11">
        <v>175481173</v>
      </c>
    </row>
    <row r="96" spans="1:65" x14ac:dyDescent="0.25">
      <c r="A96" s="32"/>
      <c r="B96" s="10">
        <v>4109</v>
      </c>
      <c r="C96" s="10" t="s">
        <v>153</v>
      </c>
      <c r="D96" s="11">
        <v>283875700117</v>
      </c>
      <c r="E96" s="11">
        <v>901771770</v>
      </c>
      <c r="F96" s="11">
        <v>0</v>
      </c>
      <c r="G96" s="11">
        <v>0</v>
      </c>
      <c r="H96" s="11">
        <v>284777471887</v>
      </c>
      <c r="I96" s="11">
        <v>21644096413</v>
      </c>
      <c r="J96" s="11">
        <v>263133375474</v>
      </c>
      <c r="K96" s="11">
        <v>123921830313</v>
      </c>
      <c r="L96" s="11">
        <v>160855641574</v>
      </c>
      <c r="M96" s="12">
        <v>129.80000000000001</v>
      </c>
      <c r="N96" s="11">
        <v>6044133330</v>
      </c>
      <c r="O96" s="12">
        <v>2.09</v>
      </c>
      <c r="P96" s="12">
        <v>2.2999999999999998</v>
      </c>
      <c r="Q96" s="12">
        <v>0</v>
      </c>
      <c r="R96" s="11">
        <v>5950000000</v>
      </c>
      <c r="S96" s="11">
        <v>0</v>
      </c>
      <c r="T96" s="11">
        <v>0</v>
      </c>
      <c r="U96" s="11">
        <v>0</v>
      </c>
      <c r="V96" s="11">
        <v>0</v>
      </c>
      <c r="W96" s="11">
        <v>5950000000</v>
      </c>
      <c r="X96" s="11">
        <v>3058095830</v>
      </c>
      <c r="Y96" s="11">
        <v>2963962500</v>
      </c>
      <c r="Z96" s="11">
        <v>11972058330</v>
      </c>
      <c r="AA96" s="11">
        <v>0</v>
      </c>
      <c r="AB96" s="12"/>
      <c r="AC96" s="11">
        <v>5950000000</v>
      </c>
      <c r="AD96" s="11">
        <v>5950000000</v>
      </c>
      <c r="AE96" s="11">
        <v>0</v>
      </c>
      <c r="AF96" s="11">
        <v>0</v>
      </c>
      <c r="AG96" s="11">
        <v>0</v>
      </c>
      <c r="AH96" s="11">
        <v>0</v>
      </c>
      <c r="AI96" s="11">
        <v>0</v>
      </c>
      <c r="AJ96" s="12">
        <v>0</v>
      </c>
      <c r="AK96" s="11">
        <v>0</v>
      </c>
      <c r="AL96" s="12">
        <v>0</v>
      </c>
      <c r="AM96" s="11">
        <v>0</v>
      </c>
      <c r="AN96" s="12">
        <v>0</v>
      </c>
      <c r="AO96" s="11">
        <v>0</v>
      </c>
      <c r="AP96" s="11">
        <v>0</v>
      </c>
      <c r="AQ96" s="11">
        <v>0</v>
      </c>
      <c r="AR96" s="11">
        <v>0</v>
      </c>
      <c r="AS96" s="12"/>
      <c r="AT96" s="11">
        <v>0</v>
      </c>
      <c r="AU96" s="11">
        <v>0</v>
      </c>
      <c r="AV96" s="11">
        <v>6166473689</v>
      </c>
      <c r="AW96" s="11">
        <v>48218776116</v>
      </c>
      <c r="AX96" s="11">
        <v>22305450312</v>
      </c>
      <c r="AY96" s="11">
        <v>207185000000</v>
      </c>
      <c r="AZ96" s="11">
        <v>17654987454</v>
      </c>
      <c r="BA96" s="11">
        <v>284777471887</v>
      </c>
      <c r="BB96" s="12">
        <v>0</v>
      </c>
      <c r="BC96" s="11">
        <v>55287021575</v>
      </c>
      <c r="BD96" s="11">
        <v>22305450312</v>
      </c>
      <c r="BE96" s="11">
        <v>207185000000</v>
      </c>
      <c r="BF96" s="11">
        <v>3450000000</v>
      </c>
      <c r="BG96" s="11">
        <v>2500000000</v>
      </c>
      <c r="BH96" s="11">
        <v>0</v>
      </c>
      <c r="BI96" s="11">
        <v>0</v>
      </c>
      <c r="BJ96" s="11">
        <v>0</v>
      </c>
      <c r="BK96" s="11">
        <v>0</v>
      </c>
      <c r="BL96" s="11">
        <v>0</v>
      </c>
      <c r="BM96" s="11">
        <v>0</v>
      </c>
    </row>
    <row r="97" spans="1:65" x14ac:dyDescent="0.25">
      <c r="A97" s="32"/>
      <c r="B97" s="10">
        <v>4199</v>
      </c>
      <c r="C97" s="10" t="s">
        <v>154</v>
      </c>
      <c r="D97" s="11">
        <v>0</v>
      </c>
      <c r="E97" s="11">
        <v>1267960877</v>
      </c>
      <c r="F97" s="11">
        <v>0</v>
      </c>
      <c r="G97" s="11">
        <v>0</v>
      </c>
      <c r="H97" s="11">
        <v>1267960877</v>
      </c>
      <c r="I97" s="11">
        <v>107432451</v>
      </c>
      <c r="J97" s="11">
        <v>1160528426</v>
      </c>
      <c r="K97" s="11">
        <v>77636964</v>
      </c>
      <c r="L97" s="11">
        <v>1190323913</v>
      </c>
      <c r="M97" s="12">
        <v>1533.19</v>
      </c>
      <c r="N97" s="11">
        <v>0</v>
      </c>
      <c r="O97" s="12">
        <v>0</v>
      </c>
      <c r="P97" s="12">
        <v>0</v>
      </c>
      <c r="Q97" s="12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2"/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2">
        <v>0</v>
      </c>
      <c r="AK97" s="11">
        <v>0</v>
      </c>
      <c r="AL97" s="12">
        <v>0</v>
      </c>
      <c r="AM97" s="11">
        <v>0</v>
      </c>
      <c r="AN97" s="12">
        <v>0</v>
      </c>
      <c r="AO97" s="11">
        <v>0</v>
      </c>
      <c r="AP97" s="11">
        <v>0</v>
      </c>
      <c r="AQ97" s="11">
        <v>0</v>
      </c>
      <c r="AR97" s="11">
        <v>0</v>
      </c>
      <c r="AS97" s="12"/>
      <c r="AT97" s="11">
        <v>0</v>
      </c>
      <c r="AU97" s="11">
        <v>0</v>
      </c>
      <c r="AV97" s="11">
        <v>0</v>
      </c>
      <c r="AW97" s="11">
        <v>0</v>
      </c>
      <c r="AX97" s="11">
        <v>0</v>
      </c>
      <c r="AY97" s="11">
        <v>0</v>
      </c>
      <c r="AZ97" s="11">
        <v>0</v>
      </c>
      <c r="BA97" s="11">
        <v>1267960877</v>
      </c>
      <c r="BB97" s="12">
        <v>0</v>
      </c>
      <c r="BC97" s="11">
        <v>1267960877</v>
      </c>
      <c r="BD97" s="11">
        <v>0</v>
      </c>
      <c r="BE97" s="11">
        <v>0</v>
      </c>
      <c r="BF97" s="11">
        <v>0</v>
      </c>
      <c r="BG97" s="11">
        <v>0</v>
      </c>
      <c r="BH97" s="11">
        <v>0</v>
      </c>
      <c r="BI97" s="11">
        <v>0</v>
      </c>
      <c r="BJ97" s="11">
        <v>0</v>
      </c>
      <c r="BK97" s="11">
        <v>0</v>
      </c>
      <c r="BL97" s="11">
        <v>0</v>
      </c>
      <c r="BM97" s="11">
        <v>0</v>
      </c>
    </row>
    <row r="98" spans="1:65" x14ac:dyDescent="0.25">
      <c r="A98" s="14" t="s">
        <v>594</v>
      </c>
      <c r="B98" s="15"/>
      <c r="C98" s="15"/>
      <c r="D98" s="16">
        <v>22102837661645</v>
      </c>
      <c r="E98" s="16">
        <v>1914791277508</v>
      </c>
      <c r="F98" s="16">
        <v>104000000000</v>
      </c>
      <c r="G98" s="16">
        <v>147081817512</v>
      </c>
      <c r="H98" s="16">
        <v>24268710756665</v>
      </c>
      <c r="I98" s="16">
        <v>1774771504635</v>
      </c>
      <c r="J98" s="16">
        <v>22493939252030</v>
      </c>
      <c r="K98" s="16">
        <v>20694218545049</v>
      </c>
      <c r="L98" s="16">
        <v>3574492211616</v>
      </c>
      <c r="M98" s="17">
        <v>17.27</v>
      </c>
      <c r="N98" s="16">
        <v>24823995966314</v>
      </c>
      <c r="O98" s="17">
        <v>111.17</v>
      </c>
      <c r="P98" s="17">
        <v>110.36</v>
      </c>
      <c r="Q98" s="17">
        <v>10.89</v>
      </c>
      <c r="R98" s="16">
        <v>24026619081439</v>
      </c>
      <c r="S98" s="16">
        <v>2953374969892</v>
      </c>
      <c r="T98" s="16">
        <v>187149756766</v>
      </c>
      <c r="U98" s="16">
        <v>595441611239</v>
      </c>
      <c r="V98" s="16">
        <v>2170783601887</v>
      </c>
      <c r="W98" s="16">
        <v>26979994051331</v>
      </c>
      <c r="X98" s="16">
        <v>2151696010357</v>
      </c>
      <c r="Y98" s="16">
        <v>233901648460</v>
      </c>
      <c r="Z98" s="16">
        <v>29365591710148</v>
      </c>
      <c r="AA98" s="16">
        <v>21852047163204</v>
      </c>
      <c r="AB98" s="17">
        <v>23.47</v>
      </c>
      <c r="AC98" s="16">
        <v>18894144849557</v>
      </c>
      <c r="AD98" s="16">
        <v>18811262921254</v>
      </c>
      <c r="AE98" s="16">
        <v>5984197013911</v>
      </c>
      <c r="AF98" s="16">
        <v>355076385601</v>
      </c>
      <c r="AG98" s="16">
        <v>0</v>
      </c>
      <c r="AH98" s="16">
        <v>0</v>
      </c>
      <c r="AI98" s="16">
        <v>0</v>
      </c>
      <c r="AJ98" s="17">
        <v>63</v>
      </c>
      <c r="AK98" s="16">
        <v>9036769302352</v>
      </c>
      <c r="AL98" s="17">
        <v>556</v>
      </c>
      <c r="AM98" s="16">
        <v>9693333994805</v>
      </c>
      <c r="AN98" s="18">
        <f>SUM(AN87:AN97)</f>
        <v>203</v>
      </c>
      <c r="AO98" s="16">
        <f>SUM(AO87:AO97)</f>
        <v>4833555178800</v>
      </c>
      <c r="AP98" s="16">
        <v>2953374969892</v>
      </c>
      <c r="AQ98" s="16">
        <v>863290321144</v>
      </c>
      <c r="AR98" s="16">
        <v>2090084648748</v>
      </c>
      <c r="AS98" s="17">
        <v>242.11</v>
      </c>
      <c r="AT98" s="16">
        <v>16380922233083</v>
      </c>
      <c r="AU98" s="16">
        <v>2455454355473</v>
      </c>
      <c r="AV98" s="16">
        <v>4522537333358</v>
      </c>
      <c r="AW98" s="16">
        <v>3451956484241</v>
      </c>
      <c r="AX98" s="16">
        <v>5003702944046</v>
      </c>
      <c r="AY98" s="16">
        <v>9124640900000</v>
      </c>
      <c r="AZ98" s="16">
        <v>2525883630550</v>
      </c>
      <c r="BA98" s="16">
        <v>24268710756665</v>
      </c>
      <c r="BB98" s="18">
        <v>309949</v>
      </c>
      <c r="BC98" s="16">
        <v>9906283124746</v>
      </c>
      <c r="BD98" s="16">
        <v>5107392944046</v>
      </c>
      <c r="BE98" s="16">
        <v>9255034687873</v>
      </c>
      <c r="BF98" s="16">
        <v>11069459781138</v>
      </c>
      <c r="BG98" s="16">
        <v>7824685068419</v>
      </c>
      <c r="BH98" s="16">
        <v>245040644852</v>
      </c>
      <c r="BI98" s="16">
        <v>2000071368708</v>
      </c>
      <c r="BJ98" s="16">
        <v>4076022579452</v>
      </c>
      <c r="BK98" s="16">
        <v>54795729228</v>
      </c>
      <c r="BL98" s="16">
        <v>25088224027</v>
      </c>
      <c r="BM98" s="16">
        <v>275354494177</v>
      </c>
    </row>
    <row r="99" spans="1:65" x14ac:dyDescent="0.25">
      <c r="A99" s="32" t="s">
        <v>155</v>
      </c>
      <c r="B99" s="10">
        <v>1500</v>
      </c>
      <c r="C99" s="10" t="s">
        <v>155</v>
      </c>
      <c r="D99" s="11">
        <v>1197574776750</v>
      </c>
      <c r="E99" s="11">
        <v>91517688016</v>
      </c>
      <c r="F99" s="11">
        <v>27300000000</v>
      </c>
      <c r="G99" s="11">
        <v>0</v>
      </c>
      <c r="H99" s="11">
        <v>1316392464766</v>
      </c>
      <c r="I99" s="11">
        <v>110925036778</v>
      </c>
      <c r="J99" s="11">
        <v>1205467427988</v>
      </c>
      <c r="K99" s="11">
        <v>1168637685097</v>
      </c>
      <c r="L99" s="11">
        <v>147754779669</v>
      </c>
      <c r="M99" s="12">
        <v>12.64</v>
      </c>
      <c r="N99" s="11">
        <v>3165703340298</v>
      </c>
      <c r="O99" s="12">
        <v>334.11</v>
      </c>
      <c r="P99" s="12">
        <v>262.61</v>
      </c>
      <c r="Q99" s="12">
        <v>1.85</v>
      </c>
      <c r="R99" s="11">
        <v>4316693396083</v>
      </c>
      <c r="S99" s="11">
        <v>81458469117</v>
      </c>
      <c r="T99" s="11">
        <v>46463989226</v>
      </c>
      <c r="U99" s="11">
        <v>9847157794</v>
      </c>
      <c r="V99" s="11">
        <v>25147322097</v>
      </c>
      <c r="W99" s="11">
        <v>4398151865200</v>
      </c>
      <c r="X99" s="11">
        <v>192244853246</v>
      </c>
      <c r="Y99" s="11">
        <v>19649350000</v>
      </c>
      <c r="Z99" s="11">
        <v>4610046068446</v>
      </c>
      <c r="AA99" s="11">
        <v>3209897261795</v>
      </c>
      <c r="AB99" s="12">
        <v>37.020000000000003</v>
      </c>
      <c r="AC99" s="11">
        <v>1586473925104</v>
      </c>
      <c r="AD99" s="11">
        <v>1501592713098</v>
      </c>
      <c r="AE99" s="11">
        <v>0</v>
      </c>
      <c r="AF99" s="11">
        <v>0</v>
      </c>
      <c r="AG99" s="11">
        <v>7902396937</v>
      </c>
      <c r="AH99" s="11">
        <v>0</v>
      </c>
      <c r="AI99" s="11">
        <v>0</v>
      </c>
      <c r="AJ99" s="12">
        <v>1</v>
      </c>
      <c r="AK99" s="11">
        <v>35420000000</v>
      </c>
      <c r="AL99" s="12">
        <v>40</v>
      </c>
      <c r="AM99" s="11">
        <v>97480911103</v>
      </c>
      <c r="AN99" s="12">
        <v>24</v>
      </c>
      <c r="AO99" s="11">
        <v>29528478817</v>
      </c>
      <c r="AP99" s="11">
        <v>81458469117</v>
      </c>
      <c r="AQ99" s="11">
        <v>73634522860</v>
      </c>
      <c r="AR99" s="11">
        <v>7823946257</v>
      </c>
      <c r="AS99" s="12">
        <v>10.63</v>
      </c>
      <c r="AT99" s="11">
        <v>925971991938</v>
      </c>
      <c r="AU99" s="11">
        <v>169978960940</v>
      </c>
      <c r="AV99" s="11">
        <v>50566322150</v>
      </c>
      <c r="AW99" s="11">
        <v>273239144517</v>
      </c>
      <c r="AX99" s="11">
        <v>499356810083</v>
      </c>
      <c r="AY99" s="11">
        <v>374412500000</v>
      </c>
      <c r="AZ99" s="11">
        <v>368866525613</v>
      </c>
      <c r="BA99" s="11">
        <v>1316392464766</v>
      </c>
      <c r="BB99" s="13">
        <v>332306</v>
      </c>
      <c r="BC99" s="11">
        <v>342317881296</v>
      </c>
      <c r="BD99" s="11">
        <v>526656810083</v>
      </c>
      <c r="BE99" s="11">
        <v>447417773387</v>
      </c>
      <c r="BF99" s="11">
        <v>1433131047021</v>
      </c>
      <c r="BG99" s="11">
        <v>153342878083</v>
      </c>
      <c r="BH99" s="11">
        <v>0</v>
      </c>
      <c r="BI99" s="11">
        <v>0</v>
      </c>
      <c r="BJ99" s="11">
        <v>0</v>
      </c>
      <c r="BK99" s="11">
        <v>0</v>
      </c>
      <c r="BL99" s="11">
        <v>0</v>
      </c>
      <c r="BM99" s="11">
        <v>1639298029</v>
      </c>
    </row>
    <row r="100" spans="1:65" x14ac:dyDescent="0.25">
      <c r="A100" s="32"/>
      <c r="B100" s="10">
        <v>1501</v>
      </c>
      <c r="C100" s="10" t="s">
        <v>156</v>
      </c>
      <c r="D100" s="11">
        <v>1121112401759</v>
      </c>
      <c r="E100" s="11">
        <v>4404057559</v>
      </c>
      <c r="F100" s="11">
        <v>0</v>
      </c>
      <c r="G100" s="11">
        <v>0</v>
      </c>
      <c r="H100" s="11">
        <v>1125516459318</v>
      </c>
      <c r="I100" s="11">
        <v>94072919136</v>
      </c>
      <c r="J100" s="11">
        <v>1031443540182</v>
      </c>
      <c r="K100" s="11">
        <v>945403571724</v>
      </c>
      <c r="L100" s="11">
        <v>180112887594</v>
      </c>
      <c r="M100" s="12">
        <v>19.05</v>
      </c>
      <c r="N100" s="11">
        <v>1413728961628</v>
      </c>
      <c r="O100" s="12">
        <v>140.13</v>
      </c>
      <c r="P100" s="12">
        <v>137.06</v>
      </c>
      <c r="Q100" s="12">
        <v>1.75</v>
      </c>
      <c r="R100" s="11">
        <v>1547914286335</v>
      </c>
      <c r="S100" s="11">
        <v>29298274307</v>
      </c>
      <c r="T100" s="11">
        <v>22187776544</v>
      </c>
      <c r="U100" s="11">
        <v>5731985048</v>
      </c>
      <c r="V100" s="11">
        <v>1378512715</v>
      </c>
      <c r="W100" s="11">
        <v>1577212560642</v>
      </c>
      <c r="X100" s="11">
        <v>100082332934</v>
      </c>
      <c r="Y100" s="11">
        <v>14402300000</v>
      </c>
      <c r="Z100" s="11">
        <v>1691697193576</v>
      </c>
      <c r="AA100" s="11">
        <v>1275433636501</v>
      </c>
      <c r="AB100" s="12">
        <v>23.66</v>
      </c>
      <c r="AC100" s="11">
        <v>598918689390</v>
      </c>
      <c r="AD100" s="11">
        <v>579342789306</v>
      </c>
      <c r="AE100" s="11">
        <v>0</v>
      </c>
      <c r="AF100" s="11">
        <v>68023356</v>
      </c>
      <c r="AG100" s="11">
        <v>1774519588</v>
      </c>
      <c r="AH100" s="11">
        <v>0</v>
      </c>
      <c r="AI100" s="11">
        <v>0</v>
      </c>
      <c r="AJ100" s="12">
        <v>0</v>
      </c>
      <c r="AK100" s="11">
        <v>0</v>
      </c>
      <c r="AL100" s="12">
        <v>24</v>
      </c>
      <c r="AM100" s="11">
        <v>33623384617</v>
      </c>
      <c r="AN100" s="12">
        <v>4</v>
      </c>
      <c r="AO100" s="11">
        <v>19978584557</v>
      </c>
      <c r="AP100" s="11">
        <v>29298274307</v>
      </c>
      <c r="AQ100" s="11">
        <v>40974545156</v>
      </c>
      <c r="AR100" s="11">
        <v>-11676270849</v>
      </c>
      <c r="AS100" s="12">
        <v>-28.5</v>
      </c>
      <c r="AT100" s="11">
        <v>394922342633</v>
      </c>
      <c r="AU100" s="11">
        <v>142267659874</v>
      </c>
      <c r="AV100" s="11">
        <v>23479622762</v>
      </c>
      <c r="AW100" s="11">
        <v>247716109915</v>
      </c>
      <c r="AX100" s="11">
        <v>134437869082</v>
      </c>
      <c r="AY100" s="11">
        <v>715478800000</v>
      </c>
      <c r="AZ100" s="11">
        <v>64261813483</v>
      </c>
      <c r="BA100" s="11">
        <v>1125516459318</v>
      </c>
      <c r="BB100" s="13">
        <v>108320</v>
      </c>
      <c r="BC100" s="11">
        <v>275599790236</v>
      </c>
      <c r="BD100" s="11">
        <v>134437869082</v>
      </c>
      <c r="BE100" s="11">
        <v>715478800000</v>
      </c>
      <c r="BF100" s="11">
        <v>545822961993</v>
      </c>
      <c r="BG100" s="11">
        <v>53095727397</v>
      </c>
      <c r="BH100" s="11">
        <v>0</v>
      </c>
      <c r="BI100" s="11">
        <v>0</v>
      </c>
      <c r="BJ100" s="11">
        <v>0</v>
      </c>
      <c r="BK100" s="11">
        <v>68023356</v>
      </c>
      <c r="BL100" s="11">
        <v>0</v>
      </c>
      <c r="BM100" s="11">
        <v>0</v>
      </c>
    </row>
    <row r="101" spans="1:65" x14ac:dyDescent="0.25">
      <c r="A101" s="32"/>
      <c r="B101" s="10">
        <v>1502</v>
      </c>
      <c r="C101" s="10" t="s">
        <v>157</v>
      </c>
      <c r="D101" s="11">
        <v>549033849454</v>
      </c>
      <c r="E101" s="11">
        <v>2356589734</v>
      </c>
      <c r="F101" s="11">
        <v>0</v>
      </c>
      <c r="G101" s="11">
        <v>0</v>
      </c>
      <c r="H101" s="11">
        <v>551390439188</v>
      </c>
      <c r="I101" s="11">
        <v>46115837272</v>
      </c>
      <c r="J101" s="11">
        <v>505274601916</v>
      </c>
      <c r="K101" s="11">
        <v>497514491137</v>
      </c>
      <c r="L101" s="11">
        <v>53875948051</v>
      </c>
      <c r="M101" s="12">
        <v>10.83</v>
      </c>
      <c r="N101" s="11">
        <v>485776010378</v>
      </c>
      <c r="O101" s="12">
        <v>97.2</v>
      </c>
      <c r="P101" s="12">
        <v>96.14</v>
      </c>
      <c r="Q101" s="12">
        <v>3.11</v>
      </c>
      <c r="R101" s="11">
        <v>518200038355</v>
      </c>
      <c r="S101" s="11">
        <v>17746445464</v>
      </c>
      <c r="T101" s="11">
        <v>12440828354</v>
      </c>
      <c r="U101" s="11">
        <v>5106229452</v>
      </c>
      <c r="V101" s="11">
        <v>199387658</v>
      </c>
      <c r="W101" s="11">
        <v>535946483819</v>
      </c>
      <c r="X101" s="11">
        <v>42107590305</v>
      </c>
      <c r="Y101" s="11">
        <v>3100000000</v>
      </c>
      <c r="Z101" s="11">
        <v>581154074124</v>
      </c>
      <c r="AA101" s="11">
        <v>395509219508</v>
      </c>
      <c r="AB101" s="12">
        <v>35.51</v>
      </c>
      <c r="AC101" s="11">
        <v>254169970000</v>
      </c>
      <c r="AD101" s="11">
        <v>246169970000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  <c r="AJ101" s="12">
        <v>0</v>
      </c>
      <c r="AK101" s="11">
        <v>0</v>
      </c>
      <c r="AL101" s="12">
        <v>7</v>
      </c>
      <c r="AM101" s="11">
        <v>28812000000</v>
      </c>
      <c r="AN101" s="12">
        <v>1</v>
      </c>
      <c r="AO101" s="11">
        <v>491650000</v>
      </c>
      <c r="AP101" s="11">
        <v>17746445464</v>
      </c>
      <c r="AQ101" s="11">
        <v>8244646239</v>
      </c>
      <c r="AR101" s="11">
        <v>9501799225</v>
      </c>
      <c r="AS101" s="12">
        <v>115.25</v>
      </c>
      <c r="AT101" s="11">
        <v>128123253755</v>
      </c>
      <c r="AU101" s="11">
        <v>34980487750</v>
      </c>
      <c r="AV101" s="11">
        <v>11295341041</v>
      </c>
      <c r="AW101" s="11">
        <v>92893298961</v>
      </c>
      <c r="AX101" s="11">
        <v>138613209452</v>
      </c>
      <c r="AY101" s="11">
        <v>306232000000</v>
      </c>
      <c r="AZ101" s="11">
        <v>95010486913</v>
      </c>
      <c r="BA101" s="11">
        <v>551390439188</v>
      </c>
      <c r="BB101" s="13">
        <v>87150</v>
      </c>
      <c r="BC101" s="11">
        <v>106545229736</v>
      </c>
      <c r="BD101" s="11">
        <v>138613209452</v>
      </c>
      <c r="BE101" s="11">
        <v>306232000000</v>
      </c>
      <c r="BF101" s="11">
        <v>235769970000</v>
      </c>
      <c r="BG101" s="11">
        <v>18400000000</v>
      </c>
      <c r="BH101" s="11">
        <v>0</v>
      </c>
      <c r="BI101" s="11">
        <v>0</v>
      </c>
      <c r="BJ101" s="11">
        <v>0</v>
      </c>
      <c r="BK101" s="11">
        <v>0</v>
      </c>
      <c r="BL101" s="11">
        <v>0</v>
      </c>
      <c r="BM101" s="11">
        <v>0</v>
      </c>
    </row>
    <row r="102" spans="1:65" x14ac:dyDescent="0.25">
      <c r="A102" s="32"/>
      <c r="B102" s="10">
        <v>1503</v>
      </c>
      <c r="C102" s="10" t="s">
        <v>158</v>
      </c>
      <c r="D102" s="11">
        <v>538872060339</v>
      </c>
      <c r="E102" s="11">
        <v>9225997562</v>
      </c>
      <c r="F102" s="11">
        <v>0</v>
      </c>
      <c r="G102" s="11">
        <v>0</v>
      </c>
      <c r="H102" s="11">
        <v>548098057901</v>
      </c>
      <c r="I102" s="11">
        <v>45406943309</v>
      </c>
      <c r="J102" s="11">
        <v>502691114592</v>
      </c>
      <c r="K102" s="11">
        <v>397645440460</v>
      </c>
      <c r="L102" s="11">
        <v>150452617441</v>
      </c>
      <c r="M102" s="12">
        <v>37.840000000000003</v>
      </c>
      <c r="N102" s="11">
        <v>642112738385</v>
      </c>
      <c r="O102" s="12">
        <v>141.85</v>
      </c>
      <c r="P102" s="12">
        <v>127.74</v>
      </c>
      <c r="Q102" s="12">
        <v>1.89</v>
      </c>
      <c r="R102" s="11">
        <v>762184062213</v>
      </c>
      <c r="S102" s="11">
        <v>15284326660</v>
      </c>
      <c r="T102" s="11">
        <v>14600759828</v>
      </c>
      <c r="U102" s="11">
        <v>569874616</v>
      </c>
      <c r="V102" s="11">
        <v>113692216</v>
      </c>
      <c r="W102" s="11">
        <v>777468388873</v>
      </c>
      <c r="X102" s="11">
        <v>32332927125</v>
      </c>
      <c r="Y102" s="11">
        <v>4542177429</v>
      </c>
      <c r="Z102" s="11">
        <v>814343493427</v>
      </c>
      <c r="AA102" s="11">
        <v>461643171621</v>
      </c>
      <c r="AB102" s="12">
        <v>68.41</v>
      </c>
      <c r="AC102" s="11">
        <v>372638157377</v>
      </c>
      <c r="AD102" s="11">
        <v>340908157377</v>
      </c>
      <c r="AE102" s="11">
        <v>0</v>
      </c>
      <c r="AF102" s="11">
        <v>0</v>
      </c>
      <c r="AG102" s="11">
        <v>0</v>
      </c>
      <c r="AH102" s="11">
        <v>0</v>
      </c>
      <c r="AI102" s="11">
        <v>0</v>
      </c>
      <c r="AJ102" s="12">
        <v>0</v>
      </c>
      <c r="AK102" s="11">
        <v>0</v>
      </c>
      <c r="AL102" s="12">
        <v>9</v>
      </c>
      <c r="AM102" s="11">
        <v>24331059457</v>
      </c>
      <c r="AN102" s="12">
        <v>1</v>
      </c>
      <c r="AO102" s="11">
        <v>10000000000</v>
      </c>
      <c r="AP102" s="11">
        <v>15284326660</v>
      </c>
      <c r="AQ102" s="11">
        <v>3345876499</v>
      </c>
      <c r="AR102" s="11">
        <v>11938450161</v>
      </c>
      <c r="AS102" s="12">
        <v>356.81</v>
      </c>
      <c r="AT102" s="11">
        <v>116321008181</v>
      </c>
      <c r="AU102" s="11">
        <v>30127211671</v>
      </c>
      <c r="AV102" s="11">
        <v>17460877150</v>
      </c>
      <c r="AW102" s="11">
        <v>156597314619</v>
      </c>
      <c r="AX102" s="11">
        <v>83604868570</v>
      </c>
      <c r="AY102" s="11">
        <v>281209000000</v>
      </c>
      <c r="AZ102" s="11">
        <v>46976901692</v>
      </c>
      <c r="BA102" s="11">
        <v>548098057901</v>
      </c>
      <c r="BB102" s="13">
        <v>31531</v>
      </c>
      <c r="BC102" s="11">
        <v>183284189331</v>
      </c>
      <c r="BD102" s="11">
        <v>83604868570</v>
      </c>
      <c r="BE102" s="11">
        <v>281209000000</v>
      </c>
      <c r="BF102" s="11">
        <v>360038157377</v>
      </c>
      <c r="BG102" s="11">
        <v>12600000000</v>
      </c>
      <c r="BH102" s="11">
        <v>0</v>
      </c>
      <c r="BI102" s="11">
        <v>0</v>
      </c>
      <c r="BJ102" s="11">
        <v>0</v>
      </c>
      <c r="BK102" s="11">
        <v>0</v>
      </c>
      <c r="BL102" s="11">
        <v>0</v>
      </c>
      <c r="BM102" s="11">
        <v>0</v>
      </c>
    </row>
    <row r="103" spans="1:65" x14ac:dyDescent="0.25">
      <c r="A103" s="32"/>
      <c r="B103" s="10">
        <v>1504</v>
      </c>
      <c r="C103" s="10" t="s">
        <v>159</v>
      </c>
      <c r="D103" s="11">
        <v>696914423500</v>
      </c>
      <c r="E103" s="11">
        <v>2887227929</v>
      </c>
      <c r="F103" s="11">
        <v>0</v>
      </c>
      <c r="G103" s="11">
        <v>0</v>
      </c>
      <c r="H103" s="11">
        <v>699801651429</v>
      </c>
      <c r="I103" s="11">
        <v>59468126552</v>
      </c>
      <c r="J103" s="11">
        <v>640333524877</v>
      </c>
      <c r="K103" s="11">
        <v>677520171772</v>
      </c>
      <c r="L103" s="11">
        <v>22281479657</v>
      </c>
      <c r="M103" s="12">
        <v>3.29</v>
      </c>
      <c r="N103" s="11">
        <v>887223198750</v>
      </c>
      <c r="O103" s="12">
        <v>141.36000000000001</v>
      </c>
      <c r="P103" s="12">
        <v>138.56</v>
      </c>
      <c r="Q103" s="12">
        <v>5.88</v>
      </c>
      <c r="R103" s="11">
        <v>927023218932</v>
      </c>
      <c r="S103" s="11">
        <v>62190516374</v>
      </c>
      <c r="T103" s="11">
        <v>20416847817</v>
      </c>
      <c r="U103" s="11">
        <v>41773668557</v>
      </c>
      <c r="V103" s="11">
        <v>0</v>
      </c>
      <c r="W103" s="11">
        <v>989213735306</v>
      </c>
      <c r="X103" s="11">
        <v>60952464577</v>
      </c>
      <c r="Y103" s="11">
        <v>8102640000</v>
      </c>
      <c r="Z103" s="11">
        <v>1058268839883</v>
      </c>
      <c r="AA103" s="11">
        <v>810589725466</v>
      </c>
      <c r="AB103" s="12">
        <v>22.04</v>
      </c>
      <c r="AC103" s="11">
        <v>362266424134</v>
      </c>
      <c r="AD103" s="11">
        <v>362266424134</v>
      </c>
      <c r="AE103" s="11">
        <v>0</v>
      </c>
      <c r="AF103" s="11">
        <v>0</v>
      </c>
      <c r="AG103" s="11">
        <v>1170000000</v>
      </c>
      <c r="AH103" s="11">
        <v>0</v>
      </c>
      <c r="AI103" s="11">
        <v>0</v>
      </c>
      <c r="AJ103" s="12">
        <v>0</v>
      </c>
      <c r="AK103" s="11">
        <v>0</v>
      </c>
      <c r="AL103" s="12">
        <v>8</v>
      </c>
      <c r="AM103" s="11">
        <v>5054437906</v>
      </c>
      <c r="AN103" s="12">
        <v>1</v>
      </c>
      <c r="AO103" s="11">
        <v>577200000</v>
      </c>
      <c r="AP103" s="11">
        <v>62190516374</v>
      </c>
      <c r="AQ103" s="11">
        <v>16772728798</v>
      </c>
      <c r="AR103" s="11">
        <v>45417787576</v>
      </c>
      <c r="AS103" s="12">
        <v>270.77999999999997</v>
      </c>
      <c r="AT103" s="11">
        <v>292062688980</v>
      </c>
      <c r="AU103" s="11">
        <v>85653465728</v>
      </c>
      <c r="AV103" s="11">
        <v>27782129530</v>
      </c>
      <c r="AW103" s="11">
        <v>105070539109</v>
      </c>
      <c r="AX103" s="11">
        <v>190800854861</v>
      </c>
      <c r="AY103" s="11">
        <v>373260900000</v>
      </c>
      <c r="AZ103" s="11">
        <v>163785822448</v>
      </c>
      <c r="BA103" s="11">
        <v>699801651429</v>
      </c>
      <c r="BB103" s="13">
        <v>10976</v>
      </c>
      <c r="BC103" s="11">
        <v>135739896568</v>
      </c>
      <c r="BD103" s="11">
        <v>190800854861</v>
      </c>
      <c r="BE103" s="11">
        <v>373260900000</v>
      </c>
      <c r="BF103" s="11">
        <v>331894347422</v>
      </c>
      <c r="BG103" s="11">
        <v>30372076712</v>
      </c>
      <c r="BH103" s="11">
        <v>0</v>
      </c>
      <c r="BI103" s="11">
        <v>0</v>
      </c>
      <c r="BJ103" s="11">
        <v>0</v>
      </c>
      <c r="BK103" s="11">
        <v>0</v>
      </c>
      <c r="BL103" s="11">
        <v>0</v>
      </c>
      <c r="BM103" s="11">
        <v>0</v>
      </c>
    </row>
    <row r="104" spans="1:65" x14ac:dyDescent="0.25">
      <c r="A104" s="32"/>
      <c r="B104" s="10">
        <v>1505</v>
      </c>
      <c r="C104" s="10" t="s">
        <v>160</v>
      </c>
      <c r="D104" s="11">
        <v>771777166833</v>
      </c>
      <c r="E104" s="11">
        <v>8764821489</v>
      </c>
      <c r="F104" s="11">
        <v>0</v>
      </c>
      <c r="G104" s="11">
        <v>0</v>
      </c>
      <c r="H104" s="11">
        <v>780541988322</v>
      </c>
      <c r="I104" s="11">
        <v>68376889169</v>
      </c>
      <c r="J104" s="11">
        <v>712165099153</v>
      </c>
      <c r="K104" s="11">
        <v>694729023203</v>
      </c>
      <c r="L104" s="11">
        <v>85812965119</v>
      </c>
      <c r="M104" s="12">
        <v>12.35</v>
      </c>
      <c r="N104" s="11">
        <v>724686445854</v>
      </c>
      <c r="O104" s="12">
        <v>101.74</v>
      </c>
      <c r="P104" s="12">
        <v>101.76</v>
      </c>
      <c r="Q104" s="12">
        <v>2.29</v>
      </c>
      <c r="R104" s="11">
        <v>775773674412</v>
      </c>
      <c r="S104" s="11">
        <v>18336876619</v>
      </c>
      <c r="T104" s="11">
        <v>12353064925</v>
      </c>
      <c r="U104" s="11">
        <v>4400818227</v>
      </c>
      <c r="V104" s="11">
        <v>1582993467</v>
      </c>
      <c r="W104" s="11">
        <v>794110551031</v>
      </c>
      <c r="X104" s="11">
        <v>51568281847</v>
      </c>
      <c r="Y104" s="11">
        <v>4200000000</v>
      </c>
      <c r="Z104" s="11">
        <v>849878832878</v>
      </c>
      <c r="AA104" s="11">
        <v>600746863862</v>
      </c>
      <c r="AB104" s="12">
        <v>32.19</v>
      </c>
      <c r="AC104" s="11">
        <v>328392182719</v>
      </c>
      <c r="AD104" s="11">
        <v>328392182719</v>
      </c>
      <c r="AE104" s="11">
        <v>0</v>
      </c>
      <c r="AF104" s="11">
        <v>0</v>
      </c>
      <c r="AG104" s="11">
        <v>3624773973</v>
      </c>
      <c r="AH104" s="11">
        <v>0</v>
      </c>
      <c r="AI104" s="11">
        <v>0</v>
      </c>
      <c r="AJ104" s="12">
        <v>0</v>
      </c>
      <c r="AK104" s="11">
        <v>0</v>
      </c>
      <c r="AL104" s="12">
        <v>51</v>
      </c>
      <c r="AM104" s="11">
        <v>72076301170</v>
      </c>
      <c r="AN104" s="12">
        <v>11</v>
      </c>
      <c r="AO104" s="11">
        <v>4391292324</v>
      </c>
      <c r="AP104" s="11">
        <v>18336876619</v>
      </c>
      <c r="AQ104" s="11">
        <v>17971815114</v>
      </c>
      <c r="AR104" s="11">
        <v>365061505</v>
      </c>
      <c r="AS104" s="12">
        <v>2.0299999999999998</v>
      </c>
      <c r="AT104" s="11">
        <v>207970282315</v>
      </c>
      <c r="AU104" s="11">
        <v>66781103911</v>
      </c>
      <c r="AV104" s="11">
        <v>9530213790</v>
      </c>
      <c r="AW104" s="11">
        <v>109090197632</v>
      </c>
      <c r="AX104" s="11">
        <v>191998355411</v>
      </c>
      <c r="AY104" s="11">
        <v>461158400000</v>
      </c>
      <c r="AZ104" s="11">
        <v>135928052647</v>
      </c>
      <c r="BA104" s="11">
        <v>780541988322</v>
      </c>
      <c r="BB104" s="13">
        <v>101737</v>
      </c>
      <c r="BC104" s="11">
        <v>127385232911</v>
      </c>
      <c r="BD104" s="11">
        <v>191998355411</v>
      </c>
      <c r="BE104" s="11">
        <v>461158400000</v>
      </c>
      <c r="BF104" s="11">
        <v>309380823052</v>
      </c>
      <c r="BG104" s="11">
        <v>19011359667</v>
      </c>
      <c r="BH104" s="11">
        <v>0</v>
      </c>
      <c r="BI104" s="11">
        <v>0</v>
      </c>
      <c r="BJ104" s="11">
        <v>0</v>
      </c>
      <c r="BK104" s="11">
        <v>0</v>
      </c>
      <c r="BL104" s="11">
        <v>0</v>
      </c>
      <c r="BM104" s="11">
        <v>0</v>
      </c>
    </row>
    <row r="105" spans="1:65" x14ac:dyDescent="0.25">
      <c r="A105" s="32"/>
      <c r="B105" s="10">
        <v>1506</v>
      </c>
      <c r="C105" s="10" t="s">
        <v>161</v>
      </c>
      <c r="D105" s="11">
        <v>643596825362</v>
      </c>
      <c r="E105" s="11">
        <v>2283388395</v>
      </c>
      <c r="F105" s="11">
        <v>0</v>
      </c>
      <c r="G105" s="11">
        <v>0</v>
      </c>
      <c r="H105" s="11">
        <v>645880213757</v>
      </c>
      <c r="I105" s="11">
        <v>55467452762</v>
      </c>
      <c r="J105" s="11">
        <v>590412760995</v>
      </c>
      <c r="K105" s="11">
        <v>545077027163</v>
      </c>
      <c r="L105" s="11">
        <v>100803186594</v>
      </c>
      <c r="M105" s="12">
        <v>18.489999999999998</v>
      </c>
      <c r="N105" s="11">
        <v>1063773928490</v>
      </c>
      <c r="O105" s="12">
        <v>179.83</v>
      </c>
      <c r="P105" s="12">
        <v>180.17</v>
      </c>
      <c r="Q105" s="12">
        <v>2.2999999999999998</v>
      </c>
      <c r="R105" s="11">
        <v>1134146206517</v>
      </c>
      <c r="S105" s="11">
        <v>27353063041</v>
      </c>
      <c r="T105" s="11">
        <v>16121417053</v>
      </c>
      <c r="U105" s="11">
        <v>8186723192</v>
      </c>
      <c r="V105" s="11">
        <v>3044922796</v>
      </c>
      <c r="W105" s="11">
        <v>1161499269558</v>
      </c>
      <c r="X105" s="11">
        <v>75946078644</v>
      </c>
      <c r="Y105" s="11">
        <v>9085953293</v>
      </c>
      <c r="Z105" s="11">
        <v>1246531301495</v>
      </c>
      <c r="AA105" s="11">
        <v>883219967826</v>
      </c>
      <c r="AB105" s="12">
        <v>31.51</v>
      </c>
      <c r="AC105" s="11">
        <v>532816775569</v>
      </c>
      <c r="AD105" s="11">
        <v>531686775569</v>
      </c>
      <c r="AE105" s="11">
        <v>0</v>
      </c>
      <c r="AF105" s="11">
        <v>0</v>
      </c>
      <c r="AG105" s="11">
        <v>0</v>
      </c>
      <c r="AH105" s="11">
        <v>0</v>
      </c>
      <c r="AI105" s="11">
        <v>0</v>
      </c>
      <c r="AJ105" s="12">
        <v>0</v>
      </c>
      <c r="AK105" s="11">
        <v>0</v>
      </c>
      <c r="AL105" s="12">
        <v>23</v>
      </c>
      <c r="AM105" s="11">
        <v>17224725074</v>
      </c>
      <c r="AN105" s="12">
        <v>8</v>
      </c>
      <c r="AO105" s="11">
        <v>3058900288</v>
      </c>
      <c r="AP105" s="11">
        <v>27353063041</v>
      </c>
      <c r="AQ105" s="11">
        <v>24229770298</v>
      </c>
      <c r="AR105" s="11">
        <v>3123292743</v>
      </c>
      <c r="AS105" s="12">
        <v>12.89</v>
      </c>
      <c r="AT105" s="11">
        <v>271333849020</v>
      </c>
      <c r="AU105" s="11">
        <v>110068003214</v>
      </c>
      <c r="AV105" s="11">
        <v>44146422371</v>
      </c>
      <c r="AW105" s="11">
        <v>164510934655</v>
      </c>
      <c r="AX105" s="11">
        <v>146642868336</v>
      </c>
      <c r="AY105" s="11">
        <v>288296600000</v>
      </c>
      <c r="AZ105" s="11">
        <v>110648551112</v>
      </c>
      <c r="BA105" s="11">
        <v>645880213757</v>
      </c>
      <c r="BB105" s="13">
        <v>53953</v>
      </c>
      <c r="BC105" s="11">
        <v>210881333225</v>
      </c>
      <c r="BD105" s="11">
        <v>146642868336</v>
      </c>
      <c r="BE105" s="11">
        <v>288356012196</v>
      </c>
      <c r="BF105" s="11">
        <v>467516775569</v>
      </c>
      <c r="BG105" s="11">
        <v>65300000000</v>
      </c>
      <c r="BH105" s="11">
        <v>0</v>
      </c>
      <c r="BI105" s="11">
        <v>0</v>
      </c>
      <c r="BJ105" s="11">
        <v>0</v>
      </c>
      <c r="BK105" s="11">
        <v>0</v>
      </c>
      <c r="BL105" s="11">
        <v>0</v>
      </c>
      <c r="BM105" s="11">
        <v>0</v>
      </c>
    </row>
    <row r="106" spans="1:65" x14ac:dyDescent="0.25">
      <c r="A106" s="32"/>
      <c r="B106" s="10">
        <v>1507</v>
      </c>
      <c r="C106" s="10" t="s">
        <v>162</v>
      </c>
      <c r="D106" s="11">
        <v>915936389718</v>
      </c>
      <c r="E106" s="11">
        <v>75499818629</v>
      </c>
      <c r="F106" s="11">
        <v>0</v>
      </c>
      <c r="G106" s="11">
        <v>0</v>
      </c>
      <c r="H106" s="11">
        <v>991436208347</v>
      </c>
      <c r="I106" s="11">
        <v>77595836604</v>
      </c>
      <c r="J106" s="11">
        <v>913840371743</v>
      </c>
      <c r="K106" s="11">
        <v>873621588098</v>
      </c>
      <c r="L106" s="11">
        <v>117814620249</v>
      </c>
      <c r="M106" s="12">
        <v>13.49</v>
      </c>
      <c r="N106" s="11">
        <v>1049378823777</v>
      </c>
      <c r="O106" s="12">
        <v>117</v>
      </c>
      <c r="P106" s="12">
        <v>114.83</v>
      </c>
      <c r="Q106" s="12">
        <v>0.59</v>
      </c>
      <c r="R106" s="11">
        <v>1152621285765</v>
      </c>
      <c r="S106" s="11">
        <v>7367030063</v>
      </c>
      <c r="T106" s="11">
        <v>6094322297</v>
      </c>
      <c r="U106" s="11">
        <v>1272707766</v>
      </c>
      <c r="V106" s="11">
        <v>0</v>
      </c>
      <c r="W106" s="11">
        <v>1159988315828</v>
      </c>
      <c r="X106" s="11">
        <v>94815616708</v>
      </c>
      <c r="Y106" s="11">
        <v>3400000000</v>
      </c>
      <c r="Z106" s="11">
        <v>1258203932536</v>
      </c>
      <c r="AA106" s="11">
        <v>796699194100</v>
      </c>
      <c r="AB106" s="12">
        <v>45.6</v>
      </c>
      <c r="AC106" s="11">
        <v>480313078296</v>
      </c>
      <c r="AD106" s="11">
        <v>470313078296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2">
        <v>0</v>
      </c>
      <c r="AK106" s="11">
        <v>0</v>
      </c>
      <c r="AL106" s="12">
        <v>20</v>
      </c>
      <c r="AM106" s="11">
        <v>23974218565</v>
      </c>
      <c r="AN106" s="12">
        <v>3</v>
      </c>
      <c r="AO106" s="11">
        <v>12744087427</v>
      </c>
      <c r="AP106" s="11">
        <v>7367030063</v>
      </c>
      <c r="AQ106" s="11">
        <v>7019724674</v>
      </c>
      <c r="AR106" s="11">
        <v>347305389</v>
      </c>
      <c r="AS106" s="12">
        <v>4.95</v>
      </c>
      <c r="AT106" s="11">
        <v>194061217878</v>
      </c>
      <c r="AU106" s="11">
        <v>52792806568</v>
      </c>
      <c r="AV106" s="11">
        <v>26783175693</v>
      </c>
      <c r="AW106" s="11">
        <v>129436480710</v>
      </c>
      <c r="AX106" s="11">
        <v>233374733315</v>
      </c>
      <c r="AY106" s="11">
        <v>526342000000</v>
      </c>
      <c r="AZ106" s="11">
        <v>181175687533</v>
      </c>
      <c r="BA106" s="11">
        <v>991436208347</v>
      </c>
      <c r="BB106" s="13">
        <v>116405</v>
      </c>
      <c r="BC106" s="11">
        <v>162282896084</v>
      </c>
      <c r="BD106" s="11">
        <v>233374733315</v>
      </c>
      <c r="BE106" s="11">
        <v>595778578948</v>
      </c>
      <c r="BF106" s="11">
        <v>422113078296</v>
      </c>
      <c r="BG106" s="11">
        <v>58200000000</v>
      </c>
      <c r="BH106" s="11">
        <v>0</v>
      </c>
      <c r="BI106" s="11">
        <v>0</v>
      </c>
      <c r="BJ106" s="11">
        <v>0</v>
      </c>
      <c r="BK106" s="11">
        <v>0</v>
      </c>
      <c r="BL106" s="11">
        <v>0</v>
      </c>
      <c r="BM106" s="11">
        <v>0</v>
      </c>
    </row>
    <row r="107" spans="1:65" x14ac:dyDescent="0.25">
      <c r="A107" s="32"/>
      <c r="B107" s="10">
        <v>1599</v>
      </c>
      <c r="C107" s="10" t="s">
        <v>163</v>
      </c>
      <c r="D107" s="11">
        <v>0</v>
      </c>
      <c r="E107" s="11">
        <v>91650000</v>
      </c>
      <c r="F107" s="11">
        <v>0</v>
      </c>
      <c r="G107" s="11">
        <v>0</v>
      </c>
      <c r="H107" s="11">
        <v>91650000</v>
      </c>
      <c r="I107" s="11">
        <v>7515493</v>
      </c>
      <c r="J107" s="11">
        <v>84134507</v>
      </c>
      <c r="K107" s="11">
        <v>0</v>
      </c>
      <c r="L107" s="11">
        <v>91650000</v>
      </c>
      <c r="M107" s="12">
        <v>0</v>
      </c>
      <c r="N107" s="11">
        <v>0</v>
      </c>
      <c r="O107" s="12">
        <v>0</v>
      </c>
      <c r="P107" s="12">
        <v>0</v>
      </c>
      <c r="Q107" s="12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2"/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2">
        <v>0</v>
      </c>
      <c r="AK107" s="11">
        <v>0</v>
      </c>
      <c r="AL107" s="12">
        <v>0</v>
      </c>
      <c r="AM107" s="11">
        <v>0</v>
      </c>
      <c r="AN107" s="12">
        <v>0</v>
      </c>
      <c r="AO107" s="11">
        <v>0</v>
      </c>
      <c r="AP107" s="11">
        <v>0</v>
      </c>
      <c r="AQ107" s="11">
        <v>0</v>
      </c>
      <c r="AR107" s="11">
        <v>0</v>
      </c>
      <c r="AS107" s="12"/>
      <c r="AT107" s="11">
        <v>0</v>
      </c>
      <c r="AU107" s="11">
        <v>0</v>
      </c>
      <c r="AV107" s="11">
        <v>0</v>
      </c>
      <c r="AW107" s="11">
        <v>0</v>
      </c>
      <c r="AX107" s="11">
        <v>0</v>
      </c>
      <c r="AY107" s="11">
        <v>0</v>
      </c>
      <c r="AZ107" s="11">
        <v>0</v>
      </c>
      <c r="BA107" s="11">
        <v>91650000</v>
      </c>
      <c r="BB107" s="12">
        <v>0</v>
      </c>
      <c r="BC107" s="11">
        <v>91650000</v>
      </c>
      <c r="BD107" s="11">
        <v>0</v>
      </c>
      <c r="BE107" s="11">
        <v>0</v>
      </c>
      <c r="BF107" s="11">
        <v>0</v>
      </c>
      <c r="BG107" s="11">
        <v>0</v>
      </c>
      <c r="BH107" s="11">
        <v>0</v>
      </c>
      <c r="BI107" s="11">
        <v>0</v>
      </c>
      <c r="BJ107" s="11">
        <v>0</v>
      </c>
      <c r="BK107" s="11">
        <v>0</v>
      </c>
      <c r="BL107" s="11">
        <v>0</v>
      </c>
      <c r="BM107" s="11">
        <v>0</v>
      </c>
    </row>
    <row r="108" spans="1:65" x14ac:dyDescent="0.25">
      <c r="A108" s="14" t="s">
        <v>595</v>
      </c>
      <c r="B108" s="15"/>
      <c r="C108" s="15"/>
      <c r="D108" s="16">
        <v>6434817893715</v>
      </c>
      <c r="E108" s="16">
        <v>197031239313</v>
      </c>
      <c r="F108" s="16">
        <v>27300000000</v>
      </c>
      <c r="G108" s="16">
        <v>0</v>
      </c>
      <c r="H108" s="16">
        <v>6659149133028</v>
      </c>
      <c r="I108" s="16">
        <v>557436557075</v>
      </c>
      <c r="J108" s="16">
        <v>6101712575953</v>
      </c>
      <c r="K108" s="16">
        <v>5800148998654</v>
      </c>
      <c r="L108" s="16">
        <v>859000134374</v>
      </c>
      <c r="M108" s="17">
        <v>14.81</v>
      </c>
      <c r="N108" s="16">
        <v>9432383447560</v>
      </c>
      <c r="O108" s="17">
        <v>171.1</v>
      </c>
      <c r="P108" s="17">
        <v>154.59</v>
      </c>
      <c r="Q108" s="17">
        <v>2.2000000000000002</v>
      </c>
      <c r="R108" s="16">
        <v>11134556168612</v>
      </c>
      <c r="S108" s="16">
        <v>259035001645</v>
      </c>
      <c r="T108" s="16">
        <v>150679006044</v>
      </c>
      <c r="U108" s="16">
        <v>76889164652</v>
      </c>
      <c r="V108" s="16">
        <v>31466830949</v>
      </c>
      <c r="W108" s="16">
        <v>11393591170257</v>
      </c>
      <c r="X108" s="16">
        <v>650050145386</v>
      </c>
      <c r="Y108" s="16">
        <v>66482420722</v>
      </c>
      <c r="Z108" s="16">
        <v>12110123736365</v>
      </c>
      <c r="AA108" s="16">
        <v>8433739040679</v>
      </c>
      <c r="AB108" s="17">
        <v>35.1</v>
      </c>
      <c r="AC108" s="16">
        <v>4515989202589</v>
      </c>
      <c r="AD108" s="16">
        <v>4360672090499</v>
      </c>
      <c r="AE108" s="16">
        <v>0</v>
      </c>
      <c r="AF108" s="16">
        <v>68023356</v>
      </c>
      <c r="AG108" s="16">
        <v>14471690498</v>
      </c>
      <c r="AH108" s="16">
        <v>0</v>
      </c>
      <c r="AI108" s="16">
        <v>0</v>
      </c>
      <c r="AJ108" s="17">
        <v>1</v>
      </c>
      <c r="AK108" s="16">
        <v>35420000000</v>
      </c>
      <c r="AL108" s="17">
        <v>182</v>
      </c>
      <c r="AM108" s="16">
        <v>302577037892</v>
      </c>
      <c r="AN108" s="18">
        <f>SUM(AN99:AN107)</f>
        <v>53</v>
      </c>
      <c r="AO108" s="16">
        <f>SUM(AO99:AO107)</f>
        <v>80770193413</v>
      </c>
      <c r="AP108" s="16">
        <v>259035001645</v>
      </c>
      <c r="AQ108" s="16">
        <v>192193629638</v>
      </c>
      <c r="AR108" s="16">
        <v>66841372007</v>
      </c>
      <c r="AS108" s="17">
        <v>34.78</v>
      </c>
      <c r="AT108" s="16">
        <v>2530766634700</v>
      </c>
      <c r="AU108" s="16">
        <v>692649699656</v>
      </c>
      <c r="AV108" s="16">
        <v>211044104487</v>
      </c>
      <c r="AW108" s="16">
        <v>1278554020118</v>
      </c>
      <c r="AX108" s="16">
        <v>1618829569110</v>
      </c>
      <c r="AY108" s="16">
        <v>3326390200000</v>
      </c>
      <c r="AZ108" s="16">
        <v>1166653841441</v>
      </c>
      <c r="BA108" s="16">
        <v>6659149133028</v>
      </c>
      <c r="BB108" s="18">
        <v>842378</v>
      </c>
      <c r="BC108" s="16">
        <v>1544128099387</v>
      </c>
      <c r="BD108" s="16">
        <v>1646129569110</v>
      </c>
      <c r="BE108" s="16">
        <v>3468891464531</v>
      </c>
      <c r="BF108" s="16">
        <v>4105667160730</v>
      </c>
      <c r="BG108" s="16">
        <v>410322041859</v>
      </c>
      <c r="BH108" s="16">
        <v>0</v>
      </c>
      <c r="BI108" s="16">
        <v>0</v>
      </c>
      <c r="BJ108" s="16">
        <v>0</v>
      </c>
      <c r="BK108" s="16">
        <v>68023356</v>
      </c>
      <c r="BL108" s="16">
        <v>0</v>
      </c>
      <c r="BM108" s="16">
        <v>1639298029</v>
      </c>
    </row>
    <row r="109" spans="1:65" x14ac:dyDescent="0.25">
      <c r="A109" s="32" t="s">
        <v>164</v>
      </c>
      <c r="B109" s="10">
        <v>1600</v>
      </c>
      <c r="C109" s="10" t="s">
        <v>164</v>
      </c>
      <c r="D109" s="11">
        <v>2389865199517</v>
      </c>
      <c r="E109" s="11">
        <v>448654076848</v>
      </c>
      <c r="F109" s="11">
        <v>40012000000</v>
      </c>
      <c r="G109" s="11">
        <v>4017604486431</v>
      </c>
      <c r="H109" s="11">
        <v>6896135762796</v>
      </c>
      <c r="I109" s="11">
        <v>554433316183</v>
      </c>
      <c r="J109" s="11">
        <v>6341702446613</v>
      </c>
      <c r="K109" s="11">
        <v>2714856942975</v>
      </c>
      <c r="L109" s="11">
        <v>4181278819821</v>
      </c>
      <c r="M109" s="12">
        <v>154.01</v>
      </c>
      <c r="N109" s="11">
        <v>3911709904807</v>
      </c>
      <c r="O109" s="12">
        <v>84.53</v>
      </c>
      <c r="P109" s="12">
        <v>61.68</v>
      </c>
      <c r="Q109" s="12">
        <v>1.94</v>
      </c>
      <c r="R109" s="11">
        <v>5743492544584</v>
      </c>
      <c r="S109" s="11">
        <v>85592193942</v>
      </c>
      <c r="T109" s="11">
        <v>42781106003</v>
      </c>
      <c r="U109" s="11">
        <v>5411794762</v>
      </c>
      <c r="V109" s="11">
        <v>37399293177</v>
      </c>
      <c r="W109" s="11">
        <v>5829084738526</v>
      </c>
      <c r="X109" s="11">
        <v>253103693138</v>
      </c>
      <c r="Y109" s="11">
        <v>11745990836</v>
      </c>
      <c r="Z109" s="11">
        <v>6093934422500</v>
      </c>
      <c r="AA109" s="11">
        <v>4402074253886</v>
      </c>
      <c r="AB109" s="12">
        <v>32.42</v>
      </c>
      <c r="AC109" s="11">
        <v>1861328134789</v>
      </c>
      <c r="AD109" s="11">
        <v>1180368823977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2">
        <v>0</v>
      </c>
      <c r="AK109" s="11">
        <v>0</v>
      </c>
      <c r="AL109" s="12">
        <v>56</v>
      </c>
      <c r="AM109" s="11">
        <v>660726000000</v>
      </c>
      <c r="AN109" s="12">
        <v>70</v>
      </c>
      <c r="AO109" s="11">
        <v>63400888201</v>
      </c>
      <c r="AP109" s="11">
        <v>85592193942</v>
      </c>
      <c r="AQ109" s="11">
        <v>65218402163</v>
      </c>
      <c r="AR109" s="11">
        <v>20373791779</v>
      </c>
      <c r="AS109" s="12">
        <v>31.24</v>
      </c>
      <c r="AT109" s="11">
        <v>877024299291</v>
      </c>
      <c r="AU109" s="11">
        <v>103975536352</v>
      </c>
      <c r="AV109" s="11">
        <v>571449557187</v>
      </c>
      <c r="AW109" s="11">
        <v>198202885505</v>
      </c>
      <c r="AX109" s="11">
        <v>1471621756825</v>
      </c>
      <c r="AY109" s="11">
        <v>148591000000</v>
      </c>
      <c r="AZ109" s="11">
        <v>1327886977384</v>
      </c>
      <c r="BA109" s="11">
        <v>6896135762796</v>
      </c>
      <c r="BB109" s="13">
        <v>33796</v>
      </c>
      <c r="BC109" s="11">
        <v>5206519794643</v>
      </c>
      <c r="BD109" s="11">
        <v>1511633756825</v>
      </c>
      <c r="BE109" s="11">
        <v>177982211328</v>
      </c>
      <c r="BF109" s="11">
        <v>1486437646974</v>
      </c>
      <c r="BG109" s="11">
        <v>374890487815</v>
      </c>
      <c r="BH109" s="11">
        <v>0</v>
      </c>
      <c r="BI109" s="11">
        <v>0</v>
      </c>
      <c r="BJ109" s="11">
        <v>0</v>
      </c>
      <c r="BK109" s="11">
        <v>0</v>
      </c>
      <c r="BL109" s="11">
        <v>0</v>
      </c>
      <c r="BM109" s="11">
        <v>0</v>
      </c>
    </row>
    <row r="110" spans="1:65" x14ac:dyDescent="0.25">
      <c r="A110" s="32"/>
      <c r="B110" s="10">
        <v>1601</v>
      </c>
      <c r="C110" s="10" t="s">
        <v>165</v>
      </c>
      <c r="D110" s="11">
        <v>1133280032505</v>
      </c>
      <c r="E110" s="11">
        <v>88264186688</v>
      </c>
      <c r="F110" s="11">
        <v>0</v>
      </c>
      <c r="G110" s="11">
        <v>0</v>
      </c>
      <c r="H110" s="11">
        <v>1221544219193</v>
      </c>
      <c r="I110" s="11">
        <v>88113420240</v>
      </c>
      <c r="J110" s="11">
        <v>1133430798953</v>
      </c>
      <c r="K110" s="11">
        <v>944427797656</v>
      </c>
      <c r="L110" s="11">
        <v>277116421537</v>
      </c>
      <c r="M110" s="12">
        <v>29.34</v>
      </c>
      <c r="N110" s="11">
        <v>1178078259536</v>
      </c>
      <c r="O110" s="12">
        <v>105.9</v>
      </c>
      <c r="P110" s="12">
        <v>103.94</v>
      </c>
      <c r="Q110" s="12">
        <v>5.49</v>
      </c>
      <c r="R110" s="11">
        <v>1236491492044</v>
      </c>
      <c r="S110" s="11">
        <v>57159478237</v>
      </c>
      <c r="T110" s="11">
        <v>19516744168</v>
      </c>
      <c r="U110" s="11">
        <v>27500256504</v>
      </c>
      <c r="V110" s="11">
        <v>10142477565</v>
      </c>
      <c r="W110" s="11">
        <v>1293650970281</v>
      </c>
      <c r="X110" s="11">
        <v>82470499625</v>
      </c>
      <c r="Y110" s="11">
        <v>3400000000</v>
      </c>
      <c r="Z110" s="11">
        <v>1379521469906</v>
      </c>
      <c r="AA110" s="11">
        <v>924010205169</v>
      </c>
      <c r="AB110" s="12">
        <v>40</v>
      </c>
      <c r="AC110" s="11">
        <v>653435511606</v>
      </c>
      <c r="AD110" s="11">
        <v>650045511606</v>
      </c>
      <c r="AE110" s="11">
        <v>0</v>
      </c>
      <c r="AF110" s="11">
        <v>0</v>
      </c>
      <c r="AG110" s="11">
        <v>0</v>
      </c>
      <c r="AH110" s="11">
        <v>0</v>
      </c>
      <c r="AI110" s="11">
        <v>0</v>
      </c>
      <c r="AJ110" s="12">
        <v>0</v>
      </c>
      <c r="AK110" s="11">
        <v>0</v>
      </c>
      <c r="AL110" s="12">
        <v>36</v>
      </c>
      <c r="AM110" s="11">
        <v>104665114335</v>
      </c>
      <c r="AN110" s="12">
        <v>2</v>
      </c>
      <c r="AO110" s="11">
        <v>2887504721</v>
      </c>
      <c r="AP110" s="11">
        <v>57159478237</v>
      </c>
      <c r="AQ110" s="11">
        <v>47107367290</v>
      </c>
      <c r="AR110" s="11">
        <v>10052110947</v>
      </c>
      <c r="AS110" s="12">
        <v>21.34</v>
      </c>
      <c r="AT110" s="11">
        <v>295991436137</v>
      </c>
      <c r="AU110" s="11">
        <v>69682860482</v>
      </c>
      <c r="AV110" s="11">
        <v>109825945743</v>
      </c>
      <c r="AW110" s="11">
        <v>186083175910</v>
      </c>
      <c r="AX110" s="11">
        <v>317769910852</v>
      </c>
      <c r="AY110" s="11">
        <v>519601000000</v>
      </c>
      <c r="AZ110" s="11">
        <v>226096876864</v>
      </c>
      <c r="BA110" s="11">
        <v>1221544219193</v>
      </c>
      <c r="BB110" s="13">
        <v>61442</v>
      </c>
      <c r="BC110" s="11">
        <v>380603193626</v>
      </c>
      <c r="BD110" s="11">
        <v>317769910852</v>
      </c>
      <c r="BE110" s="11">
        <v>523171114715</v>
      </c>
      <c r="BF110" s="11">
        <v>314661086606</v>
      </c>
      <c r="BG110" s="11">
        <v>338774425000</v>
      </c>
      <c r="BH110" s="11">
        <v>0</v>
      </c>
      <c r="BI110" s="11">
        <v>0</v>
      </c>
      <c r="BJ110" s="11">
        <v>0</v>
      </c>
      <c r="BK110" s="11">
        <v>0</v>
      </c>
      <c r="BL110" s="11">
        <v>0</v>
      </c>
      <c r="BM110" s="11">
        <v>0</v>
      </c>
    </row>
    <row r="111" spans="1:65" x14ac:dyDescent="0.25">
      <c r="A111" s="32"/>
      <c r="B111" s="10">
        <v>1602</v>
      </c>
      <c r="C111" s="10" t="s">
        <v>166</v>
      </c>
      <c r="D111" s="11">
        <v>1632542882143</v>
      </c>
      <c r="E111" s="11">
        <v>102391062444</v>
      </c>
      <c r="F111" s="11">
        <v>0</v>
      </c>
      <c r="G111" s="11">
        <v>0</v>
      </c>
      <c r="H111" s="11">
        <v>1734933944587</v>
      </c>
      <c r="I111" s="11">
        <v>116117324756</v>
      </c>
      <c r="J111" s="11">
        <v>1618816619831</v>
      </c>
      <c r="K111" s="11">
        <v>1275241911077</v>
      </c>
      <c r="L111" s="11">
        <v>459692033510</v>
      </c>
      <c r="M111" s="12">
        <v>36.049999999999997</v>
      </c>
      <c r="N111" s="11">
        <v>1443840212067</v>
      </c>
      <c r="O111" s="12">
        <v>105.95</v>
      </c>
      <c r="P111" s="12">
        <v>89.19</v>
      </c>
      <c r="Q111" s="12">
        <v>1.17</v>
      </c>
      <c r="R111" s="11">
        <v>1818572525513</v>
      </c>
      <c r="S111" s="11">
        <v>19666329121</v>
      </c>
      <c r="T111" s="11">
        <v>12746285513</v>
      </c>
      <c r="U111" s="11">
        <v>4425948861</v>
      </c>
      <c r="V111" s="11">
        <v>2494094747</v>
      </c>
      <c r="W111" s="11">
        <v>1838238854634</v>
      </c>
      <c r="X111" s="11">
        <v>64125068959</v>
      </c>
      <c r="Y111" s="11">
        <v>0</v>
      </c>
      <c r="Z111" s="11">
        <v>1902363923593</v>
      </c>
      <c r="AA111" s="11">
        <v>946283395403</v>
      </c>
      <c r="AB111" s="12">
        <v>94.26</v>
      </c>
      <c r="AC111" s="11">
        <v>1312720454515</v>
      </c>
      <c r="AD111" s="11">
        <v>961219900000</v>
      </c>
      <c r="AE111" s="11">
        <v>0</v>
      </c>
      <c r="AF111" s="11">
        <v>0</v>
      </c>
      <c r="AG111" s="11">
        <v>12943691260</v>
      </c>
      <c r="AH111" s="11">
        <v>0</v>
      </c>
      <c r="AI111" s="11">
        <v>0</v>
      </c>
      <c r="AJ111" s="12">
        <v>0</v>
      </c>
      <c r="AK111" s="11">
        <v>0</v>
      </c>
      <c r="AL111" s="12">
        <v>35</v>
      </c>
      <c r="AM111" s="11">
        <v>118683545064</v>
      </c>
      <c r="AN111" s="12">
        <v>8</v>
      </c>
      <c r="AO111" s="11">
        <v>24010240896</v>
      </c>
      <c r="AP111" s="11">
        <v>19666329121</v>
      </c>
      <c r="AQ111" s="11">
        <v>28035192167</v>
      </c>
      <c r="AR111" s="11">
        <v>-8368863046</v>
      </c>
      <c r="AS111" s="12">
        <v>-29.85</v>
      </c>
      <c r="AT111" s="11">
        <v>373036437832</v>
      </c>
      <c r="AU111" s="11">
        <v>110480519508</v>
      </c>
      <c r="AV111" s="11">
        <v>125752102331</v>
      </c>
      <c r="AW111" s="11">
        <v>79846651323</v>
      </c>
      <c r="AX111" s="11">
        <v>439404628489</v>
      </c>
      <c r="AY111" s="11">
        <v>987539500000</v>
      </c>
      <c r="AZ111" s="11">
        <v>402534790422</v>
      </c>
      <c r="BA111" s="11">
        <v>1734933944587</v>
      </c>
      <c r="BB111" s="13">
        <v>3886</v>
      </c>
      <c r="BC111" s="11">
        <v>306251941693</v>
      </c>
      <c r="BD111" s="11">
        <v>439404628489</v>
      </c>
      <c r="BE111" s="11">
        <v>989277374405</v>
      </c>
      <c r="BF111" s="11">
        <v>593568125749</v>
      </c>
      <c r="BG111" s="11">
        <v>719152328766</v>
      </c>
      <c r="BH111" s="11">
        <v>0</v>
      </c>
      <c r="BI111" s="11">
        <v>0</v>
      </c>
      <c r="BJ111" s="11">
        <v>0</v>
      </c>
      <c r="BK111" s="11">
        <v>0</v>
      </c>
      <c r="BL111" s="11">
        <v>0</v>
      </c>
      <c r="BM111" s="11">
        <v>0</v>
      </c>
    </row>
    <row r="112" spans="1:65" x14ac:dyDescent="0.25">
      <c r="A112" s="32"/>
      <c r="B112" s="10">
        <v>1603</v>
      </c>
      <c r="C112" s="10" t="s">
        <v>167</v>
      </c>
      <c r="D112" s="11">
        <v>842326502858</v>
      </c>
      <c r="E112" s="11">
        <v>21393854402</v>
      </c>
      <c r="F112" s="11">
        <v>0</v>
      </c>
      <c r="G112" s="11">
        <v>0</v>
      </c>
      <c r="H112" s="11">
        <v>863720357260</v>
      </c>
      <c r="I112" s="11">
        <v>66029378766</v>
      </c>
      <c r="J112" s="11">
        <v>797690978494</v>
      </c>
      <c r="K112" s="11">
        <v>881354451476</v>
      </c>
      <c r="L112" s="11">
        <v>-17634094216</v>
      </c>
      <c r="M112" s="12">
        <v>-2</v>
      </c>
      <c r="N112" s="11">
        <v>1152907706182</v>
      </c>
      <c r="O112" s="12">
        <v>150.01</v>
      </c>
      <c r="P112" s="12">
        <v>144.53</v>
      </c>
      <c r="Q112" s="12">
        <v>2.16</v>
      </c>
      <c r="R112" s="11">
        <v>1267308362916</v>
      </c>
      <c r="S112" s="11">
        <v>28378486296</v>
      </c>
      <c r="T112" s="11">
        <v>15141532605</v>
      </c>
      <c r="U112" s="11">
        <v>720986350</v>
      </c>
      <c r="V112" s="11">
        <v>12515967341</v>
      </c>
      <c r="W112" s="11">
        <v>1295686849212</v>
      </c>
      <c r="X112" s="11">
        <v>65639862492</v>
      </c>
      <c r="Y112" s="11">
        <v>500000000</v>
      </c>
      <c r="Z112" s="11">
        <v>1361826711704</v>
      </c>
      <c r="AA112" s="11">
        <v>895387375840</v>
      </c>
      <c r="AB112" s="12">
        <v>44.71</v>
      </c>
      <c r="AC112" s="11">
        <v>661331189966</v>
      </c>
      <c r="AD112" s="11">
        <v>648501189966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2">
        <v>0</v>
      </c>
      <c r="AK112" s="11">
        <v>0</v>
      </c>
      <c r="AL112" s="12">
        <v>84</v>
      </c>
      <c r="AM112" s="11">
        <v>439010387206</v>
      </c>
      <c r="AN112" s="12">
        <v>25</v>
      </c>
      <c r="AO112" s="11">
        <v>49406497020</v>
      </c>
      <c r="AP112" s="11">
        <v>28378486296</v>
      </c>
      <c r="AQ112" s="11">
        <v>24292599708</v>
      </c>
      <c r="AR112" s="11">
        <v>4085886588</v>
      </c>
      <c r="AS112" s="12">
        <v>16.82</v>
      </c>
      <c r="AT112" s="11">
        <v>343921514071</v>
      </c>
      <c r="AU112" s="11">
        <v>94437309122</v>
      </c>
      <c r="AV112" s="11">
        <v>85459698623</v>
      </c>
      <c r="AW112" s="11">
        <v>233652727013</v>
      </c>
      <c r="AX112" s="11">
        <v>295976077222</v>
      </c>
      <c r="AY112" s="11">
        <v>227238000000</v>
      </c>
      <c r="AZ112" s="11">
        <v>205862516759</v>
      </c>
      <c r="BA112" s="11">
        <v>863720357260</v>
      </c>
      <c r="BB112" s="13">
        <v>32099</v>
      </c>
      <c r="BC112" s="11">
        <v>338719664110</v>
      </c>
      <c r="BD112" s="11">
        <v>295976077222</v>
      </c>
      <c r="BE112" s="11">
        <v>229024615928</v>
      </c>
      <c r="BF112" s="11">
        <v>281335543407</v>
      </c>
      <c r="BG112" s="11">
        <v>379995646559</v>
      </c>
      <c r="BH112" s="11">
        <v>0</v>
      </c>
      <c r="BI112" s="11">
        <v>0</v>
      </c>
      <c r="BJ112" s="11">
        <v>0</v>
      </c>
      <c r="BK112" s="11">
        <v>0</v>
      </c>
      <c r="BL112" s="11">
        <v>7364400000</v>
      </c>
      <c r="BM112" s="11">
        <v>0</v>
      </c>
    </row>
    <row r="113" spans="1:65" x14ac:dyDescent="0.25">
      <c r="A113" s="32"/>
      <c r="B113" s="10">
        <v>1604</v>
      </c>
      <c r="C113" s="10" t="s">
        <v>168</v>
      </c>
      <c r="D113" s="11">
        <v>1712098948193</v>
      </c>
      <c r="E113" s="11">
        <v>65294514159</v>
      </c>
      <c r="F113" s="11">
        <v>0</v>
      </c>
      <c r="G113" s="11">
        <v>0</v>
      </c>
      <c r="H113" s="11">
        <v>1777393462352</v>
      </c>
      <c r="I113" s="11">
        <v>138759496625</v>
      </c>
      <c r="J113" s="11">
        <v>1638633965727</v>
      </c>
      <c r="K113" s="11">
        <v>2165284240771</v>
      </c>
      <c r="L113" s="11">
        <v>-387890778419</v>
      </c>
      <c r="M113" s="12">
        <v>-17.91</v>
      </c>
      <c r="N113" s="11">
        <v>1385655176756</v>
      </c>
      <c r="O113" s="12">
        <v>86.83</v>
      </c>
      <c r="P113" s="12">
        <v>84.56</v>
      </c>
      <c r="Q113" s="12">
        <v>1.3</v>
      </c>
      <c r="R113" s="11">
        <v>1526219684217</v>
      </c>
      <c r="S113" s="11">
        <v>17044835687</v>
      </c>
      <c r="T113" s="11">
        <v>9203074507</v>
      </c>
      <c r="U113" s="11">
        <v>330607017</v>
      </c>
      <c r="V113" s="11">
        <v>7511154163</v>
      </c>
      <c r="W113" s="11">
        <v>1543264519904</v>
      </c>
      <c r="X113" s="11">
        <v>73340710311</v>
      </c>
      <c r="Y113" s="11">
        <v>1500000000</v>
      </c>
      <c r="Z113" s="11">
        <v>1618105230215</v>
      </c>
      <c r="AA113" s="11">
        <v>1267345057709</v>
      </c>
      <c r="AB113" s="12">
        <v>21.77</v>
      </c>
      <c r="AC113" s="11">
        <v>652544347251</v>
      </c>
      <c r="AD113" s="11">
        <v>652544347251</v>
      </c>
      <c r="AE113" s="11">
        <v>0</v>
      </c>
      <c r="AF113" s="11">
        <v>9713850300</v>
      </c>
      <c r="AG113" s="11">
        <v>0</v>
      </c>
      <c r="AH113" s="11">
        <v>0</v>
      </c>
      <c r="AI113" s="11">
        <v>0</v>
      </c>
      <c r="AJ113" s="12">
        <v>0</v>
      </c>
      <c r="AK113" s="11">
        <v>0</v>
      </c>
      <c r="AL113" s="12">
        <v>44</v>
      </c>
      <c r="AM113" s="11">
        <v>263514131981</v>
      </c>
      <c r="AN113" s="12">
        <v>26</v>
      </c>
      <c r="AO113" s="11">
        <v>190104779625</v>
      </c>
      <c r="AP113" s="11">
        <v>17044835687</v>
      </c>
      <c r="AQ113" s="11">
        <v>64671358130</v>
      </c>
      <c r="AR113" s="11">
        <v>-47626522443</v>
      </c>
      <c r="AS113" s="12">
        <v>-73.64</v>
      </c>
      <c r="AT113" s="11">
        <v>553792723337</v>
      </c>
      <c r="AU113" s="11">
        <v>205797429773</v>
      </c>
      <c r="AV113" s="11">
        <v>768504717151</v>
      </c>
      <c r="AW113" s="11">
        <v>175563580529</v>
      </c>
      <c r="AX113" s="11">
        <v>468309550513</v>
      </c>
      <c r="AY113" s="11">
        <v>299721100000</v>
      </c>
      <c r="AZ113" s="11">
        <v>405002844264</v>
      </c>
      <c r="BA113" s="11">
        <v>1777393462352</v>
      </c>
      <c r="BB113" s="13">
        <v>88048</v>
      </c>
      <c r="BC113" s="11">
        <v>1008221249034</v>
      </c>
      <c r="BD113" s="11">
        <v>468309550513</v>
      </c>
      <c r="BE113" s="11">
        <v>300862662805</v>
      </c>
      <c r="BF113" s="11">
        <v>504954301056</v>
      </c>
      <c r="BG113" s="11">
        <v>147590046195</v>
      </c>
      <c r="BH113" s="11">
        <v>0</v>
      </c>
      <c r="BI113" s="11">
        <v>0</v>
      </c>
      <c r="BJ113" s="11">
        <v>0</v>
      </c>
      <c r="BK113" s="11">
        <v>9713850300</v>
      </c>
      <c r="BL113" s="11">
        <v>0</v>
      </c>
      <c r="BM113" s="11">
        <v>0</v>
      </c>
    </row>
    <row r="114" spans="1:65" x14ac:dyDescent="0.25">
      <c r="A114" s="32"/>
      <c r="B114" s="10">
        <v>1605</v>
      </c>
      <c r="C114" s="10" t="s">
        <v>169</v>
      </c>
      <c r="D114" s="11">
        <v>760978590447</v>
      </c>
      <c r="E114" s="11">
        <v>23021005576</v>
      </c>
      <c r="F114" s="11">
        <v>0</v>
      </c>
      <c r="G114" s="11">
        <v>0</v>
      </c>
      <c r="H114" s="11">
        <v>783999596023</v>
      </c>
      <c r="I114" s="11">
        <v>72445588899</v>
      </c>
      <c r="J114" s="11">
        <v>711554007124</v>
      </c>
      <c r="K114" s="11">
        <v>626621416719</v>
      </c>
      <c r="L114" s="11">
        <v>157378179304</v>
      </c>
      <c r="M114" s="12">
        <v>25.12</v>
      </c>
      <c r="N114" s="11">
        <v>1024815141810</v>
      </c>
      <c r="O114" s="12">
        <v>148.18</v>
      </c>
      <c r="P114" s="12">
        <v>144.02000000000001</v>
      </c>
      <c r="Q114" s="12">
        <v>1.45</v>
      </c>
      <c r="R114" s="11">
        <v>1144357056368</v>
      </c>
      <c r="S114" s="11">
        <v>17383587001</v>
      </c>
      <c r="T114" s="11">
        <v>15149767977</v>
      </c>
      <c r="U114" s="11">
        <v>2233819024</v>
      </c>
      <c r="V114" s="11">
        <v>0</v>
      </c>
      <c r="W114" s="11">
        <v>1161740643369</v>
      </c>
      <c r="X114" s="11">
        <v>36106888754</v>
      </c>
      <c r="Y114" s="11">
        <v>1000000000</v>
      </c>
      <c r="Z114" s="11">
        <v>1198847532123</v>
      </c>
      <c r="AA114" s="11">
        <v>817196434147</v>
      </c>
      <c r="AB114" s="12">
        <v>42.16</v>
      </c>
      <c r="AC114" s="11">
        <v>481808508000</v>
      </c>
      <c r="AD114" s="11">
        <v>481808508000</v>
      </c>
      <c r="AE114" s="11">
        <v>0</v>
      </c>
      <c r="AF114" s="11">
        <v>0</v>
      </c>
      <c r="AG114" s="11">
        <v>0</v>
      </c>
      <c r="AH114" s="11">
        <v>0</v>
      </c>
      <c r="AI114" s="11">
        <v>0</v>
      </c>
      <c r="AJ114" s="12">
        <v>0</v>
      </c>
      <c r="AK114" s="11">
        <v>0</v>
      </c>
      <c r="AL114" s="12">
        <v>46</v>
      </c>
      <c r="AM114" s="11">
        <v>519191564026</v>
      </c>
      <c r="AN114" s="12">
        <v>17</v>
      </c>
      <c r="AO114" s="11">
        <v>132353871058</v>
      </c>
      <c r="AP114" s="11">
        <v>17383587001</v>
      </c>
      <c r="AQ114" s="11">
        <v>11550648692</v>
      </c>
      <c r="AR114" s="11">
        <v>5832938309</v>
      </c>
      <c r="AS114" s="12">
        <v>50.5</v>
      </c>
      <c r="AT114" s="11">
        <v>265948522679</v>
      </c>
      <c r="AU114" s="11">
        <v>58206508595</v>
      </c>
      <c r="AV114" s="11">
        <v>57487238123</v>
      </c>
      <c r="AW114" s="11">
        <v>158877283799</v>
      </c>
      <c r="AX114" s="11">
        <v>195523568525</v>
      </c>
      <c r="AY114" s="11">
        <v>349090500000</v>
      </c>
      <c r="AZ114" s="11">
        <v>152049885004</v>
      </c>
      <c r="BA114" s="11">
        <v>783999596023</v>
      </c>
      <c r="BB114" s="13">
        <v>47576</v>
      </c>
      <c r="BC114" s="11">
        <v>239350224534</v>
      </c>
      <c r="BD114" s="11">
        <v>195523568525</v>
      </c>
      <c r="BE114" s="11">
        <v>349125802964</v>
      </c>
      <c r="BF114" s="11">
        <v>364258868000</v>
      </c>
      <c r="BG114" s="11">
        <v>117549640000</v>
      </c>
      <c r="BH114" s="11">
        <v>0</v>
      </c>
      <c r="BI114" s="11">
        <v>0</v>
      </c>
      <c r="BJ114" s="11">
        <v>0</v>
      </c>
      <c r="BK114" s="11">
        <v>0</v>
      </c>
      <c r="BL114" s="11">
        <v>0</v>
      </c>
      <c r="BM114" s="11">
        <v>0</v>
      </c>
    </row>
    <row r="115" spans="1:65" x14ac:dyDescent="0.25">
      <c r="A115" s="32"/>
      <c r="B115" s="10">
        <v>1606</v>
      </c>
      <c r="C115" s="10" t="s">
        <v>170</v>
      </c>
      <c r="D115" s="11">
        <v>2110489327574</v>
      </c>
      <c r="E115" s="11">
        <v>21690646339</v>
      </c>
      <c r="F115" s="11">
        <v>0</v>
      </c>
      <c r="G115" s="11">
        <v>0</v>
      </c>
      <c r="H115" s="11">
        <v>2132179973913</v>
      </c>
      <c r="I115" s="11">
        <v>152928107799</v>
      </c>
      <c r="J115" s="11">
        <v>1979251866114</v>
      </c>
      <c r="K115" s="11">
        <v>2176599810549</v>
      </c>
      <c r="L115" s="11">
        <v>-44419836636</v>
      </c>
      <c r="M115" s="12">
        <v>-2.04</v>
      </c>
      <c r="N115" s="11">
        <v>2491604546764</v>
      </c>
      <c r="O115" s="12">
        <v>127.2</v>
      </c>
      <c r="P115" s="12">
        <v>125.89</v>
      </c>
      <c r="Q115" s="12">
        <v>1.8</v>
      </c>
      <c r="R115" s="11">
        <v>2661079437370</v>
      </c>
      <c r="S115" s="11">
        <v>51059625752</v>
      </c>
      <c r="T115" s="11">
        <v>31604152485</v>
      </c>
      <c r="U115" s="11">
        <v>10954669558</v>
      </c>
      <c r="V115" s="11">
        <v>8500803709</v>
      </c>
      <c r="W115" s="11">
        <v>2712139063122</v>
      </c>
      <c r="X115" s="11">
        <v>237147005202</v>
      </c>
      <c r="Y115" s="11">
        <v>32446406040</v>
      </c>
      <c r="Z115" s="11">
        <v>2981732474364</v>
      </c>
      <c r="AA115" s="11">
        <v>1717184869551</v>
      </c>
      <c r="AB115" s="12">
        <v>57.94</v>
      </c>
      <c r="AC115" s="11">
        <v>1633241239858</v>
      </c>
      <c r="AD115" s="11">
        <v>1599420086422</v>
      </c>
      <c r="AE115" s="11">
        <v>0</v>
      </c>
      <c r="AF115" s="11">
        <v>0</v>
      </c>
      <c r="AG115" s="11">
        <v>18630000000</v>
      </c>
      <c r="AH115" s="11">
        <v>0</v>
      </c>
      <c r="AI115" s="11">
        <v>0</v>
      </c>
      <c r="AJ115" s="12">
        <v>0</v>
      </c>
      <c r="AK115" s="11">
        <v>0</v>
      </c>
      <c r="AL115" s="12">
        <v>53</v>
      </c>
      <c r="AM115" s="11">
        <v>228507350209</v>
      </c>
      <c r="AN115" s="12">
        <v>15</v>
      </c>
      <c r="AO115" s="11">
        <v>28131443854</v>
      </c>
      <c r="AP115" s="11">
        <v>51059625752</v>
      </c>
      <c r="AQ115" s="11">
        <v>18575697588</v>
      </c>
      <c r="AR115" s="11">
        <v>32483928164</v>
      </c>
      <c r="AS115" s="12">
        <v>174.87</v>
      </c>
      <c r="AT115" s="11">
        <v>777810446036</v>
      </c>
      <c r="AU115" s="11">
        <v>103712460965</v>
      </c>
      <c r="AV115" s="11">
        <v>453793864849</v>
      </c>
      <c r="AW115" s="11">
        <v>340736229107</v>
      </c>
      <c r="AX115" s="11">
        <v>749753133618</v>
      </c>
      <c r="AY115" s="11">
        <v>566206100000</v>
      </c>
      <c r="AZ115" s="11">
        <v>628582656770</v>
      </c>
      <c r="BA115" s="11">
        <v>2132179973913</v>
      </c>
      <c r="BB115" s="13">
        <v>40789</v>
      </c>
      <c r="BC115" s="11">
        <v>815944884276</v>
      </c>
      <c r="BD115" s="11">
        <v>749753133618</v>
      </c>
      <c r="BE115" s="11">
        <v>566481956019</v>
      </c>
      <c r="BF115" s="11">
        <v>1177472429404</v>
      </c>
      <c r="BG115" s="11">
        <v>455768810454</v>
      </c>
      <c r="BH115" s="11">
        <v>0</v>
      </c>
      <c r="BI115" s="11">
        <v>0</v>
      </c>
      <c r="BJ115" s="11">
        <v>0</v>
      </c>
      <c r="BK115" s="11">
        <v>0</v>
      </c>
      <c r="BL115" s="11">
        <v>986400000</v>
      </c>
      <c r="BM115" s="11">
        <v>0</v>
      </c>
    </row>
    <row r="116" spans="1:65" x14ac:dyDescent="0.25">
      <c r="A116" s="32"/>
      <c r="B116" s="10">
        <v>1607</v>
      </c>
      <c r="C116" s="10" t="s">
        <v>171</v>
      </c>
      <c r="D116" s="11">
        <v>541781012996</v>
      </c>
      <c r="E116" s="11">
        <v>4670443756</v>
      </c>
      <c r="F116" s="11">
        <v>0</v>
      </c>
      <c r="G116" s="11">
        <v>0</v>
      </c>
      <c r="H116" s="11">
        <v>546451456752</v>
      </c>
      <c r="I116" s="11">
        <v>68715534669</v>
      </c>
      <c r="J116" s="11">
        <v>477735922083</v>
      </c>
      <c r="K116" s="11">
        <v>601949972845</v>
      </c>
      <c r="L116" s="11">
        <v>-55498516093</v>
      </c>
      <c r="M116" s="12">
        <v>-9.2200000000000006</v>
      </c>
      <c r="N116" s="11">
        <v>336456529209</v>
      </c>
      <c r="O116" s="12">
        <v>67.47</v>
      </c>
      <c r="P116" s="12">
        <v>70.430000000000007</v>
      </c>
      <c r="Q116" s="12">
        <v>1.52</v>
      </c>
      <c r="R116" s="11">
        <v>362841409296</v>
      </c>
      <c r="S116" s="11">
        <v>5840484274</v>
      </c>
      <c r="T116" s="11">
        <v>5329036296</v>
      </c>
      <c r="U116" s="11">
        <v>256884145</v>
      </c>
      <c r="V116" s="11">
        <v>254563833</v>
      </c>
      <c r="W116" s="11">
        <v>368681893570</v>
      </c>
      <c r="X116" s="11">
        <v>16507929018</v>
      </c>
      <c r="Y116" s="11">
        <v>0</v>
      </c>
      <c r="Z116" s="11">
        <v>385189822588</v>
      </c>
      <c r="AA116" s="11">
        <v>332433351978</v>
      </c>
      <c r="AB116" s="12">
        <v>10.9</v>
      </c>
      <c r="AC116" s="11">
        <v>110650000000</v>
      </c>
      <c r="AD116" s="11">
        <v>110650000000</v>
      </c>
      <c r="AE116" s="11">
        <v>0</v>
      </c>
      <c r="AF116" s="11">
        <v>0</v>
      </c>
      <c r="AG116" s="11">
        <v>0</v>
      </c>
      <c r="AH116" s="11">
        <v>0</v>
      </c>
      <c r="AI116" s="11">
        <v>0</v>
      </c>
      <c r="AJ116" s="12">
        <v>0</v>
      </c>
      <c r="AK116" s="11">
        <v>0</v>
      </c>
      <c r="AL116" s="12">
        <v>17</v>
      </c>
      <c r="AM116" s="11">
        <v>71553338992</v>
      </c>
      <c r="AN116" s="12">
        <v>3</v>
      </c>
      <c r="AO116" s="11">
        <v>2240240000</v>
      </c>
      <c r="AP116" s="11">
        <v>5840484274</v>
      </c>
      <c r="AQ116" s="11">
        <v>3233668305</v>
      </c>
      <c r="AR116" s="11">
        <v>2606815969</v>
      </c>
      <c r="AS116" s="12">
        <v>80.61</v>
      </c>
      <c r="AT116" s="11">
        <v>107490543069</v>
      </c>
      <c r="AU116" s="11">
        <v>25052214681</v>
      </c>
      <c r="AV116" s="11">
        <v>41144165105</v>
      </c>
      <c r="AW116" s="11">
        <v>95245401769</v>
      </c>
      <c r="AX116" s="11">
        <v>238670446122</v>
      </c>
      <c r="AY116" s="11">
        <v>166721000000</v>
      </c>
      <c r="AZ116" s="11">
        <v>53441902486</v>
      </c>
      <c r="BA116" s="11">
        <v>546451456752</v>
      </c>
      <c r="BB116" s="13">
        <v>1800</v>
      </c>
      <c r="BC116" s="11">
        <v>138840918023</v>
      </c>
      <c r="BD116" s="11">
        <v>238670446122</v>
      </c>
      <c r="BE116" s="11">
        <v>168940092607</v>
      </c>
      <c r="BF116" s="11">
        <v>72360000000</v>
      </c>
      <c r="BG116" s="11">
        <v>38290000000</v>
      </c>
      <c r="BH116" s="11">
        <v>0</v>
      </c>
      <c r="BI116" s="11">
        <v>0</v>
      </c>
      <c r="BJ116" s="11">
        <v>0</v>
      </c>
      <c r="BK116" s="11">
        <v>0</v>
      </c>
      <c r="BL116" s="11">
        <v>0</v>
      </c>
      <c r="BM116" s="11">
        <v>0</v>
      </c>
    </row>
    <row r="117" spans="1:65" x14ac:dyDescent="0.25">
      <c r="A117" s="32"/>
      <c r="B117" s="10">
        <v>1608</v>
      </c>
      <c r="C117" s="10" t="s">
        <v>172</v>
      </c>
      <c r="D117" s="11">
        <v>1145514247454</v>
      </c>
      <c r="E117" s="11">
        <v>407918474763</v>
      </c>
      <c r="F117" s="11">
        <v>0</v>
      </c>
      <c r="G117" s="11">
        <v>0</v>
      </c>
      <c r="H117" s="11">
        <v>1553432722217</v>
      </c>
      <c r="I117" s="11">
        <v>129188100996</v>
      </c>
      <c r="J117" s="11">
        <v>1424244621221</v>
      </c>
      <c r="K117" s="11">
        <v>2452356936394</v>
      </c>
      <c r="L117" s="11">
        <v>-898924214177</v>
      </c>
      <c r="M117" s="12">
        <v>-36.659999999999997</v>
      </c>
      <c r="N117" s="11">
        <v>4847319442404</v>
      </c>
      <c r="O117" s="12">
        <v>377.03</v>
      </c>
      <c r="P117" s="12">
        <v>340.34</v>
      </c>
      <c r="Q117" s="12">
        <v>1.34</v>
      </c>
      <c r="R117" s="11">
        <v>5775532057631</v>
      </c>
      <c r="S117" s="11">
        <v>81309319573</v>
      </c>
      <c r="T117" s="11">
        <v>56254807086</v>
      </c>
      <c r="U117" s="11">
        <v>20568203097</v>
      </c>
      <c r="V117" s="11">
        <v>4486309390</v>
      </c>
      <c r="W117" s="11">
        <v>5856841377204</v>
      </c>
      <c r="X117" s="11">
        <v>290354986457</v>
      </c>
      <c r="Y117" s="11">
        <v>2500000000</v>
      </c>
      <c r="Z117" s="11">
        <v>6149696363661</v>
      </c>
      <c r="AA117" s="11">
        <v>3735770533955</v>
      </c>
      <c r="AB117" s="12">
        <v>56.78</v>
      </c>
      <c r="AC117" s="11">
        <v>2209945524405</v>
      </c>
      <c r="AD117" s="11">
        <v>2209945524405</v>
      </c>
      <c r="AE117" s="11">
        <v>0</v>
      </c>
      <c r="AF117" s="11">
        <v>0</v>
      </c>
      <c r="AG117" s="11">
        <v>0</v>
      </c>
      <c r="AH117" s="11">
        <v>0</v>
      </c>
      <c r="AI117" s="11">
        <v>0</v>
      </c>
      <c r="AJ117" s="12">
        <v>0</v>
      </c>
      <c r="AK117" s="11">
        <v>0</v>
      </c>
      <c r="AL117" s="12">
        <v>355</v>
      </c>
      <c r="AM117" s="11">
        <v>2616277813549</v>
      </c>
      <c r="AN117" s="12">
        <v>175</v>
      </c>
      <c r="AO117" s="11">
        <v>3460501771062</v>
      </c>
      <c r="AP117" s="11">
        <v>81309319573</v>
      </c>
      <c r="AQ117" s="11">
        <v>74218953328</v>
      </c>
      <c r="AR117" s="11">
        <v>7090366245</v>
      </c>
      <c r="AS117" s="12">
        <v>9.5500000000000007</v>
      </c>
      <c r="AT117" s="11">
        <v>1286503689388</v>
      </c>
      <c r="AU117" s="11">
        <v>395150020396</v>
      </c>
      <c r="AV117" s="11">
        <v>272889242362</v>
      </c>
      <c r="AW117" s="11">
        <v>228461245723</v>
      </c>
      <c r="AX117" s="11">
        <v>485294759369</v>
      </c>
      <c r="AY117" s="11">
        <v>158869000000</v>
      </c>
      <c r="AZ117" s="11">
        <v>379884009439</v>
      </c>
      <c r="BA117" s="11">
        <v>1553432722217</v>
      </c>
      <c r="BB117" s="13">
        <v>51458</v>
      </c>
      <c r="BC117" s="11">
        <v>873865101582</v>
      </c>
      <c r="BD117" s="11">
        <v>485294759369</v>
      </c>
      <c r="BE117" s="11">
        <v>194272861266</v>
      </c>
      <c r="BF117" s="11">
        <v>1816855697826</v>
      </c>
      <c r="BG117" s="11">
        <v>393089826579</v>
      </c>
      <c r="BH117" s="11">
        <v>0</v>
      </c>
      <c r="BI117" s="11">
        <v>0</v>
      </c>
      <c r="BJ117" s="11">
        <v>0</v>
      </c>
      <c r="BK117" s="11">
        <v>0</v>
      </c>
      <c r="BL117" s="11">
        <v>0</v>
      </c>
      <c r="BM117" s="11">
        <v>0</v>
      </c>
    </row>
    <row r="118" spans="1:65" x14ac:dyDescent="0.25">
      <c r="A118" s="32"/>
      <c r="B118" s="10">
        <v>1609</v>
      </c>
      <c r="C118" s="10" t="s">
        <v>173</v>
      </c>
      <c r="D118" s="11">
        <v>1704452267836</v>
      </c>
      <c r="E118" s="11">
        <v>154151257746</v>
      </c>
      <c r="F118" s="11">
        <v>0</v>
      </c>
      <c r="G118" s="11">
        <v>0</v>
      </c>
      <c r="H118" s="11">
        <v>1858603525582</v>
      </c>
      <c r="I118" s="11">
        <v>120388265296</v>
      </c>
      <c r="J118" s="11">
        <v>1738215260286</v>
      </c>
      <c r="K118" s="11">
        <v>1745823519105</v>
      </c>
      <c r="L118" s="11">
        <v>112780006477</v>
      </c>
      <c r="M118" s="12">
        <v>6.46</v>
      </c>
      <c r="N118" s="11">
        <v>1395899707542</v>
      </c>
      <c r="O118" s="12">
        <v>83.67</v>
      </c>
      <c r="P118" s="12">
        <v>80.31</v>
      </c>
      <c r="Q118" s="12">
        <v>2.86</v>
      </c>
      <c r="R118" s="11">
        <v>1515190135456</v>
      </c>
      <c r="S118" s="11">
        <v>39872311482</v>
      </c>
      <c r="T118" s="11">
        <v>17451933031</v>
      </c>
      <c r="U118" s="11">
        <v>6105177723</v>
      </c>
      <c r="V118" s="11">
        <v>16315200728</v>
      </c>
      <c r="W118" s="11">
        <v>1555062446938</v>
      </c>
      <c r="X118" s="11">
        <v>149031141862</v>
      </c>
      <c r="Y118" s="11">
        <v>35094153100</v>
      </c>
      <c r="Z118" s="11">
        <v>1739187741900</v>
      </c>
      <c r="AA118" s="11">
        <v>1162518569203</v>
      </c>
      <c r="AB118" s="12">
        <v>33.770000000000003</v>
      </c>
      <c r="AC118" s="11">
        <v>717368724629</v>
      </c>
      <c r="AD118" s="11">
        <v>717368724629</v>
      </c>
      <c r="AE118" s="11">
        <v>0</v>
      </c>
      <c r="AF118" s="11">
        <v>1401892561</v>
      </c>
      <c r="AG118" s="11">
        <v>0</v>
      </c>
      <c r="AH118" s="11">
        <v>0</v>
      </c>
      <c r="AI118" s="11">
        <v>0</v>
      </c>
      <c r="AJ118" s="12">
        <v>0</v>
      </c>
      <c r="AK118" s="11">
        <v>0</v>
      </c>
      <c r="AL118" s="12">
        <v>98</v>
      </c>
      <c r="AM118" s="11">
        <v>1906078041716</v>
      </c>
      <c r="AN118" s="12">
        <v>73</v>
      </c>
      <c r="AO118" s="11">
        <v>1393718292020</v>
      </c>
      <c r="AP118" s="11">
        <v>39872311482</v>
      </c>
      <c r="AQ118" s="11">
        <v>49114487481</v>
      </c>
      <c r="AR118" s="11">
        <v>-9242175999</v>
      </c>
      <c r="AS118" s="12">
        <v>-18.82</v>
      </c>
      <c r="AT118" s="11">
        <v>469186237086</v>
      </c>
      <c r="AU118" s="11">
        <v>115444979553</v>
      </c>
      <c r="AV118" s="11">
        <v>553626691659</v>
      </c>
      <c r="AW118" s="11">
        <v>322790633270</v>
      </c>
      <c r="AX118" s="11">
        <v>731816442907</v>
      </c>
      <c r="AY118" s="11">
        <v>96218500000</v>
      </c>
      <c r="AZ118" s="11">
        <v>564321750444</v>
      </c>
      <c r="BA118" s="11">
        <v>1858603525582</v>
      </c>
      <c r="BB118" s="13">
        <v>118797</v>
      </c>
      <c r="BC118" s="11">
        <v>1030568582675</v>
      </c>
      <c r="BD118" s="11">
        <v>731816442907</v>
      </c>
      <c r="BE118" s="11">
        <v>96218500000</v>
      </c>
      <c r="BF118" s="11">
        <v>623023927682</v>
      </c>
      <c r="BG118" s="11">
        <v>94344796947</v>
      </c>
      <c r="BH118" s="11">
        <v>0</v>
      </c>
      <c r="BI118" s="11">
        <v>0</v>
      </c>
      <c r="BJ118" s="11">
        <v>0</v>
      </c>
      <c r="BK118" s="11">
        <v>0</v>
      </c>
      <c r="BL118" s="11">
        <v>6097876827</v>
      </c>
      <c r="BM118" s="11">
        <v>10393800577</v>
      </c>
    </row>
    <row r="119" spans="1:65" x14ac:dyDescent="0.25">
      <c r="A119" s="32"/>
      <c r="B119" s="10">
        <v>1610</v>
      </c>
      <c r="C119" s="10" t="s">
        <v>174</v>
      </c>
      <c r="D119" s="11">
        <v>1932899080258</v>
      </c>
      <c r="E119" s="11">
        <v>277884340416</v>
      </c>
      <c r="F119" s="11">
        <v>0</v>
      </c>
      <c r="G119" s="11">
        <v>0</v>
      </c>
      <c r="H119" s="11">
        <v>2210783420674</v>
      </c>
      <c r="I119" s="11">
        <v>158396039695</v>
      </c>
      <c r="J119" s="11">
        <v>2052387380979</v>
      </c>
      <c r="K119" s="11">
        <v>1865484335437</v>
      </c>
      <c r="L119" s="11">
        <v>345299085237</v>
      </c>
      <c r="M119" s="12">
        <v>18.510000000000002</v>
      </c>
      <c r="N119" s="11">
        <v>2549010015076</v>
      </c>
      <c r="O119" s="12">
        <v>141.62</v>
      </c>
      <c r="P119" s="12">
        <v>124.2</v>
      </c>
      <c r="Q119" s="12">
        <v>0.66</v>
      </c>
      <c r="R119" s="11">
        <v>3108989047917</v>
      </c>
      <c r="S119" s="11">
        <v>21824673585</v>
      </c>
      <c r="T119" s="11">
        <v>17925609090</v>
      </c>
      <c r="U119" s="11">
        <v>2885807548</v>
      </c>
      <c r="V119" s="11">
        <v>1013256947</v>
      </c>
      <c r="W119" s="11">
        <v>3130813721502</v>
      </c>
      <c r="X119" s="11">
        <v>146356467560</v>
      </c>
      <c r="Y119" s="11">
        <v>35392662344</v>
      </c>
      <c r="Z119" s="11">
        <v>3312562851406</v>
      </c>
      <c r="AA119" s="11">
        <v>2324923621719</v>
      </c>
      <c r="AB119" s="12">
        <v>34.659999999999997</v>
      </c>
      <c r="AC119" s="11">
        <v>1626640340916</v>
      </c>
      <c r="AD119" s="11">
        <v>940206905175</v>
      </c>
      <c r="AE119" s="11">
        <v>0</v>
      </c>
      <c r="AF119" s="11">
        <v>1470744034</v>
      </c>
      <c r="AG119" s="11">
        <v>0</v>
      </c>
      <c r="AH119" s="11">
        <v>0</v>
      </c>
      <c r="AI119" s="11">
        <v>0</v>
      </c>
      <c r="AJ119" s="12">
        <v>0</v>
      </c>
      <c r="AK119" s="11">
        <v>0</v>
      </c>
      <c r="AL119" s="12">
        <v>258</v>
      </c>
      <c r="AM119" s="11">
        <v>3498079034290</v>
      </c>
      <c r="AN119" s="12">
        <v>135</v>
      </c>
      <c r="AO119" s="11">
        <v>1165393162258</v>
      </c>
      <c r="AP119" s="11">
        <v>21824673585</v>
      </c>
      <c r="AQ119" s="11">
        <v>31723775963</v>
      </c>
      <c r="AR119" s="11">
        <v>-9899102378</v>
      </c>
      <c r="AS119" s="12">
        <v>-31.2</v>
      </c>
      <c r="AT119" s="11">
        <v>743969216468</v>
      </c>
      <c r="AU119" s="11">
        <v>216616473418</v>
      </c>
      <c r="AV119" s="11">
        <v>459872918380</v>
      </c>
      <c r="AW119" s="11">
        <v>263794144005</v>
      </c>
      <c r="AX119" s="11">
        <v>765405517873</v>
      </c>
      <c r="AY119" s="11">
        <v>443826500000</v>
      </c>
      <c r="AZ119" s="11">
        <v>574626623806</v>
      </c>
      <c r="BA119" s="11">
        <v>2210783420674</v>
      </c>
      <c r="BB119" s="13">
        <v>279208</v>
      </c>
      <c r="BC119" s="11">
        <v>1001294024219</v>
      </c>
      <c r="BD119" s="11">
        <v>763695517873</v>
      </c>
      <c r="BE119" s="11">
        <v>445793878582</v>
      </c>
      <c r="BF119" s="11">
        <v>663715679681</v>
      </c>
      <c r="BG119" s="11">
        <v>962924661235</v>
      </c>
      <c r="BH119" s="11">
        <v>0</v>
      </c>
      <c r="BI119" s="11">
        <v>0</v>
      </c>
      <c r="BJ119" s="11">
        <v>0</v>
      </c>
      <c r="BK119" s="11">
        <v>855900000</v>
      </c>
      <c r="BL119" s="11">
        <v>0</v>
      </c>
      <c r="BM119" s="11">
        <v>615532905</v>
      </c>
    </row>
    <row r="120" spans="1:65" x14ac:dyDescent="0.25">
      <c r="A120" s="32"/>
      <c r="B120" s="10">
        <v>1611</v>
      </c>
      <c r="C120" s="10" t="s">
        <v>175</v>
      </c>
      <c r="D120" s="11">
        <v>247868518515</v>
      </c>
      <c r="E120" s="11">
        <v>480279912</v>
      </c>
      <c r="F120" s="11">
        <v>0</v>
      </c>
      <c r="G120" s="11">
        <v>0</v>
      </c>
      <c r="H120" s="11">
        <v>248348798427</v>
      </c>
      <c r="I120" s="11">
        <v>23242021410</v>
      </c>
      <c r="J120" s="11">
        <v>225106777017</v>
      </c>
      <c r="K120" s="11">
        <v>390402674457</v>
      </c>
      <c r="L120" s="11">
        <v>-142053876030</v>
      </c>
      <c r="M120" s="12">
        <v>-36.39</v>
      </c>
      <c r="N120" s="11">
        <v>437899190829</v>
      </c>
      <c r="O120" s="12">
        <v>202.63</v>
      </c>
      <c r="P120" s="12">
        <v>194.53</v>
      </c>
      <c r="Q120" s="12">
        <v>0.15</v>
      </c>
      <c r="R120" s="11">
        <v>502407115438</v>
      </c>
      <c r="S120" s="11">
        <v>811891824</v>
      </c>
      <c r="T120" s="11">
        <v>811891824</v>
      </c>
      <c r="U120" s="11">
        <v>0</v>
      </c>
      <c r="V120" s="11">
        <v>0</v>
      </c>
      <c r="W120" s="11">
        <v>503219007262</v>
      </c>
      <c r="X120" s="11">
        <v>31893261909</v>
      </c>
      <c r="Y120" s="11">
        <v>0</v>
      </c>
      <c r="Z120" s="11">
        <v>535112269171</v>
      </c>
      <c r="AA120" s="11">
        <v>105500196787</v>
      </c>
      <c r="AB120" s="12">
        <v>376.98</v>
      </c>
      <c r="AC120" s="11">
        <v>354668654498</v>
      </c>
      <c r="AD120" s="11">
        <v>354668654498</v>
      </c>
      <c r="AE120" s="11">
        <v>0</v>
      </c>
      <c r="AF120" s="11">
        <v>0</v>
      </c>
      <c r="AG120" s="11">
        <v>0</v>
      </c>
      <c r="AH120" s="11">
        <v>0</v>
      </c>
      <c r="AI120" s="11">
        <v>0</v>
      </c>
      <c r="AJ120" s="12">
        <v>0</v>
      </c>
      <c r="AK120" s="11">
        <v>0</v>
      </c>
      <c r="AL120" s="12">
        <v>0</v>
      </c>
      <c r="AM120" s="11">
        <v>0</v>
      </c>
      <c r="AN120" s="12">
        <v>0</v>
      </c>
      <c r="AO120" s="11">
        <v>0</v>
      </c>
      <c r="AP120" s="11">
        <v>811891824</v>
      </c>
      <c r="AQ120" s="11">
        <v>0</v>
      </c>
      <c r="AR120" s="11">
        <v>811891824</v>
      </c>
      <c r="AS120" s="12"/>
      <c r="AT120" s="11">
        <v>44657425511</v>
      </c>
      <c r="AU120" s="11">
        <v>5009284643</v>
      </c>
      <c r="AV120" s="11">
        <v>13293738780</v>
      </c>
      <c r="AW120" s="11">
        <v>31532520576</v>
      </c>
      <c r="AX120" s="11">
        <v>70115259159</v>
      </c>
      <c r="AY120" s="11">
        <v>132927000000</v>
      </c>
      <c r="AZ120" s="11">
        <v>68164821295</v>
      </c>
      <c r="BA120" s="11">
        <v>248348798427</v>
      </c>
      <c r="BB120" s="13">
        <v>2604</v>
      </c>
      <c r="BC120" s="11">
        <v>45306539268</v>
      </c>
      <c r="BD120" s="11">
        <v>70115259159</v>
      </c>
      <c r="BE120" s="11">
        <v>132927000000</v>
      </c>
      <c r="BF120" s="11">
        <v>335268654498</v>
      </c>
      <c r="BG120" s="11">
        <v>19400000000</v>
      </c>
      <c r="BH120" s="11">
        <v>0</v>
      </c>
      <c r="BI120" s="11">
        <v>0</v>
      </c>
      <c r="BJ120" s="11">
        <v>0</v>
      </c>
      <c r="BK120" s="11">
        <v>0</v>
      </c>
      <c r="BL120" s="11">
        <v>0</v>
      </c>
      <c r="BM120" s="11">
        <v>0</v>
      </c>
    </row>
    <row r="121" spans="1:65" x14ac:dyDescent="0.25">
      <c r="A121" s="32"/>
      <c r="B121" s="10">
        <v>1699</v>
      </c>
      <c r="C121" s="10" t="s">
        <v>176</v>
      </c>
      <c r="D121" s="11">
        <v>4</v>
      </c>
      <c r="E121" s="11">
        <v>1085871226</v>
      </c>
      <c r="F121" s="11">
        <v>0</v>
      </c>
      <c r="G121" s="11">
        <v>0</v>
      </c>
      <c r="H121" s="11">
        <v>1085871230</v>
      </c>
      <c r="I121" s="11">
        <v>66859682</v>
      </c>
      <c r="J121" s="11">
        <v>1019011548</v>
      </c>
      <c r="K121" s="11">
        <v>710150226</v>
      </c>
      <c r="L121" s="11">
        <v>375721004</v>
      </c>
      <c r="M121" s="12">
        <v>52.91</v>
      </c>
      <c r="N121" s="11">
        <v>0</v>
      </c>
      <c r="O121" s="12">
        <v>0</v>
      </c>
      <c r="P121" s="12">
        <v>0</v>
      </c>
      <c r="Q121" s="12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2"/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2">
        <v>0</v>
      </c>
      <c r="AK121" s="11">
        <v>0</v>
      </c>
      <c r="AL121" s="12">
        <v>0</v>
      </c>
      <c r="AM121" s="11">
        <v>0</v>
      </c>
      <c r="AN121" s="12">
        <v>0</v>
      </c>
      <c r="AO121" s="11">
        <v>0</v>
      </c>
      <c r="AP121" s="11">
        <v>0</v>
      </c>
      <c r="AQ121" s="11">
        <v>0</v>
      </c>
      <c r="AR121" s="11">
        <v>0</v>
      </c>
      <c r="AS121" s="12"/>
      <c r="AT121" s="11">
        <v>0</v>
      </c>
      <c r="AU121" s="11">
        <v>0</v>
      </c>
      <c r="AV121" s="11">
        <v>0</v>
      </c>
      <c r="AW121" s="11">
        <v>4</v>
      </c>
      <c r="AX121" s="11">
        <v>0</v>
      </c>
      <c r="AY121" s="11">
        <v>0</v>
      </c>
      <c r="AZ121" s="11">
        <v>0</v>
      </c>
      <c r="BA121" s="11">
        <v>1085871230</v>
      </c>
      <c r="BB121" s="12">
        <v>0</v>
      </c>
      <c r="BC121" s="11">
        <v>1085871230</v>
      </c>
      <c r="BD121" s="11">
        <v>0</v>
      </c>
      <c r="BE121" s="11">
        <v>0</v>
      </c>
      <c r="BF121" s="11">
        <v>0</v>
      </c>
      <c r="BG121" s="11">
        <v>0</v>
      </c>
      <c r="BH121" s="11">
        <v>0</v>
      </c>
      <c r="BI121" s="11">
        <v>0</v>
      </c>
      <c r="BJ121" s="11">
        <v>0</v>
      </c>
      <c r="BK121" s="11">
        <v>0</v>
      </c>
      <c r="BL121" s="11">
        <v>0</v>
      </c>
      <c r="BM121" s="11">
        <v>0</v>
      </c>
    </row>
    <row r="122" spans="1:65" x14ac:dyDescent="0.25">
      <c r="A122" s="14" t="s">
        <v>596</v>
      </c>
      <c r="B122" s="15"/>
      <c r="C122" s="15"/>
      <c r="D122" s="16">
        <v>16154096610300</v>
      </c>
      <c r="E122" s="16">
        <v>1616900014275</v>
      </c>
      <c r="F122" s="16">
        <v>40012000000</v>
      </c>
      <c r="G122" s="16">
        <v>4017604486431</v>
      </c>
      <c r="H122" s="16">
        <v>21828613111006</v>
      </c>
      <c r="I122" s="16">
        <v>1688823455016</v>
      </c>
      <c r="J122" s="16">
        <v>20139789655990</v>
      </c>
      <c r="K122" s="16">
        <v>17841114159687</v>
      </c>
      <c r="L122" s="16">
        <v>3987498951319</v>
      </c>
      <c r="M122" s="17">
        <v>22.35</v>
      </c>
      <c r="N122" s="16">
        <v>22155195832982</v>
      </c>
      <c r="O122" s="17">
        <v>124.1</v>
      </c>
      <c r="P122" s="17">
        <v>110.01</v>
      </c>
      <c r="Q122" s="17">
        <v>1.74</v>
      </c>
      <c r="R122" s="16">
        <v>26662480868750</v>
      </c>
      <c r="S122" s="16">
        <v>425943216774</v>
      </c>
      <c r="T122" s="16">
        <v>243915940585</v>
      </c>
      <c r="U122" s="16">
        <v>81394154589</v>
      </c>
      <c r="V122" s="16">
        <v>100633121600</v>
      </c>
      <c r="W122" s="16">
        <v>27088424085524</v>
      </c>
      <c r="X122" s="16">
        <v>1446077515287</v>
      </c>
      <c r="Y122" s="16">
        <v>123579212320</v>
      </c>
      <c r="Z122" s="16">
        <v>28658080813131</v>
      </c>
      <c r="AA122" s="16">
        <v>18630627865347</v>
      </c>
      <c r="AB122" s="17">
        <v>45.4</v>
      </c>
      <c r="AC122" s="16">
        <v>12275682630433</v>
      </c>
      <c r="AD122" s="16">
        <v>10506748175929</v>
      </c>
      <c r="AE122" s="16">
        <v>0</v>
      </c>
      <c r="AF122" s="16">
        <v>12586486895</v>
      </c>
      <c r="AG122" s="16">
        <v>31573691260</v>
      </c>
      <c r="AH122" s="16">
        <v>0</v>
      </c>
      <c r="AI122" s="16">
        <v>0</v>
      </c>
      <c r="AJ122" s="17">
        <v>0</v>
      </c>
      <c r="AK122" s="16">
        <v>0</v>
      </c>
      <c r="AL122" s="18">
        <v>1082</v>
      </c>
      <c r="AM122" s="16">
        <v>10426286321368</v>
      </c>
      <c r="AN122" s="18">
        <f>SUM(AN109:AN121)</f>
        <v>549</v>
      </c>
      <c r="AO122" s="16">
        <f>SUM(AO109:AO121)</f>
        <v>6512148690715</v>
      </c>
      <c r="AP122" s="16">
        <v>425943216774</v>
      </c>
      <c r="AQ122" s="16">
        <v>417742150815</v>
      </c>
      <c r="AR122" s="16">
        <v>8201065959</v>
      </c>
      <c r="AS122" s="17">
        <v>1.96</v>
      </c>
      <c r="AT122" s="16">
        <v>6139332490905</v>
      </c>
      <c r="AU122" s="16">
        <v>1503565597488</v>
      </c>
      <c r="AV122" s="16">
        <v>3513099880293</v>
      </c>
      <c r="AW122" s="16">
        <v>2314786478533</v>
      </c>
      <c r="AX122" s="16">
        <v>6229661051474</v>
      </c>
      <c r="AY122" s="16">
        <v>4096549200000</v>
      </c>
      <c r="AZ122" s="16">
        <v>4988455654937</v>
      </c>
      <c r="BA122" s="16">
        <v>21828613111006</v>
      </c>
      <c r="BB122" s="18">
        <v>761503</v>
      </c>
      <c r="BC122" s="16">
        <v>11386571988913</v>
      </c>
      <c r="BD122" s="16">
        <v>6267963051474</v>
      </c>
      <c r="BE122" s="16">
        <v>4174078070619</v>
      </c>
      <c r="BF122" s="16">
        <v>8233911960883</v>
      </c>
      <c r="BG122" s="16">
        <v>4041770669550</v>
      </c>
      <c r="BH122" s="16">
        <v>0</v>
      </c>
      <c r="BI122" s="16">
        <v>0</v>
      </c>
      <c r="BJ122" s="16">
        <v>0</v>
      </c>
      <c r="BK122" s="16">
        <v>10569750300</v>
      </c>
      <c r="BL122" s="16">
        <v>14448676827</v>
      </c>
      <c r="BM122" s="16">
        <v>11009333482</v>
      </c>
    </row>
    <row r="123" spans="1:65" x14ac:dyDescent="0.25">
      <c r="A123" s="32" t="s">
        <v>177</v>
      </c>
      <c r="B123" s="10">
        <v>1700</v>
      </c>
      <c r="C123" s="10" t="s">
        <v>178</v>
      </c>
      <c r="D123" s="11">
        <v>17683599750908</v>
      </c>
      <c r="E123" s="11">
        <v>924089290885</v>
      </c>
      <c r="F123" s="11">
        <v>0</v>
      </c>
      <c r="G123" s="11">
        <v>269710813737</v>
      </c>
      <c r="H123" s="11">
        <v>18877399855530</v>
      </c>
      <c r="I123" s="11">
        <v>1477916449197</v>
      </c>
      <c r="J123" s="11">
        <v>17399483406333</v>
      </c>
      <c r="K123" s="11">
        <v>15765752954888</v>
      </c>
      <c r="L123" s="11">
        <v>3111646900642</v>
      </c>
      <c r="M123" s="12">
        <v>19.739999999999998</v>
      </c>
      <c r="N123" s="11">
        <v>33440031265410</v>
      </c>
      <c r="O123" s="12">
        <v>209.76</v>
      </c>
      <c r="P123" s="12">
        <v>192.19</v>
      </c>
      <c r="Q123" s="12">
        <v>2.92</v>
      </c>
      <c r="R123" s="11">
        <v>38780690263530</v>
      </c>
      <c r="S123" s="11">
        <v>817415383053</v>
      </c>
      <c r="T123" s="11">
        <v>54831913112</v>
      </c>
      <c r="U123" s="11">
        <v>5022671956</v>
      </c>
      <c r="V123" s="11">
        <v>757560797985</v>
      </c>
      <c r="W123" s="11">
        <v>39598105646583</v>
      </c>
      <c r="X123" s="11">
        <v>5934271403996</v>
      </c>
      <c r="Y123" s="11">
        <v>17055317745</v>
      </c>
      <c r="Z123" s="11">
        <v>45549432368324</v>
      </c>
      <c r="AA123" s="11">
        <v>34025395664641</v>
      </c>
      <c r="AB123" s="12">
        <v>16.38</v>
      </c>
      <c r="AC123" s="11">
        <v>12052463576040</v>
      </c>
      <c r="AD123" s="11">
        <v>12052463576040</v>
      </c>
      <c r="AE123" s="11">
        <v>2967689266224</v>
      </c>
      <c r="AF123" s="11">
        <v>64701532726</v>
      </c>
      <c r="AG123" s="11">
        <v>0</v>
      </c>
      <c r="AH123" s="11">
        <v>0</v>
      </c>
      <c r="AI123" s="11">
        <v>5000000000000</v>
      </c>
      <c r="AJ123" s="12">
        <v>38</v>
      </c>
      <c r="AK123" s="11">
        <v>4679032616529</v>
      </c>
      <c r="AL123" s="12">
        <v>274</v>
      </c>
      <c r="AM123" s="11">
        <v>4404552391505</v>
      </c>
      <c r="AN123" s="12">
        <v>120</v>
      </c>
      <c r="AO123" s="11">
        <v>1223604090613</v>
      </c>
      <c r="AP123" s="11">
        <v>817415383053</v>
      </c>
      <c r="AQ123" s="11">
        <v>349479184199</v>
      </c>
      <c r="AR123" s="11">
        <v>467936198854</v>
      </c>
      <c r="AS123" s="12">
        <v>133.9</v>
      </c>
      <c r="AT123" s="11">
        <v>8163925595484</v>
      </c>
      <c r="AU123" s="11">
        <v>1124089245828</v>
      </c>
      <c r="AV123" s="11">
        <v>1345275164316</v>
      </c>
      <c r="AW123" s="11">
        <v>2528383593448</v>
      </c>
      <c r="AX123" s="11">
        <v>5054380993144</v>
      </c>
      <c r="AY123" s="11">
        <v>8755560000000</v>
      </c>
      <c r="AZ123" s="11">
        <v>676724399087</v>
      </c>
      <c r="BA123" s="11">
        <v>18877399855530</v>
      </c>
      <c r="BB123" s="13">
        <v>173943</v>
      </c>
      <c r="BC123" s="11">
        <v>5067458862386</v>
      </c>
      <c r="BD123" s="11">
        <v>5054380993144</v>
      </c>
      <c r="BE123" s="11">
        <v>8755560000000</v>
      </c>
      <c r="BF123" s="11">
        <v>7142185909013</v>
      </c>
      <c r="BG123" s="11">
        <v>4910277667027</v>
      </c>
      <c r="BH123" s="11">
        <v>217300095693</v>
      </c>
      <c r="BI123" s="11">
        <v>671772940847</v>
      </c>
      <c r="BJ123" s="11">
        <v>2544073985632</v>
      </c>
      <c r="BK123" s="11">
        <v>19305039798</v>
      </c>
      <c r="BL123" s="11">
        <v>17068163998</v>
      </c>
      <c r="BM123" s="11">
        <v>55512456571</v>
      </c>
    </row>
    <row r="124" spans="1:65" x14ac:dyDescent="0.25">
      <c r="A124" s="32"/>
      <c r="B124" s="10">
        <v>1701</v>
      </c>
      <c r="C124" s="10" t="s">
        <v>179</v>
      </c>
      <c r="D124" s="11">
        <v>11797117607124</v>
      </c>
      <c r="E124" s="11">
        <v>173564789865</v>
      </c>
      <c r="F124" s="11">
        <v>0</v>
      </c>
      <c r="G124" s="11">
        <v>21192446519</v>
      </c>
      <c r="H124" s="11">
        <v>11991874843508</v>
      </c>
      <c r="I124" s="11">
        <v>855158007070</v>
      </c>
      <c r="J124" s="11">
        <v>11136716836438</v>
      </c>
      <c r="K124" s="11">
        <v>4181599011375</v>
      </c>
      <c r="L124" s="11">
        <v>7810275832133</v>
      </c>
      <c r="M124" s="12">
        <v>186.78</v>
      </c>
      <c r="N124" s="11">
        <v>4063518008356</v>
      </c>
      <c r="O124" s="12">
        <v>33.049999999999997</v>
      </c>
      <c r="P124" s="12">
        <v>36.49</v>
      </c>
      <c r="Q124" s="12">
        <v>47.07</v>
      </c>
      <c r="R124" s="11">
        <v>2030937457218</v>
      </c>
      <c r="S124" s="11">
        <v>1932787292669</v>
      </c>
      <c r="T124" s="11">
        <v>715716703472</v>
      </c>
      <c r="U124" s="11">
        <v>0</v>
      </c>
      <c r="V124" s="11">
        <v>1217070589197</v>
      </c>
      <c r="W124" s="11">
        <v>3963724749887</v>
      </c>
      <c r="X124" s="11">
        <v>412348783967</v>
      </c>
      <c r="Y124" s="11">
        <v>11581550000</v>
      </c>
      <c r="Z124" s="11">
        <v>4387655083854</v>
      </c>
      <c r="AA124" s="11">
        <v>2079143317307</v>
      </c>
      <c r="AB124" s="12">
        <v>90.64</v>
      </c>
      <c r="AC124" s="11">
        <v>4393398470259</v>
      </c>
      <c r="AD124" s="11">
        <v>4393398470259</v>
      </c>
      <c r="AE124" s="11">
        <v>3267248972930</v>
      </c>
      <c r="AF124" s="11">
        <v>1370200000</v>
      </c>
      <c r="AG124" s="11">
        <v>0</v>
      </c>
      <c r="AH124" s="11">
        <v>0</v>
      </c>
      <c r="AI124" s="11">
        <v>0</v>
      </c>
      <c r="AJ124" s="12">
        <v>10</v>
      </c>
      <c r="AK124" s="11">
        <v>862308413628</v>
      </c>
      <c r="AL124" s="12">
        <v>11</v>
      </c>
      <c r="AM124" s="11">
        <v>57641000000</v>
      </c>
      <c r="AN124" s="12">
        <v>20</v>
      </c>
      <c r="AO124" s="11">
        <v>296423779417</v>
      </c>
      <c r="AP124" s="11">
        <v>1932787292669</v>
      </c>
      <c r="AQ124" s="11">
        <v>37092702549</v>
      </c>
      <c r="AR124" s="11">
        <v>1895694590120</v>
      </c>
      <c r="AS124" s="19">
        <v>5110.6899999999996</v>
      </c>
      <c r="AT124" s="11">
        <v>2273205782615</v>
      </c>
      <c r="AU124" s="11">
        <v>170616186910</v>
      </c>
      <c r="AV124" s="11">
        <v>798231908586</v>
      </c>
      <c r="AW124" s="11">
        <v>755683003234</v>
      </c>
      <c r="AX124" s="11">
        <v>1851350695304</v>
      </c>
      <c r="AY124" s="11">
        <v>8391852000000</v>
      </c>
      <c r="AZ124" s="11">
        <v>108433610074</v>
      </c>
      <c r="BA124" s="11">
        <v>11991874843508</v>
      </c>
      <c r="BB124" s="13">
        <v>138271</v>
      </c>
      <c r="BC124" s="11">
        <v>1748672148204</v>
      </c>
      <c r="BD124" s="11">
        <v>1851350695304</v>
      </c>
      <c r="BE124" s="11">
        <v>8391852000000</v>
      </c>
      <c r="BF124" s="11">
        <v>3866177537504</v>
      </c>
      <c r="BG124" s="11">
        <v>527220932755</v>
      </c>
      <c r="BH124" s="11">
        <v>363391848447</v>
      </c>
      <c r="BI124" s="11">
        <v>1181246649645</v>
      </c>
      <c r="BJ124" s="11">
        <v>1299021536302</v>
      </c>
      <c r="BK124" s="11">
        <v>1370200000</v>
      </c>
      <c r="BL124" s="11">
        <v>0</v>
      </c>
      <c r="BM124" s="11">
        <v>0</v>
      </c>
    </row>
    <row r="125" spans="1:65" x14ac:dyDescent="0.25">
      <c r="A125" s="32"/>
      <c r="B125" s="10">
        <v>1703</v>
      </c>
      <c r="C125" s="10" t="s">
        <v>180</v>
      </c>
      <c r="D125" s="11">
        <v>1432262124880</v>
      </c>
      <c r="E125" s="11">
        <v>7456953844</v>
      </c>
      <c r="F125" s="11">
        <v>0</v>
      </c>
      <c r="G125" s="11">
        <v>0</v>
      </c>
      <c r="H125" s="11">
        <v>1439719078724</v>
      </c>
      <c r="I125" s="11">
        <v>119770328307</v>
      </c>
      <c r="J125" s="11">
        <v>1319948750417</v>
      </c>
      <c r="K125" s="11">
        <v>1171465108799</v>
      </c>
      <c r="L125" s="11">
        <v>268253969925</v>
      </c>
      <c r="M125" s="12">
        <v>22.9</v>
      </c>
      <c r="N125" s="11">
        <v>1670708679357</v>
      </c>
      <c r="O125" s="12">
        <v>128</v>
      </c>
      <c r="P125" s="12">
        <v>126.57</v>
      </c>
      <c r="Q125" s="12">
        <v>6.08</v>
      </c>
      <c r="R125" s="11">
        <v>1724148148752</v>
      </c>
      <c r="S125" s="11">
        <v>118644733873</v>
      </c>
      <c r="T125" s="11">
        <v>64753472827</v>
      </c>
      <c r="U125" s="11">
        <v>2523695886</v>
      </c>
      <c r="V125" s="11">
        <v>51367565160</v>
      </c>
      <c r="W125" s="11">
        <v>1842792882625</v>
      </c>
      <c r="X125" s="11">
        <v>143876645144</v>
      </c>
      <c r="Y125" s="11">
        <v>22018656820</v>
      </c>
      <c r="Z125" s="11">
        <v>2008688184589</v>
      </c>
      <c r="AA125" s="11">
        <v>1674510462435</v>
      </c>
      <c r="AB125" s="12">
        <v>10.050000000000001</v>
      </c>
      <c r="AC125" s="11">
        <v>492879685580</v>
      </c>
      <c r="AD125" s="11">
        <v>492879685580</v>
      </c>
      <c r="AE125" s="11">
        <v>0</v>
      </c>
      <c r="AF125" s="11">
        <v>0</v>
      </c>
      <c r="AG125" s="11">
        <v>0</v>
      </c>
      <c r="AH125" s="11">
        <v>0</v>
      </c>
      <c r="AI125" s="11">
        <v>0</v>
      </c>
      <c r="AJ125" s="12">
        <v>0</v>
      </c>
      <c r="AK125" s="11">
        <v>0</v>
      </c>
      <c r="AL125" s="12">
        <v>6</v>
      </c>
      <c r="AM125" s="11">
        <v>9680500000</v>
      </c>
      <c r="AN125" s="12">
        <v>10</v>
      </c>
      <c r="AO125" s="11">
        <v>2664599998</v>
      </c>
      <c r="AP125" s="11">
        <v>118644733873</v>
      </c>
      <c r="AQ125" s="11">
        <v>32702719898</v>
      </c>
      <c r="AR125" s="11">
        <v>85942013975</v>
      </c>
      <c r="AS125" s="12">
        <v>262.8</v>
      </c>
      <c r="AT125" s="11">
        <v>412985184046</v>
      </c>
      <c r="AU125" s="11">
        <v>82250861381</v>
      </c>
      <c r="AV125" s="11">
        <v>742099402985</v>
      </c>
      <c r="AW125" s="11">
        <v>243165068623</v>
      </c>
      <c r="AX125" s="11">
        <v>275761653272</v>
      </c>
      <c r="AY125" s="11">
        <v>171236000000</v>
      </c>
      <c r="AZ125" s="11">
        <v>156112740516</v>
      </c>
      <c r="BA125" s="11">
        <v>1439719078724</v>
      </c>
      <c r="BB125" s="13">
        <v>30489</v>
      </c>
      <c r="BC125" s="11">
        <v>992711882632</v>
      </c>
      <c r="BD125" s="11">
        <v>275261653272</v>
      </c>
      <c r="BE125" s="11">
        <v>171745542820</v>
      </c>
      <c r="BF125" s="11">
        <v>326627560499</v>
      </c>
      <c r="BG125" s="11">
        <v>166252125081</v>
      </c>
      <c r="BH125" s="11">
        <v>0</v>
      </c>
      <c r="BI125" s="11">
        <v>0</v>
      </c>
      <c r="BJ125" s="11">
        <v>0</v>
      </c>
      <c r="BK125" s="11">
        <v>0</v>
      </c>
      <c r="BL125" s="11">
        <v>0</v>
      </c>
      <c r="BM125" s="11">
        <v>0</v>
      </c>
    </row>
    <row r="126" spans="1:65" x14ac:dyDescent="0.25">
      <c r="A126" s="32"/>
      <c r="B126" s="10">
        <v>1704</v>
      </c>
      <c r="C126" s="10" t="s">
        <v>181</v>
      </c>
      <c r="D126" s="11">
        <v>1728818224109</v>
      </c>
      <c r="E126" s="11">
        <v>20268926913</v>
      </c>
      <c r="F126" s="11">
        <v>0</v>
      </c>
      <c r="G126" s="11">
        <v>0</v>
      </c>
      <c r="H126" s="11">
        <v>1749087151022</v>
      </c>
      <c r="I126" s="11">
        <v>144081950667</v>
      </c>
      <c r="J126" s="11">
        <v>1605005200355</v>
      </c>
      <c r="K126" s="11">
        <v>1852540147637</v>
      </c>
      <c r="L126" s="11">
        <v>-103452996615</v>
      </c>
      <c r="M126" s="12">
        <v>-5.58</v>
      </c>
      <c r="N126" s="11">
        <v>1700610019146</v>
      </c>
      <c r="O126" s="12">
        <v>97.28</v>
      </c>
      <c r="P126" s="12">
        <v>105.96</v>
      </c>
      <c r="Q126" s="12">
        <v>2.56</v>
      </c>
      <c r="R126" s="11">
        <v>1659942397564</v>
      </c>
      <c r="S126" s="11">
        <v>41648784852</v>
      </c>
      <c r="T126" s="11">
        <v>18125707339</v>
      </c>
      <c r="U126" s="11">
        <v>16133245409</v>
      </c>
      <c r="V126" s="11">
        <v>7389832104</v>
      </c>
      <c r="W126" s="11">
        <v>1701591182416</v>
      </c>
      <c r="X126" s="11">
        <v>179544034925</v>
      </c>
      <c r="Y126" s="11">
        <v>23956920000</v>
      </c>
      <c r="Z126" s="11">
        <v>1905092137341</v>
      </c>
      <c r="AA126" s="11">
        <v>1502631015404</v>
      </c>
      <c r="AB126" s="12">
        <v>13.24</v>
      </c>
      <c r="AC126" s="11">
        <v>579359612205</v>
      </c>
      <c r="AD126" s="11">
        <v>579359612205</v>
      </c>
      <c r="AE126" s="11">
        <v>0</v>
      </c>
      <c r="AF126" s="11">
        <v>0</v>
      </c>
      <c r="AG126" s="11">
        <v>0</v>
      </c>
      <c r="AH126" s="11">
        <v>0</v>
      </c>
      <c r="AI126" s="11">
        <v>0</v>
      </c>
      <c r="AJ126" s="12">
        <v>0</v>
      </c>
      <c r="AK126" s="11">
        <v>0</v>
      </c>
      <c r="AL126" s="12">
        <v>118</v>
      </c>
      <c r="AM126" s="11">
        <v>321648324661</v>
      </c>
      <c r="AN126" s="12">
        <v>11</v>
      </c>
      <c r="AO126" s="11">
        <v>16850354972</v>
      </c>
      <c r="AP126" s="11">
        <v>41648784852</v>
      </c>
      <c r="AQ126" s="11">
        <v>24297805992</v>
      </c>
      <c r="AR126" s="11">
        <v>17350978860</v>
      </c>
      <c r="AS126" s="12">
        <v>71.41</v>
      </c>
      <c r="AT126" s="11">
        <v>477513110437</v>
      </c>
      <c r="AU126" s="11">
        <v>65787038944</v>
      </c>
      <c r="AV126" s="11">
        <v>553010024972</v>
      </c>
      <c r="AW126" s="11">
        <v>493749664381</v>
      </c>
      <c r="AX126" s="11">
        <v>406171534756</v>
      </c>
      <c r="AY126" s="11">
        <v>275887000000</v>
      </c>
      <c r="AZ126" s="11">
        <v>172965388571</v>
      </c>
      <c r="BA126" s="11">
        <v>1749087151022</v>
      </c>
      <c r="BB126" s="13">
        <v>188063</v>
      </c>
      <c r="BC126" s="11">
        <v>1067028616266</v>
      </c>
      <c r="BD126" s="11">
        <v>406171534756</v>
      </c>
      <c r="BE126" s="11">
        <v>275887000000</v>
      </c>
      <c r="BF126" s="11">
        <v>309116617688</v>
      </c>
      <c r="BG126" s="11">
        <v>270242994517</v>
      </c>
      <c r="BH126" s="11">
        <v>0</v>
      </c>
      <c r="BI126" s="11">
        <v>0</v>
      </c>
      <c r="BJ126" s="11">
        <v>0</v>
      </c>
      <c r="BK126" s="11">
        <v>0</v>
      </c>
      <c r="BL126" s="11">
        <v>0</v>
      </c>
      <c r="BM126" s="11">
        <v>0</v>
      </c>
    </row>
    <row r="127" spans="1:65" x14ac:dyDescent="0.25">
      <c r="A127" s="32"/>
      <c r="B127" s="10">
        <v>1705</v>
      </c>
      <c r="C127" s="10" t="s">
        <v>182</v>
      </c>
      <c r="D127" s="11">
        <v>5252421667702</v>
      </c>
      <c r="E127" s="11">
        <v>23680254100</v>
      </c>
      <c r="F127" s="11">
        <v>0</v>
      </c>
      <c r="G127" s="11">
        <v>0</v>
      </c>
      <c r="H127" s="11">
        <v>5276101921802</v>
      </c>
      <c r="I127" s="11">
        <v>392528470451</v>
      </c>
      <c r="J127" s="11">
        <v>4883573451351</v>
      </c>
      <c r="K127" s="11">
        <v>3468382893075</v>
      </c>
      <c r="L127" s="11">
        <v>1807719028727</v>
      </c>
      <c r="M127" s="12">
        <v>52.12</v>
      </c>
      <c r="N127" s="11">
        <v>2765805271191</v>
      </c>
      <c r="O127" s="12">
        <v>62.76</v>
      </c>
      <c r="P127" s="12">
        <v>56.63</v>
      </c>
      <c r="Q127" s="12">
        <v>3.78</v>
      </c>
      <c r="R127" s="11">
        <v>3196763907291</v>
      </c>
      <c r="S127" s="11">
        <v>114359543678</v>
      </c>
      <c r="T127" s="11">
        <v>58046327069</v>
      </c>
      <c r="U127" s="11">
        <v>44921676298</v>
      </c>
      <c r="V127" s="11">
        <v>11391540311</v>
      </c>
      <c r="W127" s="11">
        <v>3311123450969</v>
      </c>
      <c r="X127" s="11">
        <v>170927970933</v>
      </c>
      <c r="Y127" s="11">
        <v>28649880000</v>
      </c>
      <c r="Z127" s="11">
        <v>3510701301902</v>
      </c>
      <c r="AA127" s="11">
        <v>1968398746909</v>
      </c>
      <c r="AB127" s="12">
        <v>68.209999999999994</v>
      </c>
      <c r="AC127" s="11">
        <v>1995297091610</v>
      </c>
      <c r="AD127" s="11">
        <v>1143695960111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2">
        <v>0</v>
      </c>
      <c r="AK127" s="11">
        <v>0</v>
      </c>
      <c r="AL127" s="12">
        <v>64</v>
      </c>
      <c r="AM127" s="11">
        <v>340592044823</v>
      </c>
      <c r="AN127" s="12">
        <v>24</v>
      </c>
      <c r="AO127" s="11">
        <v>92800475171</v>
      </c>
      <c r="AP127" s="11">
        <v>114359543678</v>
      </c>
      <c r="AQ127" s="11">
        <v>44623270894</v>
      </c>
      <c r="AR127" s="11">
        <v>69736272784</v>
      </c>
      <c r="AS127" s="12">
        <v>156.28</v>
      </c>
      <c r="AT127" s="11">
        <v>553570940831</v>
      </c>
      <c r="AU127" s="11">
        <v>129606038787</v>
      </c>
      <c r="AV127" s="11">
        <v>4168204868201</v>
      </c>
      <c r="AW127" s="11">
        <v>135408052489</v>
      </c>
      <c r="AX127" s="11">
        <v>433522747012</v>
      </c>
      <c r="AY127" s="11">
        <v>515286000000</v>
      </c>
      <c r="AZ127" s="11">
        <v>211852120852</v>
      </c>
      <c r="BA127" s="11">
        <v>5276101921802</v>
      </c>
      <c r="BB127" s="13">
        <v>66072</v>
      </c>
      <c r="BC127" s="11">
        <v>4327293174790</v>
      </c>
      <c r="BD127" s="11">
        <v>433022747012</v>
      </c>
      <c r="BE127" s="11">
        <v>515786000000</v>
      </c>
      <c r="BF127" s="11">
        <v>1229315630403</v>
      </c>
      <c r="BG127" s="11">
        <v>765981461207</v>
      </c>
      <c r="BH127" s="11">
        <v>0</v>
      </c>
      <c r="BI127" s="11">
        <v>0</v>
      </c>
      <c r="BJ127" s="11">
        <v>0</v>
      </c>
      <c r="BK127" s="11">
        <v>0</v>
      </c>
      <c r="BL127" s="11">
        <v>737768537</v>
      </c>
      <c r="BM127" s="11">
        <v>0</v>
      </c>
    </row>
    <row r="128" spans="1:65" x14ac:dyDescent="0.25">
      <c r="A128" s="32"/>
      <c r="B128" s="10">
        <v>1706</v>
      </c>
      <c r="C128" s="10" t="s">
        <v>183</v>
      </c>
      <c r="D128" s="11">
        <v>1915881304973</v>
      </c>
      <c r="E128" s="11">
        <v>37980378379</v>
      </c>
      <c r="F128" s="11">
        <v>0</v>
      </c>
      <c r="G128" s="11">
        <v>0</v>
      </c>
      <c r="H128" s="11">
        <v>1953861683352</v>
      </c>
      <c r="I128" s="11">
        <v>162859885292</v>
      </c>
      <c r="J128" s="11">
        <v>1791001798060</v>
      </c>
      <c r="K128" s="11">
        <v>1771578144949</v>
      </c>
      <c r="L128" s="11">
        <v>182283538403</v>
      </c>
      <c r="M128" s="12">
        <v>10.29</v>
      </c>
      <c r="N128" s="11">
        <v>2031269695783</v>
      </c>
      <c r="O128" s="12">
        <v>106.63</v>
      </c>
      <c r="P128" s="12">
        <v>113.42</v>
      </c>
      <c r="Q128" s="12">
        <v>1.58</v>
      </c>
      <c r="R128" s="11">
        <v>2053486327856</v>
      </c>
      <c r="S128" s="11">
        <v>30010954784</v>
      </c>
      <c r="T128" s="11">
        <v>11146662799</v>
      </c>
      <c r="U128" s="11">
        <v>9336457456</v>
      </c>
      <c r="V128" s="11">
        <v>9527834529</v>
      </c>
      <c r="W128" s="11">
        <v>2083497282640</v>
      </c>
      <c r="X128" s="11">
        <v>170938315766</v>
      </c>
      <c r="Y128" s="11">
        <v>29815563748</v>
      </c>
      <c r="Z128" s="11">
        <v>2284251162154</v>
      </c>
      <c r="AA128" s="11">
        <v>1978234787089</v>
      </c>
      <c r="AB128" s="12">
        <v>5.32</v>
      </c>
      <c r="AC128" s="11">
        <v>998246973986</v>
      </c>
      <c r="AD128" s="11">
        <v>998246973986</v>
      </c>
      <c r="AE128" s="11">
        <v>0</v>
      </c>
      <c r="AF128" s="11">
        <v>101527397</v>
      </c>
      <c r="AG128" s="11">
        <v>0</v>
      </c>
      <c r="AH128" s="11">
        <v>0</v>
      </c>
      <c r="AI128" s="11">
        <v>0</v>
      </c>
      <c r="AJ128" s="12">
        <v>0</v>
      </c>
      <c r="AK128" s="11">
        <v>0</v>
      </c>
      <c r="AL128" s="12">
        <v>103</v>
      </c>
      <c r="AM128" s="11">
        <v>346553863242</v>
      </c>
      <c r="AN128" s="12">
        <v>32</v>
      </c>
      <c r="AO128" s="11">
        <v>112100970535</v>
      </c>
      <c r="AP128" s="11">
        <v>30010954784</v>
      </c>
      <c r="AQ128" s="11">
        <v>26127527889</v>
      </c>
      <c r="AR128" s="11">
        <v>3883426895</v>
      </c>
      <c r="AS128" s="12">
        <v>14.86</v>
      </c>
      <c r="AT128" s="11">
        <v>965256186159</v>
      </c>
      <c r="AU128" s="11">
        <v>78858097485</v>
      </c>
      <c r="AV128" s="11">
        <v>742431630505</v>
      </c>
      <c r="AW128" s="11">
        <v>114993691018</v>
      </c>
      <c r="AX128" s="11">
        <v>641821533450</v>
      </c>
      <c r="AY128" s="11">
        <v>416634450000</v>
      </c>
      <c r="AZ128" s="11">
        <v>417507519405</v>
      </c>
      <c r="BA128" s="11">
        <v>1953861683352</v>
      </c>
      <c r="BB128" s="13">
        <v>111388</v>
      </c>
      <c r="BC128" s="11">
        <v>895405699902</v>
      </c>
      <c r="BD128" s="11">
        <v>641821533450</v>
      </c>
      <c r="BE128" s="11">
        <v>416634450000</v>
      </c>
      <c r="BF128" s="11">
        <v>565125162589</v>
      </c>
      <c r="BG128" s="11">
        <v>433121811397</v>
      </c>
      <c r="BH128" s="11">
        <v>0</v>
      </c>
      <c r="BI128" s="11">
        <v>0</v>
      </c>
      <c r="BJ128" s="11">
        <v>0</v>
      </c>
      <c r="BK128" s="11">
        <v>0</v>
      </c>
      <c r="BL128" s="11">
        <v>0</v>
      </c>
      <c r="BM128" s="11">
        <v>102044769</v>
      </c>
    </row>
    <row r="129" spans="1:65" x14ac:dyDescent="0.25">
      <c r="A129" s="32"/>
      <c r="B129" s="10">
        <v>1708</v>
      </c>
      <c r="C129" s="10" t="s">
        <v>184</v>
      </c>
      <c r="D129" s="11">
        <v>873403383957</v>
      </c>
      <c r="E129" s="11">
        <v>73518578475</v>
      </c>
      <c r="F129" s="11">
        <v>0</v>
      </c>
      <c r="G129" s="11">
        <v>0</v>
      </c>
      <c r="H129" s="11">
        <v>946921962432</v>
      </c>
      <c r="I129" s="11">
        <v>77009562270</v>
      </c>
      <c r="J129" s="11">
        <v>869912400162</v>
      </c>
      <c r="K129" s="11">
        <v>832245035525</v>
      </c>
      <c r="L129" s="11">
        <v>114676926907</v>
      </c>
      <c r="M129" s="12">
        <v>13.78</v>
      </c>
      <c r="N129" s="11">
        <v>964274827062</v>
      </c>
      <c r="O129" s="12">
        <v>108.83</v>
      </c>
      <c r="P129" s="12">
        <v>110.85</v>
      </c>
      <c r="Q129" s="12">
        <v>4.24</v>
      </c>
      <c r="R129" s="11">
        <v>982345476489</v>
      </c>
      <c r="S129" s="11">
        <v>48190415616</v>
      </c>
      <c r="T129" s="11">
        <v>5601231538</v>
      </c>
      <c r="U129" s="11">
        <v>5829756037</v>
      </c>
      <c r="V129" s="11">
        <v>36759428041</v>
      </c>
      <c r="W129" s="11">
        <v>1030535892105</v>
      </c>
      <c r="X129" s="11">
        <v>115315160778</v>
      </c>
      <c r="Y129" s="11">
        <v>22497447500</v>
      </c>
      <c r="Z129" s="11">
        <v>1168348500383</v>
      </c>
      <c r="AA129" s="11">
        <v>846182241290</v>
      </c>
      <c r="AB129" s="12">
        <v>21.79</v>
      </c>
      <c r="AC129" s="11">
        <v>440949779587</v>
      </c>
      <c r="AD129" s="11">
        <v>440949779587</v>
      </c>
      <c r="AE129" s="11">
        <v>0</v>
      </c>
      <c r="AF129" s="11">
        <v>0</v>
      </c>
      <c r="AG129" s="11">
        <v>0</v>
      </c>
      <c r="AH129" s="11">
        <v>0</v>
      </c>
      <c r="AI129" s="11">
        <v>0</v>
      </c>
      <c r="AJ129" s="12">
        <v>0</v>
      </c>
      <c r="AK129" s="11">
        <v>0</v>
      </c>
      <c r="AL129" s="12">
        <v>62</v>
      </c>
      <c r="AM129" s="11">
        <v>147317518911</v>
      </c>
      <c r="AN129" s="12">
        <v>11</v>
      </c>
      <c r="AO129" s="11">
        <v>70799696908</v>
      </c>
      <c r="AP129" s="11">
        <v>48190415616</v>
      </c>
      <c r="AQ129" s="11">
        <v>42481395710</v>
      </c>
      <c r="AR129" s="11">
        <v>5709019906</v>
      </c>
      <c r="AS129" s="12">
        <v>13.44</v>
      </c>
      <c r="AT129" s="11">
        <v>355866494192</v>
      </c>
      <c r="AU129" s="11">
        <v>34225803393</v>
      </c>
      <c r="AV129" s="11">
        <v>370755886221</v>
      </c>
      <c r="AW129" s="11">
        <v>131455593517</v>
      </c>
      <c r="AX129" s="11">
        <v>251652304219</v>
      </c>
      <c r="AY129" s="11">
        <v>119539600000</v>
      </c>
      <c r="AZ129" s="11">
        <v>83360116035</v>
      </c>
      <c r="BA129" s="11">
        <v>946921962432</v>
      </c>
      <c r="BB129" s="13">
        <v>219714</v>
      </c>
      <c r="BC129" s="11">
        <v>522775774802</v>
      </c>
      <c r="BD129" s="11">
        <v>251652304219</v>
      </c>
      <c r="BE129" s="11">
        <v>172493883411</v>
      </c>
      <c r="BF129" s="11">
        <v>242308666552</v>
      </c>
      <c r="BG129" s="11">
        <v>198641113035</v>
      </c>
      <c r="BH129" s="11">
        <v>0</v>
      </c>
      <c r="BI129" s="11">
        <v>0</v>
      </c>
      <c r="BJ129" s="11">
        <v>0</v>
      </c>
      <c r="BK129" s="11">
        <v>0</v>
      </c>
      <c r="BL129" s="11">
        <v>35058192391</v>
      </c>
      <c r="BM129" s="11">
        <v>0</v>
      </c>
    </row>
    <row r="130" spans="1:65" x14ac:dyDescent="0.25">
      <c r="A130" s="32"/>
      <c r="B130" s="10">
        <v>1709</v>
      </c>
      <c r="C130" s="10" t="s">
        <v>185</v>
      </c>
      <c r="D130" s="11">
        <v>2004904685163</v>
      </c>
      <c r="E130" s="11">
        <v>12750249481</v>
      </c>
      <c r="F130" s="11">
        <v>0</v>
      </c>
      <c r="G130" s="11">
        <v>0</v>
      </c>
      <c r="H130" s="11">
        <v>2017654934644</v>
      </c>
      <c r="I130" s="11">
        <v>161708072578</v>
      </c>
      <c r="J130" s="11">
        <v>1855946862066</v>
      </c>
      <c r="K130" s="11">
        <v>2746992277201</v>
      </c>
      <c r="L130" s="11">
        <v>-729337342557</v>
      </c>
      <c r="M130" s="12">
        <v>-26.55</v>
      </c>
      <c r="N130" s="11">
        <v>1979297378833</v>
      </c>
      <c r="O130" s="12">
        <v>107.18</v>
      </c>
      <c r="P130" s="12">
        <v>106.65</v>
      </c>
      <c r="Q130" s="12">
        <v>2.39</v>
      </c>
      <c r="R130" s="11">
        <v>2105889333354</v>
      </c>
      <c r="S130" s="11">
        <v>56671372479</v>
      </c>
      <c r="T130" s="11">
        <v>49419459034</v>
      </c>
      <c r="U130" s="11">
        <v>5976624722</v>
      </c>
      <c r="V130" s="11">
        <v>1275288723</v>
      </c>
      <c r="W130" s="11">
        <v>2162560705833</v>
      </c>
      <c r="X130" s="11">
        <v>234313199636</v>
      </c>
      <c r="Y130" s="11">
        <v>53907927244</v>
      </c>
      <c r="Z130" s="11">
        <v>2450781832713</v>
      </c>
      <c r="AA130" s="11">
        <v>2058456206330</v>
      </c>
      <c r="AB130" s="12">
        <v>5.0599999999999996</v>
      </c>
      <c r="AC130" s="11">
        <v>926946305870</v>
      </c>
      <c r="AD130" s="11">
        <v>926946305870</v>
      </c>
      <c r="AE130" s="11">
        <v>0</v>
      </c>
      <c r="AF130" s="11">
        <v>9819863</v>
      </c>
      <c r="AG130" s="11">
        <v>0</v>
      </c>
      <c r="AH130" s="11">
        <v>0</v>
      </c>
      <c r="AI130" s="11">
        <v>0</v>
      </c>
      <c r="AJ130" s="12">
        <v>1</v>
      </c>
      <c r="AK130" s="11">
        <v>69244032000</v>
      </c>
      <c r="AL130" s="12">
        <v>20</v>
      </c>
      <c r="AM130" s="11">
        <v>27463181896</v>
      </c>
      <c r="AN130" s="12">
        <v>4</v>
      </c>
      <c r="AO130" s="11">
        <v>2300000000</v>
      </c>
      <c r="AP130" s="11">
        <v>56671372479</v>
      </c>
      <c r="AQ130" s="11">
        <v>16963690317</v>
      </c>
      <c r="AR130" s="11">
        <v>39707682162</v>
      </c>
      <c r="AS130" s="12">
        <v>234.07</v>
      </c>
      <c r="AT130" s="11">
        <v>1025302767100</v>
      </c>
      <c r="AU130" s="11">
        <v>64941823178</v>
      </c>
      <c r="AV130" s="11">
        <v>466835590654</v>
      </c>
      <c r="AW130" s="11">
        <v>387933104557</v>
      </c>
      <c r="AX130" s="11">
        <v>721074989952</v>
      </c>
      <c r="AY130" s="11">
        <v>429061000000</v>
      </c>
      <c r="AZ130" s="11">
        <v>363605068162</v>
      </c>
      <c r="BA130" s="11">
        <v>2017654934644</v>
      </c>
      <c r="BB130" s="13">
        <v>31875</v>
      </c>
      <c r="BC130" s="11">
        <v>867518944692</v>
      </c>
      <c r="BD130" s="11">
        <v>721074989952</v>
      </c>
      <c r="BE130" s="11">
        <v>429061000000</v>
      </c>
      <c r="BF130" s="11">
        <v>259746317587</v>
      </c>
      <c r="BG130" s="11">
        <v>667199988283</v>
      </c>
      <c r="BH130" s="11">
        <v>0</v>
      </c>
      <c r="BI130" s="11">
        <v>0</v>
      </c>
      <c r="BJ130" s="11">
        <v>0</v>
      </c>
      <c r="BK130" s="11">
        <v>0</v>
      </c>
      <c r="BL130" s="11">
        <v>0</v>
      </c>
      <c r="BM130" s="11">
        <v>9853223</v>
      </c>
    </row>
    <row r="131" spans="1:65" x14ac:dyDescent="0.25">
      <c r="A131" s="32"/>
      <c r="B131" s="10">
        <v>1710</v>
      </c>
      <c r="C131" s="10" t="s">
        <v>186</v>
      </c>
      <c r="D131" s="11">
        <v>1006582125127</v>
      </c>
      <c r="E131" s="11">
        <v>39049590185</v>
      </c>
      <c r="F131" s="11">
        <v>0</v>
      </c>
      <c r="G131" s="11">
        <v>0</v>
      </c>
      <c r="H131" s="11">
        <v>1045631715312</v>
      </c>
      <c r="I131" s="11">
        <v>85954305859</v>
      </c>
      <c r="J131" s="11">
        <v>959677409453</v>
      </c>
      <c r="K131" s="11">
        <v>1032646414162</v>
      </c>
      <c r="L131" s="11">
        <v>12985301150</v>
      </c>
      <c r="M131" s="12">
        <v>1.26</v>
      </c>
      <c r="N131" s="11">
        <v>701405530098</v>
      </c>
      <c r="O131" s="12">
        <v>74.58</v>
      </c>
      <c r="P131" s="12">
        <v>73.09</v>
      </c>
      <c r="Q131" s="12">
        <v>0.63</v>
      </c>
      <c r="R131" s="11">
        <v>777592398003</v>
      </c>
      <c r="S131" s="11">
        <v>2254842407</v>
      </c>
      <c r="T131" s="11">
        <v>2057387767</v>
      </c>
      <c r="U131" s="11">
        <v>197454640</v>
      </c>
      <c r="V131" s="11">
        <v>0</v>
      </c>
      <c r="W131" s="11">
        <v>779847240410</v>
      </c>
      <c r="X131" s="11">
        <v>52815369202</v>
      </c>
      <c r="Y131" s="11">
        <v>17020000000</v>
      </c>
      <c r="Z131" s="11">
        <v>849682609612</v>
      </c>
      <c r="AA131" s="11">
        <v>488734923809</v>
      </c>
      <c r="AB131" s="12">
        <v>59.56</v>
      </c>
      <c r="AC131" s="11">
        <v>594487676820</v>
      </c>
      <c r="AD131" s="11">
        <v>594487676820</v>
      </c>
      <c r="AE131" s="11">
        <v>108183199369</v>
      </c>
      <c r="AF131" s="11">
        <v>0</v>
      </c>
      <c r="AG131" s="11">
        <v>0</v>
      </c>
      <c r="AH131" s="11">
        <v>0</v>
      </c>
      <c r="AI131" s="11">
        <v>0</v>
      </c>
      <c r="AJ131" s="12">
        <v>7</v>
      </c>
      <c r="AK131" s="11">
        <v>153426667992</v>
      </c>
      <c r="AL131" s="12">
        <v>145</v>
      </c>
      <c r="AM131" s="11">
        <v>436646873426</v>
      </c>
      <c r="AN131" s="12">
        <v>11</v>
      </c>
      <c r="AO131" s="11">
        <v>49608597637</v>
      </c>
      <c r="AP131" s="11">
        <v>2254842407</v>
      </c>
      <c r="AQ131" s="11">
        <v>0</v>
      </c>
      <c r="AR131" s="11">
        <v>2254842407</v>
      </c>
      <c r="AS131" s="12"/>
      <c r="AT131" s="11">
        <v>406758829664</v>
      </c>
      <c r="AU131" s="11">
        <v>10807795149</v>
      </c>
      <c r="AV131" s="11">
        <v>368472260732</v>
      </c>
      <c r="AW131" s="11">
        <v>114423915600</v>
      </c>
      <c r="AX131" s="11">
        <v>330765648795</v>
      </c>
      <c r="AY131" s="11">
        <v>192920300000</v>
      </c>
      <c r="AZ131" s="11">
        <v>133424935957</v>
      </c>
      <c r="BA131" s="11">
        <v>1045631715312</v>
      </c>
      <c r="BB131" s="13">
        <v>97157</v>
      </c>
      <c r="BC131" s="11">
        <v>521945766517</v>
      </c>
      <c r="BD131" s="11">
        <v>330765648795</v>
      </c>
      <c r="BE131" s="11">
        <v>192920300000</v>
      </c>
      <c r="BF131" s="11">
        <v>366643006369</v>
      </c>
      <c r="BG131" s="11">
        <v>227844670451</v>
      </c>
      <c r="BH131" s="11">
        <v>0</v>
      </c>
      <c r="BI131" s="11">
        <v>0</v>
      </c>
      <c r="BJ131" s="11">
        <v>108686734205</v>
      </c>
      <c r="BK131" s="11">
        <v>0</v>
      </c>
      <c r="BL131" s="11">
        <v>0</v>
      </c>
      <c r="BM131" s="11">
        <v>0</v>
      </c>
    </row>
    <row r="132" spans="1:65" x14ac:dyDescent="0.25">
      <c r="A132" s="32"/>
      <c r="B132" s="10">
        <v>1711</v>
      </c>
      <c r="C132" s="10" t="s">
        <v>187</v>
      </c>
      <c r="D132" s="11">
        <v>18584959482729</v>
      </c>
      <c r="E132" s="11">
        <v>23460055331</v>
      </c>
      <c r="F132" s="11">
        <v>0</v>
      </c>
      <c r="G132" s="11">
        <v>43773400</v>
      </c>
      <c r="H132" s="11">
        <v>18608463311460</v>
      </c>
      <c r="I132" s="11">
        <v>1512810677386</v>
      </c>
      <c r="J132" s="11">
        <v>17095652634074</v>
      </c>
      <c r="K132" s="11">
        <v>11107904120715</v>
      </c>
      <c r="L132" s="11">
        <v>7500559190745</v>
      </c>
      <c r="M132" s="12">
        <v>67.52</v>
      </c>
      <c r="N132" s="11">
        <v>2214325862861</v>
      </c>
      <c r="O132" s="12">
        <v>17.61</v>
      </c>
      <c r="P132" s="12">
        <v>12.95</v>
      </c>
      <c r="Q132" s="12">
        <v>1.1000000000000001</v>
      </c>
      <c r="R132" s="11">
        <v>3239857117693</v>
      </c>
      <c r="S132" s="11">
        <v>36394682946</v>
      </c>
      <c r="T132" s="11">
        <v>36275185905</v>
      </c>
      <c r="U132" s="11">
        <v>0</v>
      </c>
      <c r="V132" s="11">
        <v>119497041</v>
      </c>
      <c r="W132" s="11">
        <v>3276251800639</v>
      </c>
      <c r="X132" s="11">
        <v>54455470902</v>
      </c>
      <c r="Y132" s="11">
        <v>2300000000</v>
      </c>
      <c r="Z132" s="11">
        <v>3333007271541</v>
      </c>
      <c r="AA132" s="11">
        <v>728655154340</v>
      </c>
      <c r="AB132" s="12">
        <v>349.63</v>
      </c>
      <c r="AC132" s="11">
        <v>1979088847294</v>
      </c>
      <c r="AD132" s="11">
        <v>1979088847294</v>
      </c>
      <c r="AE132" s="11">
        <v>155203029776</v>
      </c>
      <c r="AF132" s="11">
        <v>0</v>
      </c>
      <c r="AG132" s="11">
        <v>0</v>
      </c>
      <c r="AH132" s="11">
        <v>0</v>
      </c>
      <c r="AI132" s="11">
        <v>0</v>
      </c>
      <c r="AJ132" s="12">
        <v>2</v>
      </c>
      <c r="AK132" s="11">
        <v>52876249842</v>
      </c>
      <c r="AL132" s="12">
        <v>8</v>
      </c>
      <c r="AM132" s="11">
        <v>11001742792</v>
      </c>
      <c r="AN132" s="12">
        <v>9</v>
      </c>
      <c r="AO132" s="11">
        <v>83698770381</v>
      </c>
      <c r="AP132" s="11">
        <v>36394682946</v>
      </c>
      <c r="AQ132" s="11">
        <v>1057252880</v>
      </c>
      <c r="AR132" s="11">
        <v>35337430066</v>
      </c>
      <c r="AS132" s="12">
        <v>3342.38</v>
      </c>
      <c r="AT132" s="11">
        <v>496687402376</v>
      </c>
      <c r="AU132" s="11">
        <v>25649022306</v>
      </c>
      <c r="AV132" s="11">
        <v>182318941237</v>
      </c>
      <c r="AW132" s="11">
        <v>60585647687</v>
      </c>
      <c r="AX132" s="11">
        <v>579564893805</v>
      </c>
      <c r="AY132" s="11">
        <v>17762490000000</v>
      </c>
      <c r="AZ132" s="11">
        <v>26761834751</v>
      </c>
      <c r="BA132" s="11">
        <v>18608463311460</v>
      </c>
      <c r="BB132" s="13">
        <v>93618</v>
      </c>
      <c r="BC132" s="11">
        <v>264856039342</v>
      </c>
      <c r="BD132" s="11">
        <v>579562393805</v>
      </c>
      <c r="BE132" s="11">
        <v>17764044878313</v>
      </c>
      <c r="BF132" s="11">
        <v>1522898724250</v>
      </c>
      <c r="BG132" s="11">
        <v>456190123044</v>
      </c>
      <c r="BH132" s="11">
        <v>0</v>
      </c>
      <c r="BI132" s="11">
        <v>0</v>
      </c>
      <c r="BJ132" s="11">
        <v>157731821427</v>
      </c>
      <c r="BK132" s="11">
        <v>0</v>
      </c>
      <c r="BL132" s="11">
        <v>0</v>
      </c>
      <c r="BM132" s="11">
        <v>0</v>
      </c>
    </row>
    <row r="133" spans="1:65" x14ac:dyDescent="0.25">
      <c r="A133" s="32"/>
      <c r="B133" s="10">
        <v>1714</v>
      </c>
      <c r="C133" s="10" t="s">
        <v>188</v>
      </c>
      <c r="D133" s="11">
        <v>1559289582501</v>
      </c>
      <c r="E133" s="11">
        <v>138594711233</v>
      </c>
      <c r="F133" s="11">
        <v>0</v>
      </c>
      <c r="G133" s="11">
        <v>0</v>
      </c>
      <c r="H133" s="11">
        <v>1697884293734</v>
      </c>
      <c r="I133" s="11">
        <v>146981637207</v>
      </c>
      <c r="J133" s="11">
        <v>1550902656527</v>
      </c>
      <c r="K133" s="11">
        <v>1036677137588</v>
      </c>
      <c r="L133" s="11">
        <v>661207156146</v>
      </c>
      <c r="M133" s="12">
        <v>63.78</v>
      </c>
      <c r="N133" s="11">
        <v>712638946810</v>
      </c>
      <c r="O133" s="12">
        <v>45.34</v>
      </c>
      <c r="P133" s="12">
        <v>45.95</v>
      </c>
      <c r="Q133" s="12">
        <v>8.51</v>
      </c>
      <c r="R133" s="11">
        <v>706770946838</v>
      </c>
      <c r="S133" s="11">
        <v>63063354060</v>
      </c>
      <c r="T133" s="11">
        <v>4352846883</v>
      </c>
      <c r="U133" s="11">
        <v>2293366351</v>
      </c>
      <c r="V133" s="11">
        <v>56417140826</v>
      </c>
      <c r="W133" s="11">
        <v>769834300898</v>
      </c>
      <c r="X133" s="11">
        <v>113441780691</v>
      </c>
      <c r="Y133" s="11">
        <v>15979921000</v>
      </c>
      <c r="Z133" s="11">
        <v>899256002589</v>
      </c>
      <c r="AA133" s="11">
        <v>390059141479</v>
      </c>
      <c r="AB133" s="12">
        <v>97.36</v>
      </c>
      <c r="AC133" s="11">
        <v>980109533041</v>
      </c>
      <c r="AD133" s="11">
        <v>980109533041</v>
      </c>
      <c r="AE133" s="11">
        <v>292504409528</v>
      </c>
      <c r="AF133" s="11">
        <v>107929365</v>
      </c>
      <c r="AG133" s="11">
        <v>0</v>
      </c>
      <c r="AH133" s="11">
        <v>0</v>
      </c>
      <c r="AI133" s="11">
        <v>0</v>
      </c>
      <c r="AJ133" s="12">
        <v>5</v>
      </c>
      <c r="AK133" s="11">
        <v>618910765910</v>
      </c>
      <c r="AL133" s="12">
        <v>36</v>
      </c>
      <c r="AM133" s="11">
        <v>271112240345</v>
      </c>
      <c r="AN133" s="12">
        <v>46</v>
      </c>
      <c r="AO133" s="11">
        <v>857578371693</v>
      </c>
      <c r="AP133" s="11">
        <v>63063354060</v>
      </c>
      <c r="AQ133" s="11">
        <v>62101976415</v>
      </c>
      <c r="AR133" s="11">
        <v>961377645</v>
      </c>
      <c r="AS133" s="12">
        <v>1.55</v>
      </c>
      <c r="AT133" s="11">
        <v>701651805223</v>
      </c>
      <c r="AU133" s="11">
        <v>17729302357</v>
      </c>
      <c r="AV133" s="11">
        <v>109255208685</v>
      </c>
      <c r="AW133" s="11">
        <v>105050289044</v>
      </c>
      <c r="AX133" s="11">
        <v>261274084772</v>
      </c>
      <c r="AY133" s="11">
        <v>1083710000000</v>
      </c>
      <c r="AZ133" s="11">
        <v>145697244779</v>
      </c>
      <c r="BA133" s="11">
        <v>1697884293734</v>
      </c>
      <c r="BB133" s="13">
        <v>21456</v>
      </c>
      <c r="BC133" s="11">
        <v>352900208962</v>
      </c>
      <c r="BD133" s="11">
        <v>261274084772</v>
      </c>
      <c r="BE133" s="11">
        <v>1083710000000</v>
      </c>
      <c r="BF133" s="11">
        <v>397399411753</v>
      </c>
      <c r="BG133" s="11">
        <v>582710121288</v>
      </c>
      <c r="BH133" s="11">
        <v>0</v>
      </c>
      <c r="BI133" s="11">
        <v>16191413586</v>
      </c>
      <c r="BJ133" s="11">
        <v>299787238189</v>
      </c>
      <c r="BK133" s="11">
        <v>0</v>
      </c>
      <c r="BL133" s="11">
        <v>0</v>
      </c>
      <c r="BM133" s="11">
        <v>115349161</v>
      </c>
    </row>
    <row r="134" spans="1:65" x14ac:dyDescent="0.25">
      <c r="A134" s="32"/>
      <c r="B134" s="10">
        <v>1715</v>
      </c>
      <c r="C134" s="10" t="s">
        <v>189</v>
      </c>
      <c r="D134" s="11">
        <v>4421278725689</v>
      </c>
      <c r="E134" s="11">
        <v>633227656333</v>
      </c>
      <c r="F134" s="11">
        <v>0</v>
      </c>
      <c r="G134" s="11">
        <v>0</v>
      </c>
      <c r="H134" s="11">
        <v>5054506382022</v>
      </c>
      <c r="I134" s="11">
        <v>308365482215</v>
      </c>
      <c r="J134" s="11">
        <v>4746140899807</v>
      </c>
      <c r="K134" s="11">
        <v>1613036663205</v>
      </c>
      <c r="L134" s="11">
        <v>3441469718817</v>
      </c>
      <c r="M134" s="12">
        <v>213.35</v>
      </c>
      <c r="N134" s="11">
        <v>2748396971528</v>
      </c>
      <c r="O134" s="12">
        <v>59.19</v>
      </c>
      <c r="P134" s="12">
        <v>57.91</v>
      </c>
      <c r="Q134" s="12">
        <v>8.0399999999999991</v>
      </c>
      <c r="R134" s="11">
        <v>2744873218947</v>
      </c>
      <c r="S134" s="11">
        <v>246856625835</v>
      </c>
      <c r="T134" s="11">
        <v>152716215682</v>
      </c>
      <c r="U134" s="11">
        <v>18107394477</v>
      </c>
      <c r="V134" s="11">
        <v>76033015676</v>
      </c>
      <c r="W134" s="11">
        <v>2991729844782</v>
      </c>
      <c r="X134" s="11">
        <v>175454579453</v>
      </c>
      <c r="Y134" s="11">
        <v>21824950000</v>
      </c>
      <c r="Z134" s="11">
        <v>3189009374235</v>
      </c>
      <c r="AA134" s="11">
        <v>1741233204890</v>
      </c>
      <c r="AB134" s="12">
        <v>71.819999999999993</v>
      </c>
      <c r="AC134" s="11">
        <v>2305878516299</v>
      </c>
      <c r="AD134" s="11">
        <v>2202113212195</v>
      </c>
      <c r="AE134" s="11">
        <v>76689970823</v>
      </c>
      <c r="AF134" s="11">
        <v>0</v>
      </c>
      <c r="AG134" s="11">
        <v>0</v>
      </c>
      <c r="AH134" s="11">
        <v>0</v>
      </c>
      <c r="AI134" s="11">
        <v>0</v>
      </c>
      <c r="AJ134" s="12">
        <v>6</v>
      </c>
      <c r="AK134" s="11">
        <v>1086982940804</v>
      </c>
      <c r="AL134" s="12">
        <v>50</v>
      </c>
      <c r="AM134" s="11">
        <v>5214841864828</v>
      </c>
      <c r="AN134" s="12">
        <v>14</v>
      </c>
      <c r="AO134" s="11">
        <v>83462418246</v>
      </c>
      <c r="AP134" s="11">
        <v>246856625835</v>
      </c>
      <c r="AQ134" s="11">
        <v>2612701996</v>
      </c>
      <c r="AR134" s="11">
        <v>244243923839</v>
      </c>
      <c r="AS134" s="19">
        <v>9348.33</v>
      </c>
      <c r="AT134" s="11">
        <v>1377841321647</v>
      </c>
      <c r="AU134" s="11">
        <v>33964168961</v>
      </c>
      <c r="AV134" s="11">
        <v>1085952776162</v>
      </c>
      <c r="AW134" s="11">
        <v>319199328451</v>
      </c>
      <c r="AX134" s="11">
        <v>689874621076</v>
      </c>
      <c r="AY134" s="11">
        <v>2326252000000</v>
      </c>
      <c r="AZ134" s="11">
        <v>569072712384</v>
      </c>
      <c r="BA134" s="11">
        <v>5054506382022</v>
      </c>
      <c r="BB134" s="13">
        <v>146472</v>
      </c>
      <c r="BC134" s="11">
        <v>2038379760946</v>
      </c>
      <c r="BD134" s="11">
        <v>689874621076</v>
      </c>
      <c r="BE134" s="11">
        <v>2326252000000</v>
      </c>
      <c r="BF134" s="11">
        <v>803119981389</v>
      </c>
      <c r="BG134" s="11">
        <v>1502758534910</v>
      </c>
      <c r="BH134" s="11">
        <v>0</v>
      </c>
      <c r="BI134" s="11">
        <v>75886062351</v>
      </c>
      <c r="BJ134" s="11">
        <v>77012799124</v>
      </c>
      <c r="BK134" s="11">
        <v>0</v>
      </c>
      <c r="BL134" s="11">
        <v>0</v>
      </c>
      <c r="BM134" s="11">
        <v>0</v>
      </c>
    </row>
    <row r="135" spans="1:65" x14ac:dyDescent="0.25">
      <c r="A135" s="32"/>
      <c r="B135" s="10">
        <v>1716</v>
      </c>
      <c r="C135" s="10" t="s">
        <v>190</v>
      </c>
      <c r="D135" s="11">
        <v>10664391566113</v>
      </c>
      <c r="E135" s="11">
        <v>182357807178</v>
      </c>
      <c r="F135" s="11">
        <v>0</v>
      </c>
      <c r="G135" s="11">
        <v>14521377845</v>
      </c>
      <c r="H135" s="11">
        <v>10861270751136</v>
      </c>
      <c r="I135" s="11">
        <v>930943926938</v>
      </c>
      <c r="J135" s="11">
        <v>9930326824198</v>
      </c>
      <c r="K135" s="11">
        <v>11544462842677</v>
      </c>
      <c r="L135" s="11">
        <v>-683192091541</v>
      </c>
      <c r="M135" s="12">
        <v>-5.92</v>
      </c>
      <c r="N135" s="11">
        <v>10395489592183</v>
      </c>
      <c r="O135" s="12">
        <v>150.41</v>
      </c>
      <c r="P135" s="12">
        <v>104.68</v>
      </c>
      <c r="Q135" s="12">
        <v>0.61</v>
      </c>
      <c r="R135" s="11">
        <v>16265599085031</v>
      </c>
      <c r="S135" s="11">
        <v>70689211435</v>
      </c>
      <c r="T135" s="11">
        <v>52428565946</v>
      </c>
      <c r="U135" s="11">
        <v>330858986</v>
      </c>
      <c r="V135" s="11">
        <v>17929786503</v>
      </c>
      <c r="W135" s="11">
        <v>16336288296466</v>
      </c>
      <c r="X135" s="11">
        <v>188871307017</v>
      </c>
      <c r="Y135" s="11">
        <v>24428837308</v>
      </c>
      <c r="Z135" s="11">
        <v>16549588440791</v>
      </c>
      <c r="AA135" s="11">
        <v>15794779274548</v>
      </c>
      <c r="AB135" s="12">
        <v>3.43</v>
      </c>
      <c r="AC135" s="11">
        <v>5421900189471</v>
      </c>
      <c r="AD135" s="11">
        <v>5421900189471</v>
      </c>
      <c r="AE135" s="11">
        <v>1538299834668</v>
      </c>
      <c r="AF135" s="11">
        <v>12196328424</v>
      </c>
      <c r="AG135" s="11">
        <v>0</v>
      </c>
      <c r="AH135" s="11">
        <v>0</v>
      </c>
      <c r="AI135" s="11">
        <v>0</v>
      </c>
      <c r="AJ135" s="12">
        <v>11</v>
      </c>
      <c r="AK135" s="11">
        <v>3224184029601</v>
      </c>
      <c r="AL135" s="12">
        <v>35</v>
      </c>
      <c r="AM135" s="11">
        <v>813976162230</v>
      </c>
      <c r="AN135" s="12">
        <v>16</v>
      </c>
      <c r="AO135" s="11">
        <v>125529570839</v>
      </c>
      <c r="AP135" s="11">
        <v>70689211435</v>
      </c>
      <c r="AQ135" s="11">
        <v>29050649316</v>
      </c>
      <c r="AR135" s="11">
        <v>41638562119</v>
      </c>
      <c r="AS135" s="12">
        <v>143.33000000000001</v>
      </c>
      <c r="AT135" s="11">
        <v>6650942442571</v>
      </c>
      <c r="AU135" s="11">
        <v>251194947536</v>
      </c>
      <c r="AV135" s="11">
        <v>672111761169</v>
      </c>
      <c r="AW135" s="11">
        <v>273860947455</v>
      </c>
      <c r="AX135" s="11">
        <v>635395157489</v>
      </c>
      <c r="AY135" s="11">
        <v>9083023700000</v>
      </c>
      <c r="AZ135" s="11">
        <v>128878885391</v>
      </c>
      <c r="BA135" s="11">
        <v>10861270751136</v>
      </c>
      <c r="BB135" s="13">
        <v>176065</v>
      </c>
      <c r="BC135" s="11">
        <v>1142851893647</v>
      </c>
      <c r="BD135" s="11">
        <v>635395157489</v>
      </c>
      <c r="BE135" s="11">
        <v>9083023700000</v>
      </c>
      <c r="BF135" s="11">
        <v>4909935889471</v>
      </c>
      <c r="BG135" s="11">
        <v>511964300000</v>
      </c>
      <c r="BH135" s="11">
        <v>0</v>
      </c>
      <c r="BI135" s="11">
        <v>0</v>
      </c>
      <c r="BJ135" s="11">
        <v>1852275292352</v>
      </c>
      <c r="BK135" s="11">
        <v>0</v>
      </c>
      <c r="BL135" s="11">
        <v>0</v>
      </c>
      <c r="BM135" s="11">
        <v>12196328424</v>
      </c>
    </row>
    <row r="136" spans="1:65" x14ac:dyDescent="0.25">
      <c r="A136" s="32"/>
      <c r="B136" s="10">
        <v>1718</v>
      </c>
      <c r="C136" s="10" t="s">
        <v>191</v>
      </c>
      <c r="D136" s="11">
        <v>4006084552494</v>
      </c>
      <c r="E136" s="11">
        <v>57766409448</v>
      </c>
      <c r="F136" s="11">
        <v>89300000001</v>
      </c>
      <c r="G136" s="11">
        <v>0</v>
      </c>
      <c r="H136" s="11">
        <v>4153150961943</v>
      </c>
      <c r="I136" s="11">
        <v>334845649905</v>
      </c>
      <c r="J136" s="11">
        <v>3818305312038</v>
      </c>
      <c r="K136" s="11">
        <v>2748631030045</v>
      </c>
      <c r="L136" s="11">
        <v>1404519931898</v>
      </c>
      <c r="M136" s="12">
        <v>51.1</v>
      </c>
      <c r="N136" s="11">
        <v>1150555904383</v>
      </c>
      <c r="O136" s="12">
        <v>30.55</v>
      </c>
      <c r="P136" s="12">
        <v>30.13</v>
      </c>
      <c r="Q136" s="12">
        <v>5.52</v>
      </c>
      <c r="R136" s="11">
        <v>1195064634226</v>
      </c>
      <c r="S136" s="11">
        <v>73869810294</v>
      </c>
      <c r="T136" s="11">
        <v>22216791606</v>
      </c>
      <c r="U136" s="11">
        <v>31678628767</v>
      </c>
      <c r="V136" s="11">
        <v>19974389921</v>
      </c>
      <c r="W136" s="11">
        <v>1268934444520</v>
      </c>
      <c r="X136" s="11">
        <v>60576356694</v>
      </c>
      <c r="Y136" s="11">
        <v>13186505850</v>
      </c>
      <c r="Z136" s="11">
        <v>1342697307064</v>
      </c>
      <c r="AA136" s="11">
        <v>1087100591390</v>
      </c>
      <c r="AB136" s="12">
        <v>16.73</v>
      </c>
      <c r="AC136" s="11">
        <v>685571938229</v>
      </c>
      <c r="AD136" s="11">
        <v>685571938229</v>
      </c>
      <c r="AE136" s="11">
        <v>28304155480</v>
      </c>
      <c r="AF136" s="11">
        <v>0</v>
      </c>
      <c r="AG136" s="11">
        <v>0</v>
      </c>
      <c r="AH136" s="11">
        <v>0</v>
      </c>
      <c r="AI136" s="11">
        <v>0</v>
      </c>
      <c r="AJ136" s="12">
        <v>5</v>
      </c>
      <c r="AK136" s="11">
        <v>224076875610</v>
      </c>
      <c r="AL136" s="12">
        <v>13</v>
      </c>
      <c r="AM136" s="11">
        <v>682933412000</v>
      </c>
      <c r="AN136" s="12">
        <v>7</v>
      </c>
      <c r="AO136" s="11">
        <v>56452106559</v>
      </c>
      <c r="AP136" s="11">
        <v>73869810294</v>
      </c>
      <c r="AQ136" s="11">
        <v>31598723935</v>
      </c>
      <c r="AR136" s="11">
        <v>42271086359</v>
      </c>
      <c r="AS136" s="12">
        <v>133.77000000000001</v>
      </c>
      <c r="AT136" s="11">
        <v>751416522967</v>
      </c>
      <c r="AU136" s="11">
        <v>38100865266</v>
      </c>
      <c r="AV136" s="11">
        <v>728804516183</v>
      </c>
      <c r="AW136" s="11">
        <v>153052800522</v>
      </c>
      <c r="AX136" s="11">
        <v>335191235789</v>
      </c>
      <c r="AY136" s="11">
        <v>2789036000000</v>
      </c>
      <c r="AZ136" s="11">
        <v>202932095587</v>
      </c>
      <c r="BA136" s="11">
        <v>4153150961943</v>
      </c>
      <c r="BB136" s="13">
        <v>30162</v>
      </c>
      <c r="BC136" s="11">
        <v>939623726153</v>
      </c>
      <c r="BD136" s="11">
        <v>424491235790</v>
      </c>
      <c r="BE136" s="11">
        <v>2789036000000</v>
      </c>
      <c r="BF136" s="11">
        <v>304218360804</v>
      </c>
      <c r="BG136" s="11">
        <v>381353577425</v>
      </c>
      <c r="BH136" s="11">
        <v>28304155480</v>
      </c>
      <c r="BI136" s="11">
        <v>0</v>
      </c>
      <c r="BJ136" s="11">
        <v>0</v>
      </c>
      <c r="BK136" s="11">
        <v>0</v>
      </c>
      <c r="BL136" s="11">
        <v>19803254116</v>
      </c>
      <c r="BM136" s="11">
        <v>0</v>
      </c>
    </row>
    <row r="137" spans="1:65" x14ac:dyDescent="0.25">
      <c r="A137" s="32"/>
      <c r="B137" s="10">
        <v>1719</v>
      </c>
      <c r="C137" s="10" t="s">
        <v>192</v>
      </c>
      <c r="D137" s="11">
        <v>2189377743327</v>
      </c>
      <c r="E137" s="11">
        <v>116493904134</v>
      </c>
      <c r="F137" s="11">
        <v>0</v>
      </c>
      <c r="G137" s="11">
        <v>0</v>
      </c>
      <c r="H137" s="11">
        <v>2305871647461</v>
      </c>
      <c r="I137" s="11">
        <v>195533976607</v>
      </c>
      <c r="J137" s="11">
        <v>2110337670854</v>
      </c>
      <c r="K137" s="11">
        <v>2284284365870</v>
      </c>
      <c r="L137" s="11">
        <v>21587281591</v>
      </c>
      <c r="M137" s="12">
        <v>0.95</v>
      </c>
      <c r="N137" s="11">
        <v>1552280359752</v>
      </c>
      <c r="O137" s="12">
        <v>70.36</v>
      </c>
      <c r="P137" s="12">
        <v>73.56</v>
      </c>
      <c r="Q137" s="12">
        <v>2.82</v>
      </c>
      <c r="R137" s="11">
        <v>1570683228623</v>
      </c>
      <c r="S137" s="11">
        <v>51655630379</v>
      </c>
      <c r="T137" s="11">
        <v>27491560514</v>
      </c>
      <c r="U137" s="11">
        <v>7252207046</v>
      </c>
      <c r="V137" s="11">
        <v>16911862819</v>
      </c>
      <c r="W137" s="11">
        <v>1622338859002</v>
      </c>
      <c r="X137" s="11">
        <v>266455620174</v>
      </c>
      <c r="Y137" s="11">
        <v>56943140740</v>
      </c>
      <c r="Z137" s="11">
        <v>1945737619916</v>
      </c>
      <c r="AA137" s="11">
        <v>1518837035131</v>
      </c>
      <c r="AB137" s="12">
        <v>6.81</v>
      </c>
      <c r="AC137" s="11">
        <v>846811832258</v>
      </c>
      <c r="AD137" s="11">
        <v>846811832258</v>
      </c>
      <c r="AE137" s="11">
        <v>186120731570</v>
      </c>
      <c r="AF137" s="11">
        <v>117166440</v>
      </c>
      <c r="AG137" s="11">
        <v>0</v>
      </c>
      <c r="AH137" s="11">
        <v>0</v>
      </c>
      <c r="AI137" s="11">
        <v>0</v>
      </c>
      <c r="AJ137" s="12">
        <v>5</v>
      </c>
      <c r="AK137" s="11">
        <v>176549920247</v>
      </c>
      <c r="AL137" s="12">
        <v>103</v>
      </c>
      <c r="AM137" s="11">
        <v>638647675425</v>
      </c>
      <c r="AN137" s="12">
        <v>73</v>
      </c>
      <c r="AO137" s="11">
        <v>257960977361</v>
      </c>
      <c r="AP137" s="11">
        <v>51655630379</v>
      </c>
      <c r="AQ137" s="11">
        <v>51896723298</v>
      </c>
      <c r="AR137" s="11">
        <v>-241092919</v>
      </c>
      <c r="AS137" s="12">
        <v>-0.46</v>
      </c>
      <c r="AT137" s="11">
        <v>910049662878</v>
      </c>
      <c r="AU137" s="11">
        <v>178171164712</v>
      </c>
      <c r="AV137" s="11">
        <v>418016354380</v>
      </c>
      <c r="AW137" s="11">
        <v>143447361299</v>
      </c>
      <c r="AX137" s="11">
        <v>590467027648</v>
      </c>
      <c r="AY137" s="11">
        <v>1037447000000</v>
      </c>
      <c r="AZ137" s="11">
        <v>354214868956</v>
      </c>
      <c r="BA137" s="11">
        <v>2305871647461</v>
      </c>
      <c r="BB137" s="13">
        <v>149682</v>
      </c>
      <c r="BC137" s="11">
        <v>677957619813</v>
      </c>
      <c r="BD137" s="11">
        <v>590467027648</v>
      </c>
      <c r="BE137" s="11">
        <v>1037447000000</v>
      </c>
      <c r="BF137" s="11">
        <v>134680409884</v>
      </c>
      <c r="BG137" s="11">
        <v>712131422374</v>
      </c>
      <c r="BH137" s="11">
        <v>884314845</v>
      </c>
      <c r="BI137" s="11">
        <v>16021343124</v>
      </c>
      <c r="BJ137" s="11">
        <v>188255641509</v>
      </c>
      <c r="BK137" s="11">
        <v>0</v>
      </c>
      <c r="BL137" s="11">
        <v>0</v>
      </c>
      <c r="BM137" s="11">
        <v>165486536</v>
      </c>
    </row>
    <row r="138" spans="1:65" x14ac:dyDescent="0.25">
      <c r="A138" s="32"/>
      <c r="B138" s="10">
        <v>17199</v>
      </c>
      <c r="C138" s="10" t="s">
        <v>193</v>
      </c>
      <c r="D138" s="11">
        <v>0</v>
      </c>
      <c r="E138" s="11">
        <v>0</v>
      </c>
      <c r="F138" s="11">
        <v>0</v>
      </c>
      <c r="G138" s="11">
        <v>0</v>
      </c>
      <c r="H138" s="11">
        <v>0</v>
      </c>
      <c r="I138" s="11">
        <v>0</v>
      </c>
      <c r="J138" s="11">
        <v>0</v>
      </c>
      <c r="K138" s="11">
        <v>0</v>
      </c>
      <c r="L138" s="11">
        <v>0</v>
      </c>
      <c r="M138" s="12">
        <v>0</v>
      </c>
      <c r="N138" s="11">
        <v>0</v>
      </c>
      <c r="O138" s="12">
        <v>0</v>
      </c>
      <c r="P138" s="12"/>
      <c r="Q138" s="12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1">
        <v>0</v>
      </c>
      <c r="X138" s="11">
        <v>0</v>
      </c>
      <c r="Y138" s="11">
        <v>0</v>
      </c>
      <c r="Z138" s="11">
        <v>0</v>
      </c>
      <c r="AA138" s="11">
        <v>0</v>
      </c>
      <c r="AB138" s="12"/>
      <c r="AC138" s="11">
        <v>0</v>
      </c>
      <c r="AD138" s="11">
        <v>0</v>
      </c>
      <c r="AE138" s="11">
        <v>0</v>
      </c>
      <c r="AF138" s="11">
        <v>0</v>
      </c>
      <c r="AG138" s="11">
        <v>0</v>
      </c>
      <c r="AH138" s="11">
        <v>0</v>
      </c>
      <c r="AI138" s="11">
        <v>0</v>
      </c>
      <c r="AJ138" s="12">
        <v>0</v>
      </c>
      <c r="AK138" s="11">
        <v>0</v>
      </c>
      <c r="AL138" s="12">
        <v>0</v>
      </c>
      <c r="AM138" s="11">
        <v>0</v>
      </c>
      <c r="AN138" s="12">
        <v>0</v>
      </c>
      <c r="AO138" s="11">
        <v>0</v>
      </c>
      <c r="AP138" s="11">
        <v>0</v>
      </c>
      <c r="AQ138" s="11">
        <v>0</v>
      </c>
      <c r="AR138" s="11">
        <v>0</v>
      </c>
      <c r="AS138" s="12"/>
      <c r="AT138" s="11">
        <v>0</v>
      </c>
      <c r="AU138" s="11">
        <v>0</v>
      </c>
      <c r="AV138" s="11">
        <v>0</v>
      </c>
      <c r="AW138" s="11">
        <v>0</v>
      </c>
      <c r="AX138" s="11">
        <v>0</v>
      </c>
      <c r="AY138" s="11">
        <v>0</v>
      </c>
      <c r="AZ138" s="11">
        <v>0</v>
      </c>
      <c r="BA138" s="11">
        <v>0</v>
      </c>
      <c r="BB138" s="12">
        <v>0</v>
      </c>
      <c r="BC138" s="11">
        <v>0</v>
      </c>
      <c r="BD138" s="11">
        <v>0</v>
      </c>
      <c r="BE138" s="11">
        <v>0</v>
      </c>
      <c r="BF138" s="11">
        <v>0</v>
      </c>
      <c r="BG138" s="11">
        <v>0</v>
      </c>
      <c r="BH138" s="11">
        <v>0</v>
      </c>
      <c r="BI138" s="11">
        <v>0</v>
      </c>
      <c r="BJ138" s="11">
        <v>0</v>
      </c>
      <c r="BK138" s="11">
        <v>0</v>
      </c>
      <c r="BL138" s="11">
        <v>0</v>
      </c>
      <c r="BM138" s="11">
        <v>0</v>
      </c>
    </row>
    <row r="139" spans="1:65" x14ac:dyDescent="0.25">
      <c r="A139" s="32"/>
      <c r="B139" s="10">
        <v>1720</v>
      </c>
      <c r="C139" s="10" t="s">
        <v>194</v>
      </c>
      <c r="D139" s="11">
        <v>2171925502638</v>
      </c>
      <c r="E139" s="11">
        <v>108057623886</v>
      </c>
      <c r="F139" s="11">
        <v>0</v>
      </c>
      <c r="G139" s="11">
        <v>0</v>
      </c>
      <c r="H139" s="11">
        <v>2279983126524</v>
      </c>
      <c r="I139" s="11">
        <v>190152626291</v>
      </c>
      <c r="J139" s="11">
        <v>2089830500233</v>
      </c>
      <c r="K139" s="11">
        <v>2379572239642</v>
      </c>
      <c r="L139" s="11">
        <v>-99589113118</v>
      </c>
      <c r="M139" s="12">
        <v>-4.1900000000000004</v>
      </c>
      <c r="N139" s="11">
        <v>1413341386466</v>
      </c>
      <c r="O139" s="12">
        <v>65.239999999999995</v>
      </c>
      <c r="P139" s="12">
        <v>67.63</v>
      </c>
      <c r="Q139" s="12">
        <v>2.2999999999999998</v>
      </c>
      <c r="R139" s="11">
        <v>1451986754687</v>
      </c>
      <c r="S139" s="11">
        <v>35555943157</v>
      </c>
      <c r="T139" s="11">
        <v>18541492070</v>
      </c>
      <c r="U139" s="11">
        <v>10159347471</v>
      </c>
      <c r="V139" s="11">
        <v>6855103616</v>
      </c>
      <c r="W139" s="11">
        <v>1487542697844</v>
      </c>
      <c r="X139" s="11">
        <v>195186790219</v>
      </c>
      <c r="Y139" s="11">
        <v>42596308560</v>
      </c>
      <c r="Z139" s="11">
        <v>1725325796623</v>
      </c>
      <c r="AA139" s="11">
        <v>1243288311659</v>
      </c>
      <c r="AB139" s="12">
        <v>19.649999999999999</v>
      </c>
      <c r="AC139" s="11">
        <v>628500472400</v>
      </c>
      <c r="AD139" s="11">
        <v>628500472400</v>
      </c>
      <c r="AE139" s="11">
        <v>0</v>
      </c>
      <c r="AF139" s="11">
        <v>34818656910</v>
      </c>
      <c r="AG139" s="11">
        <v>0</v>
      </c>
      <c r="AH139" s="11">
        <v>0</v>
      </c>
      <c r="AI139" s="11">
        <v>0</v>
      </c>
      <c r="AJ139" s="12">
        <v>0</v>
      </c>
      <c r="AK139" s="11">
        <v>0</v>
      </c>
      <c r="AL139" s="12">
        <v>53</v>
      </c>
      <c r="AM139" s="11">
        <v>368780772298</v>
      </c>
      <c r="AN139" s="12">
        <v>34</v>
      </c>
      <c r="AO139" s="11">
        <v>215493180231</v>
      </c>
      <c r="AP139" s="11">
        <v>35555943157</v>
      </c>
      <c r="AQ139" s="11">
        <v>26612174897</v>
      </c>
      <c r="AR139" s="11">
        <v>8943768260</v>
      </c>
      <c r="AS139" s="12">
        <v>33.61</v>
      </c>
      <c r="AT139" s="11">
        <v>536759370780</v>
      </c>
      <c r="AU139" s="11">
        <v>69379177742</v>
      </c>
      <c r="AV139" s="11">
        <v>515928626731</v>
      </c>
      <c r="AW139" s="11">
        <v>260184216103</v>
      </c>
      <c r="AX139" s="11">
        <v>912829659804</v>
      </c>
      <c r="AY139" s="11">
        <v>482983000000</v>
      </c>
      <c r="AZ139" s="11">
        <v>660322056838</v>
      </c>
      <c r="BA139" s="11">
        <v>2279983126524</v>
      </c>
      <c r="BB139" s="13">
        <v>108840</v>
      </c>
      <c r="BC139" s="11">
        <v>884170466720</v>
      </c>
      <c r="BD139" s="11">
        <v>912829659804</v>
      </c>
      <c r="BE139" s="11">
        <v>482983000000</v>
      </c>
      <c r="BF139" s="11">
        <v>372803621841</v>
      </c>
      <c r="BG139" s="11">
        <v>255696850559</v>
      </c>
      <c r="BH139" s="11">
        <v>0</v>
      </c>
      <c r="BI139" s="11">
        <v>0</v>
      </c>
      <c r="BJ139" s="11">
        <v>0</v>
      </c>
      <c r="BK139" s="11">
        <v>0</v>
      </c>
      <c r="BL139" s="11">
        <v>0</v>
      </c>
      <c r="BM139" s="11">
        <v>35752239931</v>
      </c>
    </row>
    <row r="140" spans="1:65" x14ac:dyDescent="0.25">
      <c r="A140" s="32"/>
      <c r="B140" s="10">
        <v>1722</v>
      </c>
      <c r="C140" s="10" t="s">
        <v>195</v>
      </c>
      <c r="D140" s="11">
        <v>6138816054125</v>
      </c>
      <c r="E140" s="11">
        <v>79736656097</v>
      </c>
      <c r="F140" s="11">
        <v>0</v>
      </c>
      <c r="G140" s="11">
        <v>67537039421</v>
      </c>
      <c r="H140" s="11">
        <v>6286089749643</v>
      </c>
      <c r="I140" s="11">
        <v>493533103839</v>
      </c>
      <c r="J140" s="11">
        <v>5792556645804</v>
      </c>
      <c r="K140" s="11">
        <v>2650921221597</v>
      </c>
      <c r="L140" s="11">
        <v>3635168528046</v>
      </c>
      <c r="M140" s="12">
        <v>137.13</v>
      </c>
      <c r="N140" s="11">
        <v>2656096709110</v>
      </c>
      <c r="O140" s="12">
        <v>44.43</v>
      </c>
      <c r="P140" s="12">
        <v>45.85</v>
      </c>
      <c r="Q140" s="12">
        <v>9.14</v>
      </c>
      <c r="R140" s="11">
        <v>2521846110601</v>
      </c>
      <c r="S140" s="11">
        <v>271222674747</v>
      </c>
      <c r="T140" s="11">
        <v>122542525892</v>
      </c>
      <c r="U140" s="11">
        <v>144448770728</v>
      </c>
      <c r="V140" s="11">
        <v>4231378127</v>
      </c>
      <c r="W140" s="11">
        <v>2793068785348</v>
      </c>
      <c r="X140" s="11">
        <v>155442438848</v>
      </c>
      <c r="Y140" s="11">
        <v>18554412036</v>
      </c>
      <c r="Z140" s="11">
        <v>2967065636232</v>
      </c>
      <c r="AA140" s="11">
        <v>2229126949486</v>
      </c>
      <c r="AB140" s="12">
        <v>25.3</v>
      </c>
      <c r="AC140" s="11">
        <v>1995764429218</v>
      </c>
      <c r="AD140" s="11">
        <v>1995764429218</v>
      </c>
      <c r="AE140" s="11">
        <v>30395021857</v>
      </c>
      <c r="AF140" s="11">
        <v>5581295738</v>
      </c>
      <c r="AG140" s="11">
        <v>0</v>
      </c>
      <c r="AH140" s="11">
        <v>0</v>
      </c>
      <c r="AI140" s="11">
        <v>0</v>
      </c>
      <c r="AJ140" s="12">
        <v>5</v>
      </c>
      <c r="AK140" s="11">
        <v>149382574000</v>
      </c>
      <c r="AL140" s="12">
        <v>32</v>
      </c>
      <c r="AM140" s="11">
        <v>139085135097</v>
      </c>
      <c r="AN140" s="12">
        <v>13</v>
      </c>
      <c r="AO140" s="11">
        <v>37830998205</v>
      </c>
      <c r="AP140" s="11">
        <v>271222674747</v>
      </c>
      <c r="AQ140" s="11">
        <v>42629310456</v>
      </c>
      <c r="AR140" s="11">
        <v>228593364291</v>
      </c>
      <c r="AS140" s="12">
        <v>536.24</v>
      </c>
      <c r="AT140" s="11">
        <v>1723684648844</v>
      </c>
      <c r="AU140" s="11">
        <v>655492269302</v>
      </c>
      <c r="AV140" s="11">
        <v>655275270244</v>
      </c>
      <c r="AW140" s="11">
        <v>39897985237</v>
      </c>
      <c r="AX140" s="11">
        <v>710730798644</v>
      </c>
      <c r="AY140" s="11">
        <v>4732912000000</v>
      </c>
      <c r="AZ140" s="11">
        <v>318431048182</v>
      </c>
      <c r="BA140" s="11">
        <v>6286089749643</v>
      </c>
      <c r="BB140" s="13">
        <v>279914</v>
      </c>
      <c r="BC140" s="11">
        <v>842446950999</v>
      </c>
      <c r="BD140" s="11">
        <v>710730798644</v>
      </c>
      <c r="BE140" s="11">
        <v>4732912000000</v>
      </c>
      <c r="BF140" s="11">
        <v>1527277398113</v>
      </c>
      <c r="BG140" s="11">
        <v>468487031105</v>
      </c>
      <c r="BH140" s="11">
        <v>0</v>
      </c>
      <c r="BI140" s="11">
        <v>0</v>
      </c>
      <c r="BJ140" s="11">
        <v>30476477398</v>
      </c>
      <c r="BK140" s="11">
        <v>0</v>
      </c>
      <c r="BL140" s="11">
        <v>4200000000</v>
      </c>
      <c r="BM140" s="11">
        <v>5581295738</v>
      </c>
    </row>
    <row r="141" spans="1:65" x14ac:dyDescent="0.25">
      <c r="A141" s="32"/>
      <c r="B141" s="10">
        <v>1723</v>
      </c>
      <c r="C141" s="10" t="s">
        <v>196</v>
      </c>
      <c r="D141" s="11">
        <v>3590266584032</v>
      </c>
      <c r="E141" s="11">
        <v>39794623386</v>
      </c>
      <c r="F141" s="11">
        <v>0</v>
      </c>
      <c r="G141" s="11">
        <v>0</v>
      </c>
      <c r="H141" s="11">
        <v>3630061207418</v>
      </c>
      <c r="I141" s="11">
        <v>307211401153</v>
      </c>
      <c r="J141" s="11">
        <v>3322849806265</v>
      </c>
      <c r="K141" s="11">
        <v>3157068483730</v>
      </c>
      <c r="L141" s="11">
        <v>472992723688</v>
      </c>
      <c r="M141" s="12">
        <v>14.98</v>
      </c>
      <c r="N141" s="11">
        <v>1523730529272</v>
      </c>
      <c r="O141" s="12">
        <v>44.07</v>
      </c>
      <c r="P141" s="12">
        <v>45.86</v>
      </c>
      <c r="Q141" s="12">
        <v>0.45</v>
      </c>
      <c r="R141" s="11">
        <v>1592134432448</v>
      </c>
      <c r="S141" s="11">
        <v>7524669825</v>
      </c>
      <c r="T141" s="11">
        <v>5800078489</v>
      </c>
      <c r="U141" s="11">
        <v>1655323819</v>
      </c>
      <c r="V141" s="11">
        <v>69267517</v>
      </c>
      <c r="W141" s="11">
        <v>1599659102273</v>
      </c>
      <c r="X141" s="11">
        <v>78967247725</v>
      </c>
      <c r="Y141" s="11">
        <v>21910985000</v>
      </c>
      <c r="Z141" s="11">
        <v>1700537334998</v>
      </c>
      <c r="AA141" s="11">
        <v>1399815389916</v>
      </c>
      <c r="AB141" s="12">
        <v>14.28</v>
      </c>
      <c r="AC141" s="11">
        <v>1076243621632</v>
      </c>
      <c r="AD141" s="11">
        <v>1076243621632</v>
      </c>
      <c r="AE141" s="11">
        <v>0</v>
      </c>
      <c r="AF141" s="11">
        <v>0</v>
      </c>
      <c r="AG141" s="11">
        <v>0</v>
      </c>
      <c r="AH141" s="11">
        <v>0</v>
      </c>
      <c r="AI141" s="11">
        <v>0</v>
      </c>
      <c r="AJ141" s="12">
        <v>0</v>
      </c>
      <c r="AK141" s="11">
        <v>0</v>
      </c>
      <c r="AL141" s="12">
        <v>20</v>
      </c>
      <c r="AM141" s="11">
        <v>203949212335</v>
      </c>
      <c r="AN141" s="12">
        <v>3</v>
      </c>
      <c r="AO141" s="11">
        <v>42768704208</v>
      </c>
      <c r="AP141" s="11">
        <v>7524669825</v>
      </c>
      <c r="AQ141" s="11">
        <v>5328475184</v>
      </c>
      <c r="AR141" s="11">
        <v>2196194641</v>
      </c>
      <c r="AS141" s="12">
        <v>41.22</v>
      </c>
      <c r="AT141" s="11">
        <v>1017134117747</v>
      </c>
      <c r="AU141" s="11">
        <v>39835208373</v>
      </c>
      <c r="AV141" s="11">
        <v>2558746986520</v>
      </c>
      <c r="AW141" s="11">
        <v>305910715281</v>
      </c>
      <c r="AX141" s="11">
        <v>630661882231</v>
      </c>
      <c r="AY141" s="11">
        <v>94947000000</v>
      </c>
      <c r="AZ141" s="11">
        <v>129678060936</v>
      </c>
      <c r="BA141" s="11">
        <v>3630061207418</v>
      </c>
      <c r="BB141" s="13">
        <v>38241</v>
      </c>
      <c r="BC141" s="11">
        <v>2904452325187</v>
      </c>
      <c r="BD141" s="11">
        <v>630661882231</v>
      </c>
      <c r="BE141" s="11">
        <v>94947000000</v>
      </c>
      <c r="BF141" s="11">
        <v>478670004983</v>
      </c>
      <c r="BG141" s="11">
        <v>597573616649</v>
      </c>
      <c r="BH141" s="11">
        <v>0</v>
      </c>
      <c r="BI141" s="11">
        <v>0</v>
      </c>
      <c r="BJ141" s="11">
        <v>0</v>
      </c>
      <c r="BK141" s="11">
        <v>0</v>
      </c>
      <c r="BL141" s="11">
        <v>0</v>
      </c>
      <c r="BM141" s="11">
        <v>0</v>
      </c>
    </row>
    <row r="142" spans="1:65" x14ac:dyDescent="0.25">
      <c r="A142" s="32"/>
      <c r="B142" s="10">
        <v>1724</v>
      </c>
      <c r="C142" s="10" t="s">
        <v>197</v>
      </c>
      <c r="D142" s="11">
        <v>1396756831098</v>
      </c>
      <c r="E142" s="11">
        <v>126947615817</v>
      </c>
      <c r="F142" s="11">
        <v>0</v>
      </c>
      <c r="G142" s="11">
        <v>0</v>
      </c>
      <c r="H142" s="11">
        <v>1523704446915</v>
      </c>
      <c r="I142" s="11">
        <v>133777809074</v>
      </c>
      <c r="J142" s="11">
        <v>1389926637841</v>
      </c>
      <c r="K142" s="11">
        <v>1509686090507</v>
      </c>
      <c r="L142" s="11">
        <v>14018356408</v>
      </c>
      <c r="M142" s="12">
        <v>0.93</v>
      </c>
      <c r="N142" s="11">
        <v>719763584368</v>
      </c>
      <c r="O142" s="12">
        <v>50.75</v>
      </c>
      <c r="P142" s="12">
        <v>51.78</v>
      </c>
      <c r="Q142" s="12">
        <v>0.96</v>
      </c>
      <c r="R142" s="11">
        <v>766054945014</v>
      </c>
      <c r="S142" s="11">
        <v>7215405052</v>
      </c>
      <c r="T142" s="11">
        <v>6445273156</v>
      </c>
      <c r="U142" s="11">
        <v>0</v>
      </c>
      <c r="V142" s="11">
        <v>770131896</v>
      </c>
      <c r="W142" s="11">
        <v>773270350066</v>
      </c>
      <c r="X142" s="11">
        <v>43392443506</v>
      </c>
      <c r="Y142" s="11">
        <v>0</v>
      </c>
      <c r="Z142" s="11">
        <v>816662793572</v>
      </c>
      <c r="AA142" s="11">
        <v>495397245800</v>
      </c>
      <c r="AB142" s="12">
        <v>56.09</v>
      </c>
      <c r="AC142" s="11">
        <v>665246949695</v>
      </c>
      <c r="AD142" s="11">
        <v>665246949695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2">
        <v>0</v>
      </c>
      <c r="AK142" s="11">
        <v>0</v>
      </c>
      <c r="AL142" s="12">
        <v>13</v>
      </c>
      <c r="AM142" s="11">
        <v>194014812984</v>
      </c>
      <c r="AN142" s="12">
        <v>11</v>
      </c>
      <c r="AO142" s="11">
        <v>147815989510</v>
      </c>
      <c r="AP142" s="11">
        <v>7215405052</v>
      </c>
      <c r="AQ142" s="11">
        <v>4615719719</v>
      </c>
      <c r="AR142" s="11">
        <v>2599685333</v>
      </c>
      <c r="AS142" s="12">
        <v>56.32</v>
      </c>
      <c r="AT142" s="11">
        <v>507354230779</v>
      </c>
      <c r="AU142" s="11">
        <v>56015277853</v>
      </c>
      <c r="AV142" s="11">
        <v>186408261862</v>
      </c>
      <c r="AW142" s="11">
        <v>116514287930</v>
      </c>
      <c r="AX142" s="11">
        <v>337833281306</v>
      </c>
      <c r="AY142" s="11">
        <v>756001000000</v>
      </c>
      <c r="AZ142" s="11">
        <v>182148399321</v>
      </c>
      <c r="BA142" s="11">
        <v>1523704446915</v>
      </c>
      <c r="BB142" s="13">
        <v>96051</v>
      </c>
      <c r="BC142" s="11">
        <v>429870165609</v>
      </c>
      <c r="BD142" s="11">
        <v>337833281306</v>
      </c>
      <c r="BE142" s="11">
        <v>756001000000</v>
      </c>
      <c r="BF142" s="11">
        <v>345705189220</v>
      </c>
      <c r="BG142" s="11">
        <v>319541760475</v>
      </c>
      <c r="BH142" s="11">
        <v>0</v>
      </c>
      <c r="BI142" s="11">
        <v>0</v>
      </c>
      <c r="BJ142" s="11">
        <v>0</v>
      </c>
      <c r="BK142" s="11">
        <v>0</v>
      </c>
      <c r="BL142" s="11">
        <v>0</v>
      </c>
      <c r="BM142" s="11">
        <v>0</v>
      </c>
    </row>
    <row r="143" spans="1:65" x14ac:dyDescent="0.25">
      <c r="A143" s="32"/>
      <c r="B143" s="10">
        <v>1725</v>
      </c>
      <c r="C143" s="10" t="s">
        <v>198</v>
      </c>
      <c r="D143" s="11">
        <v>2356625817480</v>
      </c>
      <c r="E143" s="11">
        <v>98391012485</v>
      </c>
      <c r="F143" s="11">
        <v>0</v>
      </c>
      <c r="G143" s="11">
        <v>0</v>
      </c>
      <c r="H143" s="11">
        <v>2455016829965</v>
      </c>
      <c r="I143" s="11">
        <v>205231368309</v>
      </c>
      <c r="J143" s="11">
        <v>2249785461656</v>
      </c>
      <c r="K143" s="11">
        <v>1912713374197</v>
      </c>
      <c r="L143" s="11">
        <v>542303455768</v>
      </c>
      <c r="M143" s="12">
        <v>28.35</v>
      </c>
      <c r="N143" s="11">
        <v>1490045104781</v>
      </c>
      <c r="O143" s="12">
        <v>64.459999999999994</v>
      </c>
      <c r="P143" s="12">
        <v>66.23</v>
      </c>
      <c r="Q143" s="12">
        <v>1.84</v>
      </c>
      <c r="R143" s="11">
        <v>1566267654712</v>
      </c>
      <c r="S143" s="11">
        <v>16246787789</v>
      </c>
      <c r="T143" s="11">
        <v>3704752837</v>
      </c>
      <c r="U143" s="11">
        <v>988084535</v>
      </c>
      <c r="V143" s="11">
        <v>11553950417</v>
      </c>
      <c r="W143" s="11">
        <v>1582514442501</v>
      </c>
      <c r="X143" s="11">
        <v>93141779888</v>
      </c>
      <c r="Y143" s="11">
        <v>13498708255</v>
      </c>
      <c r="Z143" s="11">
        <v>1689154930644</v>
      </c>
      <c r="AA143" s="11">
        <v>1171428600501</v>
      </c>
      <c r="AB143" s="12">
        <v>35.090000000000003</v>
      </c>
      <c r="AC143" s="11">
        <v>883435730233</v>
      </c>
      <c r="AD143" s="11">
        <v>883435730233</v>
      </c>
      <c r="AE143" s="11">
        <v>0</v>
      </c>
      <c r="AF143" s="11">
        <v>0</v>
      </c>
      <c r="AG143" s="11">
        <v>0</v>
      </c>
      <c r="AH143" s="11">
        <v>0</v>
      </c>
      <c r="AI143" s="11">
        <v>0</v>
      </c>
      <c r="AJ143" s="12">
        <v>0</v>
      </c>
      <c r="AK143" s="11">
        <v>0</v>
      </c>
      <c r="AL143" s="12">
        <v>39</v>
      </c>
      <c r="AM143" s="11">
        <v>677488425007</v>
      </c>
      <c r="AN143" s="12">
        <v>19</v>
      </c>
      <c r="AO143" s="11">
        <v>336778118399</v>
      </c>
      <c r="AP143" s="11">
        <v>16246787789</v>
      </c>
      <c r="AQ143" s="11">
        <v>13248617796</v>
      </c>
      <c r="AR143" s="11">
        <v>2998169993</v>
      </c>
      <c r="AS143" s="12">
        <v>22.63</v>
      </c>
      <c r="AT143" s="11">
        <v>596756564735</v>
      </c>
      <c r="AU143" s="11">
        <v>76654738798</v>
      </c>
      <c r="AV143" s="11">
        <v>103481415009</v>
      </c>
      <c r="AW143" s="11">
        <v>150748144424</v>
      </c>
      <c r="AX143" s="11">
        <v>1415595258047</v>
      </c>
      <c r="AY143" s="11">
        <v>686801000000</v>
      </c>
      <c r="AZ143" s="11">
        <v>1235151725570</v>
      </c>
      <c r="BA143" s="11">
        <v>2455016829965</v>
      </c>
      <c r="BB143" s="13">
        <v>40177</v>
      </c>
      <c r="BC143" s="11">
        <v>352620571918</v>
      </c>
      <c r="BD143" s="11">
        <v>1415595258047</v>
      </c>
      <c r="BE143" s="11">
        <v>686801000000</v>
      </c>
      <c r="BF143" s="11">
        <v>368257550746</v>
      </c>
      <c r="BG143" s="11">
        <v>515178179487</v>
      </c>
      <c r="BH143" s="11">
        <v>0</v>
      </c>
      <c r="BI143" s="11">
        <v>0</v>
      </c>
      <c r="BJ143" s="11">
        <v>0</v>
      </c>
      <c r="BK143" s="11">
        <v>0</v>
      </c>
      <c r="BL143" s="11">
        <v>3600000000</v>
      </c>
      <c r="BM143" s="11">
        <v>0</v>
      </c>
    </row>
    <row r="144" spans="1:65" x14ac:dyDescent="0.25">
      <c r="A144" s="32"/>
      <c r="B144" s="10">
        <v>1726</v>
      </c>
      <c r="C144" s="10" t="s">
        <v>199</v>
      </c>
      <c r="D144" s="11">
        <v>5025909229138</v>
      </c>
      <c r="E144" s="11">
        <v>152660452467</v>
      </c>
      <c r="F144" s="11">
        <v>0</v>
      </c>
      <c r="G144" s="11">
        <v>0</v>
      </c>
      <c r="H144" s="11">
        <v>5178569681605</v>
      </c>
      <c r="I144" s="11">
        <v>422359040311</v>
      </c>
      <c r="J144" s="11">
        <v>4756210641294</v>
      </c>
      <c r="K144" s="11">
        <v>4782633435616</v>
      </c>
      <c r="L144" s="11">
        <v>395936245989</v>
      </c>
      <c r="M144" s="12">
        <v>8.2799999999999994</v>
      </c>
      <c r="N144" s="11">
        <v>1778022920567</v>
      </c>
      <c r="O144" s="12">
        <v>38.770000000000003</v>
      </c>
      <c r="P144" s="12">
        <v>37.380000000000003</v>
      </c>
      <c r="Q144" s="12">
        <v>0.31</v>
      </c>
      <c r="R144" s="11">
        <v>2001123171540</v>
      </c>
      <c r="S144" s="11">
        <v>6604627189</v>
      </c>
      <c r="T144" s="11">
        <v>5090786144</v>
      </c>
      <c r="U144" s="11">
        <v>1272821448</v>
      </c>
      <c r="V144" s="11">
        <v>241019597</v>
      </c>
      <c r="W144" s="11">
        <v>2007727798729</v>
      </c>
      <c r="X144" s="11">
        <v>105376621424</v>
      </c>
      <c r="Y144" s="11">
        <v>11000000000</v>
      </c>
      <c r="Z144" s="11">
        <v>2124104420153</v>
      </c>
      <c r="AA144" s="11">
        <v>1632275278987</v>
      </c>
      <c r="AB144" s="12">
        <v>23</v>
      </c>
      <c r="AC144" s="11">
        <v>963613743526</v>
      </c>
      <c r="AD144" s="11">
        <v>963613743526</v>
      </c>
      <c r="AE144" s="11">
        <v>41501249703</v>
      </c>
      <c r="AF144" s="11">
        <v>9442785138</v>
      </c>
      <c r="AG144" s="11">
        <v>0</v>
      </c>
      <c r="AH144" s="11">
        <v>0</v>
      </c>
      <c r="AI144" s="11">
        <v>0</v>
      </c>
      <c r="AJ144" s="12">
        <v>2</v>
      </c>
      <c r="AK144" s="11">
        <v>101953125000</v>
      </c>
      <c r="AL144" s="12">
        <v>39</v>
      </c>
      <c r="AM144" s="11">
        <v>382235454734</v>
      </c>
      <c r="AN144" s="12">
        <v>19</v>
      </c>
      <c r="AO144" s="11">
        <v>196944972724</v>
      </c>
      <c r="AP144" s="11">
        <v>6604627189</v>
      </c>
      <c r="AQ144" s="11">
        <v>4362352739</v>
      </c>
      <c r="AR144" s="11">
        <v>2242274450</v>
      </c>
      <c r="AS144" s="12">
        <v>51.4</v>
      </c>
      <c r="AT144" s="11">
        <v>818954558172</v>
      </c>
      <c r="AU144" s="11">
        <v>87146162167</v>
      </c>
      <c r="AV144" s="11">
        <v>749083154697</v>
      </c>
      <c r="AW144" s="11">
        <v>113389914987</v>
      </c>
      <c r="AX144" s="11">
        <v>359126159454</v>
      </c>
      <c r="AY144" s="11">
        <v>3804310000000</v>
      </c>
      <c r="AZ144" s="11">
        <v>141307902770</v>
      </c>
      <c r="BA144" s="11">
        <v>5178569681605</v>
      </c>
      <c r="BB144" s="13">
        <v>38298</v>
      </c>
      <c r="BC144" s="11">
        <v>935982989134</v>
      </c>
      <c r="BD144" s="11">
        <v>359126159454</v>
      </c>
      <c r="BE144" s="11">
        <v>3883460533017</v>
      </c>
      <c r="BF144" s="11">
        <v>501298599281</v>
      </c>
      <c r="BG144" s="11">
        <v>462315144245</v>
      </c>
      <c r="BH144" s="11">
        <v>0</v>
      </c>
      <c r="BI144" s="11">
        <v>0</v>
      </c>
      <c r="BJ144" s="11">
        <v>63717417318</v>
      </c>
      <c r="BK144" s="11">
        <v>0</v>
      </c>
      <c r="BL144" s="11">
        <v>0</v>
      </c>
      <c r="BM144" s="11">
        <v>9444160101</v>
      </c>
    </row>
    <row r="145" spans="1:65" x14ac:dyDescent="0.25">
      <c r="A145" s="32"/>
      <c r="B145" s="10">
        <v>1727</v>
      </c>
      <c r="C145" s="10" t="s">
        <v>200</v>
      </c>
      <c r="D145" s="11">
        <v>1144940330080</v>
      </c>
      <c r="E145" s="11">
        <v>108097202090</v>
      </c>
      <c r="F145" s="11">
        <v>0</v>
      </c>
      <c r="G145" s="11">
        <v>0</v>
      </c>
      <c r="H145" s="11">
        <v>1253037532170</v>
      </c>
      <c r="I145" s="11">
        <v>127837654589</v>
      </c>
      <c r="J145" s="11">
        <v>1125199877581</v>
      </c>
      <c r="K145" s="11">
        <v>1144892899852</v>
      </c>
      <c r="L145" s="11">
        <v>108144632318</v>
      </c>
      <c r="M145" s="12">
        <v>9.4499999999999993</v>
      </c>
      <c r="N145" s="11">
        <v>1136105102200</v>
      </c>
      <c r="O145" s="12">
        <v>196.52</v>
      </c>
      <c r="P145" s="12">
        <v>100.97</v>
      </c>
      <c r="Q145" s="12">
        <v>0.28999999999999998</v>
      </c>
      <c r="R145" s="11">
        <v>2455213076842</v>
      </c>
      <c r="S145" s="11">
        <v>7264845683</v>
      </c>
      <c r="T145" s="11">
        <v>4797360995</v>
      </c>
      <c r="U145" s="11">
        <v>2191604177</v>
      </c>
      <c r="V145" s="11">
        <v>275880511</v>
      </c>
      <c r="W145" s="11">
        <v>2462477922525</v>
      </c>
      <c r="X145" s="11">
        <v>95814910999</v>
      </c>
      <c r="Y145" s="11">
        <v>5559605900</v>
      </c>
      <c r="Z145" s="11">
        <v>2563852439424</v>
      </c>
      <c r="AA145" s="11">
        <v>1437159695226</v>
      </c>
      <c r="AB145" s="12">
        <v>71.34</v>
      </c>
      <c r="AC145" s="11">
        <v>409853309020</v>
      </c>
      <c r="AD145" s="11">
        <v>409853309020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2">
        <v>0</v>
      </c>
      <c r="AK145" s="11">
        <v>0</v>
      </c>
      <c r="AL145" s="12">
        <v>3</v>
      </c>
      <c r="AM145" s="11">
        <v>90316342877</v>
      </c>
      <c r="AN145" s="12">
        <v>6</v>
      </c>
      <c r="AO145" s="11">
        <v>10820694466</v>
      </c>
      <c r="AP145" s="11">
        <v>7264845683</v>
      </c>
      <c r="AQ145" s="11">
        <v>4859549612</v>
      </c>
      <c r="AR145" s="11">
        <v>2405296071</v>
      </c>
      <c r="AS145" s="12">
        <v>49.5</v>
      </c>
      <c r="AT145" s="11">
        <v>216825369072</v>
      </c>
      <c r="AU145" s="11">
        <v>16192549453</v>
      </c>
      <c r="AV145" s="11">
        <v>679460610238</v>
      </c>
      <c r="AW145" s="11">
        <v>97416639607</v>
      </c>
      <c r="AX145" s="11">
        <v>285836080235</v>
      </c>
      <c r="AY145" s="11">
        <v>82227000000</v>
      </c>
      <c r="AZ145" s="11">
        <v>131719295846</v>
      </c>
      <c r="BA145" s="11">
        <v>1253037532170</v>
      </c>
      <c r="BB145" s="13">
        <v>43310</v>
      </c>
      <c r="BC145" s="11">
        <v>786885350869</v>
      </c>
      <c r="BD145" s="11">
        <v>285836080235</v>
      </c>
      <c r="BE145" s="11">
        <v>180316101066</v>
      </c>
      <c r="BF145" s="11">
        <v>115800980800</v>
      </c>
      <c r="BG145" s="11">
        <v>294052328220</v>
      </c>
      <c r="BH145" s="11">
        <v>0</v>
      </c>
      <c r="BI145" s="11">
        <v>0</v>
      </c>
      <c r="BJ145" s="11">
        <v>0</v>
      </c>
      <c r="BK145" s="11">
        <v>0</v>
      </c>
      <c r="BL145" s="11">
        <v>0</v>
      </c>
      <c r="BM145" s="11">
        <v>0</v>
      </c>
    </row>
    <row r="146" spans="1:65" x14ac:dyDescent="0.25">
      <c r="A146" s="32"/>
      <c r="B146" s="10">
        <v>1728</v>
      </c>
      <c r="C146" s="10" t="s">
        <v>201</v>
      </c>
      <c r="D146" s="11">
        <v>6575825083411</v>
      </c>
      <c r="E146" s="11">
        <v>290723178442</v>
      </c>
      <c r="F146" s="11">
        <v>0</v>
      </c>
      <c r="G146" s="11">
        <v>40187700</v>
      </c>
      <c r="H146" s="11">
        <v>6866588449553</v>
      </c>
      <c r="I146" s="11">
        <v>561681441283</v>
      </c>
      <c r="J146" s="11">
        <v>6304907008270</v>
      </c>
      <c r="K146" s="11">
        <v>6210792411249</v>
      </c>
      <c r="L146" s="11">
        <v>655796038304</v>
      </c>
      <c r="M146" s="12">
        <v>10.56</v>
      </c>
      <c r="N146" s="11">
        <v>6968806444300</v>
      </c>
      <c r="O146" s="12">
        <v>102.54</v>
      </c>
      <c r="P146" s="12">
        <v>110.53</v>
      </c>
      <c r="Q146" s="12">
        <v>2.54</v>
      </c>
      <c r="R146" s="11">
        <v>6857655041503</v>
      </c>
      <c r="S146" s="11">
        <v>183511802581</v>
      </c>
      <c r="T146" s="11">
        <v>118722656288</v>
      </c>
      <c r="U146" s="11">
        <v>60223071331</v>
      </c>
      <c r="V146" s="11">
        <v>4566074962</v>
      </c>
      <c r="W146" s="11">
        <v>7041166844084</v>
      </c>
      <c r="X146" s="11">
        <v>483742872741</v>
      </c>
      <c r="Y146" s="11">
        <v>32403737097</v>
      </c>
      <c r="Z146" s="11">
        <v>7557313453922</v>
      </c>
      <c r="AA146" s="11">
        <v>4111041089238</v>
      </c>
      <c r="AB146" s="12">
        <v>71.27</v>
      </c>
      <c r="AC146" s="11">
        <v>3654091284213</v>
      </c>
      <c r="AD146" s="11">
        <v>3577268160928</v>
      </c>
      <c r="AE146" s="11">
        <v>244800844860</v>
      </c>
      <c r="AF146" s="11">
        <v>180000000000</v>
      </c>
      <c r="AG146" s="11">
        <v>0</v>
      </c>
      <c r="AH146" s="11">
        <v>0</v>
      </c>
      <c r="AI146" s="11">
        <v>0</v>
      </c>
      <c r="AJ146" s="12">
        <v>7</v>
      </c>
      <c r="AK146" s="11">
        <v>390153851660</v>
      </c>
      <c r="AL146" s="12">
        <v>201</v>
      </c>
      <c r="AM146" s="11">
        <v>2644400331222</v>
      </c>
      <c r="AN146" s="12">
        <v>154</v>
      </c>
      <c r="AO146" s="11">
        <v>1983371272740</v>
      </c>
      <c r="AP146" s="11">
        <v>183511802581</v>
      </c>
      <c r="AQ146" s="11">
        <v>58046116950</v>
      </c>
      <c r="AR146" s="11">
        <v>125465685631</v>
      </c>
      <c r="AS146" s="12">
        <v>216.15</v>
      </c>
      <c r="AT146" s="11">
        <v>2208897815669</v>
      </c>
      <c r="AU146" s="11">
        <v>351452356157</v>
      </c>
      <c r="AV146" s="11">
        <v>847360725565</v>
      </c>
      <c r="AW146" s="11">
        <v>263278361275</v>
      </c>
      <c r="AX146" s="11">
        <v>2458676096571</v>
      </c>
      <c r="AY146" s="11">
        <v>3006509900000</v>
      </c>
      <c r="AZ146" s="11">
        <v>365241092618</v>
      </c>
      <c r="BA146" s="11">
        <v>6866588449553</v>
      </c>
      <c r="BB146" s="13">
        <v>85839</v>
      </c>
      <c r="BC146" s="11">
        <v>1401402452982</v>
      </c>
      <c r="BD146" s="11">
        <v>2458676096571</v>
      </c>
      <c r="BE146" s="11">
        <v>3006509900000</v>
      </c>
      <c r="BF146" s="11">
        <v>3419078530393</v>
      </c>
      <c r="BG146" s="11">
        <v>235012753820</v>
      </c>
      <c r="BH146" s="11">
        <v>0</v>
      </c>
      <c r="BI146" s="11">
        <v>0</v>
      </c>
      <c r="BJ146" s="11">
        <v>249340933087</v>
      </c>
      <c r="BK146" s="11">
        <v>180000000000</v>
      </c>
      <c r="BL146" s="11">
        <v>0</v>
      </c>
      <c r="BM146" s="11">
        <v>0</v>
      </c>
    </row>
    <row r="147" spans="1:65" x14ac:dyDescent="0.25">
      <c r="A147" s="32"/>
      <c r="B147" s="10">
        <v>1729</v>
      </c>
      <c r="C147" s="10" t="s">
        <v>202</v>
      </c>
      <c r="D147" s="11">
        <v>2101052907369</v>
      </c>
      <c r="E147" s="11">
        <v>395204421077</v>
      </c>
      <c r="F147" s="11">
        <v>0</v>
      </c>
      <c r="G147" s="11">
        <v>0</v>
      </c>
      <c r="H147" s="11">
        <v>2496257328446</v>
      </c>
      <c r="I147" s="11">
        <v>188818244120</v>
      </c>
      <c r="J147" s="11">
        <v>2307439084326</v>
      </c>
      <c r="K147" s="11">
        <v>1968185046613</v>
      </c>
      <c r="L147" s="11">
        <v>528072281833</v>
      </c>
      <c r="M147" s="12">
        <v>26.83</v>
      </c>
      <c r="N147" s="11">
        <v>3437278299749</v>
      </c>
      <c r="O147" s="12">
        <v>143.22999999999999</v>
      </c>
      <c r="P147" s="12">
        <v>148.97</v>
      </c>
      <c r="Q147" s="12">
        <v>0.48</v>
      </c>
      <c r="R147" s="11">
        <v>3561440101078</v>
      </c>
      <c r="S147" s="11">
        <v>13931179223</v>
      </c>
      <c r="T147" s="11">
        <v>9361200120</v>
      </c>
      <c r="U147" s="11">
        <v>2331350762</v>
      </c>
      <c r="V147" s="11">
        <v>2238628341</v>
      </c>
      <c r="W147" s="11">
        <v>3575371280301</v>
      </c>
      <c r="X147" s="11">
        <v>444680793340</v>
      </c>
      <c r="Y147" s="11">
        <v>57855800000</v>
      </c>
      <c r="Z147" s="11">
        <v>4077907873641</v>
      </c>
      <c r="AA147" s="11">
        <v>2509972110630</v>
      </c>
      <c r="AB147" s="12">
        <v>42.45</v>
      </c>
      <c r="AC147" s="11">
        <v>2077503842615</v>
      </c>
      <c r="AD147" s="11">
        <v>2077503842615</v>
      </c>
      <c r="AE147" s="11">
        <v>414266323637</v>
      </c>
      <c r="AF147" s="11">
        <v>0</v>
      </c>
      <c r="AG147" s="11">
        <v>0</v>
      </c>
      <c r="AH147" s="11">
        <v>0</v>
      </c>
      <c r="AI147" s="11">
        <v>0</v>
      </c>
      <c r="AJ147" s="12">
        <v>10</v>
      </c>
      <c r="AK147" s="11">
        <v>1054282788205</v>
      </c>
      <c r="AL147" s="12">
        <v>54</v>
      </c>
      <c r="AM147" s="11">
        <v>667871324689</v>
      </c>
      <c r="AN147" s="12">
        <v>43</v>
      </c>
      <c r="AO147" s="11">
        <v>197996974314</v>
      </c>
      <c r="AP147" s="11">
        <v>13931179223</v>
      </c>
      <c r="AQ147" s="11">
        <v>13824683883</v>
      </c>
      <c r="AR147" s="11">
        <v>106495340</v>
      </c>
      <c r="AS147" s="12">
        <v>0.77</v>
      </c>
      <c r="AT147" s="11">
        <v>1318628678595</v>
      </c>
      <c r="AU147" s="11">
        <v>51370894703</v>
      </c>
      <c r="AV147" s="11">
        <v>410836016739</v>
      </c>
      <c r="AW147" s="11">
        <v>220622237520</v>
      </c>
      <c r="AX147" s="11">
        <v>822437553110</v>
      </c>
      <c r="AY147" s="11">
        <v>647157100000</v>
      </c>
      <c r="AZ147" s="11">
        <v>453086064900</v>
      </c>
      <c r="BA147" s="11">
        <v>2496257328446</v>
      </c>
      <c r="BB147" s="13">
        <v>71470</v>
      </c>
      <c r="BC147" s="11">
        <v>736839354175</v>
      </c>
      <c r="BD147" s="11">
        <v>822437553110</v>
      </c>
      <c r="BE147" s="11">
        <v>936980421161</v>
      </c>
      <c r="BF147" s="11">
        <v>1453245324700</v>
      </c>
      <c r="BG147" s="11">
        <v>624258517915</v>
      </c>
      <c r="BH147" s="11">
        <v>112489550229</v>
      </c>
      <c r="BI147" s="11">
        <v>0</v>
      </c>
      <c r="BJ147" s="11">
        <v>305321506896</v>
      </c>
      <c r="BK147" s="11">
        <v>0</v>
      </c>
      <c r="BL147" s="11">
        <v>0</v>
      </c>
      <c r="BM147" s="11">
        <v>0</v>
      </c>
    </row>
    <row r="148" spans="1:65" x14ac:dyDescent="0.25">
      <c r="A148" s="32"/>
      <c r="B148" s="10">
        <v>1730</v>
      </c>
      <c r="C148" s="10" t="s">
        <v>203</v>
      </c>
      <c r="D148" s="11">
        <v>1525132382205</v>
      </c>
      <c r="E148" s="11">
        <v>102667271627</v>
      </c>
      <c r="F148" s="11">
        <v>0</v>
      </c>
      <c r="G148" s="11">
        <v>0</v>
      </c>
      <c r="H148" s="11">
        <v>1627799653832</v>
      </c>
      <c r="I148" s="11">
        <v>129764131025</v>
      </c>
      <c r="J148" s="11">
        <v>1498035522807</v>
      </c>
      <c r="K148" s="11">
        <v>1523392135071</v>
      </c>
      <c r="L148" s="11">
        <v>104407518761</v>
      </c>
      <c r="M148" s="12">
        <v>6.85</v>
      </c>
      <c r="N148" s="11">
        <v>1127095925849</v>
      </c>
      <c r="O148" s="12">
        <v>73.78</v>
      </c>
      <c r="P148" s="12">
        <v>75.239999999999995</v>
      </c>
      <c r="Q148" s="12">
        <v>1.06</v>
      </c>
      <c r="R148" s="11">
        <v>1186929287212</v>
      </c>
      <c r="S148" s="11">
        <v>14029777238</v>
      </c>
      <c r="T148" s="11">
        <v>9734467633</v>
      </c>
      <c r="U148" s="11">
        <v>3264557146</v>
      </c>
      <c r="V148" s="11">
        <v>1030752459</v>
      </c>
      <c r="W148" s="11">
        <v>1200959064450</v>
      </c>
      <c r="X148" s="11">
        <v>159892809856</v>
      </c>
      <c r="Y148" s="11">
        <v>38454786200</v>
      </c>
      <c r="Z148" s="11">
        <v>1399306660506</v>
      </c>
      <c r="AA148" s="11">
        <v>1034315221118</v>
      </c>
      <c r="AB148" s="12">
        <v>16.11</v>
      </c>
      <c r="AC148" s="11">
        <v>428152833496</v>
      </c>
      <c r="AD148" s="11">
        <v>428152833496</v>
      </c>
      <c r="AE148" s="11">
        <v>0</v>
      </c>
      <c r="AF148" s="11">
        <v>12281625</v>
      </c>
      <c r="AG148" s="11">
        <v>0</v>
      </c>
      <c r="AH148" s="11">
        <v>0</v>
      </c>
      <c r="AI148" s="11">
        <v>0</v>
      </c>
      <c r="AJ148" s="12">
        <v>0</v>
      </c>
      <c r="AK148" s="11">
        <v>0</v>
      </c>
      <c r="AL148" s="12">
        <v>182</v>
      </c>
      <c r="AM148" s="11">
        <v>1164354130439</v>
      </c>
      <c r="AN148" s="12">
        <v>36</v>
      </c>
      <c r="AO148" s="11">
        <v>183459435598</v>
      </c>
      <c r="AP148" s="11">
        <v>14029777238</v>
      </c>
      <c r="AQ148" s="11">
        <v>10235274984</v>
      </c>
      <c r="AR148" s="11">
        <v>3794502254</v>
      </c>
      <c r="AS148" s="12">
        <v>37.07</v>
      </c>
      <c r="AT148" s="11">
        <v>352776436341</v>
      </c>
      <c r="AU148" s="11">
        <v>40912578979</v>
      </c>
      <c r="AV148" s="11">
        <v>386100581975</v>
      </c>
      <c r="AW148" s="11">
        <v>157059352093</v>
      </c>
      <c r="AX148" s="11">
        <v>411442848137</v>
      </c>
      <c r="AY148" s="11">
        <v>570529600000</v>
      </c>
      <c r="AZ148" s="11">
        <v>249684749419</v>
      </c>
      <c r="BA148" s="11">
        <v>1627799653832</v>
      </c>
      <c r="BB148" s="13">
        <v>184918</v>
      </c>
      <c r="BC148" s="11">
        <v>645772257552</v>
      </c>
      <c r="BD148" s="11">
        <v>411442848137</v>
      </c>
      <c r="BE148" s="11">
        <v>570584548143</v>
      </c>
      <c r="BF148" s="11">
        <v>280331685078</v>
      </c>
      <c r="BG148" s="11">
        <v>147821148418</v>
      </c>
      <c r="BH148" s="11">
        <v>0</v>
      </c>
      <c r="BI148" s="11">
        <v>0</v>
      </c>
      <c r="BJ148" s="11">
        <v>0</v>
      </c>
      <c r="BK148" s="11">
        <v>0</v>
      </c>
      <c r="BL148" s="11">
        <v>0</v>
      </c>
      <c r="BM148" s="11">
        <v>12333779</v>
      </c>
    </row>
    <row r="149" spans="1:65" x14ac:dyDescent="0.25">
      <c r="A149" s="32"/>
      <c r="B149" s="10">
        <v>1731</v>
      </c>
      <c r="C149" s="10" t="s">
        <v>204</v>
      </c>
      <c r="D149" s="11">
        <v>7463948910585</v>
      </c>
      <c r="E149" s="11">
        <v>1044107709638</v>
      </c>
      <c r="F149" s="11">
        <v>0</v>
      </c>
      <c r="G149" s="11">
        <v>213976787972</v>
      </c>
      <c r="H149" s="11">
        <v>8722033408195</v>
      </c>
      <c r="I149" s="11">
        <v>721385839424</v>
      </c>
      <c r="J149" s="11">
        <v>8000647568771</v>
      </c>
      <c r="K149" s="11">
        <v>5127543973283</v>
      </c>
      <c r="L149" s="11">
        <v>3594489434912</v>
      </c>
      <c r="M149" s="12">
        <v>70.099999999999994</v>
      </c>
      <c r="N149" s="11">
        <v>3013807452353</v>
      </c>
      <c r="O149" s="12">
        <v>36.67</v>
      </c>
      <c r="P149" s="12">
        <v>37.67</v>
      </c>
      <c r="Q149" s="12">
        <v>18.75</v>
      </c>
      <c r="R149" s="11">
        <v>2646307505685</v>
      </c>
      <c r="S149" s="11">
        <v>552299310988</v>
      </c>
      <c r="T149" s="11">
        <v>49321709841</v>
      </c>
      <c r="U149" s="11">
        <v>112275254028</v>
      </c>
      <c r="V149" s="11">
        <v>390702347119</v>
      </c>
      <c r="W149" s="11">
        <v>3198606816673</v>
      </c>
      <c r="X149" s="11">
        <v>343187547541</v>
      </c>
      <c r="Y149" s="11">
        <v>15699888400</v>
      </c>
      <c r="Z149" s="11">
        <v>3557494252614</v>
      </c>
      <c r="AA149" s="11">
        <v>2687688387647</v>
      </c>
      <c r="AB149" s="12">
        <v>19.010000000000002</v>
      </c>
      <c r="AC149" s="11">
        <v>1958088154470</v>
      </c>
      <c r="AD149" s="11">
        <v>1958088154470</v>
      </c>
      <c r="AE149" s="11">
        <v>137607783568</v>
      </c>
      <c r="AF149" s="11">
        <v>2565793713</v>
      </c>
      <c r="AG149" s="11">
        <v>0</v>
      </c>
      <c r="AH149" s="11">
        <v>0</v>
      </c>
      <c r="AI149" s="11">
        <v>0</v>
      </c>
      <c r="AJ149" s="12">
        <v>16</v>
      </c>
      <c r="AK149" s="11">
        <v>2303100826240</v>
      </c>
      <c r="AL149" s="12">
        <v>74</v>
      </c>
      <c r="AM149" s="11">
        <v>4985127561746</v>
      </c>
      <c r="AN149" s="12">
        <v>112</v>
      </c>
      <c r="AO149" s="11">
        <v>1667333357638</v>
      </c>
      <c r="AP149" s="11">
        <v>552299310988</v>
      </c>
      <c r="AQ149" s="11">
        <v>767541898233</v>
      </c>
      <c r="AR149" s="11">
        <v>-215242587245</v>
      </c>
      <c r="AS149" s="12">
        <v>-28.04</v>
      </c>
      <c r="AT149" s="11">
        <v>1758475049662</v>
      </c>
      <c r="AU149" s="11">
        <v>313198701749</v>
      </c>
      <c r="AV149" s="11">
        <v>1286243278824</v>
      </c>
      <c r="AW149" s="11">
        <v>204528469632</v>
      </c>
      <c r="AX149" s="11">
        <v>188377162129</v>
      </c>
      <c r="AY149" s="11">
        <v>5784800000000</v>
      </c>
      <c r="AZ149" s="11">
        <v>56358468272</v>
      </c>
      <c r="BA149" s="11">
        <v>8722033408195</v>
      </c>
      <c r="BB149" s="13">
        <v>20595</v>
      </c>
      <c r="BC149" s="11">
        <v>2712429096481</v>
      </c>
      <c r="BD149" s="11">
        <v>188377162129</v>
      </c>
      <c r="BE149" s="11">
        <v>5821227149585</v>
      </c>
      <c r="BF149" s="11">
        <v>1524176516856</v>
      </c>
      <c r="BG149" s="11">
        <v>433911637614</v>
      </c>
      <c r="BH149" s="11">
        <v>0</v>
      </c>
      <c r="BI149" s="11">
        <v>386557850088</v>
      </c>
      <c r="BJ149" s="11">
        <v>191541701376</v>
      </c>
      <c r="BK149" s="11">
        <v>0</v>
      </c>
      <c r="BL149" s="11">
        <v>0</v>
      </c>
      <c r="BM149" s="11">
        <v>2565793713</v>
      </c>
    </row>
    <row r="150" spans="1:65" x14ac:dyDescent="0.25">
      <c r="A150" s="32"/>
      <c r="B150" s="10">
        <v>1732</v>
      </c>
      <c r="C150" s="10" t="s">
        <v>205</v>
      </c>
      <c r="D150" s="11">
        <v>5587226013299</v>
      </c>
      <c r="E150" s="11">
        <v>250106494381</v>
      </c>
      <c r="F150" s="11">
        <v>0</v>
      </c>
      <c r="G150" s="11">
        <v>4810299459</v>
      </c>
      <c r="H150" s="11">
        <v>5842142807139</v>
      </c>
      <c r="I150" s="11">
        <v>482038385560</v>
      </c>
      <c r="J150" s="11">
        <v>5360104421579</v>
      </c>
      <c r="K150" s="11">
        <v>2848420716913</v>
      </c>
      <c r="L150" s="11">
        <v>2993722090226</v>
      </c>
      <c r="M150" s="12">
        <v>105.1</v>
      </c>
      <c r="N150" s="11">
        <v>7389243462073</v>
      </c>
      <c r="O150" s="12">
        <v>200.73</v>
      </c>
      <c r="P150" s="12">
        <v>137.86000000000001</v>
      </c>
      <c r="Q150" s="12">
        <v>0.3</v>
      </c>
      <c r="R150" s="11">
        <v>11698584970449</v>
      </c>
      <c r="S150" s="11">
        <v>28572205100</v>
      </c>
      <c r="T150" s="11">
        <v>14435366036</v>
      </c>
      <c r="U150" s="11">
        <v>4928418428</v>
      </c>
      <c r="V150" s="11">
        <v>9208420636</v>
      </c>
      <c r="W150" s="11">
        <v>11727157175549</v>
      </c>
      <c r="X150" s="11">
        <v>554715936215</v>
      </c>
      <c r="Y150" s="11">
        <v>38549465061</v>
      </c>
      <c r="Z150" s="11">
        <v>12320422576825</v>
      </c>
      <c r="AA150" s="11">
        <v>9531328334037</v>
      </c>
      <c r="AB150" s="12">
        <v>23.04</v>
      </c>
      <c r="AC150" s="11">
        <v>3651962309211</v>
      </c>
      <c r="AD150" s="11">
        <v>3651962309211</v>
      </c>
      <c r="AE150" s="11">
        <v>161163072000</v>
      </c>
      <c r="AF150" s="11">
        <v>1189688926</v>
      </c>
      <c r="AG150" s="11">
        <v>0</v>
      </c>
      <c r="AH150" s="11">
        <v>0</v>
      </c>
      <c r="AI150" s="11">
        <v>0</v>
      </c>
      <c r="AJ150" s="12">
        <v>2</v>
      </c>
      <c r="AK150" s="11">
        <v>244131600000</v>
      </c>
      <c r="AL150" s="12">
        <v>25</v>
      </c>
      <c r="AM150" s="11">
        <v>3423689736147</v>
      </c>
      <c r="AN150" s="12">
        <v>42</v>
      </c>
      <c r="AO150" s="11">
        <v>1356909758968</v>
      </c>
      <c r="AP150" s="11">
        <v>28572205100</v>
      </c>
      <c r="AQ150" s="11">
        <v>30140978218</v>
      </c>
      <c r="AR150" s="11">
        <v>-1568773118</v>
      </c>
      <c r="AS150" s="12">
        <v>-5.2</v>
      </c>
      <c r="AT150" s="11">
        <v>3641170588201</v>
      </c>
      <c r="AU150" s="11">
        <v>74749196549</v>
      </c>
      <c r="AV150" s="11">
        <v>410042156196</v>
      </c>
      <c r="AW150" s="11">
        <v>1001090694899</v>
      </c>
      <c r="AX150" s="11">
        <v>1168984162204</v>
      </c>
      <c r="AY150" s="11">
        <v>3007109000000</v>
      </c>
      <c r="AZ150" s="11">
        <v>802167939164</v>
      </c>
      <c r="BA150" s="11">
        <v>5842142807139</v>
      </c>
      <c r="BB150" s="13">
        <v>49858</v>
      </c>
      <c r="BC150" s="11">
        <v>1666049644935</v>
      </c>
      <c r="BD150" s="11">
        <v>1168984162204</v>
      </c>
      <c r="BE150" s="11">
        <v>3007109000000</v>
      </c>
      <c r="BF150" s="11">
        <v>2529859941151</v>
      </c>
      <c r="BG150" s="11">
        <v>1122102368060</v>
      </c>
      <c r="BH150" s="11">
        <v>130699200000</v>
      </c>
      <c r="BI150" s="11">
        <v>0</v>
      </c>
      <c r="BJ150" s="11">
        <v>30512280344</v>
      </c>
      <c r="BK150" s="11">
        <v>0</v>
      </c>
      <c r="BL150" s="11">
        <v>356868697</v>
      </c>
      <c r="BM150" s="11">
        <v>1189688926</v>
      </c>
    </row>
    <row r="151" spans="1:65" x14ac:dyDescent="0.25">
      <c r="A151" s="32"/>
      <c r="B151" s="10">
        <v>1733</v>
      </c>
      <c r="C151" s="10" t="s">
        <v>206</v>
      </c>
      <c r="D151" s="11">
        <v>9198271920002</v>
      </c>
      <c r="E151" s="11">
        <v>61209024195</v>
      </c>
      <c r="F151" s="11">
        <v>0</v>
      </c>
      <c r="G151" s="11">
        <v>0</v>
      </c>
      <c r="H151" s="11">
        <v>9259480944197</v>
      </c>
      <c r="I151" s="11">
        <v>755496717373</v>
      </c>
      <c r="J151" s="11">
        <v>8503984226824</v>
      </c>
      <c r="K151" s="11">
        <v>8313335471312</v>
      </c>
      <c r="L151" s="11">
        <v>946145472885</v>
      </c>
      <c r="M151" s="12">
        <v>11.38</v>
      </c>
      <c r="N151" s="11">
        <v>2145334362834</v>
      </c>
      <c r="O151" s="12">
        <v>56.39</v>
      </c>
      <c r="P151" s="12">
        <v>25.23</v>
      </c>
      <c r="Q151" s="12">
        <v>1.64</v>
      </c>
      <c r="R151" s="11">
        <v>5187673472286</v>
      </c>
      <c r="S151" s="11">
        <v>33665176333</v>
      </c>
      <c r="T151" s="11">
        <v>3448459423</v>
      </c>
      <c r="U151" s="11">
        <v>7821918137</v>
      </c>
      <c r="V151" s="11">
        <v>22394798773</v>
      </c>
      <c r="W151" s="11">
        <v>5221338648619</v>
      </c>
      <c r="X151" s="11">
        <v>188456299432</v>
      </c>
      <c r="Y151" s="11">
        <v>33507702992</v>
      </c>
      <c r="Z151" s="11">
        <v>5443302651043</v>
      </c>
      <c r="AA151" s="11">
        <v>2438301649788</v>
      </c>
      <c r="AB151" s="12">
        <v>114.14</v>
      </c>
      <c r="AC151" s="11">
        <v>1235214962953</v>
      </c>
      <c r="AD151" s="11">
        <v>1235214962953</v>
      </c>
      <c r="AE151" s="11">
        <v>22723312352</v>
      </c>
      <c r="AF151" s="11">
        <v>0</v>
      </c>
      <c r="AG151" s="11">
        <v>0</v>
      </c>
      <c r="AH151" s="11">
        <v>0</v>
      </c>
      <c r="AI151" s="11">
        <v>0</v>
      </c>
      <c r="AJ151" s="12">
        <v>2</v>
      </c>
      <c r="AK151" s="11">
        <v>156734424000</v>
      </c>
      <c r="AL151" s="12">
        <v>16</v>
      </c>
      <c r="AM151" s="11">
        <v>115371046828</v>
      </c>
      <c r="AN151" s="12">
        <v>5</v>
      </c>
      <c r="AO151" s="11">
        <v>16455400000</v>
      </c>
      <c r="AP151" s="11">
        <v>33665176333</v>
      </c>
      <c r="AQ151" s="11">
        <v>26530772039</v>
      </c>
      <c r="AR151" s="11">
        <v>7134404294</v>
      </c>
      <c r="AS151" s="12">
        <v>26.89</v>
      </c>
      <c r="AT151" s="11">
        <v>499833576163</v>
      </c>
      <c r="AU151" s="11">
        <v>38443626533</v>
      </c>
      <c r="AV151" s="11">
        <v>156860134806</v>
      </c>
      <c r="AW151" s="11">
        <v>50510976096</v>
      </c>
      <c r="AX151" s="11">
        <v>283735809100</v>
      </c>
      <c r="AY151" s="11">
        <v>8707165000000</v>
      </c>
      <c r="AZ151" s="11">
        <v>35953324051</v>
      </c>
      <c r="BA151" s="11">
        <v>9259480944197</v>
      </c>
      <c r="BB151" s="13">
        <v>524889</v>
      </c>
      <c r="BC151" s="11">
        <v>268580135097</v>
      </c>
      <c r="BD151" s="11">
        <v>283735809100</v>
      </c>
      <c r="BE151" s="11">
        <v>8707165000000</v>
      </c>
      <c r="BF151" s="11">
        <v>641738165710</v>
      </c>
      <c r="BG151" s="11">
        <v>593476797243</v>
      </c>
      <c r="BH151" s="11">
        <v>0</v>
      </c>
      <c r="BI151" s="11">
        <v>0</v>
      </c>
      <c r="BJ151" s="11">
        <v>23029300222</v>
      </c>
      <c r="BK151" s="11">
        <v>0</v>
      </c>
      <c r="BL151" s="11">
        <v>0</v>
      </c>
      <c r="BM151" s="11">
        <v>0</v>
      </c>
    </row>
    <row r="152" spans="1:65" x14ac:dyDescent="0.25">
      <c r="A152" s="32"/>
      <c r="B152" s="10">
        <v>1734</v>
      </c>
      <c r="C152" s="10" t="s">
        <v>207</v>
      </c>
      <c r="D152" s="11">
        <v>4936929700568</v>
      </c>
      <c r="E152" s="11">
        <v>20784797346</v>
      </c>
      <c r="F152" s="11">
        <v>0</v>
      </c>
      <c r="G152" s="11">
        <v>0</v>
      </c>
      <c r="H152" s="11">
        <v>4957714497914</v>
      </c>
      <c r="I152" s="11">
        <v>376225617285</v>
      </c>
      <c r="J152" s="11">
        <v>4581488880629</v>
      </c>
      <c r="K152" s="11">
        <v>2962174861925</v>
      </c>
      <c r="L152" s="11">
        <v>1995539635989</v>
      </c>
      <c r="M152" s="12">
        <v>67.37</v>
      </c>
      <c r="N152" s="11">
        <v>2401416630345</v>
      </c>
      <c r="O152" s="12">
        <v>50.91</v>
      </c>
      <c r="P152" s="12">
        <v>52.42</v>
      </c>
      <c r="Q152" s="12">
        <v>0.09</v>
      </c>
      <c r="R152" s="11">
        <v>2521952309819</v>
      </c>
      <c r="S152" s="11">
        <v>1992107615</v>
      </c>
      <c r="T152" s="11">
        <v>1529697899</v>
      </c>
      <c r="U152" s="11">
        <v>0</v>
      </c>
      <c r="V152" s="11">
        <v>462409716</v>
      </c>
      <c r="W152" s="11">
        <v>2523944417434</v>
      </c>
      <c r="X152" s="11">
        <v>57582810682</v>
      </c>
      <c r="Y152" s="11">
        <v>0</v>
      </c>
      <c r="Z152" s="11">
        <v>2581527228116</v>
      </c>
      <c r="AA152" s="11">
        <v>1619285950619</v>
      </c>
      <c r="AB152" s="12">
        <v>55.87</v>
      </c>
      <c r="AC152" s="11">
        <v>1844707666147</v>
      </c>
      <c r="AD152" s="11">
        <v>1844707666147</v>
      </c>
      <c r="AE152" s="11">
        <v>33343445503</v>
      </c>
      <c r="AF152" s="11">
        <v>0</v>
      </c>
      <c r="AG152" s="11">
        <v>0</v>
      </c>
      <c r="AH152" s="11">
        <v>0</v>
      </c>
      <c r="AI152" s="11">
        <v>0</v>
      </c>
      <c r="AJ152" s="12">
        <v>1</v>
      </c>
      <c r="AK152" s="11">
        <v>38711200000</v>
      </c>
      <c r="AL152" s="12">
        <v>16</v>
      </c>
      <c r="AM152" s="11">
        <v>268266102576</v>
      </c>
      <c r="AN152" s="12">
        <v>16</v>
      </c>
      <c r="AO152" s="11">
        <v>67832692740</v>
      </c>
      <c r="AP152" s="11">
        <v>1992107615</v>
      </c>
      <c r="AQ152" s="11">
        <v>1213726527</v>
      </c>
      <c r="AR152" s="11">
        <v>778381088</v>
      </c>
      <c r="AS152" s="12">
        <v>64.13</v>
      </c>
      <c r="AT152" s="11">
        <v>1202117101319</v>
      </c>
      <c r="AU152" s="11">
        <v>6061349840</v>
      </c>
      <c r="AV152" s="11">
        <v>760199828750</v>
      </c>
      <c r="AW152" s="11">
        <v>49557629122</v>
      </c>
      <c r="AX152" s="11">
        <v>1247561242696</v>
      </c>
      <c r="AY152" s="11">
        <v>2879611000000</v>
      </c>
      <c r="AZ152" s="11">
        <v>604516635063</v>
      </c>
      <c r="BA152" s="11">
        <v>4952674314904</v>
      </c>
      <c r="BB152" s="13">
        <v>70068</v>
      </c>
      <c r="BC152" s="11">
        <v>830542255218</v>
      </c>
      <c r="BD152" s="11">
        <v>1247561242696</v>
      </c>
      <c r="BE152" s="11">
        <v>2879611000000</v>
      </c>
      <c r="BF152" s="11">
        <v>1728845946147</v>
      </c>
      <c r="BG152" s="11">
        <v>115861720000</v>
      </c>
      <c r="BH152" s="11">
        <v>0</v>
      </c>
      <c r="BI152" s="11">
        <v>0</v>
      </c>
      <c r="BJ152" s="11">
        <v>33442037612</v>
      </c>
      <c r="BK152" s="11">
        <v>0</v>
      </c>
      <c r="BL152" s="11">
        <v>0</v>
      </c>
      <c r="BM152" s="11">
        <v>0</v>
      </c>
    </row>
    <row r="153" spans="1:65" x14ac:dyDescent="0.25">
      <c r="A153" s="32"/>
      <c r="B153" s="10">
        <v>1735</v>
      </c>
      <c r="C153" s="10" t="s">
        <v>208</v>
      </c>
      <c r="D153" s="11">
        <v>1311673201883</v>
      </c>
      <c r="E153" s="11">
        <v>371327405207</v>
      </c>
      <c r="F153" s="11">
        <v>0</v>
      </c>
      <c r="G153" s="11">
        <v>0</v>
      </c>
      <c r="H153" s="11">
        <v>1683000607090</v>
      </c>
      <c r="I153" s="11">
        <v>151641270391</v>
      </c>
      <c r="J153" s="11">
        <v>1531359336699</v>
      </c>
      <c r="K153" s="11">
        <v>674803630854</v>
      </c>
      <c r="L153" s="11">
        <v>1008196976236</v>
      </c>
      <c r="M153" s="12">
        <v>149.41</v>
      </c>
      <c r="N153" s="11">
        <v>601074269876</v>
      </c>
      <c r="O153" s="12">
        <v>38.03</v>
      </c>
      <c r="P153" s="12">
        <v>39.25</v>
      </c>
      <c r="Q153" s="12">
        <v>0.41</v>
      </c>
      <c r="R153" s="11">
        <v>637064825824</v>
      </c>
      <c r="S153" s="11">
        <v>2919802831</v>
      </c>
      <c r="T153" s="11">
        <v>2234478306</v>
      </c>
      <c r="U153" s="11">
        <v>573282884</v>
      </c>
      <c r="V153" s="11">
        <v>112041641</v>
      </c>
      <c r="W153" s="11">
        <v>639984628655</v>
      </c>
      <c r="X153" s="11">
        <v>85057755944</v>
      </c>
      <c r="Y153" s="11">
        <v>19940846494</v>
      </c>
      <c r="Z153" s="11">
        <v>744983231093</v>
      </c>
      <c r="AA153" s="11">
        <v>361610281964</v>
      </c>
      <c r="AB153" s="12">
        <v>76.98</v>
      </c>
      <c r="AC153" s="11">
        <v>436387123112</v>
      </c>
      <c r="AD153" s="11">
        <v>436387123112</v>
      </c>
      <c r="AE153" s="11">
        <v>0</v>
      </c>
      <c r="AF153" s="11">
        <v>0</v>
      </c>
      <c r="AG153" s="11">
        <v>0</v>
      </c>
      <c r="AH153" s="11">
        <v>0</v>
      </c>
      <c r="AI153" s="11">
        <v>0</v>
      </c>
      <c r="AJ153" s="12">
        <v>0</v>
      </c>
      <c r="AK153" s="11">
        <v>0</v>
      </c>
      <c r="AL153" s="12">
        <v>8</v>
      </c>
      <c r="AM153" s="11">
        <v>86920664038</v>
      </c>
      <c r="AN153" s="12">
        <v>3</v>
      </c>
      <c r="AO153" s="11">
        <v>2188789887</v>
      </c>
      <c r="AP153" s="11">
        <v>2919802831</v>
      </c>
      <c r="AQ153" s="11">
        <v>3079410285</v>
      </c>
      <c r="AR153" s="11">
        <v>-159607454</v>
      </c>
      <c r="AS153" s="12">
        <v>-5.18</v>
      </c>
      <c r="AT153" s="11">
        <v>222779092486</v>
      </c>
      <c r="AU153" s="11">
        <v>10598009533</v>
      </c>
      <c r="AV153" s="11">
        <v>164820226272</v>
      </c>
      <c r="AW153" s="11">
        <v>67406226933</v>
      </c>
      <c r="AX153" s="11">
        <v>387137248678</v>
      </c>
      <c r="AY153" s="11">
        <v>692309500000</v>
      </c>
      <c r="AZ153" s="11">
        <v>162532591896</v>
      </c>
      <c r="BA153" s="11">
        <v>1683000607090</v>
      </c>
      <c r="BB153" s="13">
        <v>92957</v>
      </c>
      <c r="BC153" s="11">
        <v>603553858412</v>
      </c>
      <c r="BD153" s="11">
        <v>387137248678</v>
      </c>
      <c r="BE153" s="11">
        <v>692309500000</v>
      </c>
      <c r="BF153" s="11">
        <v>152327771563</v>
      </c>
      <c r="BG153" s="11">
        <v>284059351549</v>
      </c>
      <c r="BH153" s="11">
        <v>0</v>
      </c>
      <c r="BI153" s="11">
        <v>0</v>
      </c>
      <c r="BJ153" s="11">
        <v>0</v>
      </c>
      <c r="BK153" s="11">
        <v>0</v>
      </c>
      <c r="BL153" s="11">
        <v>0</v>
      </c>
      <c r="BM153" s="11">
        <v>0</v>
      </c>
    </row>
    <row r="154" spans="1:65" x14ac:dyDescent="0.25">
      <c r="A154" s="32"/>
      <c r="B154" s="10">
        <v>1736</v>
      </c>
      <c r="C154" s="10" t="s">
        <v>209</v>
      </c>
      <c r="D154" s="11">
        <v>4364961238680</v>
      </c>
      <c r="E154" s="11">
        <v>64655581572</v>
      </c>
      <c r="F154" s="11">
        <v>0</v>
      </c>
      <c r="G154" s="11">
        <v>0</v>
      </c>
      <c r="H154" s="11">
        <v>4429616820252</v>
      </c>
      <c r="I154" s="11">
        <v>324063483934</v>
      </c>
      <c r="J154" s="11">
        <v>4105553336318</v>
      </c>
      <c r="K154" s="11">
        <v>3233705757542</v>
      </c>
      <c r="L154" s="11">
        <v>1195911062710</v>
      </c>
      <c r="M154" s="12">
        <v>36.979999999999997</v>
      </c>
      <c r="N154" s="11">
        <v>2249631079124</v>
      </c>
      <c r="O154" s="12">
        <v>59.9</v>
      </c>
      <c r="P154" s="12">
        <v>54.79</v>
      </c>
      <c r="Q154" s="12">
        <v>0.35</v>
      </c>
      <c r="R154" s="11">
        <v>2643042374159</v>
      </c>
      <c r="S154" s="11">
        <v>10418695338</v>
      </c>
      <c r="T154" s="11">
        <v>6509729969</v>
      </c>
      <c r="U154" s="11">
        <v>3776090096</v>
      </c>
      <c r="V154" s="11">
        <v>132875273</v>
      </c>
      <c r="W154" s="11">
        <v>2653461069497</v>
      </c>
      <c r="X154" s="11">
        <v>402449617737</v>
      </c>
      <c r="Y154" s="11">
        <v>22295699721</v>
      </c>
      <c r="Z154" s="11">
        <v>3078206386955</v>
      </c>
      <c r="AA154" s="11">
        <v>1874629193129</v>
      </c>
      <c r="AB154" s="12">
        <v>41.55</v>
      </c>
      <c r="AC154" s="11">
        <v>1438190185000</v>
      </c>
      <c r="AD154" s="11">
        <v>1438190185000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2">
        <v>0</v>
      </c>
      <c r="AK154" s="11">
        <v>0</v>
      </c>
      <c r="AL154" s="12">
        <v>22</v>
      </c>
      <c r="AM154" s="11">
        <v>369578326530</v>
      </c>
      <c r="AN154" s="12">
        <v>7</v>
      </c>
      <c r="AO154" s="11">
        <v>29907517212</v>
      </c>
      <c r="AP154" s="11">
        <v>10418695338</v>
      </c>
      <c r="AQ154" s="11">
        <v>5705098017</v>
      </c>
      <c r="AR154" s="11">
        <v>4713597321</v>
      </c>
      <c r="AS154" s="12">
        <v>82.62</v>
      </c>
      <c r="AT154" s="11">
        <v>960381440047</v>
      </c>
      <c r="AU154" s="11">
        <v>24436554819</v>
      </c>
      <c r="AV154" s="11">
        <v>429249978757</v>
      </c>
      <c r="AW154" s="11">
        <v>159416154049</v>
      </c>
      <c r="AX154" s="11">
        <v>696162105874</v>
      </c>
      <c r="AY154" s="11">
        <v>3080133000000</v>
      </c>
      <c r="AZ154" s="11">
        <v>231321462997</v>
      </c>
      <c r="BA154" s="11">
        <v>4429616820252</v>
      </c>
      <c r="BB154" s="13">
        <v>1706220</v>
      </c>
      <c r="BC154" s="11">
        <v>652616845409</v>
      </c>
      <c r="BD154" s="11">
        <v>696162105874</v>
      </c>
      <c r="BE154" s="11">
        <v>3080837868969</v>
      </c>
      <c r="BF154" s="11">
        <v>538295797735</v>
      </c>
      <c r="BG154" s="11">
        <v>899894387265</v>
      </c>
      <c r="BH154" s="11">
        <v>0</v>
      </c>
      <c r="BI154" s="11">
        <v>0</v>
      </c>
      <c r="BJ154" s="11">
        <v>0</v>
      </c>
      <c r="BK154" s="11">
        <v>0</v>
      </c>
      <c r="BL154" s="11">
        <v>0</v>
      </c>
      <c r="BM154" s="11">
        <v>0</v>
      </c>
    </row>
    <row r="155" spans="1:65" x14ac:dyDescent="0.25">
      <c r="A155" s="32"/>
      <c r="B155" s="10">
        <v>1737</v>
      </c>
      <c r="C155" s="10" t="s">
        <v>210</v>
      </c>
      <c r="D155" s="11">
        <v>1321587845087</v>
      </c>
      <c r="E155" s="11">
        <v>6961561357</v>
      </c>
      <c r="F155" s="11">
        <v>0</v>
      </c>
      <c r="G155" s="11">
        <v>0</v>
      </c>
      <c r="H155" s="11">
        <v>1328549406444</v>
      </c>
      <c r="I155" s="11">
        <v>113704782530</v>
      </c>
      <c r="J155" s="11">
        <v>1214844623914</v>
      </c>
      <c r="K155" s="11">
        <v>1304136981300</v>
      </c>
      <c r="L155" s="11">
        <v>24412425144</v>
      </c>
      <c r="M155" s="12">
        <v>1.87</v>
      </c>
      <c r="N155" s="11">
        <v>432154411518</v>
      </c>
      <c r="O155" s="12">
        <v>36.67</v>
      </c>
      <c r="P155" s="12">
        <v>35.57</v>
      </c>
      <c r="Q155" s="12">
        <v>0.3</v>
      </c>
      <c r="R155" s="11">
        <v>485453932143</v>
      </c>
      <c r="S155" s="11">
        <v>1709052012</v>
      </c>
      <c r="T155" s="11">
        <v>1709052012</v>
      </c>
      <c r="U155" s="11">
        <v>0</v>
      </c>
      <c r="V155" s="11">
        <v>0</v>
      </c>
      <c r="W155" s="11">
        <v>487162984155</v>
      </c>
      <c r="X155" s="11">
        <v>58442963456</v>
      </c>
      <c r="Y155" s="11">
        <v>17586500000</v>
      </c>
      <c r="Z155" s="11">
        <v>563192447611</v>
      </c>
      <c r="AA155" s="11">
        <v>351874959449</v>
      </c>
      <c r="AB155" s="12">
        <v>38.450000000000003</v>
      </c>
      <c r="AC155" s="11">
        <v>217332771507</v>
      </c>
      <c r="AD155" s="11">
        <v>217332771507</v>
      </c>
      <c r="AE155" s="11">
        <v>0</v>
      </c>
      <c r="AF155" s="11">
        <v>36007381</v>
      </c>
      <c r="AG155" s="11">
        <v>0</v>
      </c>
      <c r="AH155" s="11">
        <v>0</v>
      </c>
      <c r="AI155" s="11">
        <v>0</v>
      </c>
      <c r="AJ155" s="12">
        <v>0</v>
      </c>
      <c r="AK155" s="11">
        <v>0</v>
      </c>
      <c r="AL155" s="12">
        <v>7</v>
      </c>
      <c r="AM155" s="11">
        <v>23901500000</v>
      </c>
      <c r="AN155" s="12">
        <v>4</v>
      </c>
      <c r="AO155" s="11">
        <v>10205410060</v>
      </c>
      <c r="AP155" s="11">
        <v>1709052012</v>
      </c>
      <c r="AQ155" s="11">
        <v>761571190</v>
      </c>
      <c r="AR155" s="11">
        <v>947480822</v>
      </c>
      <c r="AS155" s="12">
        <v>124.41</v>
      </c>
      <c r="AT155" s="11">
        <v>143194471880</v>
      </c>
      <c r="AU155" s="11">
        <v>6911181401</v>
      </c>
      <c r="AV155" s="11">
        <v>167150565508</v>
      </c>
      <c r="AW155" s="11">
        <v>34373172505</v>
      </c>
      <c r="AX155" s="11">
        <v>223725607074</v>
      </c>
      <c r="AY155" s="11">
        <v>896338500000</v>
      </c>
      <c r="AZ155" s="11">
        <v>95456261355</v>
      </c>
      <c r="BA155" s="11">
        <v>1328549406444</v>
      </c>
      <c r="BB155" s="13">
        <v>10874</v>
      </c>
      <c r="BC155" s="11">
        <v>208485299370</v>
      </c>
      <c r="BD155" s="11">
        <v>223725607074</v>
      </c>
      <c r="BE155" s="11">
        <v>896338500000</v>
      </c>
      <c r="BF155" s="11">
        <v>94703243163</v>
      </c>
      <c r="BG155" s="11">
        <v>122629528344</v>
      </c>
      <c r="BH155" s="11">
        <v>0</v>
      </c>
      <c r="BI155" s="11">
        <v>0</v>
      </c>
      <c r="BJ155" s="11">
        <v>0</v>
      </c>
      <c r="BK155" s="11">
        <v>0</v>
      </c>
      <c r="BL155" s="11">
        <v>0</v>
      </c>
      <c r="BM155" s="11">
        <v>38111072</v>
      </c>
    </row>
    <row r="156" spans="1:65" x14ac:dyDescent="0.25">
      <c r="A156" s="32"/>
      <c r="B156" s="10">
        <v>1738</v>
      </c>
      <c r="C156" s="10" t="s">
        <v>211</v>
      </c>
      <c r="D156" s="11">
        <v>1141349591897</v>
      </c>
      <c r="E156" s="11">
        <v>31086247005</v>
      </c>
      <c r="F156" s="11">
        <v>0</v>
      </c>
      <c r="G156" s="11">
        <v>0</v>
      </c>
      <c r="H156" s="11">
        <v>1172435838902</v>
      </c>
      <c r="I156" s="11">
        <v>89427600732</v>
      </c>
      <c r="J156" s="11">
        <v>1083008238170</v>
      </c>
      <c r="K156" s="11">
        <v>1189450157068</v>
      </c>
      <c r="L156" s="11">
        <v>-17014318166</v>
      </c>
      <c r="M156" s="12">
        <v>-1.43</v>
      </c>
      <c r="N156" s="11">
        <v>674755891188</v>
      </c>
      <c r="O156" s="12">
        <v>61.83</v>
      </c>
      <c r="P156" s="12">
        <v>62.3</v>
      </c>
      <c r="Q156" s="12">
        <v>1.39</v>
      </c>
      <c r="R156" s="11">
        <v>713458453471</v>
      </c>
      <c r="S156" s="11">
        <v>11450445737</v>
      </c>
      <c r="T156" s="11">
        <v>11003153143</v>
      </c>
      <c r="U156" s="11">
        <v>447292594</v>
      </c>
      <c r="V156" s="11">
        <v>0</v>
      </c>
      <c r="W156" s="11">
        <v>724908899208</v>
      </c>
      <c r="X156" s="11">
        <v>83606331892</v>
      </c>
      <c r="Y156" s="11">
        <v>17858741970</v>
      </c>
      <c r="Z156" s="11">
        <v>826373973070</v>
      </c>
      <c r="AA156" s="11">
        <v>725038975485</v>
      </c>
      <c r="AB156" s="12">
        <v>-0.02</v>
      </c>
      <c r="AC156" s="11">
        <v>226598147808</v>
      </c>
      <c r="AD156" s="11">
        <v>226598147808</v>
      </c>
      <c r="AE156" s="11">
        <v>0</v>
      </c>
      <c r="AF156" s="11">
        <v>21216000000</v>
      </c>
      <c r="AG156" s="11">
        <v>0</v>
      </c>
      <c r="AH156" s="11">
        <v>0</v>
      </c>
      <c r="AI156" s="11">
        <v>0</v>
      </c>
      <c r="AJ156" s="12">
        <v>0</v>
      </c>
      <c r="AK156" s="11">
        <v>0</v>
      </c>
      <c r="AL156" s="12">
        <v>72</v>
      </c>
      <c r="AM156" s="11">
        <v>136286631300</v>
      </c>
      <c r="AN156" s="12">
        <v>15</v>
      </c>
      <c r="AO156" s="11">
        <v>61851240000</v>
      </c>
      <c r="AP156" s="11">
        <v>11450445737</v>
      </c>
      <c r="AQ156" s="11">
        <v>3336218542</v>
      </c>
      <c r="AR156" s="11">
        <v>8114227195</v>
      </c>
      <c r="AS156" s="12">
        <v>243.22</v>
      </c>
      <c r="AT156" s="11">
        <v>268739936350</v>
      </c>
      <c r="AU156" s="11">
        <v>47461941641</v>
      </c>
      <c r="AV156" s="11">
        <v>100586671862</v>
      </c>
      <c r="AW156" s="11">
        <v>200030174428</v>
      </c>
      <c r="AX156" s="11">
        <v>268536745607</v>
      </c>
      <c r="AY156" s="11">
        <v>572196000000</v>
      </c>
      <c r="AZ156" s="11">
        <v>191502037295</v>
      </c>
      <c r="BA156" s="11">
        <v>1172435838902</v>
      </c>
      <c r="BB156" s="13">
        <v>3911</v>
      </c>
      <c r="BC156" s="11">
        <v>331703093295</v>
      </c>
      <c r="BD156" s="11">
        <v>268536745607</v>
      </c>
      <c r="BE156" s="11">
        <v>572196000000</v>
      </c>
      <c r="BF156" s="11">
        <v>134949128454</v>
      </c>
      <c r="BG156" s="11">
        <v>91649019354</v>
      </c>
      <c r="BH156" s="11">
        <v>0</v>
      </c>
      <c r="BI156" s="11">
        <v>0</v>
      </c>
      <c r="BJ156" s="11">
        <v>0</v>
      </c>
      <c r="BK156" s="11">
        <v>0</v>
      </c>
      <c r="BL156" s="11">
        <v>0</v>
      </c>
      <c r="BM156" s="11">
        <v>21453808219</v>
      </c>
    </row>
    <row r="157" spans="1:65" x14ac:dyDescent="0.25">
      <c r="A157" s="32"/>
      <c r="B157" s="10">
        <v>1739</v>
      </c>
      <c r="C157" s="10" t="s">
        <v>212</v>
      </c>
      <c r="D157" s="11">
        <v>4688477278926</v>
      </c>
      <c r="E157" s="11">
        <v>186820805334</v>
      </c>
      <c r="F157" s="11">
        <v>0</v>
      </c>
      <c r="G157" s="11">
        <v>0</v>
      </c>
      <c r="H157" s="11">
        <v>4875298084260</v>
      </c>
      <c r="I157" s="11">
        <v>242884127810</v>
      </c>
      <c r="J157" s="11">
        <v>4632413956450</v>
      </c>
      <c r="K157" s="11">
        <v>2860994198840</v>
      </c>
      <c r="L157" s="11">
        <v>2014303885420</v>
      </c>
      <c r="M157" s="12">
        <v>70.41</v>
      </c>
      <c r="N157" s="11">
        <v>3830741005889</v>
      </c>
      <c r="O157" s="12">
        <v>85.8</v>
      </c>
      <c r="P157" s="12">
        <v>82.69</v>
      </c>
      <c r="Q157" s="12">
        <v>2.2400000000000002</v>
      </c>
      <c r="R157" s="11">
        <v>4082403224840</v>
      </c>
      <c r="S157" s="11">
        <v>100825933719</v>
      </c>
      <c r="T157" s="11">
        <v>12564952743</v>
      </c>
      <c r="U157" s="11">
        <v>88260980976</v>
      </c>
      <c r="V157" s="11">
        <v>0</v>
      </c>
      <c r="W157" s="11">
        <v>4183229158559</v>
      </c>
      <c r="X157" s="11">
        <v>268308138808</v>
      </c>
      <c r="Y157" s="11">
        <v>56299668000</v>
      </c>
      <c r="Z157" s="11">
        <v>4507836965367</v>
      </c>
      <c r="AA157" s="11">
        <v>3029540691471</v>
      </c>
      <c r="AB157" s="12">
        <v>38.08</v>
      </c>
      <c r="AC157" s="11">
        <v>2366351188121</v>
      </c>
      <c r="AD157" s="11">
        <v>2366351188121</v>
      </c>
      <c r="AE157" s="11">
        <v>0</v>
      </c>
      <c r="AF157" s="11">
        <v>26352021782</v>
      </c>
      <c r="AG157" s="11">
        <v>0</v>
      </c>
      <c r="AH157" s="11">
        <v>0</v>
      </c>
      <c r="AI157" s="11">
        <v>0</v>
      </c>
      <c r="AJ157" s="12">
        <v>0</v>
      </c>
      <c r="AK157" s="11">
        <v>0</v>
      </c>
      <c r="AL157" s="12">
        <v>109</v>
      </c>
      <c r="AM157" s="11">
        <v>1961719327359</v>
      </c>
      <c r="AN157" s="12">
        <v>35</v>
      </c>
      <c r="AO157" s="11">
        <v>283303650540</v>
      </c>
      <c r="AP157" s="11">
        <v>100825933719</v>
      </c>
      <c r="AQ157" s="11">
        <v>15335531750</v>
      </c>
      <c r="AR157" s="11">
        <v>85490401969</v>
      </c>
      <c r="AS157" s="12">
        <v>557.47</v>
      </c>
      <c r="AT157" s="11">
        <v>1553593384371</v>
      </c>
      <c r="AU157" s="11">
        <v>71219659245</v>
      </c>
      <c r="AV157" s="11">
        <v>445457140787</v>
      </c>
      <c r="AW157" s="11">
        <v>2486264694737</v>
      </c>
      <c r="AX157" s="11">
        <v>620312443402</v>
      </c>
      <c r="AY157" s="11">
        <v>1136443000000</v>
      </c>
      <c r="AZ157" s="11">
        <v>466509957102</v>
      </c>
      <c r="BA157" s="11">
        <v>4875298084260</v>
      </c>
      <c r="BB157" s="13">
        <v>128273</v>
      </c>
      <c r="BC157" s="11">
        <v>3118542640858</v>
      </c>
      <c r="BD157" s="11">
        <v>620312443402</v>
      </c>
      <c r="BE157" s="11">
        <v>1136443000000</v>
      </c>
      <c r="BF157" s="11">
        <v>1213599835682</v>
      </c>
      <c r="BG157" s="11">
        <v>1152751352439</v>
      </c>
      <c r="BH157" s="11">
        <v>0</v>
      </c>
      <c r="BI157" s="11">
        <v>0</v>
      </c>
      <c r="BJ157" s="11">
        <v>0</v>
      </c>
      <c r="BK157" s="11">
        <v>0</v>
      </c>
      <c r="BL157" s="11">
        <v>0</v>
      </c>
      <c r="BM157" s="11">
        <v>26352021782</v>
      </c>
    </row>
    <row r="158" spans="1:65" x14ac:dyDescent="0.25">
      <c r="A158" s="32"/>
      <c r="B158" s="10">
        <v>1740</v>
      </c>
      <c r="C158" s="10" t="s">
        <v>213</v>
      </c>
      <c r="D158" s="11">
        <v>1194036435064</v>
      </c>
      <c r="E158" s="11">
        <v>182628696457</v>
      </c>
      <c r="F158" s="11">
        <v>0</v>
      </c>
      <c r="G158" s="11">
        <v>0</v>
      </c>
      <c r="H158" s="11">
        <v>1376665131521</v>
      </c>
      <c r="I158" s="11">
        <v>112313525406</v>
      </c>
      <c r="J158" s="11">
        <v>1264351606115</v>
      </c>
      <c r="K158" s="11">
        <v>553584719413</v>
      </c>
      <c r="L158" s="11">
        <v>823080412108</v>
      </c>
      <c r="M158" s="12">
        <v>148.68</v>
      </c>
      <c r="N158" s="11">
        <v>614702656862</v>
      </c>
      <c r="O158" s="12">
        <v>45.39</v>
      </c>
      <c r="P158" s="12">
        <v>48.62</v>
      </c>
      <c r="Q158" s="12">
        <v>1.35</v>
      </c>
      <c r="R158" s="11">
        <v>615573408519</v>
      </c>
      <c r="S158" s="11">
        <v>9346904725</v>
      </c>
      <c r="T158" s="11">
        <v>5990282454</v>
      </c>
      <c r="U158" s="11">
        <v>2182089282</v>
      </c>
      <c r="V158" s="11">
        <v>1174532989</v>
      </c>
      <c r="W158" s="11">
        <v>624920313244</v>
      </c>
      <c r="X158" s="11">
        <v>68732695550</v>
      </c>
      <c r="Y158" s="11">
        <v>13418672000</v>
      </c>
      <c r="Z158" s="11">
        <v>707071680794</v>
      </c>
      <c r="AA158" s="11">
        <v>461904384084</v>
      </c>
      <c r="AB158" s="12">
        <v>35.29</v>
      </c>
      <c r="AC158" s="11">
        <v>269858245958</v>
      </c>
      <c r="AD158" s="11">
        <v>269858245958</v>
      </c>
      <c r="AE158" s="11">
        <v>0</v>
      </c>
      <c r="AF158" s="11">
        <v>0</v>
      </c>
      <c r="AG158" s="11">
        <v>0</v>
      </c>
      <c r="AH158" s="11">
        <v>0</v>
      </c>
      <c r="AI158" s="11">
        <v>0</v>
      </c>
      <c r="AJ158" s="12">
        <v>0</v>
      </c>
      <c r="AK158" s="11">
        <v>0</v>
      </c>
      <c r="AL158" s="12">
        <v>128</v>
      </c>
      <c r="AM158" s="11">
        <v>2667330502106</v>
      </c>
      <c r="AN158" s="12">
        <v>13</v>
      </c>
      <c r="AO158" s="11">
        <v>24159473456</v>
      </c>
      <c r="AP158" s="11">
        <v>9346904725</v>
      </c>
      <c r="AQ158" s="11">
        <v>4740476659</v>
      </c>
      <c r="AR158" s="11">
        <v>4606428066</v>
      </c>
      <c r="AS158" s="12">
        <v>97.17</v>
      </c>
      <c r="AT158" s="11">
        <v>142642669981</v>
      </c>
      <c r="AU158" s="11">
        <v>17353328870</v>
      </c>
      <c r="AV158" s="11">
        <v>544481867339</v>
      </c>
      <c r="AW158" s="11">
        <v>145940974485</v>
      </c>
      <c r="AX158" s="11">
        <v>288928593240</v>
      </c>
      <c r="AY158" s="11">
        <v>214685000000</v>
      </c>
      <c r="AZ158" s="11">
        <v>264006027695</v>
      </c>
      <c r="BA158" s="11">
        <v>1376665131521</v>
      </c>
      <c r="BB158" s="13">
        <v>27734</v>
      </c>
      <c r="BC158" s="11">
        <v>873051538281</v>
      </c>
      <c r="BD158" s="11">
        <v>288928593240</v>
      </c>
      <c r="BE158" s="11">
        <v>214685000000</v>
      </c>
      <c r="BF158" s="11">
        <v>75389894631</v>
      </c>
      <c r="BG158" s="11">
        <v>194468351327</v>
      </c>
      <c r="BH158" s="11">
        <v>0</v>
      </c>
      <c r="BI158" s="11">
        <v>0</v>
      </c>
      <c r="BJ158" s="11">
        <v>0</v>
      </c>
      <c r="BK158" s="11">
        <v>0</v>
      </c>
      <c r="BL158" s="11">
        <v>0</v>
      </c>
      <c r="BM158" s="11">
        <v>0</v>
      </c>
    </row>
    <row r="159" spans="1:65" x14ac:dyDescent="0.25">
      <c r="A159" s="32"/>
      <c r="B159" s="10">
        <v>1741</v>
      </c>
      <c r="C159" s="10" t="s">
        <v>214</v>
      </c>
      <c r="D159" s="11">
        <v>1421200595312</v>
      </c>
      <c r="E159" s="11">
        <v>12759193963</v>
      </c>
      <c r="F159" s="11">
        <v>0</v>
      </c>
      <c r="G159" s="11">
        <v>0</v>
      </c>
      <c r="H159" s="11">
        <v>1433959789275</v>
      </c>
      <c r="I159" s="11">
        <v>114137542555</v>
      </c>
      <c r="J159" s="11">
        <v>1319822246720</v>
      </c>
      <c r="K159" s="11">
        <v>966608443395</v>
      </c>
      <c r="L159" s="11">
        <v>467351345880</v>
      </c>
      <c r="M159" s="12">
        <v>48.35</v>
      </c>
      <c r="N159" s="11">
        <v>2061713126673</v>
      </c>
      <c r="O159" s="12">
        <v>151.65</v>
      </c>
      <c r="P159" s="12">
        <v>156.21</v>
      </c>
      <c r="Q159" s="12">
        <v>2.1</v>
      </c>
      <c r="R159" s="11">
        <v>2123751257036</v>
      </c>
      <c r="S159" s="11">
        <v>50799314617</v>
      </c>
      <c r="T159" s="11">
        <v>38579194550</v>
      </c>
      <c r="U159" s="11">
        <v>5856970728</v>
      </c>
      <c r="V159" s="11">
        <v>6363149339</v>
      </c>
      <c r="W159" s="11">
        <v>2174550571653</v>
      </c>
      <c r="X159" s="11">
        <v>234733995947</v>
      </c>
      <c r="Y159" s="11">
        <v>27534408128</v>
      </c>
      <c r="Z159" s="11">
        <v>2436818975728</v>
      </c>
      <c r="AA159" s="11">
        <v>1708519454503</v>
      </c>
      <c r="AB159" s="12">
        <v>27.28</v>
      </c>
      <c r="AC159" s="11">
        <v>810856765611</v>
      </c>
      <c r="AD159" s="11">
        <v>810856765611</v>
      </c>
      <c r="AE159" s="11">
        <v>0</v>
      </c>
      <c r="AF159" s="11">
        <v>0</v>
      </c>
      <c r="AG159" s="11">
        <v>0</v>
      </c>
      <c r="AH159" s="11">
        <v>0</v>
      </c>
      <c r="AI159" s="11">
        <v>0</v>
      </c>
      <c r="AJ159" s="12">
        <v>0</v>
      </c>
      <c r="AK159" s="11">
        <v>0</v>
      </c>
      <c r="AL159" s="12">
        <v>14</v>
      </c>
      <c r="AM159" s="11">
        <v>73914524350</v>
      </c>
      <c r="AN159" s="12">
        <v>2</v>
      </c>
      <c r="AO159" s="11">
        <v>2437000000</v>
      </c>
      <c r="AP159" s="11">
        <v>50799314617</v>
      </c>
      <c r="AQ159" s="11">
        <v>40037645846</v>
      </c>
      <c r="AR159" s="11">
        <v>10761668771</v>
      </c>
      <c r="AS159" s="12">
        <v>26.88</v>
      </c>
      <c r="AT159" s="11">
        <v>586004304007</v>
      </c>
      <c r="AU159" s="11">
        <v>126969232972</v>
      </c>
      <c r="AV159" s="11">
        <v>382184148143</v>
      </c>
      <c r="AW159" s="11">
        <v>348239315446</v>
      </c>
      <c r="AX159" s="11">
        <v>439162131723</v>
      </c>
      <c r="AY159" s="11">
        <v>251615000000</v>
      </c>
      <c r="AZ159" s="11">
        <v>264687086212</v>
      </c>
      <c r="BA159" s="11">
        <v>1433959789275</v>
      </c>
      <c r="BB159" s="13">
        <v>6622</v>
      </c>
      <c r="BC159" s="11">
        <v>743182657552</v>
      </c>
      <c r="BD159" s="11">
        <v>439162131723</v>
      </c>
      <c r="BE159" s="11">
        <v>251615000000</v>
      </c>
      <c r="BF159" s="11">
        <v>588540092086</v>
      </c>
      <c r="BG159" s="11">
        <v>222316673525</v>
      </c>
      <c r="BH159" s="11">
        <v>0</v>
      </c>
      <c r="BI159" s="11">
        <v>0</v>
      </c>
      <c r="BJ159" s="11">
        <v>0</v>
      </c>
      <c r="BK159" s="11">
        <v>0</v>
      </c>
      <c r="BL159" s="11">
        <v>0</v>
      </c>
      <c r="BM159" s="11">
        <v>0</v>
      </c>
    </row>
    <row r="160" spans="1:65" x14ac:dyDescent="0.25">
      <c r="A160" s="32"/>
      <c r="B160" s="10">
        <v>1742</v>
      </c>
      <c r="C160" s="10" t="s">
        <v>215</v>
      </c>
      <c r="D160" s="11">
        <v>501308567397</v>
      </c>
      <c r="E160" s="11">
        <v>20910556909</v>
      </c>
      <c r="F160" s="11">
        <v>0</v>
      </c>
      <c r="G160" s="11">
        <v>0</v>
      </c>
      <c r="H160" s="11">
        <v>522219124306</v>
      </c>
      <c r="I160" s="11">
        <v>42831667854</v>
      </c>
      <c r="J160" s="11">
        <v>479387456452</v>
      </c>
      <c r="K160" s="11">
        <v>423768175541</v>
      </c>
      <c r="L160" s="11">
        <v>98450948765</v>
      </c>
      <c r="M160" s="12">
        <v>23.23</v>
      </c>
      <c r="N160" s="11">
        <v>475974715460</v>
      </c>
      <c r="O160" s="12">
        <v>94.41</v>
      </c>
      <c r="P160" s="12">
        <v>99.29</v>
      </c>
      <c r="Q160" s="12">
        <v>1.07</v>
      </c>
      <c r="R160" s="11">
        <v>486568452848</v>
      </c>
      <c r="S160" s="11">
        <v>6457282601</v>
      </c>
      <c r="T160" s="11">
        <v>6391620550</v>
      </c>
      <c r="U160" s="11">
        <v>65662051</v>
      </c>
      <c r="V160" s="11">
        <v>0</v>
      </c>
      <c r="W160" s="11">
        <v>493025735449</v>
      </c>
      <c r="X160" s="11">
        <v>83548781024</v>
      </c>
      <c r="Y160" s="11">
        <v>27278928920</v>
      </c>
      <c r="Z160" s="11">
        <v>603853445393</v>
      </c>
      <c r="AA160" s="11">
        <v>338410399265</v>
      </c>
      <c r="AB160" s="12">
        <v>45.69</v>
      </c>
      <c r="AC160" s="11">
        <v>266095660276</v>
      </c>
      <c r="AD160" s="11">
        <v>266095660276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2">
        <v>0</v>
      </c>
      <c r="AK160" s="11">
        <v>0</v>
      </c>
      <c r="AL160" s="12">
        <v>95</v>
      </c>
      <c r="AM160" s="11">
        <v>249537345951</v>
      </c>
      <c r="AN160" s="12">
        <v>7</v>
      </c>
      <c r="AO160" s="11">
        <v>13520497850</v>
      </c>
      <c r="AP160" s="11">
        <v>6457282601</v>
      </c>
      <c r="AQ160" s="11">
        <v>1813304106</v>
      </c>
      <c r="AR160" s="11">
        <v>4643978495</v>
      </c>
      <c r="AS160" s="12">
        <v>256.11</v>
      </c>
      <c r="AT160" s="11">
        <v>157497863492</v>
      </c>
      <c r="AU160" s="11">
        <v>15899661217</v>
      </c>
      <c r="AV160" s="11">
        <v>104355030084</v>
      </c>
      <c r="AW160" s="11">
        <v>93685625273</v>
      </c>
      <c r="AX160" s="11">
        <v>125013412040</v>
      </c>
      <c r="AY160" s="11">
        <v>178254500000</v>
      </c>
      <c r="AZ160" s="11">
        <v>98597758807</v>
      </c>
      <c r="BA160" s="11">
        <v>522219124306</v>
      </c>
      <c r="BB160" s="13">
        <v>1843</v>
      </c>
      <c r="BC160" s="11">
        <v>218951212266</v>
      </c>
      <c r="BD160" s="11">
        <v>125013412040</v>
      </c>
      <c r="BE160" s="11">
        <v>178254500000</v>
      </c>
      <c r="BF160" s="11">
        <v>126311479409</v>
      </c>
      <c r="BG160" s="11">
        <v>139784180867</v>
      </c>
      <c r="BH160" s="11">
        <v>0</v>
      </c>
      <c r="BI160" s="11">
        <v>0</v>
      </c>
      <c r="BJ160" s="11">
        <v>0</v>
      </c>
      <c r="BK160" s="11">
        <v>0</v>
      </c>
      <c r="BL160" s="11">
        <v>0</v>
      </c>
      <c r="BM160" s="11">
        <v>0</v>
      </c>
    </row>
    <row r="161" spans="1:65" x14ac:dyDescent="0.25">
      <c r="A161" s="32"/>
      <c r="B161" s="10">
        <v>1743</v>
      </c>
      <c r="C161" s="10" t="s">
        <v>216</v>
      </c>
      <c r="D161" s="11">
        <v>764903788498</v>
      </c>
      <c r="E161" s="11">
        <v>70528007442</v>
      </c>
      <c r="F161" s="11">
        <v>0</v>
      </c>
      <c r="G161" s="11">
        <v>0</v>
      </c>
      <c r="H161" s="11">
        <v>835431795940</v>
      </c>
      <c r="I161" s="11">
        <v>57064002871</v>
      </c>
      <c r="J161" s="11">
        <v>778367793069</v>
      </c>
      <c r="K161" s="11">
        <v>191638935487</v>
      </c>
      <c r="L161" s="11">
        <v>643792860453</v>
      </c>
      <c r="M161" s="12">
        <v>335.94</v>
      </c>
      <c r="N161" s="11">
        <v>69124840431</v>
      </c>
      <c r="O161" s="12">
        <v>9.09</v>
      </c>
      <c r="P161" s="12">
        <v>8.8800000000000008</v>
      </c>
      <c r="Q161" s="12">
        <v>0</v>
      </c>
      <c r="R161" s="11">
        <v>75970361086</v>
      </c>
      <c r="S161" s="11">
        <v>0</v>
      </c>
      <c r="T161" s="11">
        <v>0</v>
      </c>
      <c r="U161" s="11">
        <v>0</v>
      </c>
      <c r="V161" s="11">
        <v>0</v>
      </c>
      <c r="W161" s="11">
        <v>75970361086</v>
      </c>
      <c r="X161" s="11">
        <v>19939487208</v>
      </c>
      <c r="Y161" s="11">
        <v>10027591450</v>
      </c>
      <c r="Z161" s="11">
        <v>105937439744</v>
      </c>
      <c r="AA161" s="11">
        <v>500000000</v>
      </c>
      <c r="AB161" s="12">
        <v>15094.07</v>
      </c>
      <c r="AC161" s="11">
        <v>71097112697</v>
      </c>
      <c r="AD161" s="11">
        <v>71097112697</v>
      </c>
      <c r="AE161" s="11">
        <v>0</v>
      </c>
      <c r="AF161" s="11">
        <v>0</v>
      </c>
      <c r="AG161" s="11">
        <v>0</v>
      </c>
      <c r="AH161" s="11">
        <v>0</v>
      </c>
      <c r="AI161" s="11">
        <v>0</v>
      </c>
      <c r="AJ161" s="12">
        <v>0</v>
      </c>
      <c r="AK161" s="11">
        <v>0</v>
      </c>
      <c r="AL161" s="12">
        <v>47</v>
      </c>
      <c r="AM161" s="11">
        <v>846206181707</v>
      </c>
      <c r="AN161" s="12">
        <v>6</v>
      </c>
      <c r="AO161" s="11">
        <v>47069184044</v>
      </c>
      <c r="AP161" s="11">
        <v>0</v>
      </c>
      <c r="AQ161" s="11">
        <v>0</v>
      </c>
      <c r="AR161" s="11">
        <v>0</v>
      </c>
      <c r="AS161" s="12"/>
      <c r="AT161" s="11">
        <v>4732637610</v>
      </c>
      <c r="AU161" s="11">
        <v>0</v>
      </c>
      <c r="AV161" s="11">
        <v>55886642233</v>
      </c>
      <c r="AW161" s="11">
        <v>15897155293</v>
      </c>
      <c r="AX161" s="11">
        <v>312862990972</v>
      </c>
      <c r="AY161" s="11">
        <v>380257000000</v>
      </c>
      <c r="AZ161" s="11">
        <v>121570023707</v>
      </c>
      <c r="BA161" s="11">
        <v>835431795940</v>
      </c>
      <c r="BB161" s="12">
        <v>0</v>
      </c>
      <c r="BC161" s="11">
        <v>142311804968</v>
      </c>
      <c r="BD161" s="11">
        <v>312862990972</v>
      </c>
      <c r="BE161" s="11">
        <v>380257000000</v>
      </c>
      <c r="BF161" s="11">
        <v>9600000000</v>
      </c>
      <c r="BG161" s="11">
        <v>61497112697</v>
      </c>
      <c r="BH161" s="11">
        <v>0</v>
      </c>
      <c r="BI161" s="11">
        <v>0</v>
      </c>
      <c r="BJ161" s="11">
        <v>0</v>
      </c>
      <c r="BK161" s="11">
        <v>0</v>
      </c>
      <c r="BL161" s="11">
        <v>0</v>
      </c>
      <c r="BM161" s="11">
        <v>0</v>
      </c>
    </row>
    <row r="162" spans="1:65" x14ac:dyDescent="0.25">
      <c r="A162" s="32"/>
      <c r="B162" s="10">
        <v>1744</v>
      </c>
      <c r="C162" s="10" t="s">
        <v>217</v>
      </c>
      <c r="D162" s="11">
        <v>562876701540</v>
      </c>
      <c r="E162" s="11">
        <v>7244298567</v>
      </c>
      <c r="F162" s="11">
        <v>0</v>
      </c>
      <c r="G162" s="11">
        <v>0</v>
      </c>
      <c r="H162" s="11">
        <v>570121000107</v>
      </c>
      <c r="I162" s="11">
        <v>46021070609</v>
      </c>
      <c r="J162" s="11">
        <v>524099929498</v>
      </c>
      <c r="K162" s="11">
        <v>17011084469</v>
      </c>
      <c r="L162" s="11">
        <v>553109915638</v>
      </c>
      <c r="M162" s="12">
        <v>3251.47</v>
      </c>
      <c r="N162" s="11">
        <v>10580959469</v>
      </c>
      <c r="O162" s="12">
        <v>1.82</v>
      </c>
      <c r="P162" s="12">
        <v>2.02</v>
      </c>
      <c r="Q162" s="12">
        <v>0</v>
      </c>
      <c r="R162" s="11">
        <v>10393448471</v>
      </c>
      <c r="S162" s="11">
        <v>0</v>
      </c>
      <c r="T162" s="11">
        <v>0</v>
      </c>
      <c r="U162" s="11">
        <v>0</v>
      </c>
      <c r="V162" s="11">
        <v>0</v>
      </c>
      <c r="W162" s="11">
        <v>10393448471</v>
      </c>
      <c r="X162" s="11">
        <v>10070094771</v>
      </c>
      <c r="Y162" s="11">
        <v>7480276548</v>
      </c>
      <c r="Z162" s="11">
        <v>27943819790</v>
      </c>
      <c r="AA162" s="11">
        <v>0</v>
      </c>
      <c r="AB162" s="12"/>
      <c r="AC162" s="11">
        <v>10499620000</v>
      </c>
      <c r="AD162" s="11">
        <v>10499620000</v>
      </c>
      <c r="AE162" s="11">
        <v>0</v>
      </c>
      <c r="AF162" s="11">
        <v>0</v>
      </c>
      <c r="AG162" s="11">
        <v>0</v>
      </c>
      <c r="AH162" s="11">
        <v>0</v>
      </c>
      <c r="AI162" s="11">
        <v>0</v>
      </c>
      <c r="AJ162" s="12">
        <v>0</v>
      </c>
      <c r="AK162" s="11">
        <v>0</v>
      </c>
      <c r="AL162" s="12">
        <v>4</v>
      </c>
      <c r="AM162" s="11">
        <v>6410555200</v>
      </c>
      <c r="AN162" s="12">
        <v>0</v>
      </c>
      <c r="AO162" s="11">
        <v>0</v>
      </c>
      <c r="AP162" s="11">
        <v>0</v>
      </c>
      <c r="AQ162" s="11">
        <v>0</v>
      </c>
      <c r="AR162" s="11">
        <v>0</v>
      </c>
      <c r="AS162" s="12"/>
      <c r="AT162" s="11">
        <v>246278276</v>
      </c>
      <c r="AU162" s="11">
        <v>0</v>
      </c>
      <c r="AV162" s="11">
        <v>13701502498</v>
      </c>
      <c r="AW162" s="11">
        <v>21653403208</v>
      </c>
      <c r="AX162" s="11">
        <v>15621795834</v>
      </c>
      <c r="AY162" s="11">
        <v>511900000000</v>
      </c>
      <c r="AZ162" s="11">
        <v>14670575081</v>
      </c>
      <c r="BA162" s="11">
        <v>570121000107</v>
      </c>
      <c r="BB162" s="12">
        <v>0</v>
      </c>
      <c r="BC162" s="11">
        <v>42599204273</v>
      </c>
      <c r="BD162" s="11">
        <v>15621795834</v>
      </c>
      <c r="BE162" s="11">
        <v>511900000000</v>
      </c>
      <c r="BF162" s="11">
        <v>7999620000</v>
      </c>
      <c r="BG162" s="11">
        <v>2500000000</v>
      </c>
      <c r="BH162" s="11">
        <v>0</v>
      </c>
      <c r="BI162" s="11">
        <v>0</v>
      </c>
      <c r="BJ162" s="11">
        <v>0</v>
      </c>
      <c r="BK162" s="11">
        <v>0</v>
      </c>
      <c r="BL162" s="11">
        <v>0</v>
      </c>
      <c r="BM162" s="11">
        <v>0</v>
      </c>
    </row>
    <row r="163" spans="1:65" x14ac:dyDescent="0.25">
      <c r="A163" s="32"/>
      <c r="B163" s="10">
        <v>1745</v>
      </c>
      <c r="C163" s="10" t="s">
        <v>218</v>
      </c>
      <c r="D163" s="11">
        <v>355747166786</v>
      </c>
      <c r="E163" s="11">
        <v>3570740496</v>
      </c>
      <c r="F163" s="11">
        <v>0</v>
      </c>
      <c r="G163" s="11">
        <v>0</v>
      </c>
      <c r="H163" s="11">
        <v>359317907282</v>
      </c>
      <c r="I163" s="11">
        <v>28145891778</v>
      </c>
      <c r="J163" s="11">
        <v>331172015504</v>
      </c>
      <c r="K163" s="11">
        <v>167232403343</v>
      </c>
      <c r="L163" s="11">
        <v>192085503939</v>
      </c>
      <c r="M163" s="12">
        <v>114.86</v>
      </c>
      <c r="N163" s="11">
        <v>81600405793</v>
      </c>
      <c r="O163" s="12">
        <v>22.63</v>
      </c>
      <c r="P163" s="12">
        <v>24.64</v>
      </c>
      <c r="Q163" s="12">
        <v>0</v>
      </c>
      <c r="R163" s="11">
        <v>81310317712</v>
      </c>
      <c r="S163" s="11">
        <v>0</v>
      </c>
      <c r="T163" s="11">
        <v>0</v>
      </c>
      <c r="U163" s="11">
        <v>0</v>
      </c>
      <c r="V163" s="11">
        <v>0</v>
      </c>
      <c r="W163" s="11">
        <v>81310317712</v>
      </c>
      <c r="X163" s="11">
        <v>15187921287</v>
      </c>
      <c r="Y163" s="11">
        <v>8270694120</v>
      </c>
      <c r="Z163" s="11">
        <v>104768933119</v>
      </c>
      <c r="AA163" s="11">
        <v>0</v>
      </c>
      <c r="AB163" s="12"/>
      <c r="AC163" s="11">
        <v>87954705000</v>
      </c>
      <c r="AD163" s="11">
        <v>87954705000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2">
        <v>0</v>
      </c>
      <c r="AK163" s="11">
        <v>0</v>
      </c>
      <c r="AL163" s="12">
        <v>9</v>
      </c>
      <c r="AM163" s="11">
        <v>24983260936</v>
      </c>
      <c r="AN163" s="12">
        <v>1</v>
      </c>
      <c r="AO163" s="11">
        <v>1000000000</v>
      </c>
      <c r="AP163" s="11">
        <v>0</v>
      </c>
      <c r="AQ163" s="11">
        <v>0</v>
      </c>
      <c r="AR163" s="11">
        <v>0</v>
      </c>
      <c r="AS163" s="12"/>
      <c r="AT163" s="11">
        <v>9428673544</v>
      </c>
      <c r="AU163" s="11">
        <v>0</v>
      </c>
      <c r="AV163" s="11">
        <v>17470211534</v>
      </c>
      <c r="AW163" s="11">
        <v>87550128814</v>
      </c>
      <c r="AX163" s="11">
        <v>92576826438</v>
      </c>
      <c r="AY163" s="11">
        <v>158150000000</v>
      </c>
      <c r="AZ163" s="11">
        <v>91602394816</v>
      </c>
      <c r="BA163" s="11">
        <v>359317907282</v>
      </c>
      <c r="BB163" s="13">
        <v>0</v>
      </c>
      <c r="BC163" s="11">
        <v>108591080844</v>
      </c>
      <c r="BD163" s="11">
        <v>92576826438</v>
      </c>
      <c r="BE163" s="11">
        <v>158150000000</v>
      </c>
      <c r="BF163" s="11">
        <v>49465005000</v>
      </c>
      <c r="BG163" s="11">
        <v>38489700000</v>
      </c>
      <c r="BH163" s="11">
        <v>0</v>
      </c>
      <c r="BI163" s="11">
        <v>0</v>
      </c>
      <c r="BJ163" s="11">
        <v>0</v>
      </c>
      <c r="BK163" s="11">
        <v>0</v>
      </c>
      <c r="BL163" s="11">
        <v>0</v>
      </c>
      <c r="BM163" s="11">
        <v>0</v>
      </c>
    </row>
    <row r="164" spans="1:65" x14ac:dyDescent="0.25">
      <c r="A164" s="32"/>
      <c r="B164" s="10">
        <v>1790</v>
      </c>
      <c r="C164" s="10" t="s">
        <v>219</v>
      </c>
      <c r="D164" s="11">
        <v>8796678841744</v>
      </c>
      <c r="E164" s="11">
        <v>546398812101</v>
      </c>
      <c r="F164" s="11">
        <v>0</v>
      </c>
      <c r="G164" s="11">
        <v>1429071461024</v>
      </c>
      <c r="H164" s="11">
        <v>10772149114869</v>
      </c>
      <c r="I164" s="11">
        <v>908624772558</v>
      </c>
      <c r="J164" s="11">
        <v>9863524342311</v>
      </c>
      <c r="K164" s="11">
        <v>4452807326114</v>
      </c>
      <c r="L164" s="11">
        <v>6319341788755</v>
      </c>
      <c r="M164" s="12">
        <v>141.91999999999999</v>
      </c>
      <c r="N164" s="11">
        <v>989903968311</v>
      </c>
      <c r="O164" s="12">
        <v>14.89</v>
      </c>
      <c r="P164" s="12">
        <v>10.039999999999999</v>
      </c>
      <c r="Q164" s="12">
        <v>0.23</v>
      </c>
      <c r="R164" s="11">
        <v>1599712300847</v>
      </c>
      <c r="S164" s="11">
        <v>3769963768</v>
      </c>
      <c r="T164" s="11">
        <v>3041192443</v>
      </c>
      <c r="U164" s="11">
        <v>728771325</v>
      </c>
      <c r="V164" s="11">
        <v>0</v>
      </c>
      <c r="W164" s="11">
        <v>1603482264615</v>
      </c>
      <c r="X164" s="11">
        <v>58017123695</v>
      </c>
      <c r="Y164" s="11">
        <v>13292359874</v>
      </c>
      <c r="Z164" s="11">
        <v>1674791748184</v>
      </c>
      <c r="AA164" s="11">
        <v>1107224114030</v>
      </c>
      <c r="AB164" s="12">
        <v>44.82</v>
      </c>
      <c r="AC164" s="11">
        <v>386157617405</v>
      </c>
      <c r="AD164" s="11">
        <v>386157617405</v>
      </c>
      <c r="AE164" s="11">
        <v>0</v>
      </c>
      <c r="AF164" s="11">
        <v>0</v>
      </c>
      <c r="AG164" s="11">
        <v>0</v>
      </c>
      <c r="AH164" s="11">
        <v>0</v>
      </c>
      <c r="AI164" s="11">
        <v>0</v>
      </c>
      <c r="AJ164" s="12">
        <v>0</v>
      </c>
      <c r="AK164" s="11">
        <v>0</v>
      </c>
      <c r="AL164" s="12">
        <v>4</v>
      </c>
      <c r="AM164" s="11">
        <v>2003650000000</v>
      </c>
      <c r="AN164" s="12">
        <v>4</v>
      </c>
      <c r="AO164" s="11">
        <v>47715350538</v>
      </c>
      <c r="AP164" s="11">
        <v>3769963768</v>
      </c>
      <c r="AQ164" s="11">
        <v>2382838581</v>
      </c>
      <c r="AR164" s="11">
        <v>1387125187</v>
      </c>
      <c r="AS164" s="12">
        <v>58.21</v>
      </c>
      <c r="AT164" s="11">
        <v>287502231575</v>
      </c>
      <c r="AU164" s="11">
        <v>13406256284</v>
      </c>
      <c r="AV164" s="11">
        <v>260505872459</v>
      </c>
      <c r="AW164" s="11">
        <v>118957770626</v>
      </c>
      <c r="AX164" s="11">
        <v>206735198659</v>
      </c>
      <c r="AY164" s="11">
        <v>8210480000000</v>
      </c>
      <c r="AZ164" s="11">
        <v>103794597607</v>
      </c>
      <c r="BA164" s="11">
        <v>10772149114869</v>
      </c>
      <c r="BB164" s="13">
        <v>12440</v>
      </c>
      <c r="BC164" s="11">
        <v>2351429884015</v>
      </c>
      <c r="BD164" s="11">
        <v>206735198659</v>
      </c>
      <c r="BE164" s="11">
        <v>8213984032195</v>
      </c>
      <c r="BF164" s="11">
        <v>174058087186</v>
      </c>
      <c r="BG164" s="11">
        <v>212099530219</v>
      </c>
      <c r="BH164" s="11">
        <v>0</v>
      </c>
      <c r="BI164" s="11">
        <v>0</v>
      </c>
      <c r="BJ164" s="11">
        <v>0</v>
      </c>
      <c r="BK164" s="11">
        <v>0</v>
      </c>
      <c r="BL164" s="11">
        <v>0</v>
      </c>
      <c r="BM164" s="11">
        <v>0</v>
      </c>
    </row>
    <row r="165" spans="1:65" x14ac:dyDescent="0.25">
      <c r="A165" s="32"/>
      <c r="B165" s="10">
        <v>1799</v>
      </c>
      <c r="C165" s="10" t="s">
        <v>220</v>
      </c>
      <c r="D165" s="11">
        <v>0</v>
      </c>
      <c r="E165" s="11">
        <v>0</v>
      </c>
      <c r="F165" s="11">
        <v>0</v>
      </c>
      <c r="G165" s="11">
        <v>0</v>
      </c>
      <c r="H165" s="11">
        <v>0</v>
      </c>
      <c r="I165" s="11">
        <v>0</v>
      </c>
      <c r="J165" s="11">
        <v>0</v>
      </c>
      <c r="K165" s="11">
        <v>0</v>
      </c>
      <c r="L165" s="11">
        <v>0</v>
      </c>
      <c r="M165" s="12">
        <v>0</v>
      </c>
      <c r="N165" s="11">
        <v>0</v>
      </c>
      <c r="O165" s="12">
        <v>0</v>
      </c>
      <c r="P165" s="12"/>
      <c r="Q165" s="12">
        <v>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11">
        <v>0</v>
      </c>
      <c r="X165" s="11">
        <v>0</v>
      </c>
      <c r="Y165" s="11">
        <v>0</v>
      </c>
      <c r="Z165" s="11">
        <v>0</v>
      </c>
      <c r="AA165" s="11">
        <v>0</v>
      </c>
      <c r="AB165" s="12"/>
      <c r="AC165" s="11">
        <v>0</v>
      </c>
      <c r="AD165" s="11">
        <v>0</v>
      </c>
      <c r="AE165" s="11">
        <v>0</v>
      </c>
      <c r="AF165" s="11">
        <v>0</v>
      </c>
      <c r="AG165" s="11">
        <v>0</v>
      </c>
      <c r="AH165" s="11">
        <v>0</v>
      </c>
      <c r="AI165" s="11">
        <v>0</v>
      </c>
      <c r="AJ165" s="12">
        <v>0</v>
      </c>
      <c r="AK165" s="11">
        <v>0</v>
      </c>
      <c r="AL165" s="12">
        <v>0</v>
      </c>
      <c r="AM165" s="11">
        <v>0</v>
      </c>
      <c r="AN165" s="12">
        <v>0</v>
      </c>
      <c r="AO165" s="11">
        <v>0</v>
      </c>
      <c r="AP165" s="11">
        <v>0</v>
      </c>
      <c r="AQ165" s="11">
        <v>0</v>
      </c>
      <c r="AR165" s="11">
        <v>0</v>
      </c>
      <c r="AS165" s="12"/>
      <c r="AT165" s="11">
        <v>0</v>
      </c>
      <c r="AU165" s="11">
        <v>0</v>
      </c>
      <c r="AV165" s="11">
        <v>0</v>
      </c>
      <c r="AW165" s="11">
        <v>0</v>
      </c>
      <c r="AX165" s="11">
        <v>0</v>
      </c>
      <c r="AY165" s="11">
        <v>0</v>
      </c>
      <c r="AZ165" s="11">
        <v>0</v>
      </c>
      <c r="BA165" s="11">
        <v>0</v>
      </c>
      <c r="BB165" s="12">
        <v>0</v>
      </c>
      <c r="BC165" s="11">
        <v>0</v>
      </c>
      <c r="BD165" s="11">
        <v>0</v>
      </c>
      <c r="BE165" s="11">
        <v>0</v>
      </c>
      <c r="BF165" s="11">
        <v>0</v>
      </c>
      <c r="BG165" s="11">
        <v>0</v>
      </c>
      <c r="BH165" s="11">
        <v>0</v>
      </c>
      <c r="BI165" s="11">
        <v>0</v>
      </c>
      <c r="BJ165" s="11">
        <v>0</v>
      </c>
      <c r="BK165" s="11">
        <v>0</v>
      </c>
      <c r="BL165" s="11">
        <v>0</v>
      </c>
      <c r="BM165" s="11">
        <v>0</v>
      </c>
    </row>
    <row r="166" spans="1:65" x14ac:dyDescent="0.25">
      <c r="A166" s="14" t="s">
        <v>597</v>
      </c>
      <c r="B166" s="15"/>
      <c r="C166" s="15"/>
      <c r="D166" s="16">
        <v>170758801045640</v>
      </c>
      <c r="E166" s="16">
        <v>6847639545128</v>
      </c>
      <c r="F166" s="16">
        <v>89300000001</v>
      </c>
      <c r="G166" s="16">
        <v>2020904187077</v>
      </c>
      <c r="H166" s="16">
        <v>179716644777846</v>
      </c>
      <c r="I166" s="16">
        <v>14232841500613</v>
      </c>
      <c r="J166" s="16">
        <v>165483803277233</v>
      </c>
      <c r="K166" s="16">
        <v>125685272322584</v>
      </c>
      <c r="L166" s="16">
        <v>54031372455262</v>
      </c>
      <c r="M166" s="17">
        <v>42.99</v>
      </c>
      <c r="N166" s="16">
        <v>117382653557614</v>
      </c>
      <c r="O166" s="17">
        <v>79.95</v>
      </c>
      <c r="P166" s="17">
        <v>70.930000000000007</v>
      </c>
      <c r="Q166" s="17">
        <v>3.84</v>
      </c>
      <c r="R166" s="16">
        <v>138604515132247</v>
      </c>
      <c r="S166" s="16">
        <v>5081846546228</v>
      </c>
      <c r="T166" s="16">
        <v>1736679514486</v>
      </c>
      <c r="U166" s="16">
        <v>603055699977</v>
      </c>
      <c r="V166" s="16">
        <v>2742111331765</v>
      </c>
      <c r="W166" s="16">
        <v>143686361678475</v>
      </c>
      <c r="X166" s="16">
        <v>12661282209013</v>
      </c>
      <c r="Y166" s="16">
        <v>932042404681</v>
      </c>
      <c r="Z166" s="16">
        <v>157279686292169</v>
      </c>
      <c r="AA166" s="16">
        <v>111382028435024</v>
      </c>
      <c r="AB166" s="17">
        <v>29</v>
      </c>
      <c r="AC166" s="16">
        <v>62753148479873</v>
      </c>
      <c r="AD166" s="16">
        <v>61720958920985</v>
      </c>
      <c r="AE166" s="16">
        <v>9706044623848</v>
      </c>
      <c r="AF166" s="16">
        <v>359819035428</v>
      </c>
      <c r="AG166" s="16">
        <v>0</v>
      </c>
      <c r="AH166" s="16">
        <v>0</v>
      </c>
      <c r="AI166" s="16">
        <v>5000000000000</v>
      </c>
      <c r="AJ166" s="17">
        <v>135</v>
      </c>
      <c r="AK166" s="16">
        <v>15586042901268</v>
      </c>
      <c r="AL166" s="18">
        <v>2334</v>
      </c>
      <c r="AM166" s="16">
        <v>37499998004540</v>
      </c>
      <c r="AN166" s="18">
        <f>SUM(AN123:AN165)</f>
        <v>1018</v>
      </c>
      <c r="AO166" s="16">
        <f>SUM(AO123:AO165)</f>
        <v>10317004443658</v>
      </c>
      <c r="AP166" s="16">
        <v>5081846546228</v>
      </c>
      <c r="AQ166" s="16">
        <v>1838468071501</v>
      </c>
      <c r="AR166" s="16">
        <v>3243378474727</v>
      </c>
      <c r="AS166" s="17">
        <v>176.42</v>
      </c>
      <c r="AT166" s="16">
        <v>46259085137888</v>
      </c>
      <c r="AU166" s="16">
        <v>4517152276373</v>
      </c>
      <c r="AV166" s="16">
        <v>25143653200620</v>
      </c>
      <c r="AW166" s="16">
        <v>12770516481328</v>
      </c>
      <c r="AX166" s="16">
        <v>27968872213692</v>
      </c>
      <c r="AY166" s="16">
        <v>104875759150000</v>
      </c>
      <c r="AZ166" s="16">
        <v>11223561078027</v>
      </c>
      <c r="BA166" s="16">
        <v>179711604594836</v>
      </c>
      <c r="BB166" s="18">
        <v>5317769</v>
      </c>
      <c r="BC166" s="16">
        <v>46220443255473</v>
      </c>
      <c r="BD166" s="16">
        <v>28057169713693</v>
      </c>
      <c r="BE166" s="16">
        <v>105439031808680</v>
      </c>
      <c r="BF166" s="16">
        <v>40831828595683</v>
      </c>
      <c r="BG166" s="16">
        <v>21921319884190</v>
      </c>
      <c r="BH166" s="16">
        <v>853069164694</v>
      </c>
      <c r="BI166" s="16">
        <v>2347676259641</v>
      </c>
      <c r="BJ166" s="16">
        <v>7454226702993</v>
      </c>
      <c r="BK166" s="16">
        <v>200675239798</v>
      </c>
      <c r="BL166" s="16">
        <v>80824247739</v>
      </c>
      <c r="BM166" s="16">
        <v>170490971945</v>
      </c>
    </row>
    <row r="167" spans="1:65" x14ac:dyDescent="0.25">
      <c r="A167" s="32" t="s">
        <v>221</v>
      </c>
      <c r="B167" s="10">
        <v>3806</v>
      </c>
      <c r="C167" s="10" t="s">
        <v>222</v>
      </c>
      <c r="D167" s="11">
        <v>1813349169593</v>
      </c>
      <c r="E167" s="11">
        <v>17512850652</v>
      </c>
      <c r="F167" s="11">
        <v>0</v>
      </c>
      <c r="G167" s="11">
        <v>0</v>
      </c>
      <c r="H167" s="11">
        <v>1830862020245</v>
      </c>
      <c r="I167" s="11">
        <v>141955953767</v>
      </c>
      <c r="J167" s="11">
        <v>1688906066478</v>
      </c>
      <c r="K167" s="11">
        <v>1876967828591</v>
      </c>
      <c r="L167" s="11">
        <v>-46105808346</v>
      </c>
      <c r="M167" s="12">
        <v>-2.46</v>
      </c>
      <c r="N167" s="11">
        <v>1709959590844</v>
      </c>
      <c r="O167" s="12">
        <v>106.69</v>
      </c>
      <c r="P167" s="12">
        <v>101.25</v>
      </c>
      <c r="Q167" s="12">
        <v>1.2</v>
      </c>
      <c r="R167" s="11">
        <v>1929211451057</v>
      </c>
      <c r="S167" s="11">
        <v>24191393065</v>
      </c>
      <c r="T167" s="11">
        <v>20895443835</v>
      </c>
      <c r="U167" s="11">
        <v>3295949230</v>
      </c>
      <c r="V167" s="11">
        <v>0</v>
      </c>
      <c r="W167" s="11">
        <v>1953402844122</v>
      </c>
      <c r="X167" s="11">
        <v>63634573098</v>
      </c>
      <c r="Y167" s="11">
        <v>13507097172</v>
      </c>
      <c r="Z167" s="11">
        <v>2030544514392</v>
      </c>
      <c r="AA167" s="11">
        <v>1673520749493</v>
      </c>
      <c r="AB167" s="12">
        <v>16.72</v>
      </c>
      <c r="AC167" s="11">
        <v>941770286853</v>
      </c>
      <c r="AD167" s="11">
        <v>941770286853</v>
      </c>
      <c r="AE167" s="11">
        <v>0</v>
      </c>
      <c r="AF167" s="11">
        <v>0</v>
      </c>
      <c r="AG167" s="11">
        <v>0</v>
      </c>
      <c r="AH167" s="11">
        <v>0</v>
      </c>
      <c r="AI167" s="11">
        <v>0</v>
      </c>
      <c r="AJ167" s="12">
        <v>0</v>
      </c>
      <c r="AK167" s="11">
        <v>0</v>
      </c>
      <c r="AL167" s="12">
        <v>11</v>
      </c>
      <c r="AM167" s="11">
        <v>191854340000</v>
      </c>
      <c r="AN167" s="12">
        <v>13</v>
      </c>
      <c r="AO167" s="11">
        <v>155295000000</v>
      </c>
      <c r="AP167" s="11">
        <v>24191393065</v>
      </c>
      <c r="AQ167" s="11">
        <v>14037803841</v>
      </c>
      <c r="AR167" s="11">
        <v>10153589224</v>
      </c>
      <c r="AS167" s="12">
        <v>72.33</v>
      </c>
      <c r="AT167" s="11">
        <v>796576461087</v>
      </c>
      <c r="AU167" s="11">
        <v>107627916065</v>
      </c>
      <c r="AV167" s="11">
        <v>286113522121</v>
      </c>
      <c r="AW167" s="11">
        <v>344358015428</v>
      </c>
      <c r="AX167" s="11">
        <v>372173832044</v>
      </c>
      <c r="AY167" s="11">
        <v>810703800000</v>
      </c>
      <c r="AZ167" s="11">
        <v>243758073727</v>
      </c>
      <c r="BA167" s="11">
        <v>1830862020245</v>
      </c>
      <c r="BB167" s="13">
        <v>129972</v>
      </c>
      <c r="BC167" s="11">
        <v>647984388201</v>
      </c>
      <c r="BD167" s="11">
        <v>371653732044</v>
      </c>
      <c r="BE167" s="11">
        <v>811223900000</v>
      </c>
      <c r="BF167" s="11">
        <v>678132735853</v>
      </c>
      <c r="BG167" s="11">
        <v>263637551000</v>
      </c>
      <c r="BH167" s="11">
        <v>0</v>
      </c>
      <c r="BI167" s="11">
        <v>0</v>
      </c>
      <c r="BJ167" s="11">
        <v>0</v>
      </c>
      <c r="BK167" s="11">
        <v>0</v>
      </c>
      <c r="BL167" s="11">
        <v>0</v>
      </c>
      <c r="BM167" s="11">
        <v>0</v>
      </c>
    </row>
    <row r="168" spans="1:65" x14ac:dyDescent="0.25">
      <c r="A168" s="32"/>
      <c r="B168" s="10">
        <v>4000</v>
      </c>
      <c r="C168" s="10" t="s">
        <v>223</v>
      </c>
      <c r="D168" s="11">
        <v>2376945066204</v>
      </c>
      <c r="E168" s="11">
        <v>206533686226</v>
      </c>
      <c r="F168" s="11">
        <v>26537000000</v>
      </c>
      <c r="G168" s="11">
        <v>575085987</v>
      </c>
      <c r="H168" s="11">
        <v>2610590838417</v>
      </c>
      <c r="I168" s="11">
        <v>205785543679</v>
      </c>
      <c r="J168" s="11">
        <v>2404805294738</v>
      </c>
      <c r="K168" s="11">
        <v>2488964965599</v>
      </c>
      <c r="L168" s="11">
        <v>121625872818</v>
      </c>
      <c r="M168" s="12">
        <v>4.8899999999999997</v>
      </c>
      <c r="N168" s="11">
        <v>4133315875902</v>
      </c>
      <c r="O168" s="12">
        <v>216.74</v>
      </c>
      <c r="P168" s="12">
        <v>171.88</v>
      </c>
      <c r="Q168" s="12">
        <v>0.27</v>
      </c>
      <c r="R168" s="11">
        <v>5643185887601</v>
      </c>
      <c r="S168" s="11">
        <v>15048182776</v>
      </c>
      <c r="T168" s="11">
        <v>15048182776</v>
      </c>
      <c r="U168" s="11">
        <v>0</v>
      </c>
      <c r="V168" s="11">
        <v>0</v>
      </c>
      <c r="W168" s="11">
        <v>5658234070377</v>
      </c>
      <c r="X168" s="11">
        <v>157070818311</v>
      </c>
      <c r="Y168" s="11">
        <v>20208912287</v>
      </c>
      <c r="Z168" s="11">
        <v>5835513800975</v>
      </c>
      <c r="AA168" s="11">
        <v>4614201721348</v>
      </c>
      <c r="AB168" s="12">
        <v>22.63</v>
      </c>
      <c r="AC168" s="11">
        <v>1647492705401</v>
      </c>
      <c r="AD168" s="11">
        <v>1421934566116</v>
      </c>
      <c r="AE168" s="11">
        <v>0</v>
      </c>
      <c r="AF168" s="11">
        <v>0</v>
      </c>
      <c r="AG168" s="11">
        <v>0</v>
      </c>
      <c r="AH168" s="11">
        <v>0</v>
      </c>
      <c r="AI168" s="11">
        <v>0</v>
      </c>
      <c r="AJ168" s="12">
        <v>0</v>
      </c>
      <c r="AK168" s="11">
        <v>0</v>
      </c>
      <c r="AL168" s="12">
        <v>181</v>
      </c>
      <c r="AM168" s="11">
        <v>1277153862974</v>
      </c>
      <c r="AN168" s="12">
        <v>111</v>
      </c>
      <c r="AO168" s="11">
        <v>739786057833</v>
      </c>
      <c r="AP168" s="11">
        <v>15048182776</v>
      </c>
      <c r="AQ168" s="11">
        <v>4935313496</v>
      </c>
      <c r="AR168" s="11">
        <v>10112869280</v>
      </c>
      <c r="AS168" s="12">
        <v>204.91</v>
      </c>
      <c r="AT168" s="11">
        <v>1512900655602</v>
      </c>
      <c r="AU168" s="11">
        <v>132341312746</v>
      </c>
      <c r="AV168" s="11">
        <v>610092419833</v>
      </c>
      <c r="AW168" s="11">
        <v>176414561024</v>
      </c>
      <c r="AX168" s="11">
        <v>962750585347</v>
      </c>
      <c r="AY168" s="11">
        <v>627687500000</v>
      </c>
      <c r="AZ168" s="11">
        <v>463278609016</v>
      </c>
      <c r="BA168" s="11">
        <v>2610590838417</v>
      </c>
      <c r="BB168" s="13">
        <v>50363</v>
      </c>
      <c r="BC168" s="11">
        <v>941519427991</v>
      </c>
      <c r="BD168" s="11">
        <v>989287585347</v>
      </c>
      <c r="BE168" s="11">
        <v>679783825079</v>
      </c>
      <c r="BF168" s="11">
        <v>1469540004825</v>
      </c>
      <c r="BG168" s="11">
        <v>177952700576</v>
      </c>
      <c r="BH168" s="11">
        <v>0</v>
      </c>
      <c r="BI168" s="11">
        <v>0</v>
      </c>
      <c r="BJ168" s="11">
        <v>0</v>
      </c>
      <c r="BK168" s="11">
        <v>0</v>
      </c>
      <c r="BL168" s="11">
        <v>0</v>
      </c>
      <c r="BM168" s="11">
        <v>0</v>
      </c>
    </row>
    <row r="169" spans="1:65" x14ac:dyDescent="0.25">
      <c r="A169" s="32"/>
      <c r="B169" s="10">
        <v>4001</v>
      </c>
      <c r="C169" s="10" t="s">
        <v>224</v>
      </c>
      <c r="D169" s="11">
        <v>1583560338908</v>
      </c>
      <c r="E169" s="11">
        <v>66598924814</v>
      </c>
      <c r="F169" s="11">
        <v>0</v>
      </c>
      <c r="G169" s="11">
        <v>0</v>
      </c>
      <c r="H169" s="11">
        <v>1650159263722</v>
      </c>
      <c r="I169" s="11">
        <v>133963285114</v>
      </c>
      <c r="J169" s="11">
        <v>1516195978608</v>
      </c>
      <c r="K169" s="11">
        <v>1807419896944</v>
      </c>
      <c r="L169" s="11">
        <v>-157260633222</v>
      </c>
      <c r="M169" s="12">
        <v>-8.6999999999999993</v>
      </c>
      <c r="N169" s="11">
        <v>2457088685312</v>
      </c>
      <c r="O169" s="12">
        <v>163.99</v>
      </c>
      <c r="P169" s="12">
        <v>162.06</v>
      </c>
      <c r="Q169" s="12">
        <v>0.87</v>
      </c>
      <c r="R169" s="11">
        <v>2682241242285</v>
      </c>
      <c r="S169" s="11">
        <v>23899405089</v>
      </c>
      <c r="T169" s="11">
        <v>11264157066</v>
      </c>
      <c r="U169" s="11">
        <v>210759402</v>
      </c>
      <c r="V169" s="11">
        <v>12424488621</v>
      </c>
      <c r="W169" s="11">
        <v>2706140647374</v>
      </c>
      <c r="X169" s="11">
        <v>150911714605</v>
      </c>
      <c r="Y169" s="11">
        <v>43322289513</v>
      </c>
      <c r="Z169" s="11">
        <v>2900374651492</v>
      </c>
      <c r="AA169" s="11">
        <v>2151742422655</v>
      </c>
      <c r="AB169" s="12">
        <v>25.77</v>
      </c>
      <c r="AC169" s="11">
        <v>1739771155449</v>
      </c>
      <c r="AD169" s="11">
        <v>1731071482574</v>
      </c>
      <c r="AE169" s="11">
        <v>398500590043</v>
      </c>
      <c r="AF169" s="11">
        <v>9112500</v>
      </c>
      <c r="AG169" s="11">
        <v>0</v>
      </c>
      <c r="AH169" s="11">
        <v>0</v>
      </c>
      <c r="AI169" s="11">
        <v>0</v>
      </c>
      <c r="AJ169" s="12">
        <v>7</v>
      </c>
      <c r="AK169" s="11">
        <v>335148279610</v>
      </c>
      <c r="AL169" s="12">
        <v>18</v>
      </c>
      <c r="AM169" s="11">
        <v>375650945000</v>
      </c>
      <c r="AN169" s="12">
        <v>17</v>
      </c>
      <c r="AO169" s="11">
        <v>124409015173</v>
      </c>
      <c r="AP169" s="11">
        <v>23899405089</v>
      </c>
      <c r="AQ169" s="11">
        <v>408268324</v>
      </c>
      <c r="AR169" s="11">
        <v>23491136765</v>
      </c>
      <c r="AS169" s="19">
        <v>5753.85</v>
      </c>
      <c r="AT169" s="11">
        <v>1366540514479</v>
      </c>
      <c r="AU169" s="11">
        <v>188632894297</v>
      </c>
      <c r="AV169" s="11">
        <v>209581147890</v>
      </c>
      <c r="AW169" s="11">
        <v>448908320734</v>
      </c>
      <c r="AX169" s="11">
        <v>329646370284</v>
      </c>
      <c r="AY169" s="11">
        <v>595424500000</v>
      </c>
      <c r="AZ169" s="11">
        <v>240263114589</v>
      </c>
      <c r="BA169" s="11">
        <v>1650159263722</v>
      </c>
      <c r="BB169" s="13">
        <v>157905</v>
      </c>
      <c r="BC169" s="11">
        <v>725088393438</v>
      </c>
      <c r="BD169" s="11">
        <v>329646370284</v>
      </c>
      <c r="BE169" s="11">
        <v>595424500000</v>
      </c>
      <c r="BF169" s="11">
        <v>1178161492606</v>
      </c>
      <c r="BG169" s="11">
        <v>561609662843</v>
      </c>
      <c r="BH169" s="11">
        <v>0</v>
      </c>
      <c r="BI169" s="11">
        <v>12424488621</v>
      </c>
      <c r="BJ169" s="11">
        <v>364258271810</v>
      </c>
      <c r="BK169" s="11">
        <v>0</v>
      </c>
      <c r="BL169" s="11">
        <v>0</v>
      </c>
      <c r="BM169" s="11">
        <v>9282766</v>
      </c>
    </row>
    <row r="170" spans="1:65" x14ac:dyDescent="0.25">
      <c r="A170" s="32"/>
      <c r="B170" s="10">
        <v>4002</v>
      </c>
      <c r="C170" s="10" t="s">
        <v>225</v>
      </c>
      <c r="D170" s="11">
        <v>616324821739</v>
      </c>
      <c r="E170" s="11">
        <v>13257918054</v>
      </c>
      <c r="F170" s="11">
        <v>0</v>
      </c>
      <c r="G170" s="11">
        <v>0</v>
      </c>
      <c r="H170" s="11">
        <v>629582739793</v>
      </c>
      <c r="I170" s="11">
        <v>48736454344</v>
      </c>
      <c r="J170" s="11">
        <v>580846285449</v>
      </c>
      <c r="K170" s="11">
        <v>465340382200</v>
      </c>
      <c r="L170" s="11">
        <v>164242357593</v>
      </c>
      <c r="M170" s="12">
        <v>35.299999999999997</v>
      </c>
      <c r="N170" s="11">
        <v>649141948068</v>
      </c>
      <c r="O170" s="12">
        <v>109.87</v>
      </c>
      <c r="P170" s="12">
        <v>111.76</v>
      </c>
      <c r="Q170" s="12">
        <v>0.85</v>
      </c>
      <c r="R170" s="11">
        <v>685362918399</v>
      </c>
      <c r="S170" s="11">
        <v>6356235066</v>
      </c>
      <c r="T170" s="11">
        <v>6356235066</v>
      </c>
      <c r="U170" s="11">
        <v>0</v>
      </c>
      <c r="V170" s="11">
        <v>0</v>
      </c>
      <c r="W170" s="11">
        <v>691719153465</v>
      </c>
      <c r="X170" s="11">
        <v>47156229285</v>
      </c>
      <c r="Y170" s="11">
        <v>6054630000</v>
      </c>
      <c r="Z170" s="11">
        <v>744930012750</v>
      </c>
      <c r="AA170" s="11">
        <v>511991258362</v>
      </c>
      <c r="AB170" s="12">
        <v>35.1</v>
      </c>
      <c r="AC170" s="11">
        <v>303819264634</v>
      </c>
      <c r="AD170" s="11">
        <v>303819264634</v>
      </c>
      <c r="AE170" s="11">
        <v>0</v>
      </c>
      <c r="AF170" s="11">
        <v>0</v>
      </c>
      <c r="AG170" s="11">
        <v>0</v>
      </c>
      <c r="AH170" s="11">
        <v>0</v>
      </c>
      <c r="AI170" s="11">
        <v>0</v>
      </c>
      <c r="AJ170" s="12">
        <v>0</v>
      </c>
      <c r="AK170" s="11">
        <v>0</v>
      </c>
      <c r="AL170" s="12">
        <v>24</v>
      </c>
      <c r="AM170" s="11">
        <v>181665056921</v>
      </c>
      <c r="AN170" s="12">
        <v>5</v>
      </c>
      <c r="AO170" s="11">
        <v>16476500000</v>
      </c>
      <c r="AP170" s="11">
        <v>6356235066</v>
      </c>
      <c r="AQ170" s="11">
        <v>3695011628</v>
      </c>
      <c r="AR170" s="11">
        <v>2661223438</v>
      </c>
      <c r="AS170" s="12">
        <v>72.02</v>
      </c>
      <c r="AT170" s="11">
        <v>182365949488</v>
      </c>
      <c r="AU170" s="11">
        <v>55458312645</v>
      </c>
      <c r="AV170" s="11">
        <v>55561168738</v>
      </c>
      <c r="AW170" s="11">
        <v>157568799346</v>
      </c>
      <c r="AX170" s="11">
        <v>159096353655</v>
      </c>
      <c r="AY170" s="11">
        <v>244098500000</v>
      </c>
      <c r="AZ170" s="11">
        <v>129625176312</v>
      </c>
      <c r="BA170" s="11">
        <v>629582739793</v>
      </c>
      <c r="BB170" s="13">
        <v>9088</v>
      </c>
      <c r="BC170" s="11">
        <v>226387886138</v>
      </c>
      <c r="BD170" s="11">
        <v>159096353655</v>
      </c>
      <c r="BE170" s="11">
        <v>244098500000</v>
      </c>
      <c r="BF170" s="11">
        <v>251020204634</v>
      </c>
      <c r="BG170" s="11">
        <v>52799060000</v>
      </c>
      <c r="BH170" s="11">
        <v>0</v>
      </c>
      <c r="BI170" s="11">
        <v>0</v>
      </c>
      <c r="BJ170" s="11">
        <v>0</v>
      </c>
      <c r="BK170" s="11">
        <v>0</v>
      </c>
      <c r="BL170" s="11">
        <v>0</v>
      </c>
      <c r="BM170" s="11">
        <v>0</v>
      </c>
    </row>
    <row r="171" spans="1:65" x14ac:dyDescent="0.25">
      <c r="A171" s="32"/>
      <c r="B171" s="10">
        <v>4003</v>
      </c>
      <c r="C171" s="10" t="s">
        <v>226</v>
      </c>
      <c r="D171" s="11">
        <v>982835548691</v>
      </c>
      <c r="E171" s="11">
        <v>36716087410</v>
      </c>
      <c r="F171" s="11">
        <v>0</v>
      </c>
      <c r="G171" s="11">
        <v>0</v>
      </c>
      <c r="H171" s="11">
        <v>1019551636101</v>
      </c>
      <c r="I171" s="11">
        <v>80805135196</v>
      </c>
      <c r="J171" s="11">
        <v>938746500905</v>
      </c>
      <c r="K171" s="11">
        <v>941344859843</v>
      </c>
      <c r="L171" s="11">
        <v>78206776258</v>
      </c>
      <c r="M171" s="12">
        <v>8.31</v>
      </c>
      <c r="N171" s="11">
        <v>1641378274652</v>
      </c>
      <c r="O171" s="12">
        <v>166.4</v>
      </c>
      <c r="P171" s="12">
        <v>174.85</v>
      </c>
      <c r="Q171" s="12">
        <v>32.869999999999997</v>
      </c>
      <c r="R171" s="11">
        <v>1126611502064</v>
      </c>
      <c r="S171" s="11">
        <v>569948146415</v>
      </c>
      <c r="T171" s="11">
        <v>12387407660</v>
      </c>
      <c r="U171" s="11">
        <v>0</v>
      </c>
      <c r="V171" s="11">
        <v>557560738755</v>
      </c>
      <c r="W171" s="11">
        <v>1696559648479</v>
      </c>
      <c r="X171" s="11">
        <v>197358746050</v>
      </c>
      <c r="Y171" s="11">
        <v>22084785000</v>
      </c>
      <c r="Z171" s="11">
        <v>1916003179529</v>
      </c>
      <c r="AA171" s="11">
        <v>1589579076426</v>
      </c>
      <c r="AB171" s="12">
        <v>6.73</v>
      </c>
      <c r="AC171" s="11">
        <v>579224172329</v>
      </c>
      <c r="AD171" s="11">
        <v>568794172329</v>
      </c>
      <c r="AE171" s="11">
        <v>139772880001</v>
      </c>
      <c r="AF171" s="11">
        <v>0</v>
      </c>
      <c r="AG171" s="11">
        <v>0</v>
      </c>
      <c r="AH171" s="11">
        <v>0</v>
      </c>
      <c r="AI171" s="11">
        <v>0</v>
      </c>
      <c r="AJ171" s="12">
        <v>0</v>
      </c>
      <c r="AK171" s="11">
        <v>0</v>
      </c>
      <c r="AL171" s="12">
        <v>44</v>
      </c>
      <c r="AM171" s="11">
        <v>226517155673</v>
      </c>
      <c r="AN171" s="12">
        <v>26</v>
      </c>
      <c r="AO171" s="11">
        <v>159322489040</v>
      </c>
      <c r="AP171" s="11">
        <v>569948146415</v>
      </c>
      <c r="AQ171" s="11">
        <v>52946833506</v>
      </c>
      <c r="AR171" s="11">
        <v>517001312909</v>
      </c>
      <c r="AS171" s="12">
        <v>976.45</v>
      </c>
      <c r="AT171" s="11">
        <v>531614692649</v>
      </c>
      <c r="AU171" s="11">
        <v>143227387507</v>
      </c>
      <c r="AV171" s="11">
        <v>78766344987</v>
      </c>
      <c r="AW171" s="11">
        <v>322395242834</v>
      </c>
      <c r="AX171" s="11">
        <v>217405960870</v>
      </c>
      <c r="AY171" s="11">
        <v>364268000000</v>
      </c>
      <c r="AZ171" s="11">
        <v>156903712577</v>
      </c>
      <c r="BA171" s="11">
        <v>1019551636101</v>
      </c>
      <c r="BB171" s="13">
        <v>66029</v>
      </c>
      <c r="BC171" s="11">
        <v>437877675231</v>
      </c>
      <c r="BD171" s="11">
        <v>217405960870</v>
      </c>
      <c r="BE171" s="11">
        <v>364268000000</v>
      </c>
      <c r="BF171" s="11">
        <v>394951292328</v>
      </c>
      <c r="BG171" s="11">
        <v>184272880001</v>
      </c>
      <c r="BH171" s="11">
        <v>0</v>
      </c>
      <c r="BI171" s="11">
        <v>557560738755</v>
      </c>
      <c r="BJ171" s="11">
        <v>5728211467</v>
      </c>
      <c r="BK171" s="11">
        <v>0</v>
      </c>
      <c r="BL171" s="11">
        <v>0</v>
      </c>
      <c r="BM171" s="11">
        <v>0</v>
      </c>
    </row>
    <row r="172" spans="1:65" x14ac:dyDescent="0.25">
      <c r="A172" s="32"/>
      <c r="B172" s="10">
        <v>4004</v>
      </c>
      <c r="C172" s="10" t="s">
        <v>227</v>
      </c>
      <c r="D172" s="11">
        <v>654027345964</v>
      </c>
      <c r="E172" s="11">
        <v>5895076971</v>
      </c>
      <c r="F172" s="11">
        <v>0</v>
      </c>
      <c r="G172" s="11">
        <v>0</v>
      </c>
      <c r="H172" s="11">
        <v>659922422935</v>
      </c>
      <c r="I172" s="11">
        <v>49405812547</v>
      </c>
      <c r="J172" s="11">
        <v>610516610388</v>
      </c>
      <c r="K172" s="11">
        <v>525109496405</v>
      </c>
      <c r="L172" s="11">
        <v>134812926530</v>
      </c>
      <c r="M172" s="12">
        <v>25.67</v>
      </c>
      <c r="N172" s="11">
        <v>713288579885</v>
      </c>
      <c r="O172" s="12">
        <v>112.96</v>
      </c>
      <c r="P172" s="12">
        <v>116.83</v>
      </c>
      <c r="Q172" s="12">
        <v>0.53</v>
      </c>
      <c r="R172" s="11">
        <v>741094081725</v>
      </c>
      <c r="S172" s="11">
        <v>4324506926</v>
      </c>
      <c r="T172" s="11">
        <v>4324506926</v>
      </c>
      <c r="U172" s="11">
        <v>0</v>
      </c>
      <c r="V172" s="11">
        <v>0</v>
      </c>
      <c r="W172" s="11">
        <v>745418588651</v>
      </c>
      <c r="X172" s="11">
        <v>59173509354</v>
      </c>
      <c r="Y172" s="11">
        <v>9145100000</v>
      </c>
      <c r="Z172" s="11">
        <v>813737198005</v>
      </c>
      <c r="AA172" s="11">
        <v>572830455817</v>
      </c>
      <c r="AB172" s="12">
        <v>30.13</v>
      </c>
      <c r="AC172" s="11">
        <v>349375632947</v>
      </c>
      <c r="AD172" s="11">
        <v>349375632947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2">
        <v>0</v>
      </c>
      <c r="AK172" s="11">
        <v>0</v>
      </c>
      <c r="AL172" s="12">
        <v>8</v>
      </c>
      <c r="AM172" s="11">
        <v>35074000000</v>
      </c>
      <c r="AN172" s="12">
        <v>19</v>
      </c>
      <c r="AO172" s="11">
        <v>41736885341</v>
      </c>
      <c r="AP172" s="11">
        <v>4324506926</v>
      </c>
      <c r="AQ172" s="11">
        <v>2353259445</v>
      </c>
      <c r="AR172" s="11">
        <v>1971247481</v>
      </c>
      <c r="AS172" s="12">
        <v>83.77</v>
      </c>
      <c r="AT172" s="11">
        <v>225598742940</v>
      </c>
      <c r="AU172" s="11">
        <v>54492730378</v>
      </c>
      <c r="AV172" s="11">
        <v>97416743272</v>
      </c>
      <c r="AW172" s="11">
        <v>179040176315</v>
      </c>
      <c r="AX172" s="11">
        <v>127323526377</v>
      </c>
      <c r="AY172" s="11">
        <v>250246900000</v>
      </c>
      <c r="AZ172" s="11">
        <v>93848182949</v>
      </c>
      <c r="BA172" s="11">
        <v>659922422935</v>
      </c>
      <c r="BB172" s="13">
        <v>90083</v>
      </c>
      <c r="BC172" s="11">
        <v>282351996558</v>
      </c>
      <c r="BD172" s="11">
        <v>127323526377</v>
      </c>
      <c r="BE172" s="11">
        <v>250246900000</v>
      </c>
      <c r="BF172" s="11">
        <v>302068727202</v>
      </c>
      <c r="BG172" s="11">
        <v>47306905745</v>
      </c>
      <c r="BH172" s="11">
        <v>0</v>
      </c>
      <c r="BI172" s="11">
        <v>0</v>
      </c>
      <c r="BJ172" s="11">
        <v>0</v>
      </c>
      <c r="BK172" s="11">
        <v>0</v>
      </c>
      <c r="BL172" s="11">
        <v>0</v>
      </c>
      <c r="BM172" s="11">
        <v>0</v>
      </c>
    </row>
    <row r="173" spans="1:65" x14ac:dyDescent="0.25">
      <c r="A173" s="32"/>
      <c r="B173" s="10">
        <v>4005</v>
      </c>
      <c r="C173" s="10" t="s">
        <v>228</v>
      </c>
      <c r="D173" s="11">
        <v>653300605428</v>
      </c>
      <c r="E173" s="11">
        <v>12242667258</v>
      </c>
      <c r="F173" s="11">
        <v>0</v>
      </c>
      <c r="G173" s="11">
        <v>0</v>
      </c>
      <c r="H173" s="11">
        <v>665543272686</v>
      </c>
      <c r="I173" s="11">
        <v>53825120253</v>
      </c>
      <c r="J173" s="11">
        <v>611718152433</v>
      </c>
      <c r="K173" s="11">
        <v>622127055724</v>
      </c>
      <c r="L173" s="11">
        <v>43416216962</v>
      </c>
      <c r="M173" s="12">
        <v>6.98</v>
      </c>
      <c r="N173" s="11">
        <v>673723776079</v>
      </c>
      <c r="O173" s="12">
        <v>109.78</v>
      </c>
      <c r="P173" s="12">
        <v>110.14</v>
      </c>
      <c r="Q173" s="12">
        <v>0.63</v>
      </c>
      <c r="R173" s="11">
        <v>725635732627</v>
      </c>
      <c r="S173" s="11">
        <v>4969993196</v>
      </c>
      <c r="T173" s="11">
        <v>4947031958</v>
      </c>
      <c r="U173" s="11">
        <v>22961238</v>
      </c>
      <c r="V173" s="11">
        <v>0</v>
      </c>
      <c r="W173" s="11">
        <v>730605725823</v>
      </c>
      <c r="X173" s="11">
        <v>52077453612</v>
      </c>
      <c r="Y173" s="11">
        <v>11310260000</v>
      </c>
      <c r="Z173" s="11">
        <v>793993439435</v>
      </c>
      <c r="AA173" s="11">
        <v>411838604689</v>
      </c>
      <c r="AB173" s="12">
        <v>77.400000000000006</v>
      </c>
      <c r="AC173" s="11">
        <v>383867043907</v>
      </c>
      <c r="AD173" s="11">
        <v>383867043907</v>
      </c>
      <c r="AE173" s="11">
        <v>0</v>
      </c>
      <c r="AF173" s="11">
        <v>0</v>
      </c>
      <c r="AG173" s="11">
        <v>0</v>
      </c>
      <c r="AH173" s="11">
        <v>0</v>
      </c>
      <c r="AI173" s="11">
        <v>0</v>
      </c>
      <c r="AJ173" s="12">
        <v>0</v>
      </c>
      <c r="AK173" s="11">
        <v>0</v>
      </c>
      <c r="AL173" s="12">
        <v>19</v>
      </c>
      <c r="AM173" s="11">
        <v>151420108829</v>
      </c>
      <c r="AN173" s="12">
        <v>5</v>
      </c>
      <c r="AO173" s="11">
        <v>16857648764</v>
      </c>
      <c r="AP173" s="11">
        <v>4969993196</v>
      </c>
      <c r="AQ173" s="11">
        <v>1820823870</v>
      </c>
      <c r="AR173" s="11">
        <v>3149169326</v>
      </c>
      <c r="AS173" s="12">
        <v>172.95</v>
      </c>
      <c r="AT173" s="11">
        <v>164844949164</v>
      </c>
      <c r="AU173" s="11">
        <v>35228339211</v>
      </c>
      <c r="AV173" s="11">
        <v>31185726397</v>
      </c>
      <c r="AW173" s="11">
        <v>72437463524</v>
      </c>
      <c r="AX173" s="11">
        <v>240318415507</v>
      </c>
      <c r="AY173" s="11">
        <v>309359000000</v>
      </c>
      <c r="AZ173" s="11">
        <v>149526960009</v>
      </c>
      <c r="BA173" s="11">
        <v>665543272686</v>
      </c>
      <c r="BB173" s="13">
        <v>41238</v>
      </c>
      <c r="BC173" s="11">
        <v>115865857179</v>
      </c>
      <c r="BD173" s="11">
        <v>240318415507</v>
      </c>
      <c r="BE173" s="11">
        <v>309359000000</v>
      </c>
      <c r="BF173" s="11">
        <v>330231550407</v>
      </c>
      <c r="BG173" s="11">
        <v>53635493500</v>
      </c>
      <c r="BH173" s="11">
        <v>0</v>
      </c>
      <c r="BI173" s="11">
        <v>0</v>
      </c>
      <c r="BJ173" s="11">
        <v>0</v>
      </c>
      <c r="BK173" s="11">
        <v>0</v>
      </c>
      <c r="BL173" s="11">
        <v>0</v>
      </c>
      <c r="BM173" s="11">
        <v>0</v>
      </c>
    </row>
    <row r="174" spans="1:65" x14ac:dyDescent="0.25">
      <c r="A174" s="32"/>
      <c r="B174" s="10">
        <v>4006</v>
      </c>
      <c r="C174" s="10" t="s">
        <v>229</v>
      </c>
      <c r="D174" s="11">
        <v>846569287958</v>
      </c>
      <c r="E174" s="11">
        <v>22610607352</v>
      </c>
      <c r="F174" s="11">
        <v>0</v>
      </c>
      <c r="G174" s="11">
        <v>0</v>
      </c>
      <c r="H174" s="11">
        <v>869179895310</v>
      </c>
      <c r="I174" s="11">
        <v>71628386340</v>
      </c>
      <c r="J174" s="11">
        <v>797551508970</v>
      </c>
      <c r="K174" s="11">
        <v>827400351788</v>
      </c>
      <c r="L174" s="11">
        <v>41779543522</v>
      </c>
      <c r="M174" s="12">
        <v>5.05</v>
      </c>
      <c r="N174" s="11">
        <v>1375547506672</v>
      </c>
      <c r="O174" s="12">
        <v>176.98</v>
      </c>
      <c r="P174" s="12">
        <v>172.47</v>
      </c>
      <c r="Q174" s="12">
        <v>0.26</v>
      </c>
      <c r="R174" s="11">
        <v>1533923637382</v>
      </c>
      <c r="S174" s="11">
        <v>4384271359</v>
      </c>
      <c r="T174" s="11">
        <v>4384271359</v>
      </c>
      <c r="U174" s="11">
        <v>0</v>
      </c>
      <c r="V174" s="11">
        <v>0</v>
      </c>
      <c r="W174" s="11">
        <v>1538307908741</v>
      </c>
      <c r="X174" s="11">
        <v>121062427415</v>
      </c>
      <c r="Y174" s="11">
        <v>11309197354</v>
      </c>
      <c r="Z174" s="11">
        <v>1670679533510</v>
      </c>
      <c r="AA174" s="11">
        <v>1232420247151</v>
      </c>
      <c r="AB174" s="12">
        <v>24.82</v>
      </c>
      <c r="AC174" s="11">
        <v>619171121643</v>
      </c>
      <c r="AD174" s="11">
        <v>562218564739</v>
      </c>
      <c r="AE174" s="11">
        <v>25830067818</v>
      </c>
      <c r="AF174" s="11">
        <v>1458534897</v>
      </c>
      <c r="AG174" s="11">
        <v>0</v>
      </c>
      <c r="AH174" s="11">
        <v>0</v>
      </c>
      <c r="AI174" s="11">
        <v>0</v>
      </c>
      <c r="AJ174" s="12">
        <v>1</v>
      </c>
      <c r="AK174" s="11">
        <v>32287584772</v>
      </c>
      <c r="AL174" s="12">
        <v>41</v>
      </c>
      <c r="AM174" s="11">
        <v>66089892452</v>
      </c>
      <c r="AN174" s="12">
        <v>27</v>
      </c>
      <c r="AO174" s="11">
        <v>146015184650</v>
      </c>
      <c r="AP174" s="11">
        <v>4384271359</v>
      </c>
      <c r="AQ174" s="11">
        <v>1084878247</v>
      </c>
      <c r="AR174" s="11">
        <v>3299393112</v>
      </c>
      <c r="AS174" s="12">
        <v>304.13</v>
      </c>
      <c r="AT174" s="11">
        <v>462826863939</v>
      </c>
      <c r="AU174" s="11">
        <v>57416719701</v>
      </c>
      <c r="AV174" s="11">
        <v>150233782455</v>
      </c>
      <c r="AW174" s="11">
        <v>121419372185</v>
      </c>
      <c r="AX174" s="11">
        <v>189705733318</v>
      </c>
      <c r="AY174" s="11">
        <v>385210400000</v>
      </c>
      <c r="AZ174" s="11">
        <v>100191038794</v>
      </c>
      <c r="BA174" s="11">
        <v>869179895310</v>
      </c>
      <c r="BB174" s="13">
        <v>9019</v>
      </c>
      <c r="BC174" s="11">
        <v>294263761992</v>
      </c>
      <c r="BD174" s="11">
        <v>189705733318</v>
      </c>
      <c r="BE174" s="11">
        <v>385210400000</v>
      </c>
      <c r="BF174" s="11">
        <v>389907548624</v>
      </c>
      <c r="BG174" s="11">
        <v>229263573019</v>
      </c>
      <c r="BH174" s="11">
        <v>0</v>
      </c>
      <c r="BI174" s="11">
        <v>0</v>
      </c>
      <c r="BJ174" s="11">
        <v>32860499705</v>
      </c>
      <c r="BK174" s="11">
        <v>802864665</v>
      </c>
      <c r="BL174" s="11">
        <v>0</v>
      </c>
      <c r="BM174" s="11">
        <v>664671354</v>
      </c>
    </row>
    <row r="175" spans="1:65" x14ac:dyDescent="0.25">
      <c r="A175" s="32"/>
      <c r="B175" s="10">
        <v>4007</v>
      </c>
      <c r="C175" s="10" t="s">
        <v>230</v>
      </c>
      <c r="D175" s="11">
        <v>846579053829</v>
      </c>
      <c r="E175" s="11">
        <v>80047313552</v>
      </c>
      <c r="F175" s="11">
        <v>0</v>
      </c>
      <c r="G175" s="11">
        <v>0</v>
      </c>
      <c r="H175" s="11">
        <v>926626367381</v>
      </c>
      <c r="I175" s="11">
        <v>71933152883</v>
      </c>
      <c r="J175" s="11">
        <v>854693214498</v>
      </c>
      <c r="K175" s="11">
        <v>927962958255</v>
      </c>
      <c r="L175" s="11">
        <v>-1336590874</v>
      </c>
      <c r="M175" s="12">
        <v>-0.14000000000000001</v>
      </c>
      <c r="N175" s="11">
        <v>1547983393813</v>
      </c>
      <c r="O175" s="12">
        <v>171.15</v>
      </c>
      <c r="P175" s="12">
        <v>181.12</v>
      </c>
      <c r="Q175" s="12">
        <v>0.13</v>
      </c>
      <c r="R175" s="11">
        <v>1583712735766</v>
      </c>
      <c r="S175" s="11">
        <v>2185390163</v>
      </c>
      <c r="T175" s="11">
        <v>2185390163</v>
      </c>
      <c r="U175" s="11">
        <v>0</v>
      </c>
      <c r="V175" s="11">
        <v>0</v>
      </c>
      <c r="W175" s="11">
        <v>1585898125929</v>
      </c>
      <c r="X175" s="11">
        <v>85748091741</v>
      </c>
      <c r="Y175" s="11">
        <v>8856190000</v>
      </c>
      <c r="Z175" s="11">
        <v>1680502407670</v>
      </c>
      <c r="AA175" s="11">
        <v>995873526379</v>
      </c>
      <c r="AB175" s="12">
        <v>59.25</v>
      </c>
      <c r="AC175" s="11">
        <v>1125346411841</v>
      </c>
      <c r="AD175" s="11">
        <v>1088363411841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2">
        <v>0</v>
      </c>
      <c r="AK175" s="11">
        <v>0</v>
      </c>
      <c r="AL175" s="12">
        <v>58</v>
      </c>
      <c r="AM175" s="11">
        <v>379454227031</v>
      </c>
      <c r="AN175" s="12">
        <v>37</v>
      </c>
      <c r="AO175" s="11">
        <v>418050075977</v>
      </c>
      <c r="AP175" s="11">
        <v>2185390163</v>
      </c>
      <c r="AQ175" s="11">
        <v>1728578022</v>
      </c>
      <c r="AR175" s="11">
        <v>456812141</v>
      </c>
      <c r="AS175" s="12">
        <v>26.43</v>
      </c>
      <c r="AT175" s="11">
        <v>570390622539</v>
      </c>
      <c r="AU175" s="11">
        <v>23597637179</v>
      </c>
      <c r="AV175" s="11">
        <v>64487326152</v>
      </c>
      <c r="AW175" s="11">
        <v>92982503700</v>
      </c>
      <c r="AX175" s="11">
        <v>322715223977</v>
      </c>
      <c r="AY175" s="11">
        <v>366394000000</v>
      </c>
      <c r="AZ175" s="11">
        <v>247588734794</v>
      </c>
      <c r="BA175" s="11">
        <v>926626367381</v>
      </c>
      <c r="BB175" s="13">
        <v>21579</v>
      </c>
      <c r="BC175" s="11">
        <v>237517143404</v>
      </c>
      <c r="BD175" s="11">
        <v>322715223977</v>
      </c>
      <c r="BE175" s="11">
        <v>366394000000</v>
      </c>
      <c r="BF175" s="11">
        <v>929220031841</v>
      </c>
      <c r="BG175" s="11">
        <v>196126380000</v>
      </c>
      <c r="BH175" s="11">
        <v>0</v>
      </c>
      <c r="BI175" s="11">
        <v>0</v>
      </c>
      <c r="BJ175" s="11">
        <v>0</v>
      </c>
      <c r="BK175" s="11">
        <v>0</v>
      </c>
      <c r="BL175" s="11">
        <v>0</v>
      </c>
      <c r="BM175" s="11">
        <v>0</v>
      </c>
    </row>
    <row r="176" spans="1:65" x14ac:dyDescent="0.25">
      <c r="A176" s="32"/>
      <c r="B176" s="10">
        <v>4008</v>
      </c>
      <c r="C176" s="10" t="s">
        <v>231</v>
      </c>
      <c r="D176" s="11">
        <v>783480661269</v>
      </c>
      <c r="E176" s="11">
        <v>2516281403</v>
      </c>
      <c r="F176" s="11">
        <v>0</v>
      </c>
      <c r="G176" s="11">
        <v>0</v>
      </c>
      <c r="H176" s="11">
        <v>785996942672</v>
      </c>
      <c r="I176" s="11">
        <v>63915789584</v>
      </c>
      <c r="J176" s="11">
        <v>722081153088</v>
      </c>
      <c r="K176" s="11">
        <v>517813192561</v>
      </c>
      <c r="L176" s="11">
        <v>268183750111</v>
      </c>
      <c r="M176" s="12">
        <v>51.79</v>
      </c>
      <c r="N176" s="11">
        <v>875310684587</v>
      </c>
      <c r="O176" s="12">
        <v>120.19</v>
      </c>
      <c r="P176" s="12">
        <v>121.22</v>
      </c>
      <c r="Q176" s="12">
        <v>0.14000000000000001</v>
      </c>
      <c r="R176" s="11">
        <v>943260977366</v>
      </c>
      <c r="S176" s="11">
        <v>1407201548</v>
      </c>
      <c r="T176" s="11">
        <v>1407201548</v>
      </c>
      <c r="U176" s="11">
        <v>0</v>
      </c>
      <c r="V176" s="11">
        <v>0</v>
      </c>
      <c r="W176" s="11">
        <v>944668178914</v>
      </c>
      <c r="X176" s="11">
        <v>54808923993</v>
      </c>
      <c r="Y176" s="11">
        <v>15198505500</v>
      </c>
      <c r="Z176" s="11">
        <v>1014675608407</v>
      </c>
      <c r="AA176" s="11">
        <v>621857491793</v>
      </c>
      <c r="AB176" s="12">
        <v>51.91</v>
      </c>
      <c r="AC176" s="11">
        <v>474253610333</v>
      </c>
      <c r="AD176" s="11">
        <v>474253610333</v>
      </c>
      <c r="AE176" s="11">
        <v>0</v>
      </c>
      <c r="AF176" s="11">
        <v>0</v>
      </c>
      <c r="AG176" s="11">
        <v>0</v>
      </c>
      <c r="AH176" s="11">
        <v>0</v>
      </c>
      <c r="AI176" s="11">
        <v>0</v>
      </c>
      <c r="AJ176" s="12">
        <v>0</v>
      </c>
      <c r="AK176" s="11">
        <v>0</v>
      </c>
      <c r="AL176" s="12">
        <v>0</v>
      </c>
      <c r="AM176" s="11">
        <v>0</v>
      </c>
      <c r="AN176" s="12">
        <v>0</v>
      </c>
      <c r="AO176" s="11">
        <v>0</v>
      </c>
      <c r="AP176" s="11">
        <v>1407201548</v>
      </c>
      <c r="AQ176" s="11">
        <v>809997283</v>
      </c>
      <c r="AR176" s="11">
        <v>597204265</v>
      </c>
      <c r="AS176" s="12">
        <v>73.73</v>
      </c>
      <c r="AT176" s="11">
        <v>184271653871</v>
      </c>
      <c r="AU176" s="11">
        <v>23297466776</v>
      </c>
      <c r="AV176" s="11">
        <v>19930412599</v>
      </c>
      <c r="AW176" s="11">
        <v>211781692322</v>
      </c>
      <c r="AX176" s="11">
        <v>138523956348</v>
      </c>
      <c r="AY176" s="11">
        <v>413244600000</v>
      </c>
      <c r="AZ176" s="11">
        <v>132187699688</v>
      </c>
      <c r="BA176" s="11">
        <v>785996942672</v>
      </c>
      <c r="BB176" s="13">
        <v>8086</v>
      </c>
      <c r="BC176" s="11">
        <v>234228386324</v>
      </c>
      <c r="BD176" s="11">
        <v>138523956348</v>
      </c>
      <c r="BE176" s="11">
        <v>413244600000</v>
      </c>
      <c r="BF176" s="11">
        <v>350190610333</v>
      </c>
      <c r="BG176" s="11">
        <v>124063000000</v>
      </c>
      <c r="BH176" s="11">
        <v>0</v>
      </c>
      <c r="BI176" s="11">
        <v>0</v>
      </c>
      <c r="BJ176" s="11">
        <v>0</v>
      </c>
      <c r="BK176" s="11">
        <v>0</v>
      </c>
      <c r="BL176" s="11">
        <v>0</v>
      </c>
      <c r="BM176" s="11">
        <v>0</v>
      </c>
    </row>
    <row r="177" spans="1:65" x14ac:dyDescent="0.25">
      <c r="A177" s="32"/>
      <c r="B177" s="10">
        <v>4009</v>
      </c>
      <c r="C177" s="10" t="s">
        <v>232</v>
      </c>
      <c r="D177" s="11">
        <v>580746089185</v>
      </c>
      <c r="E177" s="11">
        <v>1252712660</v>
      </c>
      <c r="F177" s="11">
        <v>0</v>
      </c>
      <c r="G177" s="11">
        <v>0</v>
      </c>
      <c r="H177" s="11">
        <v>581998801845</v>
      </c>
      <c r="I177" s="11">
        <v>47216473648</v>
      </c>
      <c r="J177" s="11">
        <v>534782328197</v>
      </c>
      <c r="K177" s="11">
        <v>350653915784</v>
      </c>
      <c r="L177" s="11">
        <v>231344886061</v>
      </c>
      <c r="M177" s="12">
        <v>65.98</v>
      </c>
      <c r="N177" s="11">
        <v>179832143138</v>
      </c>
      <c r="O177" s="12">
        <v>33.799999999999997</v>
      </c>
      <c r="P177" s="12">
        <v>33.630000000000003</v>
      </c>
      <c r="Q177" s="12">
        <v>0.05</v>
      </c>
      <c r="R177" s="11">
        <v>196590208007</v>
      </c>
      <c r="S177" s="11">
        <v>123035786</v>
      </c>
      <c r="T177" s="11">
        <v>123035786</v>
      </c>
      <c r="U177" s="11">
        <v>0</v>
      </c>
      <c r="V177" s="11">
        <v>0</v>
      </c>
      <c r="W177" s="11">
        <v>196713243793</v>
      </c>
      <c r="X177" s="11">
        <v>38430678715</v>
      </c>
      <c r="Y177" s="11">
        <v>16895543606</v>
      </c>
      <c r="Z177" s="11">
        <v>252039466114</v>
      </c>
      <c r="AA177" s="11">
        <v>36416695092</v>
      </c>
      <c r="AB177" s="12">
        <v>440.17</v>
      </c>
      <c r="AC177" s="11">
        <v>169935842483</v>
      </c>
      <c r="AD177" s="11">
        <v>169935842483</v>
      </c>
      <c r="AE177" s="11">
        <v>0</v>
      </c>
      <c r="AF177" s="11">
        <v>0</v>
      </c>
      <c r="AG177" s="11">
        <v>0</v>
      </c>
      <c r="AH177" s="11">
        <v>0</v>
      </c>
      <c r="AI177" s="11">
        <v>0</v>
      </c>
      <c r="AJ177" s="12">
        <v>0</v>
      </c>
      <c r="AK177" s="11">
        <v>0</v>
      </c>
      <c r="AL177" s="12">
        <v>6</v>
      </c>
      <c r="AM177" s="11">
        <v>4050000000</v>
      </c>
      <c r="AN177" s="12">
        <v>0</v>
      </c>
      <c r="AO177" s="11">
        <v>0</v>
      </c>
      <c r="AP177" s="11">
        <v>123035786</v>
      </c>
      <c r="AQ177" s="11">
        <v>0</v>
      </c>
      <c r="AR177" s="11">
        <v>123035786</v>
      </c>
      <c r="AS177" s="12"/>
      <c r="AT177" s="11">
        <v>29343730143</v>
      </c>
      <c r="AU177" s="11">
        <v>1670251447</v>
      </c>
      <c r="AV177" s="11">
        <v>15120672344</v>
      </c>
      <c r="AW177" s="11">
        <v>181491713667</v>
      </c>
      <c r="AX177" s="11">
        <v>54115703174</v>
      </c>
      <c r="AY177" s="11">
        <v>330018000000</v>
      </c>
      <c r="AZ177" s="11">
        <v>52990444588</v>
      </c>
      <c r="BA177" s="11">
        <v>581998801845</v>
      </c>
      <c r="BB177" s="12">
        <v>909</v>
      </c>
      <c r="BC177" s="11">
        <v>197865098671</v>
      </c>
      <c r="BD177" s="11">
        <v>54115703174</v>
      </c>
      <c r="BE177" s="11">
        <v>330018000000</v>
      </c>
      <c r="BF177" s="11">
        <v>139585957763</v>
      </c>
      <c r="BG177" s="11">
        <v>30349884720</v>
      </c>
      <c r="BH177" s="11">
        <v>0</v>
      </c>
      <c r="BI177" s="11">
        <v>0</v>
      </c>
      <c r="BJ177" s="11">
        <v>0</v>
      </c>
      <c r="BK177" s="11">
        <v>0</v>
      </c>
      <c r="BL177" s="11">
        <v>0</v>
      </c>
      <c r="BM177" s="11">
        <v>0</v>
      </c>
    </row>
    <row r="178" spans="1:65" x14ac:dyDescent="0.25">
      <c r="A178" s="32"/>
      <c r="B178" s="10">
        <v>4099</v>
      </c>
      <c r="C178" s="10" t="s">
        <v>233</v>
      </c>
      <c r="D178" s="11">
        <v>0</v>
      </c>
      <c r="E178" s="11">
        <v>127800000</v>
      </c>
      <c r="F178" s="11">
        <v>0</v>
      </c>
      <c r="G178" s="11">
        <v>0</v>
      </c>
      <c r="H178" s="11">
        <v>127800000</v>
      </c>
      <c r="I178" s="11">
        <v>10479869</v>
      </c>
      <c r="J178" s="11">
        <v>117320131</v>
      </c>
      <c r="K178" s="11">
        <v>140400000</v>
      </c>
      <c r="L178" s="11">
        <v>-12600000</v>
      </c>
      <c r="M178" s="12">
        <v>-8.9700000000000006</v>
      </c>
      <c r="N178" s="11">
        <v>0</v>
      </c>
      <c r="O178" s="12">
        <v>0</v>
      </c>
      <c r="P178" s="12">
        <v>0</v>
      </c>
      <c r="Q178" s="12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2"/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2">
        <v>0</v>
      </c>
      <c r="AK178" s="11">
        <v>0</v>
      </c>
      <c r="AL178" s="12">
        <v>0</v>
      </c>
      <c r="AM178" s="11">
        <v>0</v>
      </c>
      <c r="AN178" s="12">
        <v>0</v>
      </c>
      <c r="AO178" s="11">
        <v>0</v>
      </c>
      <c r="AP178" s="11">
        <v>0</v>
      </c>
      <c r="AQ178" s="11">
        <v>0</v>
      </c>
      <c r="AR178" s="11">
        <v>0</v>
      </c>
      <c r="AS178" s="12"/>
      <c r="AT178" s="11">
        <v>0</v>
      </c>
      <c r="AU178" s="11">
        <v>0</v>
      </c>
      <c r="AV178" s="11">
        <v>0</v>
      </c>
      <c r="AW178" s="11">
        <v>0</v>
      </c>
      <c r="AX178" s="11">
        <v>0</v>
      </c>
      <c r="AY178" s="11">
        <v>0</v>
      </c>
      <c r="AZ178" s="11">
        <v>0</v>
      </c>
      <c r="BA178" s="11">
        <v>127800000</v>
      </c>
      <c r="BB178" s="12">
        <v>0</v>
      </c>
      <c r="BC178" s="11">
        <v>127800000</v>
      </c>
      <c r="BD178" s="11">
        <v>0</v>
      </c>
      <c r="BE178" s="11">
        <v>0</v>
      </c>
      <c r="BF178" s="11">
        <v>0</v>
      </c>
      <c r="BG178" s="11">
        <v>0</v>
      </c>
      <c r="BH178" s="11">
        <v>0</v>
      </c>
      <c r="BI178" s="11">
        <v>0</v>
      </c>
      <c r="BJ178" s="11">
        <v>0</v>
      </c>
      <c r="BK178" s="11">
        <v>0</v>
      </c>
      <c r="BL178" s="11">
        <v>0</v>
      </c>
      <c r="BM178" s="11">
        <v>0</v>
      </c>
    </row>
    <row r="179" spans="1:65" x14ac:dyDescent="0.25">
      <c r="A179" s="14" t="s">
        <v>598</v>
      </c>
      <c r="B179" s="15"/>
      <c r="C179" s="15"/>
      <c r="D179" s="16">
        <v>11737717988768</v>
      </c>
      <c r="E179" s="16">
        <v>465311926352</v>
      </c>
      <c r="F179" s="16">
        <v>26537000000</v>
      </c>
      <c r="G179" s="16">
        <v>575085987</v>
      </c>
      <c r="H179" s="16">
        <v>12230142001107</v>
      </c>
      <c r="I179" s="16">
        <v>969181587224</v>
      </c>
      <c r="J179" s="16">
        <v>11260960413883</v>
      </c>
      <c r="K179" s="16">
        <v>11351245303694</v>
      </c>
      <c r="L179" s="16">
        <v>878896697413</v>
      </c>
      <c r="M179" s="17">
        <v>7.74</v>
      </c>
      <c r="N179" s="16">
        <v>15956570458952</v>
      </c>
      <c r="O179" s="17">
        <v>150.84</v>
      </c>
      <c r="P179" s="17">
        <v>141.69999999999999</v>
      </c>
      <c r="Q179" s="17">
        <v>3.66</v>
      </c>
      <c r="R179" s="16">
        <v>17790830374279</v>
      </c>
      <c r="S179" s="16">
        <v>656837761389</v>
      </c>
      <c r="T179" s="16">
        <v>83322864143</v>
      </c>
      <c r="U179" s="16">
        <v>3529669870</v>
      </c>
      <c r="V179" s="16">
        <v>569985227376</v>
      </c>
      <c r="W179" s="16">
        <v>18447668135668</v>
      </c>
      <c r="X179" s="16">
        <v>1027433166179</v>
      </c>
      <c r="Y179" s="16">
        <v>177892510432</v>
      </c>
      <c r="Z179" s="16">
        <v>19652993812279</v>
      </c>
      <c r="AA179" s="16">
        <v>14412272249205</v>
      </c>
      <c r="AB179" s="17">
        <v>28</v>
      </c>
      <c r="AC179" s="16">
        <v>8334027247820</v>
      </c>
      <c r="AD179" s="16">
        <v>7995403878756</v>
      </c>
      <c r="AE179" s="16">
        <v>564103537862</v>
      </c>
      <c r="AF179" s="16">
        <v>1467647397</v>
      </c>
      <c r="AG179" s="16">
        <v>0</v>
      </c>
      <c r="AH179" s="16">
        <v>0</v>
      </c>
      <c r="AI179" s="16">
        <v>0</v>
      </c>
      <c r="AJ179" s="17">
        <v>8</v>
      </c>
      <c r="AK179" s="16">
        <v>367435864382</v>
      </c>
      <c r="AL179" s="17">
        <v>410</v>
      </c>
      <c r="AM179" s="16">
        <v>2888929588880</v>
      </c>
      <c r="AN179" s="18">
        <f>SUM(AN167:AN178)</f>
        <v>260</v>
      </c>
      <c r="AO179" s="16">
        <f>SUM(AO167:AO178)</f>
        <v>1817948856778</v>
      </c>
      <c r="AP179" s="16">
        <v>656837761389</v>
      </c>
      <c r="AQ179" s="16">
        <v>83820767662</v>
      </c>
      <c r="AR179" s="16">
        <v>573016993727</v>
      </c>
      <c r="AS179" s="17">
        <v>683.62</v>
      </c>
      <c r="AT179" s="16">
        <v>6027274835901</v>
      </c>
      <c r="AU179" s="16">
        <v>822990967952</v>
      </c>
      <c r="AV179" s="16">
        <v>1618489266788</v>
      </c>
      <c r="AW179" s="16">
        <v>2308797861079</v>
      </c>
      <c r="AX179" s="16">
        <v>3113775660901</v>
      </c>
      <c r="AY179" s="16">
        <v>4696655200000</v>
      </c>
      <c r="AZ179" s="16">
        <v>2010161747043</v>
      </c>
      <c r="BA179" s="16">
        <v>12230142001107</v>
      </c>
      <c r="BB179" s="18">
        <v>584271</v>
      </c>
      <c r="BC179" s="16">
        <v>4341077815127</v>
      </c>
      <c r="BD179" s="16">
        <v>3139792560901</v>
      </c>
      <c r="BE179" s="16">
        <v>4749271625079</v>
      </c>
      <c r="BF179" s="16">
        <v>6413010156416</v>
      </c>
      <c r="BG179" s="16">
        <v>1921017091404</v>
      </c>
      <c r="BH179" s="16">
        <v>0</v>
      </c>
      <c r="BI179" s="16">
        <v>569985227376</v>
      </c>
      <c r="BJ179" s="16">
        <v>402846982982</v>
      </c>
      <c r="BK179" s="16">
        <v>802864665</v>
      </c>
      <c r="BL179" s="16">
        <v>0</v>
      </c>
      <c r="BM179" s="16">
        <v>673954120</v>
      </c>
    </row>
    <row r="180" spans="1:65" x14ac:dyDescent="0.25">
      <c r="A180" s="32" t="s">
        <v>234</v>
      </c>
      <c r="B180" s="10">
        <v>1900</v>
      </c>
      <c r="C180" s="10" t="s">
        <v>235</v>
      </c>
      <c r="D180" s="11">
        <v>3133425297682</v>
      </c>
      <c r="E180" s="11">
        <v>1079423044688</v>
      </c>
      <c r="F180" s="11">
        <v>93030000000</v>
      </c>
      <c r="G180" s="11">
        <v>4211433419868</v>
      </c>
      <c r="H180" s="11">
        <v>8517311762238</v>
      </c>
      <c r="I180" s="11">
        <v>686047619070</v>
      </c>
      <c r="J180" s="11">
        <v>7831264143168</v>
      </c>
      <c r="K180" s="11">
        <v>4003695342749</v>
      </c>
      <c r="L180" s="11">
        <v>4513616419489</v>
      </c>
      <c r="M180" s="12">
        <v>112.74</v>
      </c>
      <c r="N180" s="11">
        <v>7044691259538</v>
      </c>
      <c r="O180" s="12">
        <v>110.98</v>
      </c>
      <c r="P180" s="12">
        <v>89.96</v>
      </c>
      <c r="Q180" s="12">
        <v>1.81</v>
      </c>
      <c r="R180" s="11">
        <v>9290623019250</v>
      </c>
      <c r="S180" s="11">
        <v>162052675300</v>
      </c>
      <c r="T180" s="11">
        <v>109553064205</v>
      </c>
      <c r="U180" s="11">
        <v>22142700346</v>
      </c>
      <c r="V180" s="11">
        <v>30356910749</v>
      </c>
      <c r="W180" s="11">
        <v>9452675694550</v>
      </c>
      <c r="X180" s="11">
        <v>354576911290</v>
      </c>
      <c r="Y180" s="11">
        <v>44853106291</v>
      </c>
      <c r="Z180" s="11">
        <v>9852105712131</v>
      </c>
      <c r="AA180" s="11">
        <v>8113145667610</v>
      </c>
      <c r="AB180" s="12">
        <v>16.510000000000002</v>
      </c>
      <c r="AC180" s="11">
        <v>5123902688670</v>
      </c>
      <c r="AD180" s="11">
        <v>5123902688670</v>
      </c>
      <c r="AE180" s="11">
        <v>909101990204</v>
      </c>
      <c r="AF180" s="11">
        <v>45105165191</v>
      </c>
      <c r="AG180" s="11">
        <v>40345460306</v>
      </c>
      <c r="AH180" s="11">
        <v>0</v>
      </c>
      <c r="AI180" s="11">
        <v>0</v>
      </c>
      <c r="AJ180" s="12">
        <v>79</v>
      </c>
      <c r="AK180" s="11">
        <v>6296617331186</v>
      </c>
      <c r="AL180" s="12">
        <v>84</v>
      </c>
      <c r="AM180" s="11">
        <v>2621897621147</v>
      </c>
      <c r="AN180" s="12">
        <v>91</v>
      </c>
      <c r="AO180" s="11">
        <v>1436338353228</v>
      </c>
      <c r="AP180" s="11">
        <v>162052675300</v>
      </c>
      <c r="AQ180" s="11">
        <v>51392662677</v>
      </c>
      <c r="AR180" s="11">
        <v>110660012623</v>
      </c>
      <c r="AS180" s="12">
        <v>215.32</v>
      </c>
      <c r="AT180" s="11">
        <v>5059918676380</v>
      </c>
      <c r="AU180" s="11">
        <v>537339118499</v>
      </c>
      <c r="AV180" s="11">
        <v>1085927140050</v>
      </c>
      <c r="AW180" s="11">
        <v>214185046860</v>
      </c>
      <c r="AX180" s="11">
        <v>1435347710772</v>
      </c>
      <c r="AY180" s="11">
        <v>397965400000</v>
      </c>
      <c r="AZ180" s="11">
        <v>901637694122</v>
      </c>
      <c r="BA180" s="11">
        <v>8517311762238</v>
      </c>
      <c r="BB180" s="13">
        <v>551458</v>
      </c>
      <c r="BC180" s="11">
        <v>6331889616634</v>
      </c>
      <c r="BD180" s="11">
        <v>1528321210772</v>
      </c>
      <c r="BE180" s="11">
        <v>657100934832</v>
      </c>
      <c r="BF180" s="11">
        <v>4181159735553</v>
      </c>
      <c r="BG180" s="11">
        <v>942742953117</v>
      </c>
      <c r="BH180" s="11">
        <v>75057611409</v>
      </c>
      <c r="BI180" s="11">
        <v>0</v>
      </c>
      <c r="BJ180" s="11">
        <v>1224037163379</v>
      </c>
      <c r="BK180" s="11">
        <v>0</v>
      </c>
      <c r="BL180" s="11">
        <v>0</v>
      </c>
      <c r="BM180" s="11">
        <v>45105165191</v>
      </c>
    </row>
    <row r="181" spans="1:65" x14ac:dyDescent="0.25">
      <c r="A181" s="32"/>
      <c r="B181" s="10">
        <v>1901</v>
      </c>
      <c r="C181" s="10" t="s">
        <v>236</v>
      </c>
      <c r="D181" s="11">
        <v>1764090359000</v>
      </c>
      <c r="E181" s="11">
        <v>106133880344</v>
      </c>
      <c r="F181" s="11">
        <v>0</v>
      </c>
      <c r="G181" s="11">
        <v>0</v>
      </c>
      <c r="H181" s="11">
        <v>1870224239344</v>
      </c>
      <c r="I181" s="11">
        <v>152984171864</v>
      </c>
      <c r="J181" s="11">
        <v>1717240067480</v>
      </c>
      <c r="K181" s="11">
        <v>2029539269962</v>
      </c>
      <c r="L181" s="11">
        <v>-159315030618</v>
      </c>
      <c r="M181" s="12">
        <v>-7.85</v>
      </c>
      <c r="N181" s="11">
        <v>2602293869578</v>
      </c>
      <c r="O181" s="12">
        <v>146.01</v>
      </c>
      <c r="P181" s="12">
        <v>151.54</v>
      </c>
      <c r="Q181" s="12">
        <v>0.53</v>
      </c>
      <c r="R181" s="11">
        <v>2721363866580</v>
      </c>
      <c r="S181" s="11">
        <v>9361438662</v>
      </c>
      <c r="T181" s="11">
        <v>5244989180</v>
      </c>
      <c r="U181" s="11">
        <v>1017091059</v>
      </c>
      <c r="V181" s="11">
        <v>3099358423</v>
      </c>
      <c r="W181" s="11">
        <v>2730725305242</v>
      </c>
      <c r="X181" s="11">
        <v>209272271398</v>
      </c>
      <c r="Y181" s="11">
        <v>20035595000</v>
      </c>
      <c r="Z181" s="11">
        <v>2960033171640</v>
      </c>
      <c r="AA181" s="11">
        <v>2553819029086</v>
      </c>
      <c r="AB181" s="12">
        <v>6.93</v>
      </c>
      <c r="AC181" s="11">
        <v>962475664631</v>
      </c>
      <c r="AD181" s="11">
        <v>962475664631</v>
      </c>
      <c r="AE181" s="11">
        <v>59718918443</v>
      </c>
      <c r="AF181" s="11">
        <v>0</v>
      </c>
      <c r="AG181" s="11">
        <v>0</v>
      </c>
      <c r="AH181" s="11">
        <v>0</v>
      </c>
      <c r="AI181" s="11">
        <v>0</v>
      </c>
      <c r="AJ181" s="12">
        <v>0</v>
      </c>
      <c r="AK181" s="11">
        <v>0</v>
      </c>
      <c r="AL181" s="12">
        <v>24</v>
      </c>
      <c r="AM181" s="11">
        <v>193446355468</v>
      </c>
      <c r="AN181" s="12">
        <v>19</v>
      </c>
      <c r="AO181" s="11">
        <v>245285797550</v>
      </c>
      <c r="AP181" s="11">
        <v>9361438662</v>
      </c>
      <c r="AQ181" s="11">
        <v>6252080878</v>
      </c>
      <c r="AR181" s="11">
        <v>3109357784</v>
      </c>
      <c r="AS181" s="12">
        <v>49.73</v>
      </c>
      <c r="AT181" s="11">
        <v>1048041785715</v>
      </c>
      <c r="AU181" s="11">
        <v>228491236926</v>
      </c>
      <c r="AV181" s="11">
        <v>256397519714</v>
      </c>
      <c r="AW181" s="11">
        <v>412753882690</v>
      </c>
      <c r="AX181" s="11">
        <v>575822256596</v>
      </c>
      <c r="AY181" s="11">
        <v>519116700000</v>
      </c>
      <c r="AZ181" s="11">
        <v>250657407965</v>
      </c>
      <c r="BA181" s="11">
        <v>1870224239344</v>
      </c>
      <c r="BB181" s="13">
        <v>151769</v>
      </c>
      <c r="BC181" s="11">
        <v>723552092621</v>
      </c>
      <c r="BD181" s="11">
        <v>575676636596</v>
      </c>
      <c r="BE181" s="11">
        <v>570995510127</v>
      </c>
      <c r="BF181" s="11">
        <v>682858002188</v>
      </c>
      <c r="BG181" s="11">
        <v>279617662443</v>
      </c>
      <c r="BH181" s="11">
        <v>0</v>
      </c>
      <c r="BI181" s="11">
        <v>0</v>
      </c>
      <c r="BJ181" s="11">
        <v>62403043476</v>
      </c>
      <c r="BK181" s="11">
        <v>0</v>
      </c>
      <c r="BL181" s="11">
        <v>0</v>
      </c>
      <c r="BM181" s="11">
        <v>0</v>
      </c>
    </row>
    <row r="182" spans="1:65" x14ac:dyDescent="0.25">
      <c r="A182" s="32"/>
      <c r="B182" s="10">
        <v>1902</v>
      </c>
      <c r="C182" s="10" t="s">
        <v>237</v>
      </c>
      <c r="D182" s="11">
        <v>1077398395758</v>
      </c>
      <c r="E182" s="11">
        <v>37234379444</v>
      </c>
      <c r="F182" s="11">
        <v>0</v>
      </c>
      <c r="G182" s="11">
        <v>0</v>
      </c>
      <c r="H182" s="11">
        <v>1114632775202</v>
      </c>
      <c r="I182" s="11">
        <v>88428066510</v>
      </c>
      <c r="J182" s="11">
        <v>1026204708692</v>
      </c>
      <c r="K182" s="11">
        <v>1059308413912</v>
      </c>
      <c r="L182" s="11">
        <v>55324361290</v>
      </c>
      <c r="M182" s="12">
        <v>5.22</v>
      </c>
      <c r="N182" s="11">
        <v>1383913633708</v>
      </c>
      <c r="O182" s="12">
        <v>131.94</v>
      </c>
      <c r="P182" s="12">
        <v>134.86000000000001</v>
      </c>
      <c r="Q182" s="12">
        <v>1.81</v>
      </c>
      <c r="R182" s="11">
        <v>1441304823516</v>
      </c>
      <c r="S182" s="11">
        <v>29381737481</v>
      </c>
      <c r="T182" s="11">
        <v>25387062485</v>
      </c>
      <c r="U182" s="11">
        <v>2856204220</v>
      </c>
      <c r="V182" s="11">
        <v>1138470776</v>
      </c>
      <c r="W182" s="11">
        <v>1470686560997</v>
      </c>
      <c r="X182" s="11">
        <v>165686427426</v>
      </c>
      <c r="Y182" s="11">
        <v>6435400000</v>
      </c>
      <c r="Z182" s="11">
        <v>1642808388423</v>
      </c>
      <c r="AA182" s="11">
        <v>1310310550724</v>
      </c>
      <c r="AB182" s="12">
        <v>12.24</v>
      </c>
      <c r="AC182" s="11">
        <v>631785217805</v>
      </c>
      <c r="AD182" s="11">
        <v>631785217805</v>
      </c>
      <c r="AE182" s="11">
        <v>65400000000</v>
      </c>
      <c r="AF182" s="11">
        <v>316597340</v>
      </c>
      <c r="AG182" s="11">
        <v>0</v>
      </c>
      <c r="AH182" s="11">
        <v>0</v>
      </c>
      <c r="AI182" s="11">
        <v>0</v>
      </c>
      <c r="AJ182" s="12">
        <v>1</v>
      </c>
      <c r="AK182" s="11">
        <v>95590000000</v>
      </c>
      <c r="AL182" s="12">
        <v>17</v>
      </c>
      <c r="AM182" s="11">
        <v>12321962428</v>
      </c>
      <c r="AN182" s="12">
        <v>61</v>
      </c>
      <c r="AO182" s="11">
        <v>62443699646</v>
      </c>
      <c r="AP182" s="11">
        <v>29381737481</v>
      </c>
      <c r="AQ182" s="11">
        <v>5536399936</v>
      </c>
      <c r="AR182" s="11">
        <v>23845337545</v>
      </c>
      <c r="AS182" s="12">
        <v>430.7</v>
      </c>
      <c r="AT182" s="11">
        <v>608123877216</v>
      </c>
      <c r="AU182" s="11">
        <v>122366075604</v>
      </c>
      <c r="AV182" s="11">
        <v>105454974724</v>
      </c>
      <c r="AW182" s="11">
        <v>125610806507</v>
      </c>
      <c r="AX182" s="11">
        <v>273612614527</v>
      </c>
      <c r="AY182" s="11">
        <v>572720000000</v>
      </c>
      <c r="AZ182" s="11">
        <v>189494947801</v>
      </c>
      <c r="BA182" s="11">
        <v>1114632775202</v>
      </c>
      <c r="BB182" s="13">
        <v>88541</v>
      </c>
      <c r="BC182" s="11">
        <v>267975851982</v>
      </c>
      <c r="BD182" s="11">
        <v>273612614527</v>
      </c>
      <c r="BE182" s="11">
        <v>573044308693</v>
      </c>
      <c r="BF182" s="11">
        <v>459227824165</v>
      </c>
      <c r="BG182" s="11">
        <v>172557393640</v>
      </c>
      <c r="BH182" s="11">
        <v>0</v>
      </c>
      <c r="BI182" s="11">
        <v>0</v>
      </c>
      <c r="BJ182" s="11">
        <v>67686035392</v>
      </c>
      <c r="BK182" s="11">
        <v>0</v>
      </c>
      <c r="BL182" s="11">
        <v>0</v>
      </c>
      <c r="BM182" s="11">
        <v>316597340</v>
      </c>
    </row>
    <row r="183" spans="1:65" x14ac:dyDescent="0.25">
      <c r="A183" s="32"/>
      <c r="B183" s="10">
        <v>1903</v>
      </c>
      <c r="C183" s="10" t="s">
        <v>238</v>
      </c>
      <c r="D183" s="11">
        <v>542616118205</v>
      </c>
      <c r="E183" s="11">
        <v>20450076212</v>
      </c>
      <c r="F183" s="11">
        <v>0</v>
      </c>
      <c r="G183" s="11">
        <v>0</v>
      </c>
      <c r="H183" s="11">
        <v>563066194417</v>
      </c>
      <c r="I183" s="11">
        <v>40862863785</v>
      </c>
      <c r="J183" s="11">
        <v>522203330632</v>
      </c>
      <c r="K183" s="11">
        <v>475708790104</v>
      </c>
      <c r="L183" s="11">
        <v>87357404313</v>
      </c>
      <c r="M183" s="12">
        <v>18.36</v>
      </c>
      <c r="N183" s="11">
        <v>679726414045</v>
      </c>
      <c r="O183" s="12">
        <v>129.28</v>
      </c>
      <c r="P183" s="12">
        <v>130.16999999999999</v>
      </c>
      <c r="Q183" s="12">
        <v>0.63</v>
      </c>
      <c r="R183" s="11">
        <v>723809662814</v>
      </c>
      <c r="S183" s="11">
        <v>4131441509</v>
      </c>
      <c r="T183" s="11">
        <v>3553997265</v>
      </c>
      <c r="U183" s="11">
        <v>0</v>
      </c>
      <c r="V183" s="11">
        <v>577444244</v>
      </c>
      <c r="W183" s="11">
        <v>727941104323</v>
      </c>
      <c r="X183" s="11">
        <v>36188796288</v>
      </c>
      <c r="Y183" s="11">
        <v>8968180000</v>
      </c>
      <c r="Z183" s="11">
        <v>773098080611</v>
      </c>
      <c r="AA183" s="11">
        <v>489018236538</v>
      </c>
      <c r="AB183" s="12">
        <v>48.86</v>
      </c>
      <c r="AC183" s="11">
        <v>357801952537</v>
      </c>
      <c r="AD183" s="11">
        <v>357801952537</v>
      </c>
      <c r="AE183" s="11">
        <v>0</v>
      </c>
      <c r="AF183" s="11">
        <v>0</v>
      </c>
      <c r="AG183" s="11">
        <v>0</v>
      </c>
      <c r="AH183" s="11">
        <v>0</v>
      </c>
      <c r="AI183" s="11">
        <v>0</v>
      </c>
      <c r="AJ183" s="12">
        <v>4</v>
      </c>
      <c r="AK183" s="11">
        <v>55697366000</v>
      </c>
      <c r="AL183" s="12">
        <v>4</v>
      </c>
      <c r="AM183" s="11">
        <v>64700000000</v>
      </c>
      <c r="AN183" s="12">
        <v>2</v>
      </c>
      <c r="AO183" s="11">
        <v>1607517600</v>
      </c>
      <c r="AP183" s="11">
        <v>4131441509</v>
      </c>
      <c r="AQ183" s="11">
        <v>3791975608</v>
      </c>
      <c r="AR183" s="11">
        <v>339465901</v>
      </c>
      <c r="AS183" s="12">
        <v>8.9499999999999993</v>
      </c>
      <c r="AT183" s="11">
        <v>183982147830</v>
      </c>
      <c r="AU183" s="11">
        <v>39239038344</v>
      </c>
      <c r="AV183" s="11">
        <v>88748412760</v>
      </c>
      <c r="AW183" s="11">
        <v>97571592215</v>
      </c>
      <c r="AX183" s="11">
        <v>168666313230</v>
      </c>
      <c r="AY183" s="11">
        <v>187629800000</v>
      </c>
      <c r="AZ183" s="11">
        <v>120251451778</v>
      </c>
      <c r="BA183" s="11">
        <v>563066194417</v>
      </c>
      <c r="BB183" s="13">
        <v>22170</v>
      </c>
      <c r="BC183" s="11">
        <v>206648702209</v>
      </c>
      <c r="BD183" s="11">
        <v>168666313230</v>
      </c>
      <c r="BE183" s="11">
        <v>187751178978</v>
      </c>
      <c r="BF183" s="11">
        <v>242731952537</v>
      </c>
      <c r="BG183" s="11">
        <v>115070000000</v>
      </c>
      <c r="BH183" s="11">
        <v>0</v>
      </c>
      <c r="BI183" s="11">
        <v>0</v>
      </c>
      <c r="BJ183" s="11">
        <v>0</v>
      </c>
      <c r="BK183" s="11">
        <v>0</v>
      </c>
      <c r="BL183" s="11">
        <v>0</v>
      </c>
      <c r="BM183" s="11">
        <v>0</v>
      </c>
    </row>
    <row r="184" spans="1:65" x14ac:dyDescent="0.25">
      <c r="A184" s="32"/>
      <c r="B184" s="10">
        <v>1904</v>
      </c>
      <c r="C184" s="10" t="s">
        <v>239</v>
      </c>
      <c r="D184" s="11">
        <v>1027494188755</v>
      </c>
      <c r="E184" s="11">
        <v>98620693513</v>
      </c>
      <c r="F184" s="11">
        <v>0</v>
      </c>
      <c r="G184" s="11">
        <v>0</v>
      </c>
      <c r="H184" s="11">
        <v>1126114882268</v>
      </c>
      <c r="I184" s="11">
        <v>87421643609</v>
      </c>
      <c r="J184" s="11">
        <v>1038693238659</v>
      </c>
      <c r="K184" s="11">
        <v>872375498421</v>
      </c>
      <c r="L184" s="11">
        <v>253739383847</v>
      </c>
      <c r="M184" s="12">
        <v>29.09</v>
      </c>
      <c r="N184" s="11">
        <v>2086507629344</v>
      </c>
      <c r="O184" s="12">
        <v>243.81</v>
      </c>
      <c r="P184" s="12">
        <v>200.88</v>
      </c>
      <c r="Q184" s="12">
        <v>1.41</v>
      </c>
      <c r="R184" s="11">
        <v>2710514334535</v>
      </c>
      <c r="S184" s="11">
        <v>35065957370</v>
      </c>
      <c r="T184" s="11">
        <v>11533764710</v>
      </c>
      <c r="U184" s="11">
        <v>1079839538</v>
      </c>
      <c r="V184" s="11">
        <v>22452353122</v>
      </c>
      <c r="W184" s="11">
        <v>2745580291905</v>
      </c>
      <c r="X184" s="11">
        <v>85303874389</v>
      </c>
      <c r="Y184" s="11">
        <v>8700000000</v>
      </c>
      <c r="Z184" s="11">
        <v>2839584166294</v>
      </c>
      <c r="AA184" s="11">
        <v>2457440250372</v>
      </c>
      <c r="AB184" s="12">
        <v>11.73</v>
      </c>
      <c r="AC184" s="11">
        <v>1213439564702</v>
      </c>
      <c r="AD184" s="11">
        <v>1213439564702</v>
      </c>
      <c r="AE184" s="11">
        <v>561225149365</v>
      </c>
      <c r="AF184" s="11">
        <v>0</v>
      </c>
      <c r="AG184" s="11">
        <v>0</v>
      </c>
      <c r="AH184" s="11">
        <v>0</v>
      </c>
      <c r="AI184" s="11">
        <v>0</v>
      </c>
      <c r="AJ184" s="12">
        <v>15</v>
      </c>
      <c r="AK184" s="11">
        <v>1218583591571</v>
      </c>
      <c r="AL184" s="12">
        <v>37</v>
      </c>
      <c r="AM184" s="11">
        <v>163710395932</v>
      </c>
      <c r="AN184" s="12">
        <v>12</v>
      </c>
      <c r="AO184" s="11">
        <v>115603593087</v>
      </c>
      <c r="AP184" s="11">
        <v>35065957370</v>
      </c>
      <c r="AQ184" s="11">
        <v>11270721581</v>
      </c>
      <c r="AR184" s="11">
        <v>23795235789</v>
      </c>
      <c r="AS184" s="12">
        <v>211.12</v>
      </c>
      <c r="AT184" s="11">
        <v>1098571450929</v>
      </c>
      <c r="AU184" s="11">
        <v>191928391723</v>
      </c>
      <c r="AV184" s="11">
        <v>279381830174</v>
      </c>
      <c r="AW184" s="11">
        <v>112089808742</v>
      </c>
      <c r="AX184" s="11">
        <v>389636749839</v>
      </c>
      <c r="AY184" s="11">
        <v>246385800000</v>
      </c>
      <c r="AZ184" s="11">
        <v>311944499035</v>
      </c>
      <c r="BA184" s="11">
        <v>1126114882268</v>
      </c>
      <c r="BB184" s="13">
        <v>96444</v>
      </c>
      <c r="BC184" s="11">
        <v>490092332429</v>
      </c>
      <c r="BD184" s="11">
        <v>389426649839</v>
      </c>
      <c r="BE184" s="11">
        <v>246595900000</v>
      </c>
      <c r="BF184" s="11">
        <v>991659055139</v>
      </c>
      <c r="BG184" s="11">
        <v>221780509563</v>
      </c>
      <c r="BH184" s="11">
        <v>166094495511</v>
      </c>
      <c r="BI184" s="11">
        <v>19764400038</v>
      </c>
      <c r="BJ184" s="11">
        <v>420736116698</v>
      </c>
      <c r="BK184" s="11">
        <v>0</v>
      </c>
      <c r="BL184" s="11">
        <v>0</v>
      </c>
      <c r="BM184" s="11">
        <v>0</v>
      </c>
    </row>
    <row r="185" spans="1:65" x14ac:dyDescent="0.25">
      <c r="A185" s="32"/>
      <c r="B185" s="10">
        <v>1905</v>
      </c>
      <c r="C185" s="10" t="s">
        <v>240</v>
      </c>
      <c r="D185" s="11">
        <v>1752644883300</v>
      </c>
      <c r="E185" s="11">
        <v>83966129669</v>
      </c>
      <c r="F185" s="11">
        <v>0</v>
      </c>
      <c r="G185" s="11">
        <v>374511892013</v>
      </c>
      <c r="H185" s="11">
        <v>2211122904982</v>
      </c>
      <c r="I185" s="11">
        <v>188882371882</v>
      </c>
      <c r="J185" s="11">
        <v>2022240533100</v>
      </c>
      <c r="K185" s="11">
        <v>2739926579514</v>
      </c>
      <c r="L185" s="11">
        <v>-528803674532</v>
      </c>
      <c r="M185" s="12">
        <v>-19.3</v>
      </c>
      <c r="N185" s="11">
        <v>1774983133338</v>
      </c>
      <c r="O185" s="12">
        <v>87.22</v>
      </c>
      <c r="P185" s="12">
        <v>87.77</v>
      </c>
      <c r="Q185" s="12">
        <v>1.5</v>
      </c>
      <c r="R185" s="11">
        <v>1898612684470</v>
      </c>
      <c r="S185" s="11">
        <v>29897048505</v>
      </c>
      <c r="T185" s="11">
        <v>4389266656</v>
      </c>
      <c r="U185" s="11">
        <v>25277888998</v>
      </c>
      <c r="V185" s="11">
        <v>229892851</v>
      </c>
      <c r="W185" s="11">
        <v>1928509732975</v>
      </c>
      <c r="X185" s="11">
        <v>62787768663</v>
      </c>
      <c r="Y185" s="11">
        <v>4609699000</v>
      </c>
      <c r="Z185" s="11">
        <v>1995907200638</v>
      </c>
      <c r="AA185" s="11">
        <v>1826920403272</v>
      </c>
      <c r="AB185" s="12">
        <v>5.56</v>
      </c>
      <c r="AC185" s="11">
        <v>1350931094457</v>
      </c>
      <c r="AD185" s="11">
        <v>1350931094457</v>
      </c>
      <c r="AE185" s="11">
        <v>50567299949</v>
      </c>
      <c r="AF185" s="11">
        <v>15189221185</v>
      </c>
      <c r="AG185" s="11">
        <v>0</v>
      </c>
      <c r="AH185" s="11">
        <v>0</v>
      </c>
      <c r="AI185" s="11">
        <v>0</v>
      </c>
      <c r="AJ185" s="12">
        <v>4</v>
      </c>
      <c r="AK185" s="11">
        <v>709955649480</v>
      </c>
      <c r="AL185" s="12">
        <v>129</v>
      </c>
      <c r="AM185" s="11">
        <v>771062073794</v>
      </c>
      <c r="AN185" s="12">
        <v>43</v>
      </c>
      <c r="AO185" s="11">
        <v>531616189215</v>
      </c>
      <c r="AP185" s="11">
        <v>29897048505</v>
      </c>
      <c r="AQ185" s="11">
        <v>2441202118</v>
      </c>
      <c r="AR185" s="11">
        <v>27455846387</v>
      </c>
      <c r="AS185" s="19">
        <v>1124.69</v>
      </c>
      <c r="AT185" s="11">
        <v>1490250704495</v>
      </c>
      <c r="AU185" s="11">
        <v>66664297113</v>
      </c>
      <c r="AV185" s="11">
        <v>413672091648</v>
      </c>
      <c r="AW185" s="11">
        <v>108153690455</v>
      </c>
      <c r="AX185" s="11">
        <v>622462101197</v>
      </c>
      <c r="AY185" s="11">
        <v>608357000000</v>
      </c>
      <c r="AZ185" s="11">
        <v>324387666163</v>
      </c>
      <c r="BA185" s="11">
        <v>2211122904982</v>
      </c>
      <c r="BB185" s="13">
        <v>148755</v>
      </c>
      <c r="BC185" s="11">
        <v>980303803785</v>
      </c>
      <c r="BD185" s="11">
        <v>622462101197</v>
      </c>
      <c r="BE185" s="11">
        <v>608357000000</v>
      </c>
      <c r="BF185" s="11">
        <v>856030372632</v>
      </c>
      <c r="BG185" s="11">
        <v>494900721825</v>
      </c>
      <c r="BH185" s="11">
        <v>0</v>
      </c>
      <c r="BI185" s="11">
        <v>0</v>
      </c>
      <c r="BJ185" s="11">
        <v>54430594254</v>
      </c>
      <c r="BK185" s="11">
        <v>43420868</v>
      </c>
      <c r="BL185" s="11">
        <v>0</v>
      </c>
      <c r="BM185" s="11">
        <v>15145800317</v>
      </c>
    </row>
    <row r="186" spans="1:65" x14ac:dyDescent="0.25">
      <c r="A186" s="32"/>
      <c r="B186" s="10">
        <v>1906</v>
      </c>
      <c r="C186" s="10" t="s">
        <v>241</v>
      </c>
      <c r="D186" s="11">
        <v>1126240144757</v>
      </c>
      <c r="E186" s="11">
        <v>31125093726</v>
      </c>
      <c r="F186" s="11">
        <v>0</v>
      </c>
      <c r="G186" s="11">
        <v>0</v>
      </c>
      <c r="H186" s="11">
        <v>1157365238483</v>
      </c>
      <c r="I186" s="11">
        <v>92897361214</v>
      </c>
      <c r="J186" s="11">
        <v>1064467877269</v>
      </c>
      <c r="K186" s="11">
        <v>1158736442663</v>
      </c>
      <c r="L186" s="11">
        <v>-1371204180</v>
      </c>
      <c r="M186" s="12">
        <v>-0.12</v>
      </c>
      <c r="N186" s="11">
        <v>1974867324073</v>
      </c>
      <c r="O186" s="12">
        <v>184.38</v>
      </c>
      <c r="P186" s="12">
        <v>185.53</v>
      </c>
      <c r="Q186" s="12">
        <v>1.39</v>
      </c>
      <c r="R186" s="11">
        <v>2102269367825</v>
      </c>
      <c r="S186" s="11">
        <v>31725393794</v>
      </c>
      <c r="T186" s="11">
        <v>27778914680</v>
      </c>
      <c r="U186" s="11">
        <v>3946479114</v>
      </c>
      <c r="V186" s="11">
        <v>0</v>
      </c>
      <c r="W186" s="11">
        <v>2133994761619</v>
      </c>
      <c r="X186" s="11">
        <v>152495764797</v>
      </c>
      <c r="Y186" s="11">
        <v>6703750000</v>
      </c>
      <c r="Z186" s="11">
        <v>2293194276416</v>
      </c>
      <c r="AA186" s="11">
        <v>1583513529803</v>
      </c>
      <c r="AB186" s="12">
        <v>34.76</v>
      </c>
      <c r="AC186" s="11">
        <v>1062868036915</v>
      </c>
      <c r="AD186" s="11">
        <v>1039668036915</v>
      </c>
      <c r="AE186" s="11">
        <v>109109207775</v>
      </c>
      <c r="AF186" s="11">
        <v>153566246</v>
      </c>
      <c r="AG186" s="11">
        <v>0</v>
      </c>
      <c r="AH186" s="11">
        <v>0</v>
      </c>
      <c r="AI186" s="11">
        <v>0</v>
      </c>
      <c r="AJ186" s="12">
        <v>12</v>
      </c>
      <c r="AK186" s="11">
        <v>173855558250</v>
      </c>
      <c r="AL186" s="12">
        <v>45</v>
      </c>
      <c r="AM186" s="11">
        <v>257498797799</v>
      </c>
      <c r="AN186" s="12">
        <v>50</v>
      </c>
      <c r="AO186" s="11">
        <v>238543682645</v>
      </c>
      <c r="AP186" s="11">
        <v>31725393794</v>
      </c>
      <c r="AQ186" s="11">
        <v>23033271428</v>
      </c>
      <c r="AR186" s="11">
        <v>8692122366</v>
      </c>
      <c r="AS186" s="12">
        <v>37.74</v>
      </c>
      <c r="AT186" s="11">
        <v>854021127610</v>
      </c>
      <c r="AU186" s="11">
        <v>291216472373</v>
      </c>
      <c r="AV186" s="11">
        <v>164706220176</v>
      </c>
      <c r="AW186" s="11">
        <v>151672896269</v>
      </c>
      <c r="AX186" s="11">
        <v>570024528312</v>
      </c>
      <c r="AY186" s="11">
        <v>239836500000</v>
      </c>
      <c r="AZ186" s="11">
        <v>422077223240</v>
      </c>
      <c r="BA186" s="11">
        <v>1157365238483</v>
      </c>
      <c r="BB186" s="13">
        <v>88630</v>
      </c>
      <c r="BC186" s="11">
        <v>347504210171</v>
      </c>
      <c r="BD186" s="11">
        <v>570024528312</v>
      </c>
      <c r="BE186" s="11">
        <v>239836500000</v>
      </c>
      <c r="BF186" s="11">
        <v>1025379652915</v>
      </c>
      <c r="BG186" s="11">
        <v>37488384000</v>
      </c>
      <c r="BH186" s="11">
        <v>0</v>
      </c>
      <c r="BI186" s="11">
        <v>0</v>
      </c>
      <c r="BJ186" s="11">
        <v>113414000295</v>
      </c>
      <c r="BK186" s="11">
        <v>0</v>
      </c>
      <c r="BL186" s="11">
        <v>0</v>
      </c>
      <c r="BM186" s="11">
        <v>156500715</v>
      </c>
    </row>
    <row r="187" spans="1:65" x14ac:dyDescent="0.25">
      <c r="A187" s="32"/>
      <c r="B187" s="10">
        <v>1907</v>
      </c>
      <c r="C187" s="10" t="s">
        <v>242</v>
      </c>
      <c r="D187" s="11">
        <v>945030051832</v>
      </c>
      <c r="E187" s="11">
        <v>18352567460</v>
      </c>
      <c r="F187" s="11">
        <v>0</v>
      </c>
      <c r="G187" s="11">
        <v>0</v>
      </c>
      <c r="H187" s="11">
        <v>963382619292</v>
      </c>
      <c r="I187" s="11">
        <v>80873693319</v>
      </c>
      <c r="J187" s="11">
        <v>882508925973</v>
      </c>
      <c r="K187" s="11">
        <v>1015994546523</v>
      </c>
      <c r="L187" s="11">
        <v>-52611927231</v>
      </c>
      <c r="M187" s="12">
        <v>-5.18</v>
      </c>
      <c r="N187" s="11">
        <v>1359910380478</v>
      </c>
      <c r="O187" s="12">
        <v>150.25</v>
      </c>
      <c r="P187" s="12">
        <v>154.1</v>
      </c>
      <c r="Q187" s="12">
        <v>1.27</v>
      </c>
      <c r="R187" s="11">
        <v>1429835008604</v>
      </c>
      <c r="S187" s="11">
        <v>17652754166</v>
      </c>
      <c r="T187" s="11">
        <v>14132696787</v>
      </c>
      <c r="U187" s="11">
        <v>158933990</v>
      </c>
      <c r="V187" s="11">
        <v>3361123389</v>
      </c>
      <c r="W187" s="11">
        <v>1447487762770</v>
      </c>
      <c r="X187" s="11">
        <v>60535046147</v>
      </c>
      <c r="Y187" s="11">
        <v>7600000000</v>
      </c>
      <c r="Z187" s="11">
        <v>1515622808917</v>
      </c>
      <c r="AA187" s="11">
        <v>968202486881</v>
      </c>
      <c r="AB187" s="12">
        <v>49.5</v>
      </c>
      <c r="AC187" s="11">
        <v>717885537630</v>
      </c>
      <c r="AD187" s="11">
        <v>717885537630</v>
      </c>
      <c r="AE187" s="11">
        <v>0</v>
      </c>
      <c r="AF187" s="11">
        <v>13390500000</v>
      </c>
      <c r="AG187" s="11">
        <v>0</v>
      </c>
      <c r="AH187" s="11">
        <v>0</v>
      </c>
      <c r="AI187" s="11">
        <v>0</v>
      </c>
      <c r="AJ187" s="12">
        <v>0</v>
      </c>
      <c r="AK187" s="11">
        <v>0</v>
      </c>
      <c r="AL187" s="12">
        <v>46</v>
      </c>
      <c r="AM187" s="11">
        <v>92130879044</v>
      </c>
      <c r="AN187" s="12">
        <v>26</v>
      </c>
      <c r="AO187" s="11">
        <v>32080333955</v>
      </c>
      <c r="AP187" s="11">
        <v>17652754166</v>
      </c>
      <c r="AQ187" s="11">
        <v>9800582897</v>
      </c>
      <c r="AR187" s="11">
        <v>7852171269</v>
      </c>
      <c r="AS187" s="12">
        <v>80.12</v>
      </c>
      <c r="AT187" s="11">
        <v>398479903802</v>
      </c>
      <c r="AU187" s="11">
        <v>86669239758</v>
      </c>
      <c r="AV187" s="11">
        <v>73761577227</v>
      </c>
      <c r="AW187" s="11">
        <v>141940452123</v>
      </c>
      <c r="AX187" s="11">
        <v>289922622482</v>
      </c>
      <c r="AY187" s="11">
        <v>439405400000</v>
      </c>
      <c r="AZ187" s="11">
        <v>203294093258</v>
      </c>
      <c r="BA187" s="11">
        <v>963382619292</v>
      </c>
      <c r="BB187" s="13">
        <v>107098</v>
      </c>
      <c r="BC187" s="11">
        <v>233959072912</v>
      </c>
      <c r="BD187" s="11">
        <v>289922622482</v>
      </c>
      <c r="BE187" s="11">
        <v>439500923898</v>
      </c>
      <c r="BF187" s="11">
        <v>582388001630</v>
      </c>
      <c r="BG187" s="11">
        <v>135497536000</v>
      </c>
      <c r="BH187" s="11">
        <v>0</v>
      </c>
      <c r="BI187" s="11">
        <v>0</v>
      </c>
      <c r="BJ187" s="11">
        <v>0</v>
      </c>
      <c r="BK187" s="11">
        <v>0</v>
      </c>
      <c r="BL187" s="11">
        <v>0</v>
      </c>
      <c r="BM187" s="11">
        <v>13390500000</v>
      </c>
    </row>
    <row r="188" spans="1:65" x14ac:dyDescent="0.25">
      <c r="A188" s="32"/>
      <c r="B188" s="10">
        <v>1908</v>
      </c>
      <c r="C188" s="10" t="s">
        <v>243</v>
      </c>
      <c r="D188" s="11">
        <v>748075897919</v>
      </c>
      <c r="E188" s="11">
        <v>86229118729</v>
      </c>
      <c r="F188" s="11">
        <v>0</v>
      </c>
      <c r="G188" s="11">
        <v>0</v>
      </c>
      <c r="H188" s="11">
        <v>834305016648</v>
      </c>
      <c r="I188" s="11">
        <v>59286395177</v>
      </c>
      <c r="J188" s="11">
        <v>775018621471</v>
      </c>
      <c r="K188" s="11">
        <v>927869891746</v>
      </c>
      <c r="L188" s="11">
        <v>-93564875098</v>
      </c>
      <c r="M188" s="12">
        <v>-10.08</v>
      </c>
      <c r="N188" s="11">
        <v>794963986057</v>
      </c>
      <c r="O188" s="12">
        <v>102.6</v>
      </c>
      <c r="P188" s="12">
        <v>102.57</v>
      </c>
      <c r="Q188" s="12">
        <v>1.58</v>
      </c>
      <c r="R188" s="11">
        <v>842787211710</v>
      </c>
      <c r="S188" s="11">
        <v>13208341681</v>
      </c>
      <c r="T188" s="11">
        <v>8805717824</v>
      </c>
      <c r="U188" s="11">
        <v>1826905512</v>
      </c>
      <c r="V188" s="11">
        <v>2575718345</v>
      </c>
      <c r="W188" s="11">
        <v>855995553391</v>
      </c>
      <c r="X188" s="11">
        <v>40584198858</v>
      </c>
      <c r="Y188" s="11">
        <v>0</v>
      </c>
      <c r="Z188" s="11">
        <v>896579752249</v>
      </c>
      <c r="AA188" s="11">
        <v>594435518959</v>
      </c>
      <c r="AB188" s="12">
        <v>44</v>
      </c>
      <c r="AC188" s="11">
        <v>505526592580</v>
      </c>
      <c r="AD188" s="11">
        <v>505526592580</v>
      </c>
      <c r="AE188" s="11">
        <v>0</v>
      </c>
      <c r="AF188" s="11">
        <v>0</v>
      </c>
      <c r="AG188" s="11">
        <v>0</v>
      </c>
      <c r="AH188" s="11">
        <v>0</v>
      </c>
      <c r="AI188" s="11">
        <v>0</v>
      </c>
      <c r="AJ188" s="12">
        <v>0</v>
      </c>
      <c r="AK188" s="11">
        <v>0</v>
      </c>
      <c r="AL188" s="12">
        <v>97</v>
      </c>
      <c r="AM188" s="11">
        <v>1295585283765</v>
      </c>
      <c r="AN188" s="12">
        <v>68</v>
      </c>
      <c r="AO188" s="11">
        <v>443665494904</v>
      </c>
      <c r="AP188" s="11">
        <v>13208341681</v>
      </c>
      <c r="AQ188" s="11">
        <v>4727656819</v>
      </c>
      <c r="AR188" s="11">
        <v>8480684862</v>
      </c>
      <c r="AS188" s="12">
        <v>179.38</v>
      </c>
      <c r="AT188" s="11">
        <v>332069047616</v>
      </c>
      <c r="AU188" s="11">
        <v>44622092603</v>
      </c>
      <c r="AV188" s="11">
        <v>50481036441</v>
      </c>
      <c r="AW188" s="11">
        <v>182479581227</v>
      </c>
      <c r="AX188" s="11">
        <v>320784280251</v>
      </c>
      <c r="AY188" s="11">
        <v>194331000000</v>
      </c>
      <c r="AZ188" s="11">
        <v>229263863143</v>
      </c>
      <c r="BA188" s="11">
        <v>834305016648</v>
      </c>
      <c r="BB188" s="13">
        <v>69987</v>
      </c>
      <c r="BC188" s="11">
        <v>318863408469</v>
      </c>
      <c r="BD188" s="11">
        <v>320784280251</v>
      </c>
      <c r="BE188" s="11">
        <v>194657327928</v>
      </c>
      <c r="BF188" s="11">
        <v>439626612580</v>
      </c>
      <c r="BG188" s="11">
        <v>65899980000</v>
      </c>
      <c r="BH188" s="11">
        <v>0</v>
      </c>
      <c r="BI188" s="11">
        <v>0</v>
      </c>
      <c r="BJ188" s="11">
        <v>0</v>
      </c>
      <c r="BK188" s="11">
        <v>0</v>
      </c>
      <c r="BL188" s="11">
        <v>0</v>
      </c>
      <c r="BM188" s="11">
        <v>0</v>
      </c>
    </row>
    <row r="189" spans="1:65" x14ac:dyDescent="0.25">
      <c r="A189" s="32"/>
      <c r="B189" s="10">
        <v>1909</v>
      </c>
      <c r="C189" s="10" t="s">
        <v>244</v>
      </c>
      <c r="D189" s="11">
        <v>924034384447</v>
      </c>
      <c r="E189" s="11">
        <v>4760233011</v>
      </c>
      <c r="F189" s="11">
        <v>0</v>
      </c>
      <c r="G189" s="11">
        <v>0</v>
      </c>
      <c r="H189" s="11">
        <v>928794617458</v>
      </c>
      <c r="I189" s="11">
        <v>71502068367</v>
      </c>
      <c r="J189" s="11">
        <v>857292549091</v>
      </c>
      <c r="K189" s="11">
        <v>825356499228</v>
      </c>
      <c r="L189" s="11">
        <v>103438118230</v>
      </c>
      <c r="M189" s="12">
        <v>12.53</v>
      </c>
      <c r="N189" s="11">
        <v>1045878717408</v>
      </c>
      <c r="O189" s="12">
        <v>119.97</v>
      </c>
      <c r="P189" s="12">
        <v>122</v>
      </c>
      <c r="Q189" s="12">
        <v>0.57999999999999996</v>
      </c>
      <c r="R189" s="11">
        <v>1108153451541</v>
      </c>
      <c r="S189" s="11">
        <v>6144856414</v>
      </c>
      <c r="T189" s="11">
        <v>5434264090</v>
      </c>
      <c r="U189" s="11">
        <v>250184108</v>
      </c>
      <c r="V189" s="11">
        <v>460408216</v>
      </c>
      <c r="W189" s="11">
        <v>1114298307955</v>
      </c>
      <c r="X189" s="11">
        <v>68674588802</v>
      </c>
      <c r="Y189" s="11">
        <v>5500000000</v>
      </c>
      <c r="Z189" s="11">
        <v>1188472896757</v>
      </c>
      <c r="AA189" s="11">
        <v>880103604122</v>
      </c>
      <c r="AB189" s="12">
        <v>26.61</v>
      </c>
      <c r="AC189" s="11">
        <v>558505126602</v>
      </c>
      <c r="AD189" s="11">
        <v>558505126602</v>
      </c>
      <c r="AE189" s="11">
        <v>0</v>
      </c>
      <c r="AF189" s="11">
        <v>18540000000</v>
      </c>
      <c r="AG189" s="11">
        <v>0</v>
      </c>
      <c r="AH189" s="11">
        <v>0</v>
      </c>
      <c r="AI189" s="11">
        <v>1948000000</v>
      </c>
      <c r="AJ189" s="12">
        <v>0</v>
      </c>
      <c r="AK189" s="11">
        <v>0</v>
      </c>
      <c r="AL189" s="12">
        <v>19</v>
      </c>
      <c r="AM189" s="11">
        <v>17100179708</v>
      </c>
      <c r="AN189" s="12">
        <v>20</v>
      </c>
      <c r="AO189" s="11">
        <v>19272424115</v>
      </c>
      <c r="AP189" s="11">
        <v>6144856414</v>
      </c>
      <c r="AQ189" s="11">
        <v>5349741473</v>
      </c>
      <c r="AR189" s="11">
        <v>795114941</v>
      </c>
      <c r="AS189" s="12">
        <v>14.86</v>
      </c>
      <c r="AT189" s="11">
        <v>400176832808</v>
      </c>
      <c r="AU189" s="11">
        <v>72811929921</v>
      </c>
      <c r="AV189" s="11">
        <v>155146662006</v>
      </c>
      <c r="AW189" s="11">
        <v>133368486075</v>
      </c>
      <c r="AX189" s="11">
        <v>219921936366</v>
      </c>
      <c r="AY189" s="11">
        <v>415597300000</v>
      </c>
      <c r="AZ189" s="11">
        <v>160089789874</v>
      </c>
      <c r="BA189" s="11">
        <v>928794617458</v>
      </c>
      <c r="BB189" s="13">
        <v>42450</v>
      </c>
      <c r="BC189" s="11">
        <v>293275381092</v>
      </c>
      <c r="BD189" s="11">
        <v>219921936366</v>
      </c>
      <c r="BE189" s="11">
        <v>415597300000</v>
      </c>
      <c r="BF189" s="11">
        <v>434584850528</v>
      </c>
      <c r="BG189" s="11">
        <v>123920276074</v>
      </c>
      <c r="BH189" s="11">
        <v>0</v>
      </c>
      <c r="BI189" s="11">
        <v>0</v>
      </c>
      <c r="BJ189" s="11">
        <v>0</v>
      </c>
      <c r="BK189" s="11">
        <v>0</v>
      </c>
      <c r="BL189" s="11">
        <v>0</v>
      </c>
      <c r="BM189" s="11">
        <v>18579126460</v>
      </c>
    </row>
    <row r="190" spans="1:65" x14ac:dyDescent="0.25">
      <c r="A190" s="32"/>
      <c r="B190" s="10">
        <v>1910</v>
      </c>
      <c r="C190" s="10" t="s">
        <v>245</v>
      </c>
      <c r="D190" s="11">
        <v>621623856443</v>
      </c>
      <c r="E190" s="11">
        <v>5983747062</v>
      </c>
      <c r="F190" s="11">
        <v>0</v>
      </c>
      <c r="G190" s="11">
        <v>0</v>
      </c>
      <c r="H190" s="11">
        <v>627607603505</v>
      </c>
      <c r="I190" s="11">
        <v>50329271392</v>
      </c>
      <c r="J190" s="11">
        <v>577278332113</v>
      </c>
      <c r="K190" s="11">
        <v>460470837353</v>
      </c>
      <c r="L190" s="11">
        <v>167136766152</v>
      </c>
      <c r="M190" s="12">
        <v>36.299999999999997</v>
      </c>
      <c r="N190" s="11">
        <v>995748147021</v>
      </c>
      <c r="O190" s="12">
        <v>166.39</v>
      </c>
      <c r="P190" s="12">
        <v>172.49</v>
      </c>
      <c r="Q190" s="12">
        <v>0.93</v>
      </c>
      <c r="R190" s="11">
        <v>1034395713571</v>
      </c>
      <c r="S190" s="11">
        <v>9891709265</v>
      </c>
      <c r="T190" s="11">
        <v>8102353310</v>
      </c>
      <c r="U190" s="11">
        <v>1138503335</v>
      </c>
      <c r="V190" s="11">
        <v>650852620</v>
      </c>
      <c r="W190" s="11">
        <v>1044287422836</v>
      </c>
      <c r="X190" s="11">
        <v>37267112869</v>
      </c>
      <c r="Y190" s="11">
        <v>5800000000</v>
      </c>
      <c r="Z190" s="11">
        <v>1087354535705</v>
      </c>
      <c r="AA190" s="11">
        <v>744170216903</v>
      </c>
      <c r="AB190" s="12">
        <v>40.33</v>
      </c>
      <c r="AC190" s="11">
        <v>488186110000</v>
      </c>
      <c r="AD190" s="11">
        <v>488186110000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2">
        <v>0</v>
      </c>
      <c r="AK190" s="11">
        <v>0</v>
      </c>
      <c r="AL190" s="12">
        <v>13</v>
      </c>
      <c r="AM190" s="11">
        <v>12965559273</v>
      </c>
      <c r="AN190" s="12">
        <v>1</v>
      </c>
      <c r="AO190" s="11">
        <v>180150000</v>
      </c>
      <c r="AP190" s="11">
        <v>9891709265</v>
      </c>
      <c r="AQ190" s="11">
        <v>6970436553</v>
      </c>
      <c r="AR190" s="11">
        <v>2921272712</v>
      </c>
      <c r="AS190" s="12">
        <v>41.91</v>
      </c>
      <c r="AT190" s="11">
        <v>250760955107</v>
      </c>
      <c r="AU190" s="11">
        <v>76403538725</v>
      </c>
      <c r="AV190" s="11">
        <v>64480258751</v>
      </c>
      <c r="AW190" s="11">
        <v>115654920178</v>
      </c>
      <c r="AX190" s="11">
        <v>221741677514</v>
      </c>
      <c r="AY190" s="11">
        <v>219747000000</v>
      </c>
      <c r="AZ190" s="11">
        <v>192632498178</v>
      </c>
      <c r="BA190" s="11">
        <v>627607603505</v>
      </c>
      <c r="BB190" s="13">
        <v>50092</v>
      </c>
      <c r="BC190" s="11">
        <v>186118925991</v>
      </c>
      <c r="BD190" s="11">
        <v>221741677514</v>
      </c>
      <c r="BE190" s="11">
        <v>219747000000</v>
      </c>
      <c r="BF190" s="11">
        <v>419724910000</v>
      </c>
      <c r="BG190" s="11">
        <v>68461200000</v>
      </c>
      <c r="BH190" s="11">
        <v>0</v>
      </c>
      <c r="BI190" s="11">
        <v>0</v>
      </c>
      <c r="BJ190" s="11">
        <v>0</v>
      </c>
      <c r="BK190" s="11">
        <v>0</v>
      </c>
      <c r="BL190" s="11">
        <v>0</v>
      </c>
      <c r="BM190" s="11">
        <v>0</v>
      </c>
    </row>
    <row r="191" spans="1:65" x14ac:dyDescent="0.25">
      <c r="A191" s="32"/>
      <c r="B191" s="10">
        <v>1913</v>
      </c>
      <c r="C191" s="10" t="s">
        <v>246</v>
      </c>
      <c r="D191" s="11">
        <v>621941383280</v>
      </c>
      <c r="E191" s="11">
        <v>4694552647</v>
      </c>
      <c r="F191" s="11">
        <v>0</v>
      </c>
      <c r="G191" s="11">
        <v>0</v>
      </c>
      <c r="H191" s="11">
        <v>626635935927</v>
      </c>
      <c r="I191" s="11">
        <v>52039416735</v>
      </c>
      <c r="J191" s="11">
        <v>574596519192</v>
      </c>
      <c r="K191" s="11">
        <v>437866005907</v>
      </c>
      <c r="L191" s="11">
        <v>188769930020</v>
      </c>
      <c r="M191" s="12">
        <v>43.11</v>
      </c>
      <c r="N191" s="11">
        <v>389559685324</v>
      </c>
      <c r="O191" s="12">
        <v>68.19</v>
      </c>
      <c r="P191" s="12">
        <v>67.8</v>
      </c>
      <c r="Q191" s="12">
        <v>1.35</v>
      </c>
      <c r="R191" s="11">
        <v>421156109420</v>
      </c>
      <c r="S191" s="11">
        <v>6152806673</v>
      </c>
      <c r="T191" s="11">
        <v>4634259662</v>
      </c>
      <c r="U191" s="11">
        <v>387409113</v>
      </c>
      <c r="V191" s="11">
        <v>1131137898</v>
      </c>
      <c r="W191" s="11">
        <v>427308916093</v>
      </c>
      <c r="X191" s="11">
        <v>26532669310</v>
      </c>
      <c r="Y191" s="11">
        <v>5000000000</v>
      </c>
      <c r="Z191" s="11">
        <v>458841585403</v>
      </c>
      <c r="AA191" s="11">
        <v>275017096689</v>
      </c>
      <c r="AB191" s="12">
        <v>55.38</v>
      </c>
      <c r="AC191" s="11">
        <v>202971623993</v>
      </c>
      <c r="AD191" s="11">
        <v>202971623993</v>
      </c>
      <c r="AE191" s="11">
        <v>0</v>
      </c>
      <c r="AF191" s="11">
        <v>0</v>
      </c>
      <c r="AG191" s="11">
        <v>0</v>
      </c>
      <c r="AH191" s="11">
        <v>0</v>
      </c>
      <c r="AI191" s="11">
        <v>0</v>
      </c>
      <c r="AJ191" s="12">
        <v>0</v>
      </c>
      <c r="AK191" s="11">
        <v>0</v>
      </c>
      <c r="AL191" s="12">
        <v>4</v>
      </c>
      <c r="AM191" s="11">
        <v>35978353974</v>
      </c>
      <c r="AN191" s="12">
        <v>3</v>
      </c>
      <c r="AO191" s="11">
        <v>29880000000</v>
      </c>
      <c r="AP191" s="11">
        <v>6152806673</v>
      </c>
      <c r="AQ191" s="11">
        <v>2807602518</v>
      </c>
      <c r="AR191" s="11">
        <v>3345204155</v>
      </c>
      <c r="AS191" s="12">
        <v>119.15</v>
      </c>
      <c r="AT191" s="11">
        <v>99182767351</v>
      </c>
      <c r="AU191" s="11">
        <v>22741230638</v>
      </c>
      <c r="AV191" s="11">
        <v>65270476992</v>
      </c>
      <c r="AW191" s="11">
        <v>198955951882</v>
      </c>
      <c r="AX191" s="11">
        <v>84156954406</v>
      </c>
      <c r="AY191" s="11">
        <v>273558000000</v>
      </c>
      <c r="AZ191" s="11">
        <v>57412249316</v>
      </c>
      <c r="BA191" s="11">
        <v>626635935927</v>
      </c>
      <c r="BB191" s="13">
        <v>25722</v>
      </c>
      <c r="BC191" s="11">
        <v>268920981521</v>
      </c>
      <c r="BD191" s="11">
        <v>84156954406</v>
      </c>
      <c r="BE191" s="11">
        <v>273558000000</v>
      </c>
      <c r="BF191" s="11">
        <v>163061640743</v>
      </c>
      <c r="BG191" s="11">
        <v>39909983250</v>
      </c>
      <c r="BH191" s="11">
        <v>0</v>
      </c>
      <c r="BI191" s="11">
        <v>0</v>
      </c>
      <c r="BJ191" s="11">
        <v>0</v>
      </c>
      <c r="BK191" s="11">
        <v>0</v>
      </c>
      <c r="BL191" s="11">
        <v>0</v>
      </c>
      <c r="BM191" s="11">
        <v>0</v>
      </c>
    </row>
    <row r="192" spans="1:65" x14ac:dyDescent="0.25">
      <c r="A192" s="32"/>
      <c r="B192" s="10">
        <v>1914</v>
      </c>
      <c r="C192" s="10" t="s">
        <v>247</v>
      </c>
      <c r="D192" s="11">
        <v>2028669509240</v>
      </c>
      <c r="E192" s="11">
        <v>381313714787</v>
      </c>
      <c r="F192" s="11">
        <v>0</v>
      </c>
      <c r="G192" s="11">
        <v>0</v>
      </c>
      <c r="H192" s="11">
        <v>2409983224027</v>
      </c>
      <c r="I192" s="11">
        <v>193732970476</v>
      </c>
      <c r="J192" s="11">
        <v>2216250253551</v>
      </c>
      <c r="K192" s="11">
        <v>2051747211699</v>
      </c>
      <c r="L192" s="11">
        <v>358236012328</v>
      </c>
      <c r="M192" s="12">
        <v>17.46</v>
      </c>
      <c r="N192" s="11">
        <v>1866446121707</v>
      </c>
      <c r="O192" s="12">
        <v>85.24</v>
      </c>
      <c r="P192" s="12">
        <v>84.22</v>
      </c>
      <c r="Q192" s="12">
        <v>0.24</v>
      </c>
      <c r="R192" s="11">
        <v>2049529630538</v>
      </c>
      <c r="S192" s="11">
        <v>4779419533</v>
      </c>
      <c r="T192" s="11">
        <v>3344577774</v>
      </c>
      <c r="U192" s="11">
        <v>501547990</v>
      </c>
      <c r="V192" s="11">
        <v>933293769</v>
      </c>
      <c r="W192" s="11">
        <v>2054309050071</v>
      </c>
      <c r="X192" s="11">
        <v>103625939066</v>
      </c>
      <c r="Y192" s="11">
        <v>17391642646</v>
      </c>
      <c r="Z192" s="11">
        <v>2175326631783</v>
      </c>
      <c r="AA192" s="11">
        <v>1605262224894</v>
      </c>
      <c r="AB192" s="12">
        <v>27.97</v>
      </c>
      <c r="AC192" s="11">
        <v>2702907805950</v>
      </c>
      <c r="AD192" s="11">
        <v>2702907805950</v>
      </c>
      <c r="AE192" s="11">
        <v>1500696941031</v>
      </c>
      <c r="AF192" s="11">
        <v>14678761334</v>
      </c>
      <c r="AG192" s="11">
        <v>0</v>
      </c>
      <c r="AH192" s="11">
        <v>0</v>
      </c>
      <c r="AI192" s="11">
        <v>0</v>
      </c>
      <c r="AJ192" s="12">
        <v>28</v>
      </c>
      <c r="AK192" s="11">
        <v>3202213387965</v>
      </c>
      <c r="AL192" s="12">
        <v>119</v>
      </c>
      <c r="AM192" s="11">
        <v>1338126114890</v>
      </c>
      <c r="AN192" s="12">
        <v>172</v>
      </c>
      <c r="AO192" s="11">
        <v>1083064003607</v>
      </c>
      <c r="AP192" s="11">
        <v>4779419533</v>
      </c>
      <c r="AQ192" s="11">
        <v>1860398434</v>
      </c>
      <c r="AR192" s="11">
        <v>2919021099</v>
      </c>
      <c r="AS192" s="12">
        <v>156.9</v>
      </c>
      <c r="AT192" s="11">
        <v>2514522238410</v>
      </c>
      <c r="AU192" s="11">
        <v>213359771324</v>
      </c>
      <c r="AV192" s="11">
        <v>733568336826</v>
      </c>
      <c r="AW192" s="11">
        <v>303455407798</v>
      </c>
      <c r="AX192" s="11">
        <v>400209264616</v>
      </c>
      <c r="AY192" s="11">
        <v>591436500000</v>
      </c>
      <c r="AZ192" s="11">
        <v>296792688285</v>
      </c>
      <c r="BA192" s="11">
        <v>2409983224027</v>
      </c>
      <c r="BB192" s="13">
        <v>152655</v>
      </c>
      <c r="BC192" s="11">
        <v>1418337459411</v>
      </c>
      <c r="BD192" s="11">
        <v>400201564616</v>
      </c>
      <c r="BE192" s="11">
        <v>591444200000</v>
      </c>
      <c r="BF192" s="11">
        <v>2328626150794</v>
      </c>
      <c r="BG192" s="11">
        <v>374281655156</v>
      </c>
      <c r="BH192" s="11">
        <v>263974191590</v>
      </c>
      <c r="BI192" s="11">
        <v>0</v>
      </c>
      <c r="BJ192" s="11">
        <v>1352666693290</v>
      </c>
      <c r="BK192" s="11">
        <v>2036407410</v>
      </c>
      <c r="BL192" s="11">
        <v>0</v>
      </c>
      <c r="BM192" s="11">
        <v>12667611687</v>
      </c>
    </row>
    <row r="193" spans="1:65" x14ac:dyDescent="0.25">
      <c r="A193" s="32"/>
      <c r="B193" s="10">
        <v>1916</v>
      </c>
      <c r="C193" s="10" t="s">
        <v>248</v>
      </c>
      <c r="D193" s="11">
        <v>1086327541243</v>
      </c>
      <c r="E193" s="11">
        <v>15944801375</v>
      </c>
      <c r="F193" s="11">
        <v>0</v>
      </c>
      <c r="G193" s="11">
        <v>0</v>
      </c>
      <c r="H193" s="11">
        <v>1102272342618</v>
      </c>
      <c r="I193" s="11">
        <v>88814633137</v>
      </c>
      <c r="J193" s="11">
        <v>1013457709481</v>
      </c>
      <c r="K193" s="11">
        <v>686467014249</v>
      </c>
      <c r="L193" s="11">
        <v>415805328369</v>
      </c>
      <c r="M193" s="12">
        <v>60.57</v>
      </c>
      <c r="N193" s="11">
        <v>1323861348518</v>
      </c>
      <c r="O193" s="12">
        <v>126.25</v>
      </c>
      <c r="P193" s="12">
        <v>130.63</v>
      </c>
      <c r="Q193" s="12">
        <v>1.91</v>
      </c>
      <c r="R193" s="11">
        <v>1364087509496</v>
      </c>
      <c r="S193" s="11">
        <v>27476964578</v>
      </c>
      <c r="T193" s="11">
        <v>22776579855</v>
      </c>
      <c r="U193" s="11">
        <v>4700384723</v>
      </c>
      <c r="V193" s="11">
        <v>0</v>
      </c>
      <c r="W193" s="11">
        <v>1391564474074</v>
      </c>
      <c r="X193" s="11">
        <v>40072200937</v>
      </c>
      <c r="Y193" s="11">
        <v>7950000000</v>
      </c>
      <c r="Z193" s="11">
        <v>1439586675011</v>
      </c>
      <c r="AA193" s="11">
        <v>1026088937737</v>
      </c>
      <c r="AB193" s="12">
        <v>35.619999999999997</v>
      </c>
      <c r="AC193" s="11">
        <v>645367262361</v>
      </c>
      <c r="AD193" s="11">
        <v>645367262361</v>
      </c>
      <c r="AE193" s="11">
        <v>0</v>
      </c>
      <c r="AF193" s="11">
        <v>135399806</v>
      </c>
      <c r="AG193" s="11">
        <v>0</v>
      </c>
      <c r="AH193" s="11">
        <v>0</v>
      </c>
      <c r="AI193" s="11">
        <v>0</v>
      </c>
      <c r="AJ193" s="12">
        <v>0</v>
      </c>
      <c r="AK193" s="11">
        <v>0</v>
      </c>
      <c r="AL193" s="12">
        <v>14</v>
      </c>
      <c r="AM193" s="11">
        <v>277940615091</v>
      </c>
      <c r="AN193" s="12">
        <v>14</v>
      </c>
      <c r="AO193" s="11">
        <v>12353140631</v>
      </c>
      <c r="AP193" s="11">
        <v>27476964578</v>
      </c>
      <c r="AQ193" s="11">
        <v>20877899339</v>
      </c>
      <c r="AR193" s="11">
        <v>6599065239</v>
      </c>
      <c r="AS193" s="12">
        <v>31.61</v>
      </c>
      <c r="AT193" s="11">
        <v>382811957402</v>
      </c>
      <c r="AU193" s="11">
        <v>119590162780</v>
      </c>
      <c r="AV193" s="11">
        <v>140079115233</v>
      </c>
      <c r="AW193" s="11">
        <v>61983219788</v>
      </c>
      <c r="AX193" s="11">
        <v>294311206222</v>
      </c>
      <c r="AY193" s="11">
        <v>589954000000</v>
      </c>
      <c r="AZ193" s="11">
        <v>283892641139</v>
      </c>
      <c r="BA193" s="11">
        <v>1102272342618</v>
      </c>
      <c r="BB193" s="13">
        <v>19103</v>
      </c>
      <c r="BC193" s="11">
        <v>218007136396</v>
      </c>
      <c r="BD193" s="11">
        <v>294311206222</v>
      </c>
      <c r="BE193" s="11">
        <v>589954000000</v>
      </c>
      <c r="BF193" s="11">
        <v>549939626905</v>
      </c>
      <c r="BG193" s="11">
        <v>95427635456</v>
      </c>
      <c r="BH193" s="11">
        <v>0</v>
      </c>
      <c r="BI193" s="11">
        <v>0</v>
      </c>
      <c r="BJ193" s="11">
        <v>0</v>
      </c>
      <c r="BK193" s="11">
        <v>0</v>
      </c>
      <c r="BL193" s="11">
        <v>0</v>
      </c>
      <c r="BM193" s="11">
        <v>135646180</v>
      </c>
    </row>
    <row r="194" spans="1:65" x14ac:dyDescent="0.25">
      <c r="A194" s="32"/>
      <c r="B194" s="10">
        <v>1917</v>
      </c>
      <c r="C194" s="10" t="s">
        <v>249</v>
      </c>
      <c r="D194" s="11">
        <v>2483701610197</v>
      </c>
      <c r="E194" s="11">
        <v>97535568621</v>
      </c>
      <c r="F194" s="11">
        <v>0</v>
      </c>
      <c r="G194" s="11">
        <v>0</v>
      </c>
      <c r="H194" s="11">
        <v>2581237178818</v>
      </c>
      <c r="I194" s="11">
        <v>228897649382</v>
      </c>
      <c r="J194" s="11">
        <v>2352339529436</v>
      </c>
      <c r="K194" s="11">
        <v>2755025755983</v>
      </c>
      <c r="L194" s="11">
        <v>-173788577165</v>
      </c>
      <c r="M194" s="12">
        <v>-6.31</v>
      </c>
      <c r="N194" s="11">
        <v>1604074269279</v>
      </c>
      <c r="O194" s="12">
        <v>68.069999999999993</v>
      </c>
      <c r="P194" s="12">
        <v>68.19</v>
      </c>
      <c r="Q194" s="12">
        <v>1.52</v>
      </c>
      <c r="R194" s="11">
        <v>1729595113680</v>
      </c>
      <c r="S194" s="11">
        <v>27391386457</v>
      </c>
      <c r="T194" s="11">
        <v>11345237703</v>
      </c>
      <c r="U194" s="11">
        <v>3006323641</v>
      </c>
      <c r="V194" s="11">
        <v>13039825113</v>
      </c>
      <c r="W194" s="11">
        <v>1756986500137</v>
      </c>
      <c r="X194" s="11">
        <v>68868129655</v>
      </c>
      <c r="Y194" s="11">
        <v>12713952400</v>
      </c>
      <c r="Z194" s="11">
        <v>1838568582192</v>
      </c>
      <c r="AA194" s="11">
        <v>1434159194073</v>
      </c>
      <c r="AB194" s="12">
        <v>22.51</v>
      </c>
      <c r="AC194" s="11">
        <v>1411631347390</v>
      </c>
      <c r="AD194" s="11">
        <v>1411631347390</v>
      </c>
      <c r="AE194" s="11">
        <v>428808152087</v>
      </c>
      <c r="AF194" s="11">
        <v>0</v>
      </c>
      <c r="AG194" s="11">
        <v>0</v>
      </c>
      <c r="AH194" s="11">
        <v>0</v>
      </c>
      <c r="AI194" s="11">
        <v>0</v>
      </c>
      <c r="AJ194" s="12">
        <v>7</v>
      </c>
      <c r="AK194" s="11">
        <v>210988218002</v>
      </c>
      <c r="AL194" s="12">
        <v>134</v>
      </c>
      <c r="AM194" s="11">
        <v>1054230559150</v>
      </c>
      <c r="AN194" s="12">
        <v>122</v>
      </c>
      <c r="AO194" s="11">
        <v>797006639632</v>
      </c>
      <c r="AP194" s="11">
        <v>27391386457</v>
      </c>
      <c r="AQ194" s="11">
        <v>22911683438</v>
      </c>
      <c r="AR194" s="11">
        <v>4479703019</v>
      </c>
      <c r="AS194" s="12">
        <v>19.55</v>
      </c>
      <c r="AT194" s="11">
        <v>1281173561984</v>
      </c>
      <c r="AU194" s="11">
        <v>347490647793</v>
      </c>
      <c r="AV194" s="11">
        <v>406493924724</v>
      </c>
      <c r="AW194" s="11">
        <v>54711279371</v>
      </c>
      <c r="AX194" s="11">
        <v>486696306102</v>
      </c>
      <c r="AY194" s="11">
        <v>1535800100000</v>
      </c>
      <c r="AZ194" s="11">
        <v>295722969991</v>
      </c>
      <c r="BA194" s="11">
        <v>2581237178818</v>
      </c>
      <c r="BB194" s="13">
        <v>322557</v>
      </c>
      <c r="BC194" s="11">
        <v>558609407234</v>
      </c>
      <c r="BD194" s="11">
        <v>486696306102</v>
      </c>
      <c r="BE194" s="11">
        <v>1535931465482</v>
      </c>
      <c r="BF194" s="11">
        <v>799610259422</v>
      </c>
      <c r="BG194" s="11">
        <v>612021087968</v>
      </c>
      <c r="BH194" s="11">
        <v>30526066567</v>
      </c>
      <c r="BI194" s="11">
        <v>0</v>
      </c>
      <c r="BJ194" s="11">
        <v>419196875971</v>
      </c>
      <c r="BK194" s="11">
        <v>0</v>
      </c>
      <c r="BL194" s="11">
        <v>6650000000</v>
      </c>
      <c r="BM194" s="11">
        <v>0</v>
      </c>
    </row>
    <row r="195" spans="1:65" x14ac:dyDescent="0.25">
      <c r="A195" s="32"/>
      <c r="B195" s="10">
        <v>1918</v>
      </c>
      <c r="C195" s="10" t="s">
        <v>250</v>
      </c>
      <c r="D195" s="11">
        <v>787981483401</v>
      </c>
      <c r="E195" s="11">
        <v>4524595297</v>
      </c>
      <c r="F195" s="11">
        <v>0</v>
      </c>
      <c r="G195" s="11">
        <v>0</v>
      </c>
      <c r="H195" s="11">
        <v>792506078698</v>
      </c>
      <c r="I195" s="11">
        <v>64438778395</v>
      </c>
      <c r="J195" s="11">
        <v>728067300303</v>
      </c>
      <c r="K195" s="11">
        <v>623849434534</v>
      </c>
      <c r="L195" s="11">
        <v>168656644164</v>
      </c>
      <c r="M195" s="12">
        <v>27.03</v>
      </c>
      <c r="N195" s="11">
        <v>926759774343</v>
      </c>
      <c r="O195" s="12">
        <v>124.6</v>
      </c>
      <c r="P195" s="12">
        <v>127.29</v>
      </c>
      <c r="Q195" s="12">
        <v>0.67</v>
      </c>
      <c r="R195" s="11">
        <v>980525464703</v>
      </c>
      <c r="S195" s="11">
        <v>6941122220</v>
      </c>
      <c r="T195" s="11">
        <v>6827366388</v>
      </c>
      <c r="U195" s="11">
        <v>113755832</v>
      </c>
      <c r="V195" s="11">
        <v>0</v>
      </c>
      <c r="W195" s="11">
        <v>987466586923</v>
      </c>
      <c r="X195" s="11">
        <v>48518193201</v>
      </c>
      <c r="Y195" s="11">
        <v>3799500000</v>
      </c>
      <c r="Z195" s="11">
        <v>1039784280124</v>
      </c>
      <c r="AA195" s="11">
        <v>796940540635</v>
      </c>
      <c r="AB195" s="12">
        <v>23.91</v>
      </c>
      <c r="AC195" s="11">
        <v>443204401488</v>
      </c>
      <c r="AD195" s="11">
        <v>432739450000</v>
      </c>
      <c r="AE195" s="11">
        <v>0</v>
      </c>
      <c r="AF195" s="11">
        <v>0</v>
      </c>
      <c r="AG195" s="11">
        <v>0</v>
      </c>
      <c r="AH195" s="11">
        <v>0</v>
      </c>
      <c r="AI195" s="11">
        <v>0</v>
      </c>
      <c r="AJ195" s="12">
        <v>0</v>
      </c>
      <c r="AK195" s="11">
        <v>0</v>
      </c>
      <c r="AL195" s="12">
        <v>9</v>
      </c>
      <c r="AM195" s="11">
        <v>10470387967</v>
      </c>
      <c r="AN195" s="12">
        <v>5</v>
      </c>
      <c r="AO195" s="11">
        <v>14760000000</v>
      </c>
      <c r="AP195" s="11">
        <v>6941122220</v>
      </c>
      <c r="AQ195" s="11">
        <v>8041824799</v>
      </c>
      <c r="AR195" s="11">
        <v>-1100702579</v>
      </c>
      <c r="AS195" s="12">
        <v>-13.69</v>
      </c>
      <c r="AT195" s="11">
        <v>329585865347</v>
      </c>
      <c r="AU195" s="11">
        <v>59037712778</v>
      </c>
      <c r="AV195" s="11">
        <v>235685340057</v>
      </c>
      <c r="AW195" s="11">
        <v>96981067378</v>
      </c>
      <c r="AX195" s="11">
        <v>134418375966</v>
      </c>
      <c r="AY195" s="11">
        <v>320896700000</v>
      </c>
      <c r="AZ195" s="11">
        <v>96352099429</v>
      </c>
      <c r="BA195" s="11">
        <v>792506078698</v>
      </c>
      <c r="BB195" s="13">
        <v>14280</v>
      </c>
      <c r="BC195" s="11">
        <v>337191002732</v>
      </c>
      <c r="BD195" s="11">
        <v>134418375966</v>
      </c>
      <c r="BE195" s="11">
        <v>320896700000</v>
      </c>
      <c r="BF195" s="11">
        <v>383904951488</v>
      </c>
      <c r="BG195" s="11">
        <v>59299450000</v>
      </c>
      <c r="BH195" s="11">
        <v>0</v>
      </c>
      <c r="BI195" s="11">
        <v>0</v>
      </c>
      <c r="BJ195" s="11">
        <v>0</v>
      </c>
      <c r="BK195" s="11">
        <v>0</v>
      </c>
      <c r="BL195" s="11">
        <v>0</v>
      </c>
      <c r="BM195" s="11">
        <v>0</v>
      </c>
    </row>
    <row r="196" spans="1:65" x14ac:dyDescent="0.25">
      <c r="A196" s="32"/>
      <c r="B196" s="10">
        <v>1919</v>
      </c>
      <c r="C196" s="10" t="s">
        <v>251</v>
      </c>
      <c r="D196" s="11">
        <v>2379006182041</v>
      </c>
      <c r="E196" s="11">
        <v>327903452750</v>
      </c>
      <c r="F196" s="11">
        <v>0</v>
      </c>
      <c r="G196" s="11">
        <v>0</v>
      </c>
      <c r="H196" s="11">
        <v>2706909634791</v>
      </c>
      <c r="I196" s="11">
        <v>199324630837</v>
      </c>
      <c r="J196" s="11">
        <v>2507585003954</v>
      </c>
      <c r="K196" s="11">
        <v>4262498713136</v>
      </c>
      <c r="L196" s="11">
        <v>-1555589078345</v>
      </c>
      <c r="M196" s="12">
        <v>-36.49</v>
      </c>
      <c r="N196" s="11">
        <v>3112363312440</v>
      </c>
      <c r="O196" s="12">
        <v>120.04</v>
      </c>
      <c r="P196" s="12">
        <v>124.12</v>
      </c>
      <c r="Q196" s="12">
        <v>8.15</v>
      </c>
      <c r="R196" s="11">
        <v>2973922048504</v>
      </c>
      <c r="S196" s="11">
        <v>275437315986</v>
      </c>
      <c r="T196" s="11">
        <v>46139463999</v>
      </c>
      <c r="U196" s="11">
        <v>2138340433</v>
      </c>
      <c r="V196" s="11">
        <v>227159511554</v>
      </c>
      <c r="W196" s="11">
        <v>3249359364490</v>
      </c>
      <c r="X196" s="11">
        <v>235131817081</v>
      </c>
      <c r="Y196" s="11">
        <v>24279763750</v>
      </c>
      <c r="Z196" s="11">
        <v>3508770945321</v>
      </c>
      <c r="AA196" s="11">
        <v>2860475832445</v>
      </c>
      <c r="AB196" s="12">
        <v>13.6</v>
      </c>
      <c r="AC196" s="11">
        <v>3364616737680</v>
      </c>
      <c r="AD196" s="11">
        <v>3364616737680</v>
      </c>
      <c r="AE196" s="11">
        <v>1561150189630</v>
      </c>
      <c r="AF196" s="11">
        <v>0</v>
      </c>
      <c r="AG196" s="11">
        <v>18131687795</v>
      </c>
      <c r="AH196" s="11">
        <v>0</v>
      </c>
      <c r="AI196" s="11">
        <v>0</v>
      </c>
      <c r="AJ196" s="12">
        <v>16</v>
      </c>
      <c r="AK196" s="11">
        <v>1829183931400</v>
      </c>
      <c r="AL196" s="12">
        <v>122</v>
      </c>
      <c r="AM196" s="11">
        <v>1540611079529</v>
      </c>
      <c r="AN196" s="12">
        <v>131</v>
      </c>
      <c r="AO196" s="11">
        <v>1535357730926</v>
      </c>
      <c r="AP196" s="11">
        <v>275437315986</v>
      </c>
      <c r="AQ196" s="11">
        <v>15734865090</v>
      </c>
      <c r="AR196" s="11">
        <v>259702450896</v>
      </c>
      <c r="AS196" s="19">
        <v>1650.49</v>
      </c>
      <c r="AT196" s="11">
        <v>3353410963596</v>
      </c>
      <c r="AU196" s="11">
        <v>308743822522</v>
      </c>
      <c r="AV196" s="11">
        <v>744610286039</v>
      </c>
      <c r="AW196" s="11">
        <v>215854861041</v>
      </c>
      <c r="AX196" s="11">
        <v>650042634961</v>
      </c>
      <c r="AY196" s="11">
        <v>768498400000</v>
      </c>
      <c r="AZ196" s="11">
        <v>349335023903</v>
      </c>
      <c r="BA196" s="11">
        <v>2706909634791</v>
      </c>
      <c r="BB196" s="13">
        <v>401645</v>
      </c>
      <c r="BC196" s="11">
        <v>1288368599830</v>
      </c>
      <c r="BD196" s="11">
        <v>650042634961</v>
      </c>
      <c r="BE196" s="11">
        <v>768498400000</v>
      </c>
      <c r="BF196" s="11">
        <v>2052038898373</v>
      </c>
      <c r="BG196" s="11">
        <v>1312577839307</v>
      </c>
      <c r="BH196" s="11">
        <v>342555429024</v>
      </c>
      <c r="BI196" s="11">
        <v>224854789923</v>
      </c>
      <c r="BJ196" s="11">
        <v>1190023911980</v>
      </c>
      <c r="BK196" s="11">
        <v>0</v>
      </c>
      <c r="BL196" s="11">
        <v>0</v>
      </c>
      <c r="BM196" s="11">
        <v>0</v>
      </c>
    </row>
    <row r="197" spans="1:65" x14ac:dyDescent="0.25">
      <c r="A197" s="32"/>
      <c r="B197" s="10">
        <v>1920</v>
      </c>
      <c r="C197" s="10" t="s">
        <v>252</v>
      </c>
      <c r="D197" s="11">
        <v>626577017719</v>
      </c>
      <c r="E197" s="11">
        <v>9910638060</v>
      </c>
      <c r="F197" s="11">
        <v>0</v>
      </c>
      <c r="G197" s="11">
        <v>0</v>
      </c>
      <c r="H197" s="11">
        <v>636487655779</v>
      </c>
      <c r="I197" s="11">
        <v>50975823325</v>
      </c>
      <c r="J197" s="11">
        <v>585511832454</v>
      </c>
      <c r="K197" s="11">
        <v>526240068663</v>
      </c>
      <c r="L197" s="11">
        <v>110247587116</v>
      </c>
      <c r="M197" s="12">
        <v>20.95</v>
      </c>
      <c r="N197" s="11">
        <v>643573994618</v>
      </c>
      <c r="O197" s="12">
        <v>112.33</v>
      </c>
      <c r="P197" s="12">
        <v>109.92</v>
      </c>
      <c r="Q197" s="12">
        <v>1.07</v>
      </c>
      <c r="R197" s="11">
        <v>706812215673</v>
      </c>
      <c r="S197" s="11">
        <v>8131091321</v>
      </c>
      <c r="T197" s="11">
        <v>7690835953</v>
      </c>
      <c r="U197" s="11">
        <v>440255368</v>
      </c>
      <c r="V197" s="11">
        <v>0</v>
      </c>
      <c r="W197" s="11">
        <v>714943306994</v>
      </c>
      <c r="X197" s="11">
        <v>37842538582</v>
      </c>
      <c r="Y197" s="11">
        <v>3886290587</v>
      </c>
      <c r="Z197" s="11">
        <v>756672136163</v>
      </c>
      <c r="AA197" s="11">
        <v>524175475444</v>
      </c>
      <c r="AB197" s="12">
        <v>36.39</v>
      </c>
      <c r="AC197" s="11">
        <v>315333807758</v>
      </c>
      <c r="AD197" s="11">
        <v>315333807758</v>
      </c>
      <c r="AE197" s="11">
        <v>0</v>
      </c>
      <c r="AF197" s="11">
        <v>0</v>
      </c>
      <c r="AG197" s="11">
        <v>0</v>
      </c>
      <c r="AH197" s="11">
        <v>0</v>
      </c>
      <c r="AI197" s="11">
        <v>0</v>
      </c>
      <c r="AJ197" s="12">
        <v>0</v>
      </c>
      <c r="AK197" s="11">
        <v>0</v>
      </c>
      <c r="AL197" s="12">
        <v>41</v>
      </c>
      <c r="AM197" s="11">
        <v>55257406000</v>
      </c>
      <c r="AN197" s="12">
        <v>17</v>
      </c>
      <c r="AO197" s="11">
        <v>44738383928</v>
      </c>
      <c r="AP197" s="11">
        <v>8131091321</v>
      </c>
      <c r="AQ197" s="11">
        <v>6888410497</v>
      </c>
      <c r="AR197" s="11">
        <v>1242680824</v>
      </c>
      <c r="AS197" s="12">
        <v>18.04</v>
      </c>
      <c r="AT197" s="11">
        <v>213090195687</v>
      </c>
      <c r="AU197" s="11">
        <v>40380340458</v>
      </c>
      <c r="AV197" s="11">
        <v>105170598813</v>
      </c>
      <c r="AW197" s="11">
        <v>158140933545</v>
      </c>
      <c r="AX197" s="11">
        <v>173331285361</v>
      </c>
      <c r="AY197" s="11">
        <v>189934200000</v>
      </c>
      <c r="AZ197" s="11">
        <v>127988413968</v>
      </c>
      <c r="BA197" s="11">
        <v>636487655779</v>
      </c>
      <c r="BB197" s="13">
        <v>17446</v>
      </c>
      <c r="BC197" s="11">
        <v>273222170418</v>
      </c>
      <c r="BD197" s="11">
        <v>173331285361</v>
      </c>
      <c r="BE197" s="11">
        <v>189934200000</v>
      </c>
      <c r="BF197" s="11">
        <v>303215951202</v>
      </c>
      <c r="BG197" s="11">
        <v>12117856556</v>
      </c>
      <c r="BH197" s="11">
        <v>0</v>
      </c>
      <c r="BI197" s="11">
        <v>0</v>
      </c>
      <c r="BJ197" s="11">
        <v>0</v>
      </c>
      <c r="BK197" s="11">
        <v>0</v>
      </c>
      <c r="BL197" s="11">
        <v>0</v>
      </c>
      <c r="BM197" s="11">
        <v>0</v>
      </c>
    </row>
    <row r="198" spans="1:65" x14ac:dyDescent="0.25">
      <c r="A198" s="32"/>
      <c r="B198" s="10">
        <v>1921</v>
      </c>
      <c r="C198" s="10" t="s">
        <v>253</v>
      </c>
      <c r="D198" s="11">
        <v>562945374774</v>
      </c>
      <c r="E198" s="11">
        <v>19438636157</v>
      </c>
      <c r="F198" s="11">
        <v>0</v>
      </c>
      <c r="G198" s="11">
        <v>0</v>
      </c>
      <c r="H198" s="11">
        <v>582384010931</v>
      </c>
      <c r="I198" s="11">
        <v>43319691788</v>
      </c>
      <c r="J198" s="11">
        <v>539064319143</v>
      </c>
      <c r="K198" s="11">
        <v>870639196172</v>
      </c>
      <c r="L198" s="11">
        <v>-288255185241</v>
      </c>
      <c r="M198" s="12">
        <v>-33.11</v>
      </c>
      <c r="N198" s="11">
        <v>837669824137</v>
      </c>
      <c r="O198" s="12">
        <v>151.79</v>
      </c>
      <c r="P198" s="12">
        <v>155.38999999999999</v>
      </c>
      <c r="Q198" s="12">
        <v>1.92</v>
      </c>
      <c r="R198" s="11">
        <v>864914506560</v>
      </c>
      <c r="S198" s="11">
        <v>19075678274</v>
      </c>
      <c r="T198" s="11">
        <v>19075678274</v>
      </c>
      <c r="U198" s="11">
        <v>0</v>
      </c>
      <c r="V198" s="11">
        <v>0</v>
      </c>
      <c r="W198" s="11">
        <v>883990184834</v>
      </c>
      <c r="X198" s="11">
        <v>95333001896</v>
      </c>
      <c r="Y198" s="11">
        <v>14300000000</v>
      </c>
      <c r="Z198" s="11">
        <v>993623186730</v>
      </c>
      <c r="AA198" s="11">
        <v>660028105462</v>
      </c>
      <c r="AB198" s="12">
        <v>33.93</v>
      </c>
      <c r="AC198" s="11">
        <v>481412341324</v>
      </c>
      <c r="AD198" s="11">
        <v>481412341324</v>
      </c>
      <c r="AE198" s="11">
        <v>0</v>
      </c>
      <c r="AF198" s="11">
        <v>981382826</v>
      </c>
      <c r="AG198" s="11">
        <v>0</v>
      </c>
      <c r="AH198" s="11">
        <v>0</v>
      </c>
      <c r="AI198" s="11">
        <v>0</v>
      </c>
      <c r="AJ198" s="12">
        <v>0</v>
      </c>
      <c r="AK198" s="11">
        <v>0</v>
      </c>
      <c r="AL198" s="12">
        <v>10</v>
      </c>
      <c r="AM198" s="11">
        <v>137982356092</v>
      </c>
      <c r="AN198" s="12">
        <v>8</v>
      </c>
      <c r="AO198" s="11">
        <v>39790955943</v>
      </c>
      <c r="AP198" s="11">
        <v>19075678274</v>
      </c>
      <c r="AQ198" s="11">
        <v>133413923</v>
      </c>
      <c r="AR198" s="11">
        <v>18942264351</v>
      </c>
      <c r="AS198" s="19">
        <v>14198.12</v>
      </c>
      <c r="AT198" s="11">
        <v>373227364005</v>
      </c>
      <c r="AU198" s="11">
        <v>55135697483</v>
      </c>
      <c r="AV198" s="11">
        <v>80628962917</v>
      </c>
      <c r="AW198" s="11">
        <v>77801240676</v>
      </c>
      <c r="AX198" s="11">
        <v>230580171181</v>
      </c>
      <c r="AY198" s="11">
        <v>173935000000</v>
      </c>
      <c r="AZ198" s="11">
        <v>219464425767</v>
      </c>
      <c r="BA198" s="11">
        <v>582384010931</v>
      </c>
      <c r="BB198" s="13">
        <v>19256</v>
      </c>
      <c r="BC198" s="11">
        <v>177868839750</v>
      </c>
      <c r="BD198" s="11">
        <v>230580171181</v>
      </c>
      <c r="BE198" s="11">
        <v>173935000000</v>
      </c>
      <c r="BF198" s="11">
        <v>428833244498</v>
      </c>
      <c r="BG198" s="11">
        <v>52579096826</v>
      </c>
      <c r="BH198" s="11">
        <v>0</v>
      </c>
      <c r="BI198" s="11">
        <v>0</v>
      </c>
      <c r="BJ198" s="11">
        <v>0</v>
      </c>
      <c r="BK198" s="11">
        <v>0</v>
      </c>
      <c r="BL198" s="11">
        <v>0</v>
      </c>
      <c r="BM198" s="11">
        <v>998886393</v>
      </c>
    </row>
    <row r="199" spans="1:65" x14ac:dyDescent="0.25">
      <c r="A199" s="32"/>
      <c r="B199" s="10">
        <v>1922</v>
      </c>
      <c r="C199" s="10" t="s">
        <v>254</v>
      </c>
      <c r="D199" s="11">
        <v>349333453717</v>
      </c>
      <c r="E199" s="11">
        <v>1757100000</v>
      </c>
      <c r="F199" s="11">
        <v>0</v>
      </c>
      <c r="G199" s="11">
        <v>0</v>
      </c>
      <c r="H199" s="11">
        <v>351090553717</v>
      </c>
      <c r="I199" s="11">
        <v>25415556180</v>
      </c>
      <c r="J199" s="11">
        <v>325674997537</v>
      </c>
      <c r="K199" s="11">
        <v>346227132868</v>
      </c>
      <c r="L199" s="11">
        <v>4863420849</v>
      </c>
      <c r="M199" s="12">
        <v>1.4</v>
      </c>
      <c r="N199" s="11">
        <v>654439555949</v>
      </c>
      <c r="O199" s="12">
        <v>193.88</v>
      </c>
      <c r="P199" s="12">
        <v>200.95</v>
      </c>
      <c r="Q199" s="12">
        <v>0.54</v>
      </c>
      <c r="R199" s="11">
        <v>676751047157</v>
      </c>
      <c r="S199" s="11">
        <v>3935272929</v>
      </c>
      <c r="T199" s="11">
        <v>3577296168</v>
      </c>
      <c r="U199" s="11">
        <v>357976761</v>
      </c>
      <c r="V199" s="11">
        <v>0</v>
      </c>
      <c r="W199" s="11">
        <v>680686320086</v>
      </c>
      <c r="X199" s="11">
        <v>33770398489</v>
      </c>
      <c r="Y199" s="11">
        <v>9902100000</v>
      </c>
      <c r="Z199" s="11">
        <v>724358818575</v>
      </c>
      <c r="AA199" s="11">
        <v>524007085543</v>
      </c>
      <c r="AB199" s="12">
        <v>29.9</v>
      </c>
      <c r="AC199" s="11">
        <v>228884169100</v>
      </c>
      <c r="AD199" s="11">
        <v>228884169100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2">
        <v>0</v>
      </c>
      <c r="AK199" s="11">
        <v>0</v>
      </c>
      <c r="AL199" s="12">
        <v>13</v>
      </c>
      <c r="AM199" s="11">
        <v>12496759376</v>
      </c>
      <c r="AN199" s="12">
        <v>2</v>
      </c>
      <c r="AO199" s="11">
        <v>6609900000</v>
      </c>
      <c r="AP199" s="11">
        <v>3935272929</v>
      </c>
      <c r="AQ199" s="11">
        <v>1931407714</v>
      </c>
      <c r="AR199" s="11">
        <v>2003865215</v>
      </c>
      <c r="AS199" s="12">
        <v>103.75</v>
      </c>
      <c r="AT199" s="11">
        <v>114570355286</v>
      </c>
      <c r="AU199" s="11">
        <v>27416663779</v>
      </c>
      <c r="AV199" s="11">
        <v>21645159920</v>
      </c>
      <c r="AW199" s="11">
        <v>43983989994</v>
      </c>
      <c r="AX199" s="11">
        <v>147020303803</v>
      </c>
      <c r="AY199" s="11">
        <v>136684000000</v>
      </c>
      <c r="AZ199" s="11">
        <v>127783652852</v>
      </c>
      <c r="BA199" s="11">
        <v>351090553717</v>
      </c>
      <c r="BB199" s="12">
        <v>419</v>
      </c>
      <c r="BC199" s="11">
        <v>67386249914</v>
      </c>
      <c r="BD199" s="11">
        <v>147020303803</v>
      </c>
      <c r="BE199" s="11">
        <v>136684000000</v>
      </c>
      <c r="BF199" s="11">
        <v>222084169100</v>
      </c>
      <c r="BG199" s="11">
        <v>6800000000</v>
      </c>
      <c r="BH199" s="11">
        <v>0</v>
      </c>
      <c r="BI199" s="11">
        <v>0</v>
      </c>
      <c r="BJ199" s="11">
        <v>0</v>
      </c>
      <c r="BK199" s="11">
        <v>0</v>
      </c>
      <c r="BL199" s="11">
        <v>0</v>
      </c>
      <c r="BM199" s="11">
        <v>0</v>
      </c>
    </row>
    <row r="200" spans="1:65" x14ac:dyDescent="0.25">
      <c r="A200" s="32"/>
      <c r="B200" s="10">
        <v>1923</v>
      </c>
      <c r="C200" s="10" t="s">
        <v>255</v>
      </c>
      <c r="D200" s="11">
        <v>284305685657</v>
      </c>
      <c r="E200" s="11">
        <v>8283075470</v>
      </c>
      <c r="F200" s="11">
        <v>0</v>
      </c>
      <c r="G200" s="11">
        <v>0</v>
      </c>
      <c r="H200" s="11">
        <v>292588761127</v>
      </c>
      <c r="I200" s="11">
        <v>24031567372</v>
      </c>
      <c r="J200" s="11">
        <v>268557193755</v>
      </c>
      <c r="K200" s="11">
        <v>1856325536</v>
      </c>
      <c r="L200" s="11">
        <v>290732435591</v>
      </c>
      <c r="M200" s="12">
        <v>15661.72</v>
      </c>
      <c r="N200" s="11">
        <v>33893029610</v>
      </c>
      <c r="O200" s="12">
        <v>13.89</v>
      </c>
      <c r="P200" s="12">
        <v>12.62</v>
      </c>
      <c r="Q200" s="12">
        <v>0</v>
      </c>
      <c r="R200" s="11">
        <v>40637868544</v>
      </c>
      <c r="S200" s="11">
        <v>0</v>
      </c>
      <c r="T200" s="11">
        <v>0</v>
      </c>
      <c r="U200" s="11">
        <v>0</v>
      </c>
      <c r="V200" s="11">
        <v>0</v>
      </c>
      <c r="W200" s="11">
        <v>40637868544</v>
      </c>
      <c r="X200" s="11">
        <v>5026106544</v>
      </c>
      <c r="Y200" s="11">
        <v>3999940000</v>
      </c>
      <c r="Z200" s="11">
        <v>49663915088</v>
      </c>
      <c r="AA200" s="11">
        <v>0</v>
      </c>
      <c r="AB200" s="12"/>
      <c r="AC200" s="11">
        <v>34400000000</v>
      </c>
      <c r="AD200" s="11">
        <v>34400000000</v>
      </c>
      <c r="AE200" s="11">
        <v>0</v>
      </c>
      <c r="AF200" s="11">
        <v>0</v>
      </c>
      <c r="AG200" s="11">
        <v>0</v>
      </c>
      <c r="AH200" s="11">
        <v>0</v>
      </c>
      <c r="AI200" s="11">
        <v>0</v>
      </c>
      <c r="AJ200" s="12">
        <v>0</v>
      </c>
      <c r="AK200" s="11">
        <v>0</v>
      </c>
      <c r="AL200" s="12">
        <v>13</v>
      </c>
      <c r="AM200" s="11">
        <v>144128619947</v>
      </c>
      <c r="AN200" s="12">
        <v>0</v>
      </c>
      <c r="AO200" s="11">
        <v>0</v>
      </c>
      <c r="AP200" s="11">
        <v>0</v>
      </c>
      <c r="AQ200" s="11">
        <v>0</v>
      </c>
      <c r="AR200" s="11">
        <v>0</v>
      </c>
      <c r="AS200" s="12"/>
      <c r="AT200" s="11">
        <v>961686710</v>
      </c>
      <c r="AU200" s="11">
        <v>0</v>
      </c>
      <c r="AV200" s="11">
        <v>12631885595</v>
      </c>
      <c r="AW200" s="11">
        <v>36316239333</v>
      </c>
      <c r="AX200" s="11">
        <v>104880560729</v>
      </c>
      <c r="AY200" s="11">
        <v>130477000000</v>
      </c>
      <c r="AZ200" s="11">
        <v>104748462239</v>
      </c>
      <c r="BA200" s="11">
        <v>292588761127</v>
      </c>
      <c r="BB200" s="13">
        <v>23038</v>
      </c>
      <c r="BC200" s="11">
        <v>57231200398</v>
      </c>
      <c r="BD200" s="11">
        <v>104880560729</v>
      </c>
      <c r="BE200" s="11">
        <v>130477000000</v>
      </c>
      <c r="BF200" s="11">
        <v>33000000000</v>
      </c>
      <c r="BG200" s="11">
        <v>1400000000</v>
      </c>
      <c r="BH200" s="11">
        <v>0</v>
      </c>
      <c r="BI200" s="11">
        <v>0</v>
      </c>
      <c r="BJ200" s="11">
        <v>0</v>
      </c>
      <c r="BK200" s="11">
        <v>0</v>
      </c>
      <c r="BL200" s="11">
        <v>0</v>
      </c>
      <c r="BM200" s="11">
        <v>0</v>
      </c>
    </row>
    <row r="201" spans="1:65" x14ac:dyDescent="0.25">
      <c r="A201" s="32"/>
      <c r="B201" s="10">
        <v>1924</v>
      </c>
      <c r="C201" s="10" t="s">
        <v>256</v>
      </c>
      <c r="D201" s="11">
        <v>248527480798</v>
      </c>
      <c r="E201" s="11">
        <v>739567026</v>
      </c>
      <c r="F201" s="11">
        <v>0</v>
      </c>
      <c r="G201" s="11">
        <v>0</v>
      </c>
      <c r="H201" s="11">
        <v>249267047824</v>
      </c>
      <c r="I201" s="11">
        <v>21104695634</v>
      </c>
      <c r="J201" s="11">
        <v>228162352190</v>
      </c>
      <c r="K201" s="11">
        <v>60216856047</v>
      </c>
      <c r="L201" s="11">
        <v>189050191777</v>
      </c>
      <c r="M201" s="12">
        <v>313.95</v>
      </c>
      <c r="N201" s="11">
        <v>49001906889</v>
      </c>
      <c r="O201" s="12">
        <v>23.52</v>
      </c>
      <c r="P201" s="12">
        <v>21.48</v>
      </c>
      <c r="Q201" s="12">
        <v>0</v>
      </c>
      <c r="R201" s="11">
        <v>58623010690</v>
      </c>
      <c r="S201" s="11">
        <v>0</v>
      </c>
      <c r="T201" s="11">
        <v>0</v>
      </c>
      <c r="U201" s="11">
        <v>0</v>
      </c>
      <c r="V201" s="11">
        <v>0</v>
      </c>
      <c r="W201" s="11">
        <v>58623010690</v>
      </c>
      <c r="X201" s="11">
        <v>12626833375</v>
      </c>
      <c r="Y201" s="11">
        <v>8394723466</v>
      </c>
      <c r="Z201" s="11">
        <v>79644567531</v>
      </c>
      <c r="AA201" s="11">
        <v>19356237731</v>
      </c>
      <c r="AB201" s="12">
        <v>202.86</v>
      </c>
      <c r="AC201" s="11">
        <v>43405276509</v>
      </c>
      <c r="AD201" s="11">
        <v>43405276509</v>
      </c>
      <c r="AE201" s="11">
        <v>0</v>
      </c>
      <c r="AF201" s="11">
        <v>0</v>
      </c>
      <c r="AG201" s="11">
        <v>0</v>
      </c>
      <c r="AH201" s="11">
        <v>0</v>
      </c>
      <c r="AI201" s="11">
        <v>0</v>
      </c>
      <c r="AJ201" s="12">
        <v>0</v>
      </c>
      <c r="AK201" s="11">
        <v>0</v>
      </c>
      <c r="AL201" s="12">
        <v>9</v>
      </c>
      <c r="AM201" s="11">
        <v>89201740297</v>
      </c>
      <c r="AN201" s="12">
        <v>0</v>
      </c>
      <c r="AO201" s="11">
        <v>0</v>
      </c>
      <c r="AP201" s="11">
        <v>0</v>
      </c>
      <c r="AQ201" s="11">
        <v>0</v>
      </c>
      <c r="AR201" s="11">
        <v>0</v>
      </c>
      <c r="AS201" s="12"/>
      <c r="AT201" s="11">
        <v>6758805168</v>
      </c>
      <c r="AU201" s="11">
        <v>322723666</v>
      </c>
      <c r="AV201" s="11">
        <v>26394559592</v>
      </c>
      <c r="AW201" s="11">
        <v>102922191690</v>
      </c>
      <c r="AX201" s="11">
        <v>54035729516</v>
      </c>
      <c r="AY201" s="11">
        <v>65175000000</v>
      </c>
      <c r="AZ201" s="11">
        <v>53824225330</v>
      </c>
      <c r="BA201" s="11">
        <v>249267047824</v>
      </c>
      <c r="BB201" s="13">
        <v>5352</v>
      </c>
      <c r="BC201" s="11">
        <v>130056318308</v>
      </c>
      <c r="BD201" s="11">
        <v>54035729516</v>
      </c>
      <c r="BE201" s="11">
        <v>65175000000</v>
      </c>
      <c r="BF201" s="11">
        <v>42105276509</v>
      </c>
      <c r="BG201" s="11">
        <v>1300000000</v>
      </c>
      <c r="BH201" s="11">
        <v>0</v>
      </c>
      <c r="BI201" s="11">
        <v>0</v>
      </c>
      <c r="BJ201" s="11">
        <v>0</v>
      </c>
      <c r="BK201" s="11">
        <v>0</v>
      </c>
      <c r="BL201" s="11">
        <v>0</v>
      </c>
      <c r="BM201" s="11">
        <v>0</v>
      </c>
    </row>
    <row r="202" spans="1:65" x14ac:dyDescent="0.25">
      <c r="A202" s="32"/>
      <c r="B202" s="10">
        <v>1925</v>
      </c>
      <c r="C202" s="10" t="s">
        <v>257</v>
      </c>
      <c r="D202" s="11">
        <v>111908136984</v>
      </c>
      <c r="E202" s="11">
        <v>226050391</v>
      </c>
      <c r="F202" s="11">
        <v>0</v>
      </c>
      <c r="G202" s="11">
        <v>0</v>
      </c>
      <c r="H202" s="11">
        <v>112134187375</v>
      </c>
      <c r="I202" s="11">
        <v>9714512075</v>
      </c>
      <c r="J202" s="11">
        <v>102419675300</v>
      </c>
      <c r="K202" s="11">
        <v>79398906009</v>
      </c>
      <c r="L202" s="11">
        <v>32735281366</v>
      </c>
      <c r="M202" s="12">
        <v>41.23</v>
      </c>
      <c r="N202" s="11">
        <v>0</v>
      </c>
      <c r="O202" s="12">
        <v>0</v>
      </c>
      <c r="P202" s="12">
        <v>0</v>
      </c>
      <c r="Q202" s="12">
        <v>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11">
        <v>0</v>
      </c>
      <c r="X202" s="11">
        <v>0</v>
      </c>
      <c r="Y202" s="11">
        <v>0</v>
      </c>
      <c r="Z202" s="11">
        <v>0</v>
      </c>
      <c r="AA202" s="11">
        <v>0</v>
      </c>
      <c r="AB202" s="12"/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2">
        <v>0</v>
      </c>
      <c r="AK202" s="11">
        <v>0</v>
      </c>
      <c r="AL202" s="12">
        <v>0</v>
      </c>
      <c r="AM202" s="11">
        <v>0</v>
      </c>
      <c r="AN202" s="12">
        <v>0</v>
      </c>
      <c r="AO202" s="11">
        <v>0</v>
      </c>
      <c r="AP202" s="11">
        <v>0</v>
      </c>
      <c r="AQ202" s="11">
        <v>0</v>
      </c>
      <c r="AR202" s="11">
        <v>0</v>
      </c>
      <c r="AS202" s="12"/>
      <c r="AT202" s="11">
        <v>0</v>
      </c>
      <c r="AU202" s="11">
        <v>0</v>
      </c>
      <c r="AV202" s="11">
        <v>4448787492</v>
      </c>
      <c r="AW202" s="11">
        <v>31296415091</v>
      </c>
      <c r="AX202" s="11">
        <v>13417534401</v>
      </c>
      <c r="AY202" s="11">
        <v>62745400000</v>
      </c>
      <c r="AZ202" s="11">
        <v>12315675965</v>
      </c>
      <c r="BA202" s="11">
        <v>112134187375</v>
      </c>
      <c r="BB202" s="12">
        <v>0</v>
      </c>
      <c r="BC202" s="11">
        <v>35971252974</v>
      </c>
      <c r="BD202" s="11">
        <v>13417534401</v>
      </c>
      <c r="BE202" s="11">
        <v>62745400000</v>
      </c>
      <c r="BF202" s="11">
        <v>0</v>
      </c>
      <c r="BG202" s="11">
        <v>0</v>
      </c>
      <c r="BH202" s="11">
        <v>0</v>
      </c>
      <c r="BI202" s="11">
        <v>0</v>
      </c>
      <c r="BJ202" s="11">
        <v>0</v>
      </c>
      <c r="BK202" s="11">
        <v>0</v>
      </c>
      <c r="BL202" s="11">
        <v>0</v>
      </c>
      <c r="BM202" s="11">
        <v>0</v>
      </c>
    </row>
    <row r="203" spans="1:65" x14ac:dyDescent="0.25">
      <c r="A203" s="32"/>
      <c r="B203" s="10">
        <v>1999</v>
      </c>
      <c r="C203" s="10" t="s">
        <v>258</v>
      </c>
      <c r="D203" s="11">
        <v>0</v>
      </c>
      <c r="E203" s="11">
        <v>12925136557</v>
      </c>
      <c r="F203" s="11">
        <v>0</v>
      </c>
      <c r="G203" s="11">
        <v>0</v>
      </c>
      <c r="H203" s="11">
        <v>12925136557</v>
      </c>
      <c r="I203" s="11">
        <v>1064105012</v>
      </c>
      <c r="J203" s="11">
        <v>11861031545</v>
      </c>
      <c r="K203" s="11">
        <v>10436998931</v>
      </c>
      <c r="L203" s="11">
        <v>2488137626</v>
      </c>
      <c r="M203" s="12">
        <v>23.84</v>
      </c>
      <c r="N203" s="11">
        <v>0</v>
      </c>
      <c r="O203" s="12">
        <v>0</v>
      </c>
      <c r="P203" s="12">
        <v>0</v>
      </c>
      <c r="Q203" s="12">
        <v>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11">
        <v>0</v>
      </c>
      <c r="X203" s="11">
        <v>0</v>
      </c>
      <c r="Y203" s="11">
        <v>0</v>
      </c>
      <c r="Z203" s="11">
        <v>0</v>
      </c>
      <c r="AA203" s="11">
        <v>0</v>
      </c>
      <c r="AB203" s="12"/>
      <c r="AC203" s="11">
        <v>0</v>
      </c>
      <c r="AD203" s="11">
        <v>0</v>
      </c>
      <c r="AE203" s="11">
        <v>0</v>
      </c>
      <c r="AF203" s="11">
        <v>0</v>
      </c>
      <c r="AG203" s="11">
        <v>0</v>
      </c>
      <c r="AH203" s="11">
        <v>0</v>
      </c>
      <c r="AI203" s="11">
        <v>0</v>
      </c>
      <c r="AJ203" s="12">
        <v>0</v>
      </c>
      <c r="AK203" s="11">
        <v>0</v>
      </c>
      <c r="AL203" s="12">
        <v>0</v>
      </c>
      <c r="AM203" s="11">
        <v>0</v>
      </c>
      <c r="AN203" s="12">
        <v>0</v>
      </c>
      <c r="AO203" s="11">
        <v>0</v>
      </c>
      <c r="AP203" s="11">
        <v>0</v>
      </c>
      <c r="AQ203" s="11">
        <v>0</v>
      </c>
      <c r="AR203" s="11">
        <v>0</v>
      </c>
      <c r="AS203" s="12"/>
      <c r="AT203" s="11">
        <v>0</v>
      </c>
      <c r="AU203" s="11">
        <v>0</v>
      </c>
      <c r="AV203" s="11">
        <v>0</v>
      </c>
      <c r="AW203" s="11">
        <v>0</v>
      </c>
      <c r="AX203" s="11">
        <v>0</v>
      </c>
      <c r="AY203" s="11">
        <v>0</v>
      </c>
      <c r="AZ203" s="11">
        <v>0</v>
      </c>
      <c r="BA203" s="11">
        <v>12925136557</v>
      </c>
      <c r="BB203" s="12">
        <v>0</v>
      </c>
      <c r="BC203" s="11">
        <v>12925136557</v>
      </c>
      <c r="BD203" s="11">
        <v>0</v>
      </c>
      <c r="BE203" s="11">
        <v>0</v>
      </c>
      <c r="BF203" s="11">
        <v>0</v>
      </c>
      <c r="BG203" s="11">
        <v>0</v>
      </c>
      <c r="BH203" s="11">
        <v>0</v>
      </c>
      <c r="BI203" s="11">
        <v>0</v>
      </c>
      <c r="BJ203" s="11">
        <v>0</v>
      </c>
      <c r="BK203" s="11">
        <v>0</v>
      </c>
      <c r="BL203" s="11">
        <v>0</v>
      </c>
      <c r="BM203" s="11">
        <v>0</v>
      </c>
    </row>
    <row r="204" spans="1:65" x14ac:dyDescent="0.25">
      <c r="A204" s="14" t="s">
        <v>599</v>
      </c>
      <c r="B204" s="15"/>
      <c r="C204" s="15"/>
      <c r="D204" s="16">
        <v>25233898437149</v>
      </c>
      <c r="E204" s="16">
        <v>2457475852996</v>
      </c>
      <c r="F204" s="16">
        <v>93030000000</v>
      </c>
      <c r="G204" s="16">
        <v>4585945311881</v>
      </c>
      <c r="H204" s="16">
        <v>32370349602026</v>
      </c>
      <c r="I204" s="16">
        <v>2602389556537</v>
      </c>
      <c r="J204" s="16">
        <v>29767960045489</v>
      </c>
      <c r="K204" s="16">
        <v>28281451731909</v>
      </c>
      <c r="L204" s="16">
        <v>4088897870117</v>
      </c>
      <c r="M204" s="17">
        <v>14.46</v>
      </c>
      <c r="N204" s="16">
        <v>33185127317402</v>
      </c>
      <c r="O204" s="17">
        <v>117.08</v>
      </c>
      <c r="P204" s="17">
        <v>111.48</v>
      </c>
      <c r="Q204" s="17">
        <v>1.93</v>
      </c>
      <c r="R204" s="16">
        <v>37170223669381</v>
      </c>
      <c r="S204" s="16">
        <v>727834412118</v>
      </c>
      <c r="T204" s="16">
        <v>349327386968</v>
      </c>
      <c r="U204" s="16">
        <v>71340724081</v>
      </c>
      <c r="V204" s="16">
        <v>307166301069</v>
      </c>
      <c r="W204" s="16">
        <v>37898058081499</v>
      </c>
      <c r="X204" s="16">
        <v>1980720589063</v>
      </c>
      <c r="Y204" s="16">
        <v>230823643140</v>
      </c>
      <c r="Z204" s="16">
        <v>40109602313702</v>
      </c>
      <c r="AA204" s="16">
        <v>31246590224923</v>
      </c>
      <c r="AB204" s="17">
        <v>21.29</v>
      </c>
      <c r="AC204" s="16">
        <v>22847442360082</v>
      </c>
      <c r="AD204" s="16">
        <v>22813777408594</v>
      </c>
      <c r="AE204" s="16">
        <v>5245777848484</v>
      </c>
      <c r="AF204" s="16">
        <v>108490593928</v>
      </c>
      <c r="AG204" s="16">
        <v>58477148101</v>
      </c>
      <c r="AH204" s="16">
        <v>0</v>
      </c>
      <c r="AI204" s="16">
        <v>1948000000</v>
      </c>
      <c r="AJ204" s="17">
        <v>166</v>
      </c>
      <c r="AK204" s="16">
        <v>13792685033854</v>
      </c>
      <c r="AL204" s="17">
        <v>1003</v>
      </c>
      <c r="AM204" s="16">
        <v>10198843100671</v>
      </c>
      <c r="AN204" s="18">
        <f>SUM(AN180:AN203)</f>
        <v>867</v>
      </c>
      <c r="AO204" s="16">
        <f>SUM(AO180:AO203)</f>
        <v>6690197990612</v>
      </c>
      <c r="AP204" s="16">
        <v>727834412118</v>
      </c>
      <c r="AQ204" s="16">
        <v>211754237720</v>
      </c>
      <c r="AR204" s="16">
        <v>516080174398</v>
      </c>
      <c r="AS204" s="17">
        <v>243.72</v>
      </c>
      <c r="AT204" s="16">
        <v>20393692270454</v>
      </c>
      <c r="AU204" s="16">
        <v>2951970204810</v>
      </c>
      <c r="AV204" s="16">
        <v>5314785157871</v>
      </c>
      <c r="AW204" s="16">
        <v>3177883960928</v>
      </c>
      <c r="AX204" s="16">
        <v>7861043118350</v>
      </c>
      <c r="AY204" s="16">
        <v>8880186200000</v>
      </c>
      <c r="AZ204" s="16">
        <v>5331363662741</v>
      </c>
      <c r="BA204" s="16">
        <v>32370349602026</v>
      </c>
      <c r="BB204" s="18">
        <v>2418867</v>
      </c>
      <c r="BC204" s="16">
        <v>15224279153738</v>
      </c>
      <c r="BD204" s="16">
        <v>7953653198350</v>
      </c>
      <c r="BE204" s="16">
        <v>9192417249938</v>
      </c>
      <c r="BF204" s="16">
        <v>17621791138901</v>
      </c>
      <c r="BG204" s="16">
        <v>5225651221181</v>
      </c>
      <c r="BH204" s="16">
        <v>878207794101</v>
      </c>
      <c r="BI204" s="16">
        <v>244619189961</v>
      </c>
      <c r="BJ204" s="16">
        <v>4904594434735</v>
      </c>
      <c r="BK204" s="16">
        <v>2079828278</v>
      </c>
      <c r="BL204" s="16">
        <v>6650000000</v>
      </c>
      <c r="BM204" s="16">
        <v>106495834283</v>
      </c>
    </row>
    <row r="205" spans="1:65" x14ac:dyDescent="0.25">
      <c r="A205" s="32" t="s">
        <v>259</v>
      </c>
      <c r="B205" s="10">
        <v>3900</v>
      </c>
      <c r="C205" s="10" t="s">
        <v>260</v>
      </c>
      <c r="D205" s="11">
        <v>1382416649610</v>
      </c>
      <c r="E205" s="11">
        <v>228596404141</v>
      </c>
      <c r="F205" s="11">
        <v>32450200000</v>
      </c>
      <c r="G205" s="11">
        <v>2234266834</v>
      </c>
      <c r="H205" s="11">
        <v>1645697520585</v>
      </c>
      <c r="I205" s="11">
        <v>131151689751</v>
      </c>
      <c r="J205" s="11">
        <v>1514545830834</v>
      </c>
      <c r="K205" s="11">
        <v>1994879244573</v>
      </c>
      <c r="L205" s="11">
        <v>-349181723988</v>
      </c>
      <c r="M205" s="12">
        <v>-17.5</v>
      </c>
      <c r="N205" s="11">
        <v>5056453180832</v>
      </c>
      <c r="O205" s="12">
        <v>376.47</v>
      </c>
      <c r="P205" s="12">
        <v>333.86</v>
      </c>
      <c r="Q205" s="12">
        <v>3.48</v>
      </c>
      <c r="R205" s="11">
        <v>5971944298520</v>
      </c>
      <c r="S205" s="11">
        <v>223666541045</v>
      </c>
      <c r="T205" s="11">
        <v>55957271951</v>
      </c>
      <c r="U205" s="11">
        <v>165291165070</v>
      </c>
      <c r="V205" s="11">
        <v>2418104024</v>
      </c>
      <c r="W205" s="11">
        <v>6195610839565</v>
      </c>
      <c r="X205" s="11">
        <v>266909483009</v>
      </c>
      <c r="Y205" s="11">
        <v>21416382500</v>
      </c>
      <c r="Z205" s="11">
        <v>6483936705074</v>
      </c>
      <c r="AA205" s="11">
        <v>4735847218648</v>
      </c>
      <c r="AB205" s="12">
        <v>30.82</v>
      </c>
      <c r="AC205" s="11">
        <v>2399901611665</v>
      </c>
      <c r="AD205" s="11">
        <v>2231873883789</v>
      </c>
      <c r="AE205" s="11">
        <v>58462891808</v>
      </c>
      <c r="AF205" s="11">
        <v>0</v>
      </c>
      <c r="AG205" s="11">
        <v>54001830905</v>
      </c>
      <c r="AH205" s="11">
        <v>0</v>
      </c>
      <c r="AI205" s="11">
        <v>0</v>
      </c>
      <c r="AJ205" s="12">
        <v>5</v>
      </c>
      <c r="AK205" s="11">
        <v>97207594800</v>
      </c>
      <c r="AL205" s="12">
        <v>244</v>
      </c>
      <c r="AM205" s="11">
        <v>1767282024757</v>
      </c>
      <c r="AN205" s="12">
        <v>91</v>
      </c>
      <c r="AO205" s="11">
        <v>279383827883</v>
      </c>
      <c r="AP205" s="11">
        <v>223666541045</v>
      </c>
      <c r="AQ205" s="11">
        <v>90120560741</v>
      </c>
      <c r="AR205" s="11">
        <v>133545980304</v>
      </c>
      <c r="AS205" s="12">
        <v>148.19</v>
      </c>
      <c r="AT205" s="11">
        <v>1276720823245</v>
      </c>
      <c r="AU205" s="11">
        <v>363772739058</v>
      </c>
      <c r="AV205" s="11">
        <v>266134614609</v>
      </c>
      <c r="AW205" s="11">
        <v>364229208646</v>
      </c>
      <c r="AX205" s="11">
        <v>480720326355</v>
      </c>
      <c r="AY205" s="11">
        <v>271332500000</v>
      </c>
      <c r="AZ205" s="11">
        <v>285396738023</v>
      </c>
      <c r="BA205" s="11">
        <v>1645697520585</v>
      </c>
      <c r="BB205" s="13">
        <v>167288</v>
      </c>
      <c r="BC205" s="11">
        <v>817661910409</v>
      </c>
      <c r="BD205" s="11">
        <v>513170526355</v>
      </c>
      <c r="BE205" s="11">
        <v>314865083821</v>
      </c>
      <c r="BF205" s="11">
        <v>1741254350829</v>
      </c>
      <c r="BG205" s="11">
        <v>658647260836</v>
      </c>
      <c r="BH205" s="11">
        <v>22775149010</v>
      </c>
      <c r="BI205" s="11">
        <v>0</v>
      </c>
      <c r="BJ205" s="11">
        <v>43539478167</v>
      </c>
      <c r="BK205" s="11">
        <v>0</v>
      </c>
      <c r="BL205" s="11">
        <v>0</v>
      </c>
      <c r="BM205" s="11">
        <v>0</v>
      </c>
    </row>
    <row r="206" spans="1:65" x14ac:dyDescent="0.25">
      <c r="A206" s="32"/>
      <c r="B206" s="10">
        <v>3901</v>
      </c>
      <c r="C206" s="10" t="s">
        <v>261</v>
      </c>
      <c r="D206" s="11">
        <v>1078816413714</v>
      </c>
      <c r="E206" s="11">
        <v>31208655615</v>
      </c>
      <c r="F206" s="11">
        <v>0</v>
      </c>
      <c r="G206" s="11">
        <v>0</v>
      </c>
      <c r="H206" s="11">
        <v>1110025069329</v>
      </c>
      <c r="I206" s="11">
        <v>96648378929</v>
      </c>
      <c r="J206" s="11">
        <v>1013376690400</v>
      </c>
      <c r="K206" s="11">
        <v>1200615584558</v>
      </c>
      <c r="L206" s="11">
        <v>-90590515229</v>
      </c>
      <c r="M206" s="12">
        <v>-7.55</v>
      </c>
      <c r="N206" s="11">
        <v>2312864726318</v>
      </c>
      <c r="O206" s="12">
        <v>238.07</v>
      </c>
      <c r="P206" s="12">
        <v>228.23</v>
      </c>
      <c r="Q206" s="12">
        <v>1.71</v>
      </c>
      <c r="R206" s="11">
        <v>2596341684558</v>
      </c>
      <c r="S206" s="11">
        <v>46309208131</v>
      </c>
      <c r="T206" s="11">
        <v>46036917381</v>
      </c>
      <c r="U206" s="11">
        <v>272290750</v>
      </c>
      <c r="V206" s="11">
        <v>0</v>
      </c>
      <c r="W206" s="11">
        <v>2642650892689</v>
      </c>
      <c r="X206" s="11">
        <v>118410154741</v>
      </c>
      <c r="Y206" s="11">
        <v>21098700000</v>
      </c>
      <c r="Z206" s="11">
        <v>2782159747430</v>
      </c>
      <c r="AA206" s="11">
        <v>1763019262682</v>
      </c>
      <c r="AB206" s="12">
        <v>49.89</v>
      </c>
      <c r="AC206" s="11">
        <v>1374591426763</v>
      </c>
      <c r="AD206" s="11">
        <v>1324441426763</v>
      </c>
      <c r="AE206" s="11">
        <v>13727600640</v>
      </c>
      <c r="AF206" s="11">
        <v>16310958</v>
      </c>
      <c r="AG206" s="11">
        <v>62304192438</v>
      </c>
      <c r="AH206" s="11">
        <v>0</v>
      </c>
      <c r="AI206" s="11">
        <v>0</v>
      </c>
      <c r="AJ206" s="12">
        <v>8</v>
      </c>
      <c r="AK206" s="11">
        <v>1438735094924</v>
      </c>
      <c r="AL206" s="12">
        <v>43</v>
      </c>
      <c r="AM206" s="11">
        <v>129657524232</v>
      </c>
      <c r="AN206" s="12">
        <v>14</v>
      </c>
      <c r="AO206" s="11">
        <v>17393973799</v>
      </c>
      <c r="AP206" s="11">
        <v>46309208131</v>
      </c>
      <c r="AQ206" s="11">
        <v>23602421715</v>
      </c>
      <c r="AR206" s="11">
        <v>22706786416</v>
      </c>
      <c r="AS206" s="12">
        <v>96.21</v>
      </c>
      <c r="AT206" s="11">
        <v>635463688715</v>
      </c>
      <c r="AU206" s="11">
        <v>226165625060</v>
      </c>
      <c r="AV206" s="11">
        <v>126828350768</v>
      </c>
      <c r="AW206" s="11">
        <v>104029868382</v>
      </c>
      <c r="AX206" s="11">
        <v>472991194564</v>
      </c>
      <c r="AY206" s="11">
        <v>374967000000</v>
      </c>
      <c r="AZ206" s="11">
        <v>404246118060</v>
      </c>
      <c r="BA206" s="11">
        <v>1110025069329</v>
      </c>
      <c r="BB206" s="13">
        <v>16757</v>
      </c>
      <c r="BC206" s="11">
        <v>259961545203</v>
      </c>
      <c r="BD206" s="11">
        <v>472941194564</v>
      </c>
      <c r="BE206" s="11">
        <v>377122329562</v>
      </c>
      <c r="BF206" s="11">
        <v>1042006966975</v>
      </c>
      <c r="BG206" s="11">
        <v>332584459788</v>
      </c>
      <c r="BH206" s="11">
        <v>13727600640</v>
      </c>
      <c r="BI206" s="11">
        <v>0</v>
      </c>
      <c r="BJ206" s="11">
        <v>0</v>
      </c>
      <c r="BK206" s="11">
        <v>0</v>
      </c>
      <c r="BL206" s="11">
        <v>0</v>
      </c>
      <c r="BM206" s="11">
        <v>16324811</v>
      </c>
    </row>
    <row r="207" spans="1:65" x14ac:dyDescent="0.25">
      <c r="A207" s="32"/>
      <c r="B207" s="10">
        <v>3902</v>
      </c>
      <c r="C207" s="10" t="s">
        <v>262</v>
      </c>
      <c r="D207" s="11">
        <v>686273581956</v>
      </c>
      <c r="E207" s="11">
        <v>21320997080</v>
      </c>
      <c r="F207" s="11">
        <v>0</v>
      </c>
      <c r="G207" s="11">
        <v>0</v>
      </c>
      <c r="H207" s="11">
        <v>707594579036</v>
      </c>
      <c r="I207" s="11">
        <v>51607144520</v>
      </c>
      <c r="J207" s="11">
        <v>655987434516</v>
      </c>
      <c r="K207" s="11">
        <v>698390578181</v>
      </c>
      <c r="L207" s="11">
        <v>9204000855</v>
      </c>
      <c r="M207" s="12">
        <v>1.32</v>
      </c>
      <c r="N207" s="11">
        <v>1597479722164</v>
      </c>
      <c r="O207" s="12">
        <v>246.03</v>
      </c>
      <c r="P207" s="12">
        <v>243.52</v>
      </c>
      <c r="Q207" s="12">
        <v>2.04</v>
      </c>
      <c r="R207" s="11">
        <v>1704516642129</v>
      </c>
      <c r="S207" s="11">
        <v>36413200555</v>
      </c>
      <c r="T207" s="11">
        <v>34177845991</v>
      </c>
      <c r="U207" s="11">
        <v>2235354564</v>
      </c>
      <c r="V207" s="11">
        <v>0</v>
      </c>
      <c r="W207" s="11">
        <v>1740929842684</v>
      </c>
      <c r="X207" s="11">
        <v>142695622721</v>
      </c>
      <c r="Y207" s="11">
        <v>13028253000</v>
      </c>
      <c r="Z207" s="11">
        <v>1896653718405</v>
      </c>
      <c r="AA207" s="11">
        <v>1393533127387</v>
      </c>
      <c r="AB207" s="12">
        <v>24.93</v>
      </c>
      <c r="AC207" s="11">
        <v>1070159382204</v>
      </c>
      <c r="AD207" s="11">
        <v>1070159382204</v>
      </c>
      <c r="AE207" s="11">
        <v>316050684954</v>
      </c>
      <c r="AF207" s="11">
        <v>0</v>
      </c>
      <c r="AG207" s="11">
        <v>55495859626</v>
      </c>
      <c r="AH207" s="11">
        <v>0</v>
      </c>
      <c r="AI207" s="11">
        <v>0</v>
      </c>
      <c r="AJ207" s="12">
        <v>5</v>
      </c>
      <c r="AK207" s="11">
        <v>662646816468</v>
      </c>
      <c r="AL207" s="12">
        <v>72</v>
      </c>
      <c r="AM207" s="11">
        <v>230091447988</v>
      </c>
      <c r="AN207" s="12">
        <v>21</v>
      </c>
      <c r="AO207" s="11">
        <v>98629946126</v>
      </c>
      <c r="AP207" s="11">
        <v>36413200555</v>
      </c>
      <c r="AQ207" s="11">
        <v>30760045808</v>
      </c>
      <c r="AR207" s="11">
        <v>5653154747</v>
      </c>
      <c r="AS207" s="12">
        <v>18.38</v>
      </c>
      <c r="AT207" s="11">
        <v>844742985297</v>
      </c>
      <c r="AU207" s="11">
        <v>455465158362</v>
      </c>
      <c r="AV207" s="11">
        <v>75674531898</v>
      </c>
      <c r="AW207" s="11">
        <v>77344337652</v>
      </c>
      <c r="AX207" s="11">
        <v>392370712406</v>
      </c>
      <c r="AY207" s="11">
        <v>140884000000</v>
      </c>
      <c r="AZ207" s="11">
        <v>312683894425</v>
      </c>
      <c r="BA207" s="11">
        <v>707594579036</v>
      </c>
      <c r="BB207" s="13">
        <v>30252</v>
      </c>
      <c r="BC207" s="11">
        <v>171432705703</v>
      </c>
      <c r="BD207" s="11">
        <v>392370712406</v>
      </c>
      <c r="BE207" s="11">
        <v>143791160927</v>
      </c>
      <c r="BF207" s="11">
        <v>927246697272</v>
      </c>
      <c r="BG207" s="11">
        <v>142912684932</v>
      </c>
      <c r="BH207" s="11">
        <v>0</v>
      </c>
      <c r="BI207" s="11">
        <v>0</v>
      </c>
      <c r="BJ207" s="11">
        <v>332989031801</v>
      </c>
      <c r="BK207" s="11">
        <v>0</v>
      </c>
      <c r="BL207" s="11">
        <v>0</v>
      </c>
      <c r="BM207" s="11">
        <v>0</v>
      </c>
    </row>
    <row r="208" spans="1:65" x14ac:dyDescent="0.25">
      <c r="A208" s="32"/>
      <c r="B208" s="10">
        <v>3904</v>
      </c>
      <c r="C208" s="10" t="s">
        <v>263</v>
      </c>
      <c r="D208" s="11">
        <v>472636831654</v>
      </c>
      <c r="E208" s="11">
        <v>4678287283</v>
      </c>
      <c r="F208" s="11">
        <v>0</v>
      </c>
      <c r="G208" s="11">
        <v>0</v>
      </c>
      <c r="H208" s="11">
        <v>477315118937</v>
      </c>
      <c r="I208" s="11">
        <v>40896577307</v>
      </c>
      <c r="J208" s="11">
        <v>436418541630</v>
      </c>
      <c r="K208" s="11">
        <v>489714019262</v>
      </c>
      <c r="L208" s="11">
        <v>-12398900325</v>
      </c>
      <c r="M208" s="12">
        <v>-2.5299999999999998</v>
      </c>
      <c r="N208" s="11">
        <v>899140499965</v>
      </c>
      <c r="O208" s="12">
        <v>198.51</v>
      </c>
      <c r="P208" s="12">
        <v>206.03</v>
      </c>
      <c r="Q208" s="12">
        <v>1.52</v>
      </c>
      <c r="R208" s="11">
        <v>932112046927</v>
      </c>
      <c r="S208" s="11">
        <v>15391305507</v>
      </c>
      <c r="T208" s="11">
        <v>12675271135</v>
      </c>
      <c r="U208" s="11">
        <v>895372421</v>
      </c>
      <c r="V208" s="11">
        <v>1820661951</v>
      </c>
      <c r="W208" s="11">
        <v>947503352434</v>
      </c>
      <c r="X208" s="11">
        <v>116861204660</v>
      </c>
      <c r="Y208" s="11">
        <v>9799750000</v>
      </c>
      <c r="Z208" s="11">
        <v>1074164307094</v>
      </c>
      <c r="AA208" s="11">
        <v>794243998547</v>
      </c>
      <c r="AB208" s="12">
        <v>19.3</v>
      </c>
      <c r="AC208" s="11">
        <v>467882317153</v>
      </c>
      <c r="AD208" s="11">
        <v>447882317153</v>
      </c>
      <c r="AE208" s="11">
        <v>0</v>
      </c>
      <c r="AF208" s="11">
        <v>0</v>
      </c>
      <c r="AG208" s="11">
        <v>19801749152</v>
      </c>
      <c r="AH208" s="11">
        <v>0</v>
      </c>
      <c r="AI208" s="11">
        <v>0</v>
      </c>
      <c r="AJ208" s="12">
        <v>1</v>
      </c>
      <c r="AK208" s="11">
        <v>7956403312</v>
      </c>
      <c r="AL208" s="12">
        <v>10</v>
      </c>
      <c r="AM208" s="11">
        <v>3173747847</v>
      </c>
      <c r="AN208" s="12">
        <v>5</v>
      </c>
      <c r="AO208" s="11">
        <v>706735178</v>
      </c>
      <c r="AP208" s="11">
        <v>15391305507</v>
      </c>
      <c r="AQ208" s="11">
        <v>9094745601</v>
      </c>
      <c r="AR208" s="11">
        <v>6296559906</v>
      </c>
      <c r="AS208" s="12">
        <v>69.23</v>
      </c>
      <c r="AT208" s="11">
        <v>326343934943</v>
      </c>
      <c r="AU208" s="11">
        <v>114788294283</v>
      </c>
      <c r="AV208" s="11">
        <v>62309518155</v>
      </c>
      <c r="AW208" s="11">
        <v>76325693140</v>
      </c>
      <c r="AX208" s="11">
        <v>180742620359</v>
      </c>
      <c r="AY208" s="11">
        <v>153259000000</v>
      </c>
      <c r="AZ208" s="11">
        <v>133474542984</v>
      </c>
      <c r="BA208" s="11">
        <v>477315118937</v>
      </c>
      <c r="BB208" s="13">
        <v>9201</v>
      </c>
      <c r="BC208" s="11">
        <v>143248278378</v>
      </c>
      <c r="BD208" s="11">
        <v>180742620359</v>
      </c>
      <c r="BE208" s="11">
        <v>153324220200</v>
      </c>
      <c r="BF208" s="11">
        <v>304214229987</v>
      </c>
      <c r="BG208" s="11">
        <v>163668087166</v>
      </c>
      <c r="BH208" s="11">
        <v>0</v>
      </c>
      <c r="BI208" s="11">
        <v>0</v>
      </c>
      <c r="BJ208" s="11">
        <v>0</v>
      </c>
      <c r="BK208" s="11">
        <v>0</v>
      </c>
      <c r="BL208" s="11">
        <v>0</v>
      </c>
      <c r="BM208" s="11">
        <v>0</v>
      </c>
    </row>
    <row r="209" spans="1:65" x14ac:dyDescent="0.25">
      <c r="A209" s="32"/>
      <c r="B209" s="10">
        <v>3905</v>
      </c>
      <c r="C209" s="10" t="s">
        <v>264</v>
      </c>
      <c r="D209" s="11">
        <v>922270221062</v>
      </c>
      <c r="E209" s="11">
        <v>41770494575</v>
      </c>
      <c r="F209" s="11">
        <v>0</v>
      </c>
      <c r="G209" s="11">
        <v>0</v>
      </c>
      <c r="H209" s="11">
        <v>964040715637</v>
      </c>
      <c r="I209" s="11">
        <v>84317150326</v>
      </c>
      <c r="J209" s="11">
        <v>879723565311</v>
      </c>
      <c r="K209" s="11">
        <v>697571758769</v>
      </c>
      <c r="L209" s="11">
        <v>266468956868</v>
      </c>
      <c r="M209" s="12">
        <v>38.200000000000003</v>
      </c>
      <c r="N209" s="11">
        <v>1677691161487</v>
      </c>
      <c r="O209" s="12">
        <v>194.98</v>
      </c>
      <c r="P209" s="12">
        <v>190.71</v>
      </c>
      <c r="Q209" s="12">
        <v>0.79</v>
      </c>
      <c r="R209" s="11">
        <v>1864748866096</v>
      </c>
      <c r="S209" s="11">
        <v>14956548071</v>
      </c>
      <c r="T209" s="11">
        <v>11331154398</v>
      </c>
      <c r="U209" s="11">
        <v>2030808024</v>
      </c>
      <c r="V209" s="11">
        <v>1594585649</v>
      </c>
      <c r="W209" s="11">
        <v>1879705414167</v>
      </c>
      <c r="X209" s="11">
        <v>130305740370</v>
      </c>
      <c r="Y209" s="11">
        <v>10100000000</v>
      </c>
      <c r="Z209" s="11">
        <v>2020111154537</v>
      </c>
      <c r="AA209" s="11">
        <v>1450518262236</v>
      </c>
      <c r="AB209" s="12">
        <v>29.59</v>
      </c>
      <c r="AC209" s="11">
        <v>883134093633</v>
      </c>
      <c r="AD209" s="11">
        <v>839364093633</v>
      </c>
      <c r="AE209" s="11">
        <v>0</v>
      </c>
      <c r="AF209" s="11">
        <v>5246039107</v>
      </c>
      <c r="AG209" s="11">
        <v>12962000000</v>
      </c>
      <c r="AH209" s="11">
        <v>0</v>
      </c>
      <c r="AI209" s="11">
        <v>0</v>
      </c>
      <c r="AJ209" s="12">
        <v>5</v>
      </c>
      <c r="AK209" s="11">
        <v>133594709466</v>
      </c>
      <c r="AL209" s="12">
        <v>30</v>
      </c>
      <c r="AM209" s="11">
        <v>276155243330</v>
      </c>
      <c r="AN209" s="12">
        <v>18</v>
      </c>
      <c r="AO209" s="11">
        <v>59996411350</v>
      </c>
      <c r="AP209" s="11">
        <v>14956548071</v>
      </c>
      <c r="AQ209" s="11">
        <v>14203337892</v>
      </c>
      <c r="AR209" s="11">
        <v>753210179</v>
      </c>
      <c r="AS209" s="12">
        <v>5.3</v>
      </c>
      <c r="AT209" s="11">
        <v>501818783630</v>
      </c>
      <c r="AU209" s="11">
        <v>99421187589</v>
      </c>
      <c r="AV209" s="11">
        <v>119923863126</v>
      </c>
      <c r="AW209" s="11">
        <v>160379280302</v>
      </c>
      <c r="AX209" s="11">
        <v>365092977634</v>
      </c>
      <c r="AY209" s="11">
        <v>276874100000</v>
      </c>
      <c r="AZ209" s="11">
        <v>319279101687</v>
      </c>
      <c r="BA209" s="11">
        <v>964040715637</v>
      </c>
      <c r="BB209" s="13">
        <v>22224</v>
      </c>
      <c r="BC209" s="11">
        <v>322073638003</v>
      </c>
      <c r="BD209" s="11">
        <v>365092977634</v>
      </c>
      <c r="BE209" s="11">
        <v>276874100000</v>
      </c>
      <c r="BF209" s="11">
        <v>548946293488</v>
      </c>
      <c r="BG209" s="11">
        <v>334187800145</v>
      </c>
      <c r="BH209" s="11">
        <v>0</v>
      </c>
      <c r="BI209" s="11">
        <v>0</v>
      </c>
      <c r="BJ209" s="11">
        <v>0</v>
      </c>
      <c r="BK209" s="11">
        <v>0</v>
      </c>
      <c r="BL209" s="11">
        <v>0</v>
      </c>
      <c r="BM209" s="11">
        <v>5246039107</v>
      </c>
    </row>
    <row r="210" spans="1:65" x14ac:dyDescent="0.25">
      <c r="A210" s="32"/>
      <c r="B210" s="10">
        <v>3906</v>
      </c>
      <c r="C210" s="10" t="s">
        <v>265</v>
      </c>
      <c r="D210" s="11">
        <v>342033028218</v>
      </c>
      <c r="E210" s="11">
        <v>71950420</v>
      </c>
      <c r="F210" s="11">
        <v>0</v>
      </c>
      <c r="G210" s="11">
        <v>0</v>
      </c>
      <c r="H210" s="11">
        <v>342104978638</v>
      </c>
      <c r="I210" s="11">
        <v>24469272531</v>
      </c>
      <c r="J210" s="11">
        <v>317635706107</v>
      </c>
      <c r="K210" s="11">
        <v>243419942798</v>
      </c>
      <c r="L210" s="11">
        <v>98685035840</v>
      </c>
      <c r="M210" s="12">
        <v>40.54</v>
      </c>
      <c r="N210" s="11">
        <v>163514247533</v>
      </c>
      <c r="O210" s="12">
        <v>53.83</v>
      </c>
      <c r="P210" s="12">
        <v>51.48</v>
      </c>
      <c r="Q210" s="12">
        <v>1.17</v>
      </c>
      <c r="R210" s="11">
        <v>182128834854</v>
      </c>
      <c r="S210" s="11">
        <v>2018265773</v>
      </c>
      <c r="T210" s="11">
        <v>2018265773</v>
      </c>
      <c r="U210" s="11">
        <v>0</v>
      </c>
      <c r="V210" s="11">
        <v>0</v>
      </c>
      <c r="W210" s="11">
        <v>184147100627</v>
      </c>
      <c r="X210" s="11">
        <v>11903393993</v>
      </c>
      <c r="Y210" s="11">
        <v>4000000000</v>
      </c>
      <c r="Z210" s="11">
        <v>200050494620</v>
      </c>
      <c r="AA210" s="11">
        <v>69033152700</v>
      </c>
      <c r="AB210" s="12">
        <v>166.75</v>
      </c>
      <c r="AC210" s="11">
        <v>130159678400</v>
      </c>
      <c r="AD210" s="11">
        <v>130159678400</v>
      </c>
      <c r="AE210" s="11">
        <v>0</v>
      </c>
      <c r="AF210" s="11">
        <v>0</v>
      </c>
      <c r="AG210" s="11">
        <v>10627789959</v>
      </c>
      <c r="AH210" s="11">
        <v>0</v>
      </c>
      <c r="AI210" s="11">
        <v>0</v>
      </c>
      <c r="AJ210" s="12">
        <v>0</v>
      </c>
      <c r="AK210" s="11">
        <v>0</v>
      </c>
      <c r="AL210" s="12">
        <v>0</v>
      </c>
      <c r="AM210" s="11">
        <v>0</v>
      </c>
      <c r="AN210" s="12">
        <v>0</v>
      </c>
      <c r="AO210" s="11">
        <v>0</v>
      </c>
      <c r="AP210" s="11">
        <v>2018265773</v>
      </c>
      <c r="AQ210" s="11">
        <v>0</v>
      </c>
      <c r="AR210" s="11">
        <v>2018265773</v>
      </c>
      <c r="AS210" s="12"/>
      <c r="AT210" s="11">
        <v>33465276005</v>
      </c>
      <c r="AU210" s="11">
        <v>8137540139</v>
      </c>
      <c r="AV210" s="11">
        <v>27426139299</v>
      </c>
      <c r="AW210" s="11">
        <v>75973776783</v>
      </c>
      <c r="AX210" s="11">
        <v>89683112136</v>
      </c>
      <c r="AY210" s="11">
        <v>148950000000</v>
      </c>
      <c r="AZ210" s="11">
        <v>89682867160</v>
      </c>
      <c r="BA210" s="11">
        <v>342104978638</v>
      </c>
      <c r="BB210" s="12">
        <v>0</v>
      </c>
      <c r="BC210" s="11">
        <v>103471866502</v>
      </c>
      <c r="BD210" s="11">
        <v>89683112136</v>
      </c>
      <c r="BE210" s="11">
        <v>148950000000</v>
      </c>
      <c r="BF210" s="11">
        <v>100860985342</v>
      </c>
      <c r="BG210" s="11">
        <v>29298693058</v>
      </c>
      <c r="BH210" s="11">
        <v>0</v>
      </c>
      <c r="BI210" s="11">
        <v>0</v>
      </c>
      <c r="BJ210" s="11">
        <v>0</v>
      </c>
      <c r="BK210" s="11">
        <v>0</v>
      </c>
      <c r="BL210" s="11">
        <v>0</v>
      </c>
      <c r="BM210" s="11">
        <v>0</v>
      </c>
    </row>
    <row r="211" spans="1:65" x14ac:dyDescent="0.25">
      <c r="A211" s="32"/>
      <c r="B211" s="10">
        <v>3907</v>
      </c>
      <c r="C211" s="10" t="s">
        <v>266</v>
      </c>
      <c r="D211" s="11">
        <v>150008259744</v>
      </c>
      <c r="E211" s="11">
        <v>8533341217</v>
      </c>
      <c r="F211" s="11">
        <v>0</v>
      </c>
      <c r="G211" s="11">
        <v>0</v>
      </c>
      <c r="H211" s="11">
        <v>158541600961</v>
      </c>
      <c r="I211" s="11">
        <v>13470164351</v>
      </c>
      <c r="J211" s="11">
        <v>145071436610</v>
      </c>
      <c r="K211" s="11">
        <v>154541030446</v>
      </c>
      <c r="L211" s="11">
        <v>4000570515</v>
      </c>
      <c r="M211" s="12">
        <v>2.59</v>
      </c>
      <c r="N211" s="11">
        <v>212277085722</v>
      </c>
      <c r="O211" s="12">
        <v>153.97</v>
      </c>
      <c r="P211" s="12">
        <v>146.33000000000001</v>
      </c>
      <c r="Q211" s="12">
        <v>0.08</v>
      </c>
      <c r="R211" s="11">
        <v>243902193143</v>
      </c>
      <c r="S211" s="11">
        <v>202910491</v>
      </c>
      <c r="T211" s="11">
        <v>202910491</v>
      </c>
      <c r="U211" s="11">
        <v>0</v>
      </c>
      <c r="V211" s="11">
        <v>0</v>
      </c>
      <c r="W211" s="11">
        <v>244105103634</v>
      </c>
      <c r="X211" s="11">
        <v>10066458449</v>
      </c>
      <c r="Y211" s="11">
        <v>700000000</v>
      </c>
      <c r="Z211" s="11">
        <v>254871562083</v>
      </c>
      <c r="AA211" s="11">
        <v>119214628737</v>
      </c>
      <c r="AB211" s="12">
        <v>104.76</v>
      </c>
      <c r="AC211" s="11">
        <v>152105000000</v>
      </c>
      <c r="AD211" s="11">
        <v>152105000000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2">
        <v>0</v>
      </c>
      <c r="AK211" s="11">
        <v>0</v>
      </c>
      <c r="AL211" s="12">
        <v>11</v>
      </c>
      <c r="AM211" s="11">
        <v>79993869201</v>
      </c>
      <c r="AN211" s="12">
        <v>1</v>
      </c>
      <c r="AO211" s="11">
        <v>30100000000</v>
      </c>
      <c r="AP211" s="11">
        <v>202910491</v>
      </c>
      <c r="AQ211" s="11">
        <v>0</v>
      </c>
      <c r="AR211" s="11">
        <v>202910491</v>
      </c>
      <c r="AS211" s="12"/>
      <c r="AT211" s="11">
        <v>55578832050</v>
      </c>
      <c r="AU211" s="11">
        <v>16603437658</v>
      </c>
      <c r="AV211" s="11">
        <v>24173584138</v>
      </c>
      <c r="AW211" s="11">
        <v>270633401</v>
      </c>
      <c r="AX211" s="11">
        <v>83084042205</v>
      </c>
      <c r="AY211" s="11">
        <v>42480000000</v>
      </c>
      <c r="AZ211" s="11">
        <v>82518651662</v>
      </c>
      <c r="BA211" s="11">
        <v>158541600961</v>
      </c>
      <c r="BB211" s="12">
        <v>0</v>
      </c>
      <c r="BC211" s="11">
        <v>32977558756</v>
      </c>
      <c r="BD211" s="11">
        <v>83084042205</v>
      </c>
      <c r="BE211" s="11">
        <v>42480000000</v>
      </c>
      <c r="BF211" s="11">
        <v>122605000000</v>
      </c>
      <c r="BG211" s="11">
        <v>29500000000</v>
      </c>
      <c r="BH211" s="11">
        <v>0</v>
      </c>
      <c r="BI211" s="11">
        <v>0</v>
      </c>
      <c r="BJ211" s="11">
        <v>0</v>
      </c>
      <c r="BK211" s="11">
        <v>0</v>
      </c>
      <c r="BL211" s="11">
        <v>0</v>
      </c>
      <c r="BM211" s="11">
        <v>0</v>
      </c>
    </row>
    <row r="212" spans="1:65" x14ac:dyDescent="0.25">
      <c r="A212" s="32"/>
      <c r="B212" s="10">
        <v>3999</v>
      </c>
      <c r="C212" s="10" t="s">
        <v>267</v>
      </c>
      <c r="D212" s="11">
        <v>0</v>
      </c>
      <c r="E212" s="11">
        <v>1913625490</v>
      </c>
      <c r="F212" s="11">
        <v>0</v>
      </c>
      <c r="G212" s="11">
        <v>0</v>
      </c>
      <c r="H212" s="11">
        <v>1913625490</v>
      </c>
      <c r="I212" s="11">
        <v>156999334</v>
      </c>
      <c r="J212" s="11">
        <v>1756626156</v>
      </c>
      <c r="K212" s="11">
        <v>0</v>
      </c>
      <c r="L212" s="11">
        <v>1913625490</v>
      </c>
      <c r="M212" s="12">
        <v>0</v>
      </c>
      <c r="N212" s="11">
        <v>0</v>
      </c>
      <c r="O212" s="12">
        <v>0</v>
      </c>
      <c r="P212" s="12">
        <v>0</v>
      </c>
      <c r="Q212" s="12">
        <v>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11">
        <v>0</v>
      </c>
      <c r="X212" s="11">
        <v>0</v>
      </c>
      <c r="Y212" s="11">
        <v>0</v>
      </c>
      <c r="Z212" s="11">
        <v>0</v>
      </c>
      <c r="AA212" s="11">
        <v>0</v>
      </c>
      <c r="AB212" s="12"/>
      <c r="AC212" s="11">
        <v>0</v>
      </c>
      <c r="AD212" s="11">
        <v>0</v>
      </c>
      <c r="AE212" s="11">
        <v>0</v>
      </c>
      <c r="AF212" s="11">
        <v>0</v>
      </c>
      <c r="AG212" s="11">
        <v>0</v>
      </c>
      <c r="AH212" s="11">
        <v>0</v>
      </c>
      <c r="AI212" s="11">
        <v>0</v>
      </c>
      <c r="AJ212" s="12">
        <v>0</v>
      </c>
      <c r="AK212" s="11">
        <v>0</v>
      </c>
      <c r="AL212" s="12">
        <v>0</v>
      </c>
      <c r="AM212" s="11">
        <v>0</v>
      </c>
      <c r="AN212" s="12">
        <v>0</v>
      </c>
      <c r="AO212" s="11">
        <v>0</v>
      </c>
      <c r="AP212" s="11">
        <v>0</v>
      </c>
      <c r="AQ212" s="11">
        <v>0</v>
      </c>
      <c r="AR212" s="11">
        <v>0</v>
      </c>
      <c r="AS212" s="12"/>
      <c r="AT212" s="11">
        <v>0</v>
      </c>
      <c r="AU212" s="11">
        <v>0</v>
      </c>
      <c r="AV212" s="11">
        <v>0</v>
      </c>
      <c r="AW212" s="11">
        <v>0</v>
      </c>
      <c r="AX212" s="11">
        <v>0</v>
      </c>
      <c r="AY212" s="11">
        <v>0</v>
      </c>
      <c r="AZ212" s="11">
        <v>0</v>
      </c>
      <c r="BA212" s="11">
        <v>1913625490</v>
      </c>
      <c r="BB212" s="12">
        <v>0</v>
      </c>
      <c r="BC212" s="11">
        <v>1913625490</v>
      </c>
      <c r="BD212" s="11">
        <v>0</v>
      </c>
      <c r="BE212" s="11">
        <v>0</v>
      </c>
      <c r="BF212" s="11">
        <v>0</v>
      </c>
      <c r="BG212" s="11">
        <v>0</v>
      </c>
      <c r="BH212" s="11">
        <v>0</v>
      </c>
      <c r="BI212" s="11">
        <v>0</v>
      </c>
      <c r="BJ212" s="11">
        <v>0</v>
      </c>
      <c r="BK212" s="11">
        <v>0</v>
      </c>
      <c r="BL212" s="11">
        <v>0</v>
      </c>
      <c r="BM212" s="11">
        <v>0</v>
      </c>
    </row>
    <row r="213" spans="1:65" x14ac:dyDescent="0.25">
      <c r="A213" s="14" t="s">
        <v>600</v>
      </c>
      <c r="B213" s="15"/>
      <c r="C213" s="15"/>
      <c r="D213" s="16">
        <v>5034454985958</v>
      </c>
      <c r="E213" s="16">
        <v>338093755821</v>
      </c>
      <c r="F213" s="16">
        <v>32450200000</v>
      </c>
      <c r="G213" s="16">
        <v>2234266834</v>
      </c>
      <c r="H213" s="16">
        <v>5407233208613</v>
      </c>
      <c r="I213" s="16">
        <v>442717377049</v>
      </c>
      <c r="J213" s="16">
        <v>4964515831564</v>
      </c>
      <c r="K213" s="16">
        <v>5479132158587</v>
      </c>
      <c r="L213" s="16">
        <v>-71898949974</v>
      </c>
      <c r="M213" s="17">
        <v>-1.31</v>
      </c>
      <c r="N213" s="16">
        <v>11919420624021</v>
      </c>
      <c r="O213" s="17">
        <v>255.85</v>
      </c>
      <c r="P213" s="17">
        <v>240.09</v>
      </c>
      <c r="Q213" s="17">
        <v>2.36</v>
      </c>
      <c r="R213" s="16">
        <v>13495694566227</v>
      </c>
      <c r="S213" s="16">
        <v>338957979573</v>
      </c>
      <c r="T213" s="16">
        <v>162399637120</v>
      </c>
      <c r="U213" s="16">
        <v>170724990829</v>
      </c>
      <c r="V213" s="16">
        <v>5833351624</v>
      </c>
      <c r="W213" s="16">
        <v>13834652545800</v>
      </c>
      <c r="X213" s="16">
        <v>797152057943</v>
      </c>
      <c r="Y213" s="16">
        <v>80143085500</v>
      </c>
      <c r="Z213" s="16">
        <v>14711947689243</v>
      </c>
      <c r="AA213" s="16">
        <v>10325409650937</v>
      </c>
      <c r="AB213" s="17">
        <v>33.99</v>
      </c>
      <c r="AC213" s="16">
        <v>6477933509818</v>
      </c>
      <c r="AD213" s="16">
        <v>6195985781942</v>
      </c>
      <c r="AE213" s="16">
        <v>388241177402</v>
      </c>
      <c r="AF213" s="16">
        <v>5262350065</v>
      </c>
      <c r="AG213" s="16">
        <v>215193422080</v>
      </c>
      <c r="AH213" s="16">
        <v>0</v>
      </c>
      <c r="AI213" s="16">
        <v>0</v>
      </c>
      <c r="AJ213" s="17">
        <v>24</v>
      </c>
      <c r="AK213" s="16">
        <v>2340140618970</v>
      </c>
      <c r="AL213" s="17">
        <v>410</v>
      </c>
      <c r="AM213" s="16">
        <v>2486353857355</v>
      </c>
      <c r="AN213" s="18">
        <f>SUM(AN205:AN212)</f>
        <v>150</v>
      </c>
      <c r="AO213" s="16">
        <f>SUM(AO205:AO212)</f>
        <v>486210894336</v>
      </c>
      <c r="AP213" s="16">
        <v>338957979573</v>
      </c>
      <c r="AQ213" s="16">
        <v>167781111757</v>
      </c>
      <c r="AR213" s="16">
        <v>171176867816</v>
      </c>
      <c r="AS213" s="17">
        <v>102.02</v>
      </c>
      <c r="AT213" s="16">
        <v>3674134323885</v>
      </c>
      <c r="AU213" s="16">
        <v>1284353982149</v>
      </c>
      <c r="AV213" s="16">
        <v>702470601993</v>
      </c>
      <c r="AW213" s="16">
        <v>858552798306</v>
      </c>
      <c r="AX213" s="16">
        <v>2064684985659</v>
      </c>
      <c r="AY213" s="16">
        <v>1408746600000</v>
      </c>
      <c r="AZ213" s="16">
        <v>1627281914001</v>
      </c>
      <c r="BA213" s="16">
        <v>5407233208613</v>
      </c>
      <c r="BB213" s="18">
        <v>245722</v>
      </c>
      <c r="BC213" s="16">
        <v>1852741128444</v>
      </c>
      <c r="BD213" s="16">
        <v>2097085185659</v>
      </c>
      <c r="BE213" s="16">
        <v>1457406894510</v>
      </c>
      <c r="BF213" s="16">
        <v>4787134523893</v>
      </c>
      <c r="BG213" s="16">
        <v>1690798985925</v>
      </c>
      <c r="BH213" s="16">
        <v>36502749650</v>
      </c>
      <c r="BI213" s="16">
        <v>0</v>
      </c>
      <c r="BJ213" s="16">
        <v>376528509968</v>
      </c>
      <c r="BK213" s="16">
        <v>0</v>
      </c>
      <c r="BL213" s="16">
        <v>0</v>
      </c>
      <c r="BM213" s="16">
        <v>5262363918</v>
      </c>
    </row>
    <row r="214" spans="1:65" x14ac:dyDescent="0.25">
      <c r="A214" s="32" t="s">
        <v>268</v>
      </c>
      <c r="B214" s="10">
        <v>2000</v>
      </c>
      <c r="C214" s="10" t="s">
        <v>269</v>
      </c>
      <c r="D214" s="11">
        <v>3795111859760</v>
      </c>
      <c r="E214" s="11">
        <v>504295164251</v>
      </c>
      <c r="F214" s="11">
        <v>100000000000</v>
      </c>
      <c r="G214" s="11">
        <v>401877000</v>
      </c>
      <c r="H214" s="11">
        <v>4399808901011</v>
      </c>
      <c r="I214" s="11">
        <v>339205178729</v>
      </c>
      <c r="J214" s="11">
        <v>4060603722282</v>
      </c>
      <c r="K214" s="11">
        <v>4742723752166</v>
      </c>
      <c r="L214" s="11">
        <v>-342914851155</v>
      </c>
      <c r="M214" s="12">
        <v>-7.23</v>
      </c>
      <c r="N214" s="11">
        <v>6551432586434</v>
      </c>
      <c r="O214" s="12">
        <v>201.37</v>
      </c>
      <c r="P214" s="12">
        <v>161.34</v>
      </c>
      <c r="Q214" s="12">
        <v>6.61</v>
      </c>
      <c r="R214" s="11">
        <v>8282226739442</v>
      </c>
      <c r="S214" s="11">
        <v>577654119084</v>
      </c>
      <c r="T214" s="11">
        <v>119424422155</v>
      </c>
      <c r="U214" s="11">
        <v>100356510998</v>
      </c>
      <c r="V214" s="11">
        <v>357873185931</v>
      </c>
      <c r="W214" s="11">
        <v>8859880858526</v>
      </c>
      <c r="X214" s="11">
        <v>489188886755</v>
      </c>
      <c r="Y214" s="11">
        <v>56375386855</v>
      </c>
      <c r="Z214" s="11">
        <v>9405445132136</v>
      </c>
      <c r="AA214" s="11">
        <v>7149300328505</v>
      </c>
      <c r="AB214" s="12">
        <v>23.93</v>
      </c>
      <c r="AC214" s="11">
        <v>3507949820073</v>
      </c>
      <c r="AD214" s="11">
        <v>3395364418778</v>
      </c>
      <c r="AE214" s="11">
        <v>1107575450607</v>
      </c>
      <c r="AF214" s="11">
        <v>2691748540</v>
      </c>
      <c r="AG214" s="11">
        <v>0</v>
      </c>
      <c r="AH214" s="11">
        <v>0</v>
      </c>
      <c r="AI214" s="11">
        <v>0</v>
      </c>
      <c r="AJ214" s="12">
        <v>8</v>
      </c>
      <c r="AK214" s="11">
        <v>1334077618580</v>
      </c>
      <c r="AL214" s="12">
        <v>786</v>
      </c>
      <c r="AM214" s="11">
        <v>6412998355782</v>
      </c>
      <c r="AN214" s="12">
        <v>357</v>
      </c>
      <c r="AO214" s="11">
        <v>1424930874533</v>
      </c>
      <c r="AP214" s="11">
        <v>577654119084</v>
      </c>
      <c r="AQ214" s="11">
        <v>293155517357</v>
      </c>
      <c r="AR214" s="11">
        <v>284498601727</v>
      </c>
      <c r="AS214" s="12">
        <v>97.05</v>
      </c>
      <c r="AT214" s="11">
        <v>2645628102832</v>
      </c>
      <c r="AU214" s="11">
        <v>1034151717142</v>
      </c>
      <c r="AV214" s="11">
        <v>847478028999</v>
      </c>
      <c r="AW214" s="11">
        <v>578640296749</v>
      </c>
      <c r="AX214" s="11">
        <v>1145375534012</v>
      </c>
      <c r="AY214" s="11">
        <v>1223618000000</v>
      </c>
      <c r="AZ214" s="11">
        <v>396285326905</v>
      </c>
      <c r="BA214" s="11">
        <v>4399808901011</v>
      </c>
      <c r="BB214" s="13">
        <v>367604</v>
      </c>
      <c r="BC214" s="11">
        <v>1799604370408</v>
      </c>
      <c r="BD214" s="11">
        <v>1245375534012</v>
      </c>
      <c r="BE214" s="11">
        <v>1354828996591</v>
      </c>
      <c r="BF214" s="11">
        <v>2283815632164</v>
      </c>
      <c r="BG214" s="11">
        <v>1224134187909</v>
      </c>
      <c r="BH214" s="11">
        <v>107200000000</v>
      </c>
      <c r="BI214" s="11">
        <v>272700173600</v>
      </c>
      <c r="BJ214" s="11">
        <v>837132145963</v>
      </c>
      <c r="BK214" s="11">
        <v>369912500</v>
      </c>
      <c r="BL214" s="11">
        <v>1572234510</v>
      </c>
      <c r="BM214" s="11">
        <v>7354396890</v>
      </c>
    </row>
    <row r="215" spans="1:65" x14ac:dyDescent="0.25">
      <c r="A215" s="32"/>
      <c r="B215" s="10">
        <v>2001</v>
      </c>
      <c r="C215" s="10" t="s">
        <v>270</v>
      </c>
      <c r="D215" s="11">
        <v>1151477149030</v>
      </c>
      <c r="E215" s="11">
        <v>33954835207</v>
      </c>
      <c r="F215" s="11">
        <v>0</v>
      </c>
      <c r="G215" s="11">
        <v>0</v>
      </c>
      <c r="H215" s="11">
        <v>1185431984237</v>
      </c>
      <c r="I215" s="11">
        <v>89319693750</v>
      </c>
      <c r="J215" s="11">
        <v>1096112290487</v>
      </c>
      <c r="K215" s="11">
        <v>1242316141402</v>
      </c>
      <c r="L215" s="11">
        <v>-56884157165</v>
      </c>
      <c r="M215" s="12">
        <v>-4.58</v>
      </c>
      <c r="N215" s="11">
        <v>1271991939359</v>
      </c>
      <c r="O215" s="12">
        <v>113.66</v>
      </c>
      <c r="P215" s="12">
        <v>116.05</v>
      </c>
      <c r="Q215" s="12">
        <v>2.2799999999999998</v>
      </c>
      <c r="R215" s="11">
        <v>1319670038665</v>
      </c>
      <c r="S215" s="11">
        <v>27733957891</v>
      </c>
      <c r="T215" s="11">
        <v>24827755080</v>
      </c>
      <c r="U215" s="11">
        <v>755568534</v>
      </c>
      <c r="V215" s="11">
        <v>2150634277</v>
      </c>
      <c r="W215" s="11">
        <v>1347403996556</v>
      </c>
      <c r="X215" s="11">
        <v>69986647149</v>
      </c>
      <c r="Y215" s="11">
        <v>6000000000</v>
      </c>
      <c r="Z215" s="11">
        <v>1423390643705</v>
      </c>
      <c r="AA215" s="11">
        <v>1016240969274</v>
      </c>
      <c r="AB215" s="12">
        <v>32.590000000000003</v>
      </c>
      <c r="AC215" s="11">
        <v>772785449863</v>
      </c>
      <c r="AD215" s="11">
        <v>772785449863</v>
      </c>
      <c r="AE215" s="11">
        <v>0</v>
      </c>
      <c r="AF215" s="11">
        <v>0</v>
      </c>
      <c r="AG215" s="11">
        <v>0</v>
      </c>
      <c r="AH215" s="11">
        <v>0</v>
      </c>
      <c r="AI215" s="11">
        <v>0</v>
      </c>
      <c r="AJ215" s="12">
        <v>2</v>
      </c>
      <c r="AK215" s="11">
        <v>37143818380</v>
      </c>
      <c r="AL215" s="12">
        <v>85</v>
      </c>
      <c r="AM215" s="11">
        <v>273603935736</v>
      </c>
      <c r="AN215" s="12">
        <v>14</v>
      </c>
      <c r="AO215" s="11">
        <v>48943599841</v>
      </c>
      <c r="AP215" s="11">
        <v>27733957891</v>
      </c>
      <c r="AQ215" s="11">
        <v>19524981029</v>
      </c>
      <c r="AR215" s="11">
        <v>8208976862</v>
      </c>
      <c r="AS215" s="12">
        <v>42.04</v>
      </c>
      <c r="AT215" s="11">
        <v>554882129439</v>
      </c>
      <c r="AU215" s="11">
        <v>70842351472</v>
      </c>
      <c r="AV215" s="11">
        <v>237915629594</v>
      </c>
      <c r="AW215" s="11">
        <v>84514699063</v>
      </c>
      <c r="AX215" s="11">
        <v>350461820373</v>
      </c>
      <c r="AY215" s="11">
        <v>478585000000</v>
      </c>
      <c r="AZ215" s="11">
        <v>176560806138</v>
      </c>
      <c r="BA215" s="11">
        <v>1185431984237</v>
      </c>
      <c r="BB215" s="13">
        <v>81649</v>
      </c>
      <c r="BC215" s="11">
        <v>356385163864</v>
      </c>
      <c r="BD215" s="11">
        <v>350461820373</v>
      </c>
      <c r="BE215" s="11">
        <v>478585000000</v>
      </c>
      <c r="BF215" s="11">
        <v>702893097629</v>
      </c>
      <c r="BG215" s="11">
        <v>69892352234</v>
      </c>
      <c r="BH215" s="11">
        <v>0</v>
      </c>
      <c r="BI215" s="11">
        <v>0</v>
      </c>
      <c r="BJ215" s="11">
        <v>0</v>
      </c>
      <c r="BK215" s="11">
        <v>0</v>
      </c>
      <c r="BL215" s="11">
        <v>0</v>
      </c>
      <c r="BM215" s="11">
        <v>0</v>
      </c>
    </row>
    <row r="216" spans="1:65" x14ac:dyDescent="0.25">
      <c r="A216" s="32"/>
      <c r="B216" s="10">
        <v>2002</v>
      </c>
      <c r="C216" s="10" t="s">
        <v>271</v>
      </c>
      <c r="D216" s="11">
        <v>1616046499252</v>
      </c>
      <c r="E216" s="11">
        <v>137981821684</v>
      </c>
      <c r="F216" s="11">
        <v>0</v>
      </c>
      <c r="G216" s="11">
        <v>0</v>
      </c>
      <c r="H216" s="11">
        <v>1754028320936</v>
      </c>
      <c r="I216" s="11">
        <v>149067733185</v>
      </c>
      <c r="J216" s="11">
        <v>1604960587751</v>
      </c>
      <c r="K216" s="11">
        <v>1740569073909</v>
      </c>
      <c r="L216" s="11">
        <v>13459247027</v>
      </c>
      <c r="M216" s="12">
        <v>0.77</v>
      </c>
      <c r="N216" s="11">
        <v>1135637057706</v>
      </c>
      <c r="O216" s="12">
        <v>67.349999999999994</v>
      </c>
      <c r="P216" s="12">
        <v>70.760000000000005</v>
      </c>
      <c r="Q216" s="12">
        <v>7.24</v>
      </c>
      <c r="R216" s="11">
        <v>1115949101386</v>
      </c>
      <c r="S216" s="11">
        <v>65362859769</v>
      </c>
      <c r="T216" s="11">
        <v>48619310477</v>
      </c>
      <c r="U216" s="11">
        <v>3870267084</v>
      </c>
      <c r="V216" s="11">
        <v>12873282208</v>
      </c>
      <c r="W216" s="11">
        <v>1181311961155</v>
      </c>
      <c r="X216" s="11">
        <v>97985573485</v>
      </c>
      <c r="Y216" s="11">
        <v>14499125000</v>
      </c>
      <c r="Z216" s="11">
        <v>1293796659640</v>
      </c>
      <c r="AA216" s="11">
        <v>1246362169260</v>
      </c>
      <c r="AB216" s="12">
        <v>-5.22</v>
      </c>
      <c r="AC216" s="11">
        <v>999753430786</v>
      </c>
      <c r="AD216" s="11">
        <v>999753430786</v>
      </c>
      <c r="AE216" s="11">
        <v>534434718827</v>
      </c>
      <c r="AF216" s="11">
        <v>62828063840</v>
      </c>
      <c r="AG216" s="11">
        <v>0</v>
      </c>
      <c r="AH216" s="11">
        <v>0</v>
      </c>
      <c r="AI216" s="11">
        <v>0</v>
      </c>
      <c r="AJ216" s="12">
        <v>3</v>
      </c>
      <c r="AK216" s="11">
        <v>199244102000</v>
      </c>
      <c r="AL216" s="12">
        <v>59</v>
      </c>
      <c r="AM216" s="11">
        <v>1261932107059</v>
      </c>
      <c r="AN216" s="12">
        <v>42</v>
      </c>
      <c r="AO216" s="11">
        <v>943210014541</v>
      </c>
      <c r="AP216" s="11">
        <v>65362859769</v>
      </c>
      <c r="AQ216" s="11">
        <v>15879683036</v>
      </c>
      <c r="AR216" s="11">
        <v>49483176733</v>
      </c>
      <c r="AS216" s="12">
        <v>311.61</v>
      </c>
      <c r="AT216" s="11">
        <v>1153934932700</v>
      </c>
      <c r="AU216" s="11">
        <v>669483465800</v>
      </c>
      <c r="AV216" s="11">
        <v>658270373679</v>
      </c>
      <c r="AW216" s="11">
        <v>167593829811</v>
      </c>
      <c r="AX216" s="11">
        <v>268789095762</v>
      </c>
      <c r="AY216" s="11">
        <v>521393200000</v>
      </c>
      <c r="AZ216" s="11">
        <v>163252398533</v>
      </c>
      <c r="BA216" s="11">
        <v>1754028320936</v>
      </c>
      <c r="BB216" s="13">
        <v>53067</v>
      </c>
      <c r="BC216" s="11">
        <v>963846025174</v>
      </c>
      <c r="BD216" s="11">
        <v>267669095762</v>
      </c>
      <c r="BE216" s="11">
        <v>522513200000</v>
      </c>
      <c r="BF216" s="11">
        <v>254821181377</v>
      </c>
      <c r="BG216" s="11">
        <v>744932249409</v>
      </c>
      <c r="BH216" s="11">
        <v>125892329178</v>
      </c>
      <c r="BI216" s="11">
        <v>0</v>
      </c>
      <c r="BJ216" s="11">
        <v>438593755274</v>
      </c>
      <c r="BK216" s="11">
        <v>44042538085</v>
      </c>
      <c r="BL216" s="11">
        <v>0</v>
      </c>
      <c r="BM216" s="11">
        <v>235309742353</v>
      </c>
    </row>
    <row r="217" spans="1:65" x14ac:dyDescent="0.25">
      <c r="A217" s="32"/>
      <c r="B217" s="10">
        <v>2003</v>
      </c>
      <c r="C217" s="10" t="s">
        <v>272</v>
      </c>
      <c r="D217" s="11">
        <v>1112305008908</v>
      </c>
      <c r="E217" s="11">
        <v>17376337896</v>
      </c>
      <c r="F217" s="11">
        <v>0</v>
      </c>
      <c r="G217" s="11">
        <v>0</v>
      </c>
      <c r="H217" s="11">
        <v>1129681346804</v>
      </c>
      <c r="I217" s="11">
        <v>90940195094</v>
      </c>
      <c r="J217" s="11">
        <v>1038741151710</v>
      </c>
      <c r="K217" s="11">
        <v>868328270464</v>
      </c>
      <c r="L217" s="11">
        <v>261353076340</v>
      </c>
      <c r="M217" s="12">
        <v>30.1</v>
      </c>
      <c r="N217" s="11">
        <v>733826222055</v>
      </c>
      <c r="O217" s="12">
        <v>68.94</v>
      </c>
      <c r="P217" s="12">
        <v>70.650000000000006</v>
      </c>
      <c r="Q217" s="12">
        <v>0.39</v>
      </c>
      <c r="R217" s="11">
        <v>776387034808</v>
      </c>
      <c r="S217" s="11">
        <v>2451047074</v>
      </c>
      <c r="T217" s="11">
        <v>1885510471</v>
      </c>
      <c r="U217" s="11">
        <v>0</v>
      </c>
      <c r="V217" s="11">
        <v>565536603</v>
      </c>
      <c r="W217" s="11">
        <v>778838081882</v>
      </c>
      <c r="X217" s="11">
        <v>72296515115</v>
      </c>
      <c r="Y217" s="11">
        <v>9999920000</v>
      </c>
      <c r="Z217" s="11">
        <v>861134516997</v>
      </c>
      <c r="AA217" s="11">
        <v>552995787863</v>
      </c>
      <c r="AB217" s="12">
        <v>40.840000000000003</v>
      </c>
      <c r="AC217" s="11">
        <v>347028962192</v>
      </c>
      <c r="AD217" s="11">
        <v>347028962192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2">
        <v>0</v>
      </c>
      <c r="AK217" s="11">
        <v>0</v>
      </c>
      <c r="AL217" s="12">
        <v>15</v>
      </c>
      <c r="AM217" s="11">
        <v>117275841045</v>
      </c>
      <c r="AN217" s="12">
        <v>2</v>
      </c>
      <c r="AO217" s="11">
        <v>1194452019</v>
      </c>
      <c r="AP217" s="11">
        <v>2451047074</v>
      </c>
      <c r="AQ217" s="11">
        <v>3260067137</v>
      </c>
      <c r="AR217" s="11">
        <v>-809020063</v>
      </c>
      <c r="AS217" s="12">
        <v>-24.82</v>
      </c>
      <c r="AT217" s="11">
        <v>189155445935</v>
      </c>
      <c r="AU217" s="11">
        <v>13956634271</v>
      </c>
      <c r="AV217" s="11">
        <v>111012338048</v>
      </c>
      <c r="AW217" s="11">
        <v>154100644989</v>
      </c>
      <c r="AX217" s="11">
        <v>355770925871</v>
      </c>
      <c r="AY217" s="11">
        <v>491421100000</v>
      </c>
      <c r="AZ217" s="11">
        <v>218280919483</v>
      </c>
      <c r="BA217" s="11">
        <v>1129681346804</v>
      </c>
      <c r="BB217" s="13">
        <v>246337</v>
      </c>
      <c r="BC217" s="11">
        <v>282489320933</v>
      </c>
      <c r="BD217" s="11">
        <v>355770925871</v>
      </c>
      <c r="BE217" s="11">
        <v>491421100000</v>
      </c>
      <c r="BF217" s="11">
        <v>341528962192</v>
      </c>
      <c r="BG217" s="11">
        <v>5500000000</v>
      </c>
      <c r="BH217" s="11">
        <v>0</v>
      </c>
      <c r="BI217" s="11">
        <v>0</v>
      </c>
      <c r="BJ217" s="11">
        <v>0</v>
      </c>
      <c r="BK217" s="11">
        <v>0</v>
      </c>
      <c r="BL217" s="11">
        <v>0</v>
      </c>
      <c r="BM217" s="11">
        <v>0</v>
      </c>
    </row>
    <row r="218" spans="1:65" x14ac:dyDescent="0.25">
      <c r="A218" s="32"/>
      <c r="B218" s="10">
        <v>2004</v>
      </c>
      <c r="C218" s="10" t="s">
        <v>273</v>
      </c>
      <c r="D218" s="11">
        <v>1548029376953</v>
      </c>
      <c r="E218" s="11">
        <v>59128000888</v>
      </c>
      <c r="F218" s="11">
        <v>0</v>
      </c>
      <c r="G218" s="11">
        <v>0</v>
      </c>
      <c r="H218" s="11">
        <v>1607157377841</v>
      </c>
      <c r="I218" s="11">
        <v>136305264367</v>
      </c>
      <c r="J218" s="11">
        <v>1470852113474</v>
      </c>
      <c r="K218" s="11">
        <v>1464044279337</v>
      </c>
      <c r="L218" s="11">
        <v>143113098504</v>
      </c>
      <c r="M218" s="12">
        <v>9.7799999999999994</v>
      </c>
      <c r="N218" s="11">
        <v>837836361179</v>
      </c>
      <c r="O218" s="12">
        <v>57.18</v>
      </c>
      <c r="P218" s="12">
        <v>56.96</v>
      </c>
      <c r="Q218" s="12">
        <v>0.36</v>
      </c>
      <c r="R218" s="11">
        <v>915731574699</v>
      </c>
      <c r="S218" s="11">
        <v>3188447175</v>
      </c>
      <c r="T218" s="11">
        <v>3188447175</v>
      </c>
      <c r="U218" s="11">
        <v>0</v>
      </c>
      <c r="V218" s="11">
        <v>0</v>
      </c>
      <c r="W218" s="11">
        <v>918920021874</v>
      </c>
      <c r="X218" s="11">
        <v>62935323286</v>
      </c>
      <c r="Y218" s="11">
        <v>19406859999</v>
      </c>
      <c r="Z218" s="11">
        <v>1001262205159</v>
      </c>
      <c r="AA218" s="11">
        <v>734080145883</v>
      </c>
      <c r="AB218" s="12">
        <v>25.18</v>
      </c>
      <c r="AC218" s="11">
        <v>352957284341</v>
      </c>
      <c r="AD218" s="11">
        <v>352957284341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2">
        <v>0</v>
      </c>
      <c r="AK218" s="11">
        <v>0</v>
      </c>
      <c r="AL218" s="12">
        <v>343</v>
      </c>
      <c r="AM218" s="11">
        <v>1177361304041</v>
      </c>
      <c r="AN218" s="12">
        <v>71</v>
      </c>
      <c r="AO218" s="11">
        <v>197182468140</v>
      </c>
      <c r="AP218" s="11">
        <v>3188447175</v>
      </c>
      <c r="AQ218" s="11">
        <v>1946743936</v>
      </c>
      <c r="AR218" s="11">
        <v>1241703239</v>
      </c>
      <c r="AS218" s="12">
        <v>63.78</v>
      </c>
      <c r="AT218" s="11">
        <v>259494656052</v>
      </c>
      <c r="AU218" s="11">
        <v>28393685582</v>
      </c>
      <c r="AV218" s="11">
        <v>148816162048</v>
      </c>
      <c r="AW218" s="11">
        <v>236604146821</v>
      </c>
      <c r="AX218" s="11">
        <v>263032568084</v>
      </c>
      <c r="AY218" s="11">
        <v>899576500000</v>
      </c>
      <c r="AZ218" s="11">
        <v>149185361858</v>
      </c>
      <c r="BA218" s="11">
        <v>1607157377841</v>
      </c>
      <c r="BB218" s="13">
        <v>105993</v>
      </c>
      <c r="BC218" s="11">
        <v>444548309757</v>
      </c>
      <c r="BD218" s="11">
        <v>263032568084</v>
      </c>
      <c r="BE218" s="11">
        <v>899576500000</v>
      </c>
      <c r="BF218" s="11">
        <v>298478909341</v>
      </c>
      <c r="BG218" s="11">
        <v>54478375000</v>
      </c>
      <c r="BH218" s="11">
        <v>0</v>
      </c>
      <c r="BI218" s="11">
        <v>0</v>
      </c>
      <c r="BJ218" s="11">
        <v>0</v>
      </c>
      <c r="BK218" s="11">
        <v>0</v>
      </c>
      <c r="BL218" s="11">
        <v>0</v>
      </c>
      <c r="BM218" s="11">
        <v>0</v>
      </c>
    </row>
    <row r="219" spans="1:65" x14ac:dyDescent="0.25">
      <c r="A219" s="32"/>
      <c r="B219" s="10">
        <v>2005</v>
      </c>
      <c r="C219" s="10" t="s">
        <v>274</v>
      </c>
      <c r="D219" s="11">
        <v>1108249077731</v>
      </c>
      <c r="E219" s="11">
        <v>25588063330</v>
      </c>
      <c r="F219" s="11">
        <v>0</v>
      </c>
      <c r="G219" s="11">
        <v>0</v>
      </c>
      <c r="H219" s="11">
        <v>1133837141061</v>
      </c>
      <c r="I219" s="11">
        <v>121873757047</v>
      </c>
      <c r="J219" s="11">
        <v>1011963384014</v>
      </c>
      <c r="K219" s="11">
        <v>2360842406365</v>
      </c>
      <c r="L219" s="11">
        <v>-1227005265304</v>
      </c>
      <c r="M219" s="12">
        <v>-51.97</v>
      </c>
      <c r="N219" s="11">
        <v>1370183921650</v>
      </c>
      <c r="O219" s="12">
        <v>135.41</v>
      </c>
      <c r="P219" s="12">
        <v>135.4</v>
      </c>
      <c r="Q219" s="12">
        <v>1.1299999999999999</v>
      </c>
      <c r="R219" s="11">
        <v>1517536946967</v>
      </c>
      <c r="S219" s="11">
        <v>17834357987</v>
      </c>
      <c r="T219" s="11">
        <v>14247066104</v>
      </c>
      <c r="U219" s="11">
        <v>2027554763</v>
      </c>
      <c r="V219" s="11">
        <v>1559737120</v>
      </c>
      <c r="W219" s="11">
        <v>1535371304954</v>
      </c>
      <c r="X219" s="11">
        <v>63842978873</v>
      </c>
      <c r="Y219" s="11">
        <v>12157497000</v>
      </c>
      <c r="Z219" s="11">
        <v>1611371780827</v>
      </c>
      <c r="AA219" s="11">
        <v>1675397913546</v>
      </c>
      <c r="AB219" s="12">
        <v>-8.36</v>
      </c>
      <c r="AC219" s="11">
        <v>200509900000</v>
      </c>
      <c r="AD219" s="11">
        <v>200509900000</v>
      </c>
      <c r="AE219" s="11">
        <v>0</v>
      </c>
      <c r="AF219" s="11">
        <v>0</v>
      </c>
      <c r="AG219" s="11">
        <v>0</v>
      </c>
      <c r="AH219" s="11">
        <v>0</v>
      </c>
      <c r="AI219" s="11">
        <v>0</v>
      </c>
      <c r="AJ219" s="12">
        <v>0</v>
      </c>
      <c r="AK219" s="11">
        <v>0</v>
      </c>
      <c r="AL219" s="12">
        <v>36</v>
      </c>
      <c r="AM219" s="11">
        <v>508474987111</v>
      </c>
      <c r="AN219" s="12">
        <v>21</v>
      </c>
      <c r="AO219" s="11">
        <v>246330406295</v>
      </c>
      <c r="AP219" s="11">
        <v>17834357987</v>
      </c>
      <c r="AQ219" s="11">
        <v>25067293816</v>
      </c>
      <c r="AR219" s="11">
        <v>-7232935829</v>
      </c>
      <c r="AS219" s="12">
        <v>-28.85</v>
      </c>
      <c r="AT219" s="11">
        <v>402525204141</v>
      </c>
      <c r="AU219" s="11">
        <v>99173455016</v>
      </c>
      <c r="AV219" s="11">
        <v>609382619425</v>
      </c>
      <c r="AW219" s="11">
        <v>179499115184</v>
      </c>
      <c r="AX219" s="11">
        <v>182893343122</v>
      </c>
      <c r="AY219" s="11">
        <v>136474000000</v>
      </c>
      <c r="AZ219" s="11">
        <v>60333387204</v>
      </c>
      <c r="BA219" s="11">
        <v>1133837141061</v>
      </c>
      <c r="BB219" s="13">
        <v>51189</v>
      </c>
      <c r="BC219" s="11">
        <v>814300852570</v>
      </c>
      <c r="BD219" s="11">
        <v>182893343122</v>
      </c>
      <c r="BE219" s="11">
        <v>136642945369</v>
      </c>
      <c r="BF219" s="11">
        <v>112509990000</v>
      </c>
      <c r="BG219" s="11">
        <v>87999910000</v>
      </c>
      <c r="BH219" s="11">
        <v>0</v>
      </c>
      <c r="BI219" s="11">
        <v>0</v>
      </c>
      <c r="BJ219" s="11">
        <v>0</v>
      </c>
      <c r="BK219" s="11">
        <v>0</v>
      </c>
      <c r="BL219" s="11">
        <v>0</v>
      </c>
      <c r="BM219" s="11">
        <v>0</v>
      </c>
    </row>
    <row r="220" spans="1:65" x14ac:dyDescent="0.25">
      <c r="A220" s="32"/>
      <c r="B220" s="10">
        <v>2006</v>
      </c>
      <c r="C220" s="10" t="s">
        <v>275</v>
      </c>
      <c r="D220" s="11">
        <v>7889495641590</v>
      </c>
      <c r="E220" s="11">
        <v>144972538520</v>
      </c>
      <c r="F220" s="11">
        <v>0</v>
      </c>
      <c r="G220" s="11">
        <v>0</v>
      </c>
      <c r="H220" s="11">
        <v>8034468180110</v>
      </c>
      <c r="I220" s="11">
        <v>653977619365</v>
      </c>
      <c r="J220" s="11">
        <v>7380490560745</v>
      </c>
      <c r="K220" s="11">
        <v>5711915996624</v>
      </c>
      <c r="L220" s="11">
        <v>2322552183486</v>
      </c>
      <c r="M220" s="12">
        <v>40.659999999999997</v>
      </c>
      <c r="N220" s="11">
        <v>5202249824216</v>
      </c>
      <c r="O220" s="12">
        <v>72.28</v>
      </c>
      <c r="P220" s="12">
        <v>70.489999999999995</v>
      </c>
      <c r="Q220" s="12">
        <v>0.37</v>
      </c>
      <c r="R220" s="11">
        <v>5787269168688</v>
      </c>
      <c r="S220" s="11">
        <v>20127204036</v>
      </c>
      <c r="T220" s="11">
        <v>11134791569</v>
      </c>
      <c r="U220" s="11">
        <v>3797354952</v>
      </c>
      <c r="V220" s="11">
        <v>5195057515</v>
      </c>
      <c r="W220" s="11">
        <v>5807396372724</v>
      </c>
      <c r="X220" s="11">
        <v>73788920912</v>
      </c>
      <c r="Y220" s="11">
        <v>8641500000</v>
      </c>
      <c r="Z220" s="11">
        <v>5889826793636</v>
      </c>
      <c r="AA220" s="11">
        <v>3112193280835</v>
      </c>
      <c r="AB220" s="12">
        <v>86.6</v>
      </c>
      <c r="AC220" s="11">
        <v>3138121696655</v>
      </c>
      <c r="AD220" s="11">
        <v>3138121696655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2">
        <v>1</v>
      </c>
      <c r="AK220" s="11">
        <v>818321287500</v>
      </c>
      <c r="AL220" s="12">
        <v>57</v>
      </c>
      <c r="AM220" s="11">
        <v>380502947789</v>
      </c>
      <c r="AN220" s="12">
        <v>45</v>
      </c>
      <c r="AO220" s="11">
        <v>191923276760</v>
      </c>
      <c r="AP220" s="11">
        <v>20127204036</v>
      </c>
      <c r="AQ220" s="11">
        <v>15628187564</v>
      </c>
      <c r="AR220" s="11">
        <v>4499016472</v>
      </c>
      <c r="AS220" s="12">
        <v>28.79</v>
      </c>
      <c r="AT220" s="11">
        <v>950205213466</v>
      </c>
      <c r="AU220" s="11">
        <v>69375898092</v>
      </c>
      <c r="AV220" s="11">
        <v>4759489387829</v>
      </c>
      <c r="AW220" s="11">
        <v>345327717569</v>
      </c>
      <c r="AX220" s="11">
        <v>2040320736192</v>
      </c>
      <c r="AY220" s="11">
        <v>744357800000</v>
      </c>
      <c r="AZ220" s="11">
        <v>1873587861848</v>
      </c>
      <c r="BA220" s="11">
        <v>8034468180110</v>
      </c>
      <c r="BB220" s="13">
        <v>128038</v>
      </c>
      <c r="BC220" s="11">
        <v>5249789643918</v>
      </c>
      <c r="BD220" s="11">
        <v>2040320736192</v>
      </c>
      <c r="BE220" s="11">
        <v>744357800000</v>
      </c>
      <c r="BF220" s="11">
        <v>2095621696655</v>
      </c>
      <c r="BG220" s="11">
        <v>1042500000000</v>
      </c>
      <c r="BH220" s="11">
        <v>0</v>
      </c>
      <c r="BI220" s="11">
        <v>0</v>
      </c>
      <c r="BJ220" s="11">
        <v>0</v>
      </c>
      <c r="BK220" s="11">
        <v>0</v>
      </c>
      <c r="BL220" s="11">
        <v>0</v>
      </c>
      <c r="BM220" s="11">
        <v>0</v>
      </c>
    </row>
    <row r="221" spans="1:65" x14ac:dyDescent="0.25">
      <c r="A221" s="32"/>
      <c r="B221" s="10">
        <v>2007</v>
      </c>
      <c r="C221" s="10" t="s">
        <v>276</v>
      </c>
      <c r="D221" s="11">
        <v>1428457416680</v>
      </c>
      <c r="E221" s="11">
        <v>103422326129</v>
      </c>
      <c r="F221" s="11">
        <v>0</v>
      </c>
      <c r="G221" s="11">
        <v>0</v>
      </c>
      <c r="H221" s="11">
        <v>1531879742809</v>
      </c>
      <c r="I221" s="11">
        <v>128183425552</v>
      </c>
      <c r="J221" s="11">
        <v>1403696317257</v>
      </c>
      <c r="K221" s="11">
        <v>1397925967088</v>
      </c>
      <c r="L221" s="11">
        <v>133953775721</v>
      </c>
      <c r="M221" s="12">
        <v>9.58</v>
      </c>
      <c r="N221" s="11">
        <v>1199946098645</v>
      </c>
      <c r="O221" s="12">
        <v>92.78</v>
      </c>
      <c r="P221" s="12">
        <v>85.48</v>
      </c>
      <c r="Q221" s="12">
        <v>1.1599999999999999</v>
      </c>
      <c r="R221" s="11">
        <v>1403489483303</v>
      </c>
      <c r="S221" s="11">
        <v>17810165012</v>
      </c>
      <c r="T221" s="11">
        <v>13103417051</v>
      </c>
      <c r="U221" s="11">
        <v>3715802939</v>
      </c>
      <c r="V221" s="11">
        <v>990945022</v>
      </c>
      <c r="W221" s="11">
        <v>1421299648315</v>
      </c>
      <c r="X221" s="11">
        <v>97054330978</v>
      </c>
      <c r="Y221" s="11">
        <v>28282400000</v>
      </c>
      <c r="Z221" s="11">
        <v>1546636379293</v>
      </c>
      <c r="AA221" s="11">
        <v>998622003722</v>
      </c>
      <c r="AB221" s="12">
        <v>42.33</v>
      </c>
      <c r="AC221" s="11">
        <v>718304930432</v>
      </c>
      <c r="AD221" s="11">
        <v>443834930432</v>
      </c>
      <c r="AE221" s="11">
        <v>0</v>
      </c>
      <c r="AF221" s="11">
        <v>1585100960</v>
      </c>
      <c r="AG221" s="11">
        <v>0</v>
      </c>
      <c r="AH221" s="11">
        <v>0</v>
      </c>
      <c r="AI221" s="11">
        <v>0</v>
      </c>
      <c r="AJ221" s="12">
        <v>0</v>
      </c>
      <c r="AK221" s="11">
        <v>0</v>
      </c>
      <c r="AL221" s="12">
        <v>470</v>
      </c>
      <c r="AM221" s="11">
        <v>1677230486547</v>
      </c>
      <c r="AN221" s="12">
        <v>138</v>
      </c>
      <c r="AO221" s="11">
        <v>278714035405</v>
      </c>
      <c r="AP221" s="11">
        <v>17810165012</v>
      </c>
      <c r="AQ221" s="11">
        <v>13161394301</v>
      </c>
      <c r="AR221" s="11">
        <v>4648770711</v>
      </c>
      <c r="AS221" s="12">
        <v>35.32</v>
      </c>
      <c r="AT221" s="11">
        <v>236415300154</v>
      </c>
      <c r="AU221" s="11">
        <v>54521695059</v>
      </c>
      <c r="AV221" s="11">
        <v>206952149900</v>
      </c>
      <c r="AW221" s="11">
        <v>180149084226</v>
      </c>
      <c r="AX221" s="11">
        <v>346893182554</v>
      </c>
      <c r="AY221" s="11">
        <v>694463000000</v>
      </c>
      <c r="AZ221" s="11">
        <v>158477902127</v>
      </c>
      <c r="BA221" s="11">
        <v>1531879742809</v>
      </c>
      <c r="BB221" s="13">
        <v>113206</v>
      </c>
      <c r="BC221" s="11">
        <v>489821139096</v>
      </c>
      <c r="BD221" s="11">
        <v>346893182554</v>
      </c>
      <c r="BE221" s="11">
        <v>695165421159</v>
      </c>
      <c r="BF221" s="11">
        <v>709719837058</v>
      </c>
      <c r="BG221" s="11">
        <v>8585093374</v>
      </c>
      <c r="BH221" s="11">
        <v>0</v>
      </c>
      <c r="BI221" s="11">
        <v>0</v>
      </c>
      <c r="BJ221" s="11">
        <v>0</v>
      </c>
      <c r="BK221" s="11">
        <v>0</v>
      </c>
      <c r="BL221" s="11">
        <v>0</v>
      </c>
      <c r="BM221" s="11">
        <v>1628576934</v>
      </c>
    </row>
    <row r="222" spans="1:65" x14ac:dyDescent="0.25">
      <c r="A222" s="32"/>
      <c r="B222" s="10">
        <v>2008</v>
      </c>
      <c r="C222" s="10" t="s">
        <v>277</v>
      </c>
      <c r="D222" s="11">
        <v>3072797130791</v>
      </c>
      <c r="E222" s="11">
        <v>178241639731</v>
      </c>
      <c r="F222" s="11">
        <v>0</v>
      </c>
      <c r="G222" s="11">
        <v>0</v>
      </c>
      <c r="H222" s="11">
        <v>3251038770522</v>
      </c>
      <c r="I222" s="11">
        <v>268608914179</v>
      </c>
      <c r="J222" s="11">
        <v>2982429856343</v>
      </c>
      <c r="K222" s="11">
        <v>2675942050248</v>
      </c>
      <c r="L222" s="11">
        <v>575096720274</v>
      </c>
      <c r="M222" s="12">
        <v>21.49</v>
      </c>
      <c r="N222" s="11">
        <v>2077971298907</v>
      </c>
      <c r="O222" s="12">
        <v>67</v>
      </c>
      <c r="P222" s="12">
        <v>69.67</v>
      </c>
      <c r="Q222" s="12">
        <v>1.65</v>
      </c>
      <c r="R222" s="11">
        <v>2140384101614</v>
      </c>
      <c r="S222" s="11">
        <v>37906764415</v>
      </c>
      <c r="T222" s="11">
        <v>22131511244</v>
      </c>
      <c r="U222" s="11">
        <v>4366446200</v>
      </c>
      <c r="V222" s="11">
        <v>11408806971</v>
      </c>
      <c r="W222" s="11">
        <v>2178290866029</v>
      </c>
      <c r="X222" s="11">
        <v>162750606667</v>
      </c>
      <c r="Y222" s="11">
        <v>11836806100</v>
      </c>
      <c r="Z222" s="11">
        <v>2352878278796</v>
      </c>
      <c r="AA222" s="11">
        <v>1644388957601</v>
      </c>
      <c r="AB222" s="12">
        <v>32.47</v>
      </c>
      <c r="AC222" s="11">
        <v>2717130398426</v>
      </c>
      <c r="AD222" s="11">
        <v>2663144597060</v>
      </c>
      <c r="AE222" s="11">
        <v>1552999151537</v>
      </c>
      <c r="AF222" s="11">
        <v>0</v>
      </c>
      <c r="AG222" s="11">
        <v>0</v>
      </c>
      <c r="AH222" s="11">
        <v>0</v>
      </c>
      <c r="AI222" s="11">
        <v>0</v>
      </c>
      <c r="AJ222" s="12">
        <v>22</v>
      </c>
      <c r="AK222" s="11">
        <v>6627394797396</v>
      </c>
      <c r="AL222" s="12">
        <v>88</v>
      </c>
      <c r="AM222" s="11">
        <v>279497670227</v>
      </c>
      <c r="AN222" s="12">
        <v>23</v>
      </c>
      <c r="AO222" s="11">
        <v>261162421933</v>
      </c>
      <c r="AP222" s="11">
        <v>37906764415</v>
      </c>
      <c r="AQ222" s="11">
        <v>23687721685</v>
      </c>
      <c r="AR222" s="11">
        <v>14219042730</v>
      </c>
      <c r="AS222" s="12">
        <v>60.03</v>
      </c>
      <c r="AT222" s="11">
        <v>2380832102561</v>
      </c>
      <c r="AU222" s="11">
        <v>97623395256</v>
      </c>
      <c r="AV222" s="11">
        <v>1090160691132</v>
      </c>
      <c r="AW222" s="11">
        <v>400346935908</v>
      </c>
      <c r="AX222" s="11">
        <v>839485003751</v>
      </c>
      <c r="AY222" s="11">
        <v>742804500000</v>
      </c>
      <c r="AZ222" s="11">
        <v>571232358081</v>
      </c>
      <c r="BA222" s="11">
        <v>3251038770522</v>
      </c>
      <c r="BB222" s="13">
        <v>192575</v>
      </c>
      <c r="BC222" s="11">
        <v>1668749266771</v>
      </c>
      <c r="BD222" s="11">
        <v>839485003751</v>
      </c>
      <c r="BE222" s="11">
        <v>742804500000</v>
      </c>
      <c r="BF222" s="11">
        <v>1875330928637</v>
      </c>
      <c r="BG222" s="11">
        <v>841799469789</v>
      </c>
      <c r="BH222" s="11">
        <v>0</v>
      </c>
      <c r="BI222" s="11">
        <v>0</v>
      </c>
      <c r="BJ222" s="11">
        <v>1569170711605</v>
      </c>
      <c r="BK222" s="11">
        <v>0</v>
      </c>
      <c r="BL222" s="11">
        <v>0</v>
      </c>
      <c r="BM222" s="11">
        <v>0</v>
      </c>
    </row>
    <row r="223" spans="1:65" x14ac:dyDescent="0.25">
      <c r="A223" s="32"/>
      <c r="B223" s="10">
        <v>2009</v>
      </c>
      <c r="C223" s="10" t="s">
        <v>278</v>
      </c>
      <c r="D223" s="11">
        <v>1041001089136</v>
      </c>
      <c r="E223" s="11">
        <v>35796146559</v>
      </c>
      <c r="F223" s="11">
        <v>0</v>
      </c>
      <c r="G223" s="11">
        <v>0</v>
      </c>
      <c r="H223" s="11">
        <v>1076797235695</v>
      </c>
      <c r="I223" s="11">
        <v>80294565317</v>
      </c>
      <c r="J223" s="11">
        <v>996502670378</v>
      </c>
      <c r="K223" s="11">
        <v>1064953091350</v>
      </c>
      <c r="L223" s="11">
        <v>11844144345</v>
      </c>
      <c r="M223" s="12">
        <v>1.1100000000000001</v>
      </c>
      <c r="N223" s="11">
        <v>572987835098</v>
      </c>
      <c r="O223" s="12">
        <v>53.92</v>
      </c>
      <c r="P223" s="12">
        <v>57.5</v>
      </c>
      <c r="Q223" s="12">
        <v>2.61</v>
      </c>
      <c r="R223" s="11">
        <v>563348233397</v>
      </c>
      <c r="S223" s="11">
        <v>17207285124</v>
      </c>
      <c r="T223" s="11">
        <v>4365321688</v>
      </c>
      <c r="U223" s="11">
        <v>9514564318</v>
      </c>
      <c r="V223" s="11">
        <v>3327399118</v>
      </c>
      <c r="W223" s="11">
        <v>580555518521</v>
      </c>
      <c r="X223" s="11">
        <v>90076575450</v>
      </c>
      <c r="Y223" s="11">
        <v>21744875681</v>
      </c>
      <c r="Z223" s="11">
        <v>692376969652</v>
      </c>
      <c r="AA223" s="11">
        <v>555701224185</v>
      </c>
      <c r="AB223" s="12">
        <v>4.47</v>
      </c>
      <c r="AC223" s="11">
        <v>240769102956</v>
      </c>
      <c r="AD223" s="11">
        <v>240769102956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2">
        <v>0</v>
      </c>
      <c r="AK223" s="11">
        <v>0</v>
      </c>
      <c r="AL223" s="12">
        <v>119</v>
      </c>
      <c r="AM223" s="11">
        <v>691768086332</v>
      </c>
      <c r="AN223" s="12">
        <v>42</v>
      </c>
      <c r="AO223" s="11">
        <v>283194423670</v>
      </c>
      <c r="AP223" s="11">
        <v>17207285124</v>
      </c>
      <c r="AQ223" s="11">
        <v>38843388379</v>
      </c>
      <c r="AR223" s="11">
        <v>-21636103255</v>
      </c>
      <c r="AS223" s="12">
        <v>-55.7</v>
      </c>
      <c r="AT223" s="11">
        <v>250630645441</v>
      </c>
      <c r="AU223" s="11">
        <v>72113466201</v>
      </c>
      <c r="AV223" s="11">
        <v>171861547421</v>
      </c>
      <c r="AW223" s="11">
        <v>105379421835</v>
      </c>
      <c r="AX223" s="11">
        <v>329921319880</v>
      </c>
      <c r="AY223" s="11">
        <v>433838800000</v>
      </c>
      <c r="AZ223" s="11">
        <v>222472302352</v>
      </c>
      <c r="BA223" s="11">
        <v>1076797235695</v>
      </c>
      <c r="BB223" s="13">
        <v>33381</v>
      </c>
      <c r="BC223" s="11">
        <v>312814176386</v>
      </c>
      <c r="BD223" s="11">
        <v>329921319880</v>
      </c>
      <c r="BE223" s="11">
        <v>434061739429</v>
      </c>
      <c r="BF223" s="11">
        <v>145128705696</v>
      </c>
      <c r="BG223" s="11">
        <v>95640397260</v>
      </c>
      <c r="BH223" s="11">
        <v>0</v>
      </c>
      <c r="BI223" s="11">
        <v>0</v>
      </c>
      <c r="BJ223" s="11">
        <v>0</v>
      </c>
      <c r="BK223" s="11">
        <v>0</v>
      </c>
      <c r="BL223" s="11">
        <v>1710000000</v>
      </c>
      <c r="BM223" s="11">
        <v>0</v>
      </c>
    </row>
    <row r="224" spans="1:65" x14ac:dyDescent="0.25">
      <c r="A224" s="32"/>
      <c r="B224" s="10">
        <v>2010</v>
      </c>
      <c r="C224" s="10" t="s">
        <v>279</v>
      </c>
      <c r="D224" s="11">
        <v>1241999992154</v>
      </c>
      <c r="E224" s="11">
        <v>35674065371</v>
      </c>
      <c r="F224" s="11">
        <v>0</v>
      </c>
      <c r="G224" s="11">
        <v>0</v>
      </c>
      <c r="H224" s="11">
        <v>1277674057525</v>
      </c>
      <c r="I224" s="11">
        <v>112959081385</v>
      </c>
      <c r="J224" s="11">
        <v>1164714976140</v>
      </c>
      <c r="K224" s="11">
        <v>796811142778</v>
      </c>
      <c r="L224" s="11">
        <v>480862914747</v>
      </c>
      <c r="M224" s="12">
        <v>60.35</v>
      </c>
      <c r="N224" s="11">
        <v>902834135957</v>
      </c>
      <c r="O224" s="12">
        <v>83.45</v>
      </c>
      <c r="P224" s="12">
        <v>77.52</v>
      </c>
      <c r="Q224" s="12">
        <v>0.74</v>
      </c>
      <c r="R224" s="11">
        <v>1059227097040</v>
      </c>
      <c r="S224" s="11">
        <v>6941589625</v>
      </c>
      <c r="T224" s="11">
        <v>1665865902</v>
      </c>
      <c r="U224" s="11">
        <v>246212414</v>
      </c>
      <c r="V224" s="11">
        <v>5029511309</v>
      </c>
      <c r="W224" s="11">
        <v>1066168686665</v>
      </c>
      <c r="X224" s="11">
        <v>30995718764</v>
      </c>
      <c r="Y224" s="11">
        <v>5000000000</v>
      </c>
      <c r="Z224" s="11">
        <v>1102164405429</v>
      </c>
      <c r="AA224" s="11">
        <v>1089985876445</v>
      </c>
      <c r="AB224" s="12">
        <v>-2.19</v>
      </c>
      <c r="AC224" s="11">
        <v>288557256572</v>
      </c>
      <c r="AD224" s="11">
        <v>288557256572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2">
        <v>0</v>
      </c>
      <c r="AK224" s="11">
        <v>0</v>
      </c>
      <c r="AL224" s="12">
        <v>16</v>
      </c>
      <c r="AM224" s="11">
        <v>223172081017</v>
      </c>
      <c r="AN224" s="12">
        <v>7</v>
      </c>
      <c r="AO224" s="11">
        <v>50378901041</v>
      </c>
      <c r="AP224" s="11">
        <v>6941589625</v>
      </c>
      <c r="AQ224" s="11">
        <v>24619644742</v>
      </c>
      <c r="AR224" s="11">
        <v>-17678055117</v>
      </c>
      <c r="AS224" s="12">
        <v>-71.8</v>
      </c>
      <c r="AT224" s="11">
        <v>373825321403</v>
      </c>
      <c r="AU224" s="11">
        <v>117626991120</v>
      </c>
      <c r="AV224" s="11">
        <v>287727845273</v>
      </c>
      <c r="AW224" s="11">
        <v>295577324452</v>
      </c>
      <c r="AX224" s="11">
        <v>166848822429</v>
      </c>
      <c r="AY224" s="11">
        <v>491846000000</v>
      </c>
      <c r="AZ224" s="11">
        <v>72440349291</v>
      </c>
      <c r="BA224" s="11">
        <v>1277674057525</v>
      </c>
      <c r="BB224" s="13">
        <v>86959</v>
      </c>
      <c r="BC224" s="11">
        <v>618979235096</v>
      </c>
      <c r="BD224" s="11">
        <v>166848822429</v>
      </c>
      <c r="BE224" s="11">
        <v>491846000000</v>
      </c>
      <c r="BF224" s="11">
        <v>225907316572</v>
      </c>
      <c r="BG224" s="11">
        <v>62649940000</v>
      </c>
      <c r="BH224" s="11">
        <v>0</v>
      </c>
      <c r="BI224" s="11">
        <v>0</v>
      </c>
      <c r="BJ224" s="11">
        <v>0</v>
      </c>
      <c r="BK224" s="11">
        <v>0</v>
      </c>
      <c r="BL224" s="11">
        <v>0</v>
      </c>
      <c r="BM224" s="11">
        <v>0</v>
      </c>
    </row>
    <row r="225" spans="1:65" x14ac:dyDescent="0.25">
      <c r="A225" s="32"/>
      <c r="B225" s="10">
        <v>2011</v>
      </c>
      <c r="C225" s="10" t="s">
        <v>280</v>
      </c>
      <c r="D225" s="11">
        <v>1186698263480</v>
      </c>
      <c r="E225" s="11">
        <v>8338327016</v>
      </c>
      <c r="F225" s="11">
        <v>0</v>
      </c>
      <c r="G225" s="11">
        <v>0</v>
      </c>
      <c r="H225" s="11">
        <v>1195036590496</v>
      </c>
      <c r="I225" s="11">
        <v>94916259588</v>
      </c>
      <c r="J225" s="11">
        <v>1100120330908</v>
      </c>
      <c r="K225" s="11">
        <v>979035595921</v>
      </c>
      <c r="L225" s="11">
        <v>216000994575</v>
      </c>
      <c r="M225" s="12">
        <v>22.06</v>
      </c>
      <c r="N225" s="11">
        <v>627436958774</v>
      </c>
      <c r="O225" s="12">
        <v>52.84</v>
      </c>
      <c r="P225" s="12">
        <v>57.03</v>
      </c>
      <c r="Q225" s="12">
        <v>3.09</v>
      </c>
      <c r="R225" s="11">
        <v>610275966579</v>
      </c>
      <c r="S225" s="11">
        <v>21229615458</v>
      </c>
      <c r="T225" s="11">
        <v>6262247358</v>
      </c>
      <c r="U225" s="11">
        <v>6582461854</v>
      </c>
      <c r="V225" s="11">
        <v>8384906246</v>
      </c>
      <c r="W225" s="11">
        <v>631505582037</v>
      </c>
      <c r="X225" s="11">
        <v>87197456599</v>
      </c>
      <c r="Y225" s="11">
        <v>18114273219</v>
      </c>
      <c r="Z225" s="11">
        <v>736817311855</v>
      </c>
      <c r="AA225" s="11">
        <v>489008513216</v>
      </c>
      <c r="AB225" s="12">
        <v>29.14</v>
      </c>
      <c r="AC225" s="11">
        <v>246726085106</v>
      </c>
      <c r="AD225" s="11">
        <v>246726085106</v>
      </c>
      <c r="AE225" s="11">
        <v>0</v>
      </c>
      <c r="AF225" s="11">
        <v>0</v>
      </c>
      <c r="AG225" s="11">
        <v>0</v>
      </c>
      <c r="AH225" s="11">
        <v>0</v>
      </c>
      <c r="AI225" s="11">
        <v>0</v>
      </c>
      <c r="AJ225" s="12">
        <v>0</v>
      </c>
      <c r="AK225" s="11">
        <v>0</v>
      </c>
      <c r="AL225" s="12">
        <v>18</v>
      </c>
      <c r="AM225" s="11">
        <v>66794570768</v>
      </c>
      <c r="AN225" s="12">
        <v>6</v>
      </c>
      <c r="AO225" s="11">
        <v>28353028035</v>
      </c>
      <c r="AP225" s="11">
        <v>21229615458</v>
      </c>
      <c r="AQ225" s="11">
        <v>22991185100</v>
      </c>
      <c r="AR225" s="11">
        <v>-1761569642</v>
      </c>
      <c r="AS225" s="12">
        <v>-7.66</v>
      </c>
      <c r="AT225" s="11">
        <v>146577304301</v>
      </c>
      <c r="AU225" s="11">
        <v>37069407732</v>
      </c>
      <c r="AV225" s="11">
        <v>88261601267</v>
      </c>
      <c r="AW225" s="11">
        <v>213777522405</v>
      </c>
      <c r="AX225" s="11">
        <v>269818439808</v>
      </c>
      <c r="AY225" s="11">
        <v>614840700000</v>
      </c>
      <c r="AZ225" s="11">
        <v>101062845937</v>
      </c>
      <c r="BA225" s="11">
        <v>1195036590496</v>
      </c>
      <c r="BB225" s="13">
        <v>10965</v>
      </c>
      <c r="BC225" s="11">
        <v>310377450688</v>
      </c>
      <c r="BD225" s="11">
        <v>269818439808</v>
      </c>
      <c r="BE225" s="11">
        <v>614840700000</v>
      </c>
      <c r="BF225" s="11">
        <v>214126581706</v>
      </c>
      <c r="BG225" s="11">
        <v>32599503400</v>
      </c>
      <c r="BH225" s="11">
        <v>0</v>
      </c>
      <c r="BI225" s="11">
        <v>0</v>
      </c>
      <c r="BJ225" s="11">
        <v>0</v>
      </c>
      <c r="BK225" s="11">
        <v>0</v>
      </c>
      <c r="BL225" s="11">
        <v>0</v>
      </c>
      <c r="BM225" s="11">
        <v>0</v>
      </c>
    </row>
    <row r="226" spans="1:65" x14ac:dyDescent="0.25">
      <c r="A226" s="32"/>
      <c r="B226" s="10">
        <v>2012</v>
      </c>
      <c r="C226" s="10" t="s">
        <v>281</v>
      </c>
      <c r="D226" s="11">
        <v>1562998384993</v>
      </c>
      <c r="E226" s="11">
        <v>29753558421</v>
      </c>
      <c r="F226" s="11">
        <v>0</v>
      </c>
      <c r="G226" s="11">
        <v>0</v>
      </c>
      <c r="H226" s="11">
        <v>1592751943414</v>
      </c>
      <c r="I226" s="11">
        <v>127755064893</v>
      </c>
      <c r="J226" s="11">
        <v>1464996878521</v>
      </c>
      <c r="K226" s="11">
        <v>1488019799532</v>
      </c>
      <c r="L226" s="11">
        <v>104732143882</v>
      </c>
      <c r="M226" s="12">
        <v>7.04</v>
      </c>
      <c r="N226" s="11">
        <v>580960891460</v>
      </c>
      <c r="O226" s="12">
        <v>37.119999999999997</v>
      </c>
      <c r="P226" s="12">
        <v>39.659999999999997</v>
      </c>
      <c r="Q226" s="12">
        <v>2.5299999999999998</v>
      </c>
      <c r="R226" s="11">
        <v>574720898062</v>
      </c>
      <c r="S226" s="11">
        <v>16563001470</v>
      </c>
      <c r="T226" s="11">
        <v>3160738649</v>
      </c>
      <c r="U226" s="11">
        <v>3069305003</v>
      </c>
      <c r="V226" s="11">
        <v>10332957818</v>
      </c>
      <c r="W226" s="11">
        <v>591283899532</v>
      </c>
      <c r="X226" s="11">
        <v>91056209019</v>
      </c>
      <c r="Y226" s="11">
        <v>21065041157</v>
      </c>
      <c r="Z226" s="11">
        <v>703405149708</v>
      </c>
      <c r="AA226" s="11">
        <v>499117343684</v>
      </c>
      <c r="AB226" s="12">
        <v>18.47</v>
      </c>
      <c r="AC226" s="11">
        <v>205775191164</v>
      </c>
      <c r="AD226" s="11">
        <v>205775191164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2">
        <v>0</v>
      </c>
      <c r="AK226" s="11">
        <v>0</v>
      </c>
      <c r="AL226" s="12">
        <v>151</v>
      </c>
      <c r="AM226" s="11">
        <v>390270883438</v>
      </c>
      <c r="AN226" s="12">
        <v>16</v>
      </c>
      <c r="AO226" s="11">
        <v>81991220334</v>
      </c>
      <c r="AP226" s="11">
        <v>16563001470</v>
      </c>
      <c r="AQ226" s="11">
        <v>22394761692</v>
      </c>
      <c r="AR226" s="11">
        <v>-5831760222</v>
      </c>
      <c r="AS226" s="12">
        <v>-26.04</v>
      </c>
      <c r="AT226" s="11">
        <v>156000037346</v>
      </c>
      <c r="AU226" s="11">
        <v>36069703543</v>
      </c>
      <c r="AV226" s="11">
        <v>124717938409</v>
      </c>
      <c r="AW226" s="11">
        <v>116608902335</v>
      </c>
      <c r="AX226" s="11">
        <v>585759544249</v>
      </c>
      <c r="AY226" s="11">
        <v>735912000000</v>
      </c>
      <c r="AZ226" s="11">
        <v>256439441905</v>
      </c>
      <c r="BA226" s="11">
        <v>1592751943414</v>
      </c>
      <c r="BB226" s="13">
        <v>25201</v>
      </c>
      <c r="BC226" s="11">
        <v>271080399165</v>
      </c>
      <c r="BD226" s="11">
        <v>585759544249</v>
      </c>
      <c r="BE226" s="11">
        <v>735912000000</v>
      </c>
      <c r="BF226" s="11">
        <v>204641448643</v>
      </c>
      <c r="BG226" s="11">
        <v>1133742521</v>
      </c>
      <c r="BH226" s="11">
        <v>0</v>
      </c>
      <c r="BI226" s="11">
        <v>0</v>
      </c>
      <c r="BJ226" s="11">
        <v>0</v>
      </c>
      <c r="BK226" s="11">
        <v>0</v>
      </c>
      <c r="BL226" s="11">
        <v>0</v>
      </c>
      <c r="BM226" s="11">
        <v>0</v>
      </c>
    </row>
    <row r="227" spans="1:65" x14ac:dyDescent="0.25">
      <c r="A227" s="32"/>
      <c r="B227" s="10">
        <v>2013</v>
      </c>
      <c r="C227" s="10" t="s">
        <v>282</v>
      </c>
      <c r="D227" s="11">
        <v>690500329896</v>
      </c>
      <c r="E227" s="11">
        <v>10914394225</v>
      </c>
      <c r="F227" s="11">
        <v>0</v>
      </c>
      <c r="G227" s="11">
        <v>0</v>
      </c>
      <c r="H227" s="11">
        <v>701414724121</v>
      </c>
      <c r="I227" s="11">
        <v>58674825014</v>
      </c>
      <c r="J227" s="11">
        <v>642739899107</v>
      </c>
      <c r="K227" s="11">
        <v>613995935425</v>
      </c>
      <c r="L227" s="11">
        <v>87418788696</v>
      </c>
      <c r="M227" s="12">
        <v>14.24</v>
      </c>
      <c r="N227" s="11">
        <v>1311868689722</v>
      </c>
      <c r="O227" s="12">
        <v>192.07</v>
      </c>
      <c r="P227" s="12">
        <v>204.11</v>
      </c>
      <c r="Q227" s="12">
        <v>21.64</v>
      </c>
      <c r="R227" s="11">
        <v>1055177296426</v>
      </c>
      <c r="S227" s="11">
        <v>292043676592</v>
      </c>
      <c r="T227" s="11">
        <v>22825964693</v>
      </c>
      <c r="U227" s="11">
        <v>106060889903</v>
      </c>
      <c r="V227" s="11">
        <v>163156821996</v>
      </c>
      <c r="W227" s="11">
        <v>1347220973018</v>
      </c>
      <c r="X227" s="11">
        <v>159556378981</v>
      </c>
      <c r="Y227" s="11">
        <v>16000000000</v>
      </c>
      <c r="Z227" s="11">
        <v>1522777351999</v>
      </c>
      <c r="AA227" s="11">
        <v>1254337223262</v>
      </c>
      <c r="AB227" s="12">
        <v>7.41</v>
      </c>
      <c r="AC227" s="11">
        <v>402137843199</v>
      </c>
      <c r="AD227" s="11">
        <v>402137843199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2">
        <v>0</v>
      </c>
      <c r="AK227" s="11">
        <v>0</v>
      </c>
      <c r="AL227" s="12">
        <v>2</v>
      </c>
      <c r="AM227" s="11">
        <v>2485500000</v>
      </c>
      <c r="AN227" s="12">
        <v>20</v>
      </c>
      <c r="AO227" s="11">
        <v>77336169141</v>
      </c>
      <c r="AP227" s="11">
        <v>292043676592</v>
      </c>
      <c r="AQ227" s="11">
        <v>441177737582</v>
      </c>
      <c r="AR227" s="11">
        <v>-149134060990</v>
      </c>
      <c r="AS227" s="12">
        <v>-33.799999999999997</v>
      </c>
      <c r="AT227" s="11">
        <v>403962913582</v>
      </c>
      <c r="AU227" s="11">
        <v>251843380148</v>
      </c>
      <c r="AV227" s="11">
        <v>96539144953</v>
      </c>
      <c r="AW227" s="11">
        <v>181596149071</v>
      </c>
      <c r="AX227" s="11">
        <v>220732035872</v>
      </c>
      <c r="AY227" s="11">
        <v>191633000000</v>
      </c>
      <c r="AZ227" s="11">
        <v>172057935269</v>
      </c>
      <c r="BA227" s="11">
        <v>701414724121</v>
      </c>
      <c r="BB227" s="13">
        <v>22157</v>
      </c>
      <c r="BC227" s="11">
        <v>289049688249</v>
      </c>
      <c r="BD227" s="11">
        <v>220732035872</v>
      </c>
      <c r="BE227" s="11">
        <v>191633000000</v>
      </c>
      <c r="BF227" s="11">
        <v>179389041199</v>
      </c>
      <c r="BG227" s="11">
        <v>222748802000</v>
      </c>
      <c r="BH227" s="11">
        <v>0</v>
      </c>
      <c r="BI227" s="11">
        <v>0</v>
      </c>
      <c r="BJ227" s="11">
        <v>0</v>
      </c>
      <c r="BK227" s="11">
        <v>0</v>
      </c>
      <c r="BL227" s="11">
        <v>0</v>
      </c>
      <c r="BM227" s="11">
        <v>0</v>
      </c>
    </row>
    <row r="228" spans="1:65" x14ac:dyDescent="0.25">
      <c r="A228" s="32"/>
      <c r="B228" s="10">
        <v>2014</v>
      </c>
      <c r="C228" s="10" t="s">
        <v>283</v>
      </c>
      <c r="D228" s="11">
        <v>794108503174</v>
      </c>
      <c r="E228" s="11">
        <v>19836499732</v>
      </c>
      <c r="F228" s="11">
        <v>0</v>
      </c>
      <c r="G228" s="11">
        <v>0</v>
      </c>
      <c r="H228" s="11">
        <v>813945002906</v>
      </c>
      <c r="I228" s="11">
        <v>67097829527</v>
      </c>
      <c r="J228" s="11">
        <v>746847173379</v>
      </c>
      <c r="K228" s="11">
        <v>717412693079</v>
      </c>
      <c r="L228" s="11">
        <v>96532309827</v>
      </c>
      <c r="M228" s="12">
        <v>13.46</v>
      </c>
      <c r="N228" s="11">
        <v>674980507612</v>
      </c>
      <c r="O228" s="12">
        <v>89.37</v>
      </c>
      <c r="P228" s="12">
        <v>90.38</v>
      </c>
      <c r="Q228" s="12">
        <v>2.95</v>
      </c>
      <c r="R228" s="11">
        <v>704370877381</v>
      </c>
      <c r="S228" s="11">
        <v>23074425179</v>
      </c>
      <c r="T228" s="11">
        <v>18041181065</v>
      </c>
      <c r="U228" s="11">
        <v>5033244114</v>
      </c>
      <c r="V228" s="11">
        <v>0</v>
      </c>
      <c r="W228" s="11">
        <v>727445302560</v>
      </c>
      <c r="X228" s="11">
        <v>49861675141</v>
      </c>
      <c r="Y228" s="11">
        <v>5105300000</v>
      </c>
      <c r="Z228" s="11">
        <v>782412277701</v>
      </c>
      <c r="AA228" s="11">
        <v>521239242707</v>
      </c>
      <c r="AB228" s="12">
        <v>39.56</v>
      </c>
      <c r="AC228" s="11">
        <v>344291603000</v>
      </c>
      <c r="AD228" s="11">
        <v>331741603000</v>
      </c>
      <c r="AE228" s="11">
        <v>0</v>
      </c>
      <c r="AF228" s="11">
        <v>0</v>
      </c>
      <c r="AG228" s="11">
        <v>0</v>
      </c>
      <c r="AH228" s="11">
        <v>0</v>
      </c>
      <c r="AI228" s="11">
        <v>0</v>
      </c>
      <c r="AJ228" s="12">
        <v>0</v>
      </c>
      <c r="AK228" s="11">
        <v>0</v>
      </c>
      <c r="AL228" s="12">
        <v>83</v>
      </c>
      <c r="AM228" s="11">
        <v>288041062131</v>
      </c>
      <c r="AN228" s="12">
        <v>17</v>
      </c>
      <c r="AO228" s="11">
        <v>22946437950</v>
      </c>
      <c r="AP228" s="11">
        <v>23074425179</v>
      </c>
      <c r="AQ228" s="11">
        <v>19530816212</v>
      </c>
      <c r="AR228" s="11">
        <v>3543608967</v>
      </c>
      <c r="AS228" s="12">
        <v>18.14</v>
      </c>
      <c r="AT228" s="11">
        <v>179923242779</v>
      </c>
      <c r="AU228" s="11">
        <v>54846845224</v>
      </c>
      <c r="AV228" s="11">
        <v>51341107809</v>
      </c>
      <c r="AW228" s="11">
        <v>99960693106</v>
      </c>
      <c r="AX228" s="11">
        <v>201568702259</v>
      </c>
      <c r="AY228" s="11">
        <v>441238000000</v>
      </c>
      <c r="AZ228" s="11">
        <v>123571735310</v>
      </c>
      <c r="BA228" s="11">
        <v>813945002906</v>
      </c>
      <c r="BB228" s="13">
        <v>55780</v>
      </c>
      <c r="BC228" s="11">
        <v>170470188847</v>
      </c>
      <c r="BD228" s="11">
        <v>201568602259</v>
      </c>
      <c r="BE228" s="11">
        <v>441906211800</v>
      </c>
      <c r="BF228" s="11">
        <v>302714453000</v>
      </c>
      <c r="BG228" s="11">
        <v>41577150000</v>
      </c>
      <c r="BH228" s="11">
        <v>0</v>
      </c>
      <c r="BI228" s="11">
        <v>0</v>
      </c>
      <c r="BJ228" s="11">
        <v>0</v>
      </c>
      <c r="BK228" s="11">
        <v>0</v>
      </c>
      <c r="BL228" s="11">
        <v>0</v>
      </c>
      <c r="BM228" s="11">
        <v>0</v>
      </c>
    </row>
    <row r="229" spans="1:65" x14ac:dyDescent="0.25">
      <c r="A229" s="32"/>
      <c r="B229" s="10">
        <v>2015</v>
      </c>
      <c r="C229" s="10" t="s">
        <v>284</v>
      </c>
      <c r="D229" s="11">
        <v>3447624016615</v>
      </c>
      <c r="E229" s="11">
        <v>1113550712946</v>
      </c>
      <c r="F229" s="11">
        <v>0</v>
      </c>
      <c r="G229" s="11">
        <v>0</v>
      </c>
      <c r="H229" s="11">
        <v>4561174729561</v>
      </c>
      <c r="I229" s="11">
        <v>327145772660</v>
      </c>
      <c r="J229" s="11">
        <v>4234028956901</v>
      </c>
      <c r="K229" s="11">
        <v>4395259548702</v>
      </c>
      <c r="L229" s="11">
        <v>165915180859</v>
      </c>
      <c r="M229" s="12">
        <v>3.77</v>
      </c>
      <c r="N229" s="11">
        <v>3569352669619</v>
      </c>
      <c r="O229" s="12">
        <v>83.9</v>
      </c>
      <c r="P229" s="12">
        <v>84.3</v>
      </c>
      <c r="Q229" s="12">
        <v>2.63</v>
      </c>
      <c r="R229" s="11">
        <v>3730288318832</v>
      </c>
      <c r="S229" s="11">
        <v>96504683864</v>
      </c>
      <c r="T229" s="11">
        <v>9055700340</v>
      </c>
      <c r="U229" s="11">
        <v>251651022</v>
      </c>
      <c r="V229" s="11">
        <v>87197332502</v>
      </c>
      <c r="W229" s="11">
        <v>3826793002696</v>
      </c>
      <c r="X229" s="11">
        <v>178453742906</v>
      </c>
      <c r="Y229" s="11">
        <v>24855307700</v>
      </c>
      <c r="Z229" s="11">
        <v>4030102053302</v>
      </c>
      <c r="AA229" s="11">
        <v>3041268635695</v>
      </c>
      <c r="AB229" s="12">
        <v>25.83</v>
      </c>
      <c r="AC229" s="11">
        <v>9932152387457</v>
      </c>
      <c r="AD229" s="11">
        <v>9902802387457</v>
      </c>
      <c r="AE229" s="11">
        <v>8027157127133</v>
      </c>
      <c r="AF229" s="11">
        <v>2911275000</v>
      </c>
      <c r="AG229" s="11">
        <v>0</v>
      </c>
      <c r="AH229" s="11">
        <v>0</v>
      </c>
      <c r="AI229" s="11">
        <v>0</v>
      </c>
      <c r="AJ229" s="12">
        <v>27</v>
      </c>
      <c r="AK229" s="11">
        <v>8109366959173</v>
      </c>
      <c r="AL229" s="13">
        <v>1800</v>
      </c>
      <c r="AM229" s="11">
        <v>11599321658200</v>
      </c>
      <c r="AN229" s="12">
        <v>801</v>
      </c>
      <c r="AO229" s="11">
        <v>3623913269852</v>
      </c>
      <c r="AP229" s="11">
        <v>96504683864</v>
      </c>
      <c r="AQ229" s="11">
        <v>31304183687</v>
      </c>
      <c r="AR229" s="11">
        <v>65200500177</v>
      </c>
      <c r="AS229" s="12">
        <v>208.28</v>
      </c>
      <c r="AT229" s="11">
        <v>9876926249457</v>
      </c>
      <c r="AU229" s="11">
        <v>5704300426674</v>
      </c>
      <c r="AV229" s="11">
        <v>1926271418010</v>
      </c>
      <c r="AW229" s="11">
        <v>232792908681</v>
      </c>
      <c r="AX229" s="11">
        <v>730525689924</v>
      </c>
      <c r="AY229" s="11">
        <v>558034000000</v>
      </c>
      <c r="AZ229" s="11">
        <v>335715636926</v>
      </c>
      <c r="BA229" s="11">
        <v>4561174729561</v>
      </c>
      <c r="BB229" s="13">
        <v>248745</v>
      </c>
      <c r="BC229" s="11">
        <v>3165725767531</v>
      </c>
      <c r="BD229" s="11">
        <v>730525689924</v>
      </c>
      <c r="BE229" s="11">
        <v>664923272106</v>
      </c>
      <c r="BF229" s="11">
        <v>8230141009836</v>
      </c>
      <c r="BG229" s="11">
        <v>1702011377621</v>
      </c>
      <c r="BH229" s="11">
        <v>635104256614</v>
      </c>
      <c r="BI229" s="11">
        <v>68984582326</v>
      </c>
      <c r="BJ229" s="11">
        <v>8774083166941</v>
      </c>
      <c r="BK229" s="11">
        <v>0</v>
      </c>
      <c r="BL229" s="11">
        <v>14569435028</v>
      </c>
      <c r="BM229" s="11">
        <v>6986983523</v>
      </c>
    </row>
    <row r="230" spans="1:65" x14ac:dyDescent="0.25">
      <c r="A230" s="32"/>
      <c r="B230" s="10">
        <v>2016</v>
      </c>
      <c r="C230" s="10" t="s">
        <v>285</v>
      </c>
      <c r="D230" s="11">
        <v>1046085537396</v>
      </c>
      <c r="E230" s="11">
        <v>78285470692</v>
      </c>
      <c r="F230" s="11">
        <v>0</v>
      </c>
      <c r="G230" s="11">
        <v>0</v>
      </c>
      <c r="H230" s="11">
        <v>1124371008088</v>
      </c>
      <c r="I230" s="11">
        <v>97727875643</v>
      </c>
      <c r="J230" s="11">
        <v>1026643132445</v>
      </c>
      <c r="K230" s="11">
        <v>1112267599371</v>
      </c>
      <c r="L230" s="11">
        <v>12103408717</v>
      </c>
      <c r="M230" s="12">
        <v>1.0900000000000001</v>
      </c>
      <c r="N230" s="11">
        <v>634205575557</v>
      </c>
      <c r="O230" s="12">
        <v>62.23</v>
      </c>
      <c r="P230" s="12">
        <v>61.77</v>
      </c>
      <c r="Q230" s="12">
        <v>1.42</v>
      </c>
      <c r="R230" s="11">
        <v>689894060679</v>
      </c>
      <c r="S230" s="11">
        <v>9814113698</v>
      </c>
      <c r="T230" s="11">
        <v>8828344064</v>
      </c>
      <c r="U230" s="11">
        <v>373994175</v>
      </c>
      <c r="V230" s="11">
        <v>611775459</v>
      </c>
      <c r="W230" s="11">
        <v>699708174377</v>
      </c>
      <c r="X230" s="11">
        <v>47307565927</v>
      </c>
      <c r="Y230" s="11">
        <v>8899800000</v>
      </c>
      <c r="Z230" s="11">
        <v>755915540304</v>
      </c>
      <c r="AA230" s="11">
        <v>530610897751</v>
      </c>
      <c r="AB230" s="12">
        <v>31.87</v>
      </c>
      <c r="AC230" s="11">
        <v>295155017379</v>
      </c>
      <c r="AD230" s="11">
        <v>295155017379</v>
      </c>
      <c r="AE230" s="11">
        <v>12926353600</v>
      </c>
      <c r="AF230" s="11">
        <v>0</v>
      </c>
      <c r="AG230" s="11">
        <v>0</v>
      </c>
      <c r="AH230" s="11">
        <v>0</v>
      </c>
      <c r="AI230" s="11">
        <v>0</v>
      </c>
      <c r="AJ230" s="12">
        <v>0</v>
      </c>
      <c r="AK230" s="11">
        <v>0</v>
      </c>
      <c r="AL230" s="12">
        <v>326</v>
      </c>
      <c r="AM230" s="11">
        <v>2006681377331</v>
      </c>
      <c r="AN230" s="12">
        <v>64</v>
      </c>
      <c r="AO230" s="11">
        <v>225460694870</v>
      </c>
      <c r="AP230" s="11">
        <v>9814113698</v>
      </c>
      <c r="AQ230" s="11">
        <v>5461040127</v>
      </c>
      <c r="AR230" s="11">
        <v>4353073571</v>
      </c>
      <c r="AS230" s="12">
        <v>79.709999999999994</v>
      </c>
      <c r="AT230" s="11">
        <v>213670600031</v>
      </c>
      <c r="AU230" s="11">
        <v>53225218138</v>
      </c>
      <c r="AV230" s="11">
        <v>143328249614</v>
      </c>
      <c r="AW230" s="11">
        <v>118223513142</v>
      </c>
      <c r="AX230" s="11">
        <v>358415774640</v>
      </c>
      <c r="AY230" s="11">
        <v>426118000000</v>
      </c>
      <c r="AZ230" s="11">
        <v>267904699938</v>
      </c>
      <c r="BA230" s="11">
        <v>1124371008088</v>
      </c>
      <c r="BB230" s="13">
        <v>131483</v>
      </c>
      <c r="BC230" s="11">
        <v>339837233448</v>
      </c>
      <c r="BD230" s="11">
        <v>358415774640</v>
      </c>
      <c r="BE230" s="11">
        <v>426118000000</v>
      </c>
      <c r="BF230" s="11">
        <v>255955017379</v>
      </c>
      <c r="BG230" s="11">
        <v>39200000000</v>
      </c>
      <c r="BH230" s="11">
        <v>0</v>
      </c>
      <c r="BI230" s="11">
        <v>0</v>
      </c>
      <c r="BJ230" s="11">
        <v>14081639614</v>
      </c>
      <c r="BK230" s="11">
        <v>0</v>
      </c>
      <c r="BL230" s="11">
        <v>0</v>
      </c>
      <c r="BM230" s="11">
        <v>0</v>
      </c>
    </row>
    <row r="231" spans="1:65" x14ac:dyDescent="0.25">
      <c r="A231" s="32"/>
      <c r="B231" s="10">
        <v>2017</v>
      </c>
      <c r="C231" s="10" t="s">
        <v>286</v>
      </c>
      <c r="D231" s="11">
        <v>2085043670221</v>
      </c>
      <c r="E231" s="11">
        <v>217881728755</v>
      </c>
      <c r="F231" s="11">
        <v>0</v>
      </c>
      <c r="G231" s="11">
        <v>0</v>
      </c>
      <c r="H231" s="11">
        <v>2302925398976</v>
      </c>
      <c r="I231" s="11">
        <v>192970486850</v>
      </c>
      <c r="J231" s="11">
        <v>2109954912126</v>
      </c>
      <c r="K231" s="11">
        <v>1575716208760</v>
      </c>
      <c r="L231" s="11">
        <v>727209190216</v>
      </c>
      <c r="M231" s="12">
        <v>46.15</v>
      </c>
      <c r="N231" s="11">
        <v>924228922072</v>
      </c>
      <c r="O231" s="12">
        <v>43.61</v>
      </c>
      <c r="P231" s="12">
        <v>43.8</v>
      </c>
      <c r="Q231" s="12">
        <v>0.51</v>
      </c>
      <c r="R231" s="11">
        <v>998633498537</v>
      </c>
      <c r="S231" s="11">
        <v>5730619940</v>
      </c>
      <c r="T231" s="11">
        <v>5730619940</v>
      </c>
      <c r="U231" s="11">
        <v>0</v>
      </c>
      <c r="V231" s="11">
        <v>0</v>
      </c>
      <c r="W231" s="11">
        <v>1004364118477</v>
      </c>
      <c r="X231" s="11">
        <v>112221120743</v>
      </c>
      <c r="Y231" s="11">
        <v>8224000000</v>
      </c>
      <c r="Z231" s="11">
        <v>1124809239220</v>
      </c>
      <c r="AA231" s="11">
        <v>1032469364494</v>
      </c>
      <c r="AB231" s="12">
        <v>-2.72</v>
      </c>
      <c r="AC231" s="11">
        <v>310993988935</v>
      </c>
      <c r="AD231" s="11">
        <v>310993988935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2">
        <v>0</v>
      </c>
      <c r="AK231" s="11">
        <v>0</v>
      </c>
      <c r="AL231" s="12">
        <v>213</v>
      </c>
      <c r="AM231" s="11">
        <v>6111892894561</v>
      </c>
      <c r="AN231" s="12">
        <v>45</v>
      </c>
      <c r="AO231" s="11">
        <v>2215684397643</v>
      </c>
      <c r="AP231" s="11">
        <v>5730619940</v>
      </c>
      <c r="AQ231" s="11">
        <v>83770092246</v>
      </c>
      <c r="AR231" s="11">
        <v>-78039472306</v>
      </c>
      <c r="AS231" s="12">
        <v>-93.16</v>
      </c>
      <c r="AT231" s="11">
        <v>470522887783</v>
      </c>
      <c r="AU231" s="11">
        <v>241960544138</v>
      </c>
      <c r="AV231" s="11">
        <v>184479499008</v>
      </c>
      <c r="AW231" s="11">
        <v>494679853107</v>
      </c>
      <c r="AX231" s="11">
        <v>338933318106</v>
      </c>
      <c r="AY231" s="11">
        <v>1066951000000</v>
      </c>
      <c r="AZ231" s="11">
        <v>90375952360</v>
      </c>
      <c r="BA231" s="11">
        <v>2302925398976</v>
      </c>
      <c r="BB231" s="13">
        <v>71823</v>
      </c>
      <c r="BC231" s="11">
        <v>897041080870</v>
      </c>
      <c r="BD231" s="11">
        <v>338933318106</v>
      </c>
      <c r="BE231" s="11">
        <v>1066951000000</v>
      </c>
      <c r="BF231" s="11">
        <v>237693988935</v>
      </c>
      <c r="BG231" s="11">
        <v>73300000000</v>
      </c>
      <c r="BH231" s="11">
        <v>0</v>
      </c>
      <c r="BI231" s="11">
        <v>0</v>
      </c>
      <c r="BJ231" s="11">
        <v>0</v>
      </c>
      <c r="BK231" s="11">
        <v>0</v>
      </c>
      <c r="BL231" s="11">
        <v>0</v>
      </c>
      <c r="BM231" s="11">
        <v>0</v>
      </c>
    </row>
    <row r="232" spans="1:65" x14ac:dyDescent="0.25">
      <c r="A232" s="32"/>
      <c r="B232" s="10">
        <v>2018</v>
      </c>
      <c r="C232" s="10" t="s">
        <v>287</v>
      </c>
      <c r="D232" s="11">
        <v>788406065404</v>
      </c>
      <c r="E232" s="11">
        <v>14280545662</v>
      </c>
      <c r="F232" s="11">
        <v>0</v>
      </c>
      <c r="G232" s="11">
        <v>0</v>
      </c>
      <c r="H232" s="11">
        <v>802686611066</v>
      </c>
      <c r="I232" s="11">
        <v>69263854516</v>
      </c>
      <c r="J232" s="11">
        <v>733422756550</v>
      </c>
      <c r="K232" s="11">
        <v>776364164057</v>
      </c>
      <c r="L232" s="11">
        <v>26322447009</v>
      </c>
      <c r="M232" s="12">
        <v>3.39</v>
      </c>
      <c r="N232" s="11">
        <v>334502857723</v>
      </c>
      <c r="O232" s="12">
        <v>43.24</v>
      </c>
      <c r="P232" s="12">
        <v>45.61</v>
      </c>
      <c r="Q232" s="12">
        <v>1.07</v>
      </c>
      <c r="R232" s="11">
        <v>343211284370</v>
      </c>
      <c r="S232" s="11">
        <v>3861050445</v>
      </c>
      <c r="T232" s="11">
        <v>3861050445</v>
      </c>
      <c r="U232" s="11">
        <v>0</v>
      </c>
      <c r="V232" s="11">
        <v>0</v>
      </c>
      <c r="W232" s="11">
        <v>347072334815</v>
      </c>
      <c r="X232" s="11">
        <v>14521367963</v>
      </c>
      <c r="Y232" s="11">
        <v>683500000</v>
      </c>
      <c r="Z232" s="11">
        <v>362277202778</v>
      </c>
      <c r="AA232" s="11">
        <v>286165393059</v>
      </c>
      <c r="AB232" s="12">
        <v>21.28</v>
      </c>
      <c r="AC232" s="11">
        <v>143737150157</v>
      </c>
      <c r="AD232" s="11">
        <v>143737150157</v>
      </c>
      <c r="AE232" s="11">
        <v>0</v>
      </c>
      <c r="AF232" s="11">
        <v>1091318330</v>
      </c>
      <c r="AG232" s="11">
        <v>0</v>
      </c>
      <c r="AH232" s="11">
        <v>0</v>
      </c>
      <c r="AI232" s="11">
        <v>0</v>
      </c>
      <c r="AJ232" s="12">
        <v>0</v>
      </c>
      <c r="AK232" s="11">
        <v>0</v>
      </c>
      <c r="AL232" s="12">
        <v>238</v>
      </c>
      <c r="AM232" s="11">
        <v>184660178970</v>
      </c>
      <c r="AN232" s="12">
        <v>10</v>
      </c>
      <c r="AO232" s="11">
        <v>9737221099</v>
      </c>
      <c r="AP232" s="11">
        <v>3861050445</v>
      </c>
      <c r="AQ232" s="11">
        <v>3964223754</v>
      </c>
      <c r="AR232" s="11">
        <v>-103173309</v>
      </c>
      <c r="AS232" s="12">
        <v>-2.6</v>
      </c>
      <c r="AT232" s="11">
        <v>105405197972</v>
      </c>
      <c r="AU232" s="11">
        <v>25825120263</v>
      </c>
      <c r="AV232" s="11">
        <v>141631142503</v>
      </c>
      <c r="AW232" s="11">
        <v>112604199404</v>
      </c>
      <c r="AX232" s="11">
        <v>155544123497</v>
      </c>
      <c r="AY232" s="11">
        <v>378626600000</v>
      </c>
      <c r="AZ232" s="11">
        <v>84990427194</v>
      </c>
      <c r="BA232" s="11">
        <v>802686611066</v>
      </c>
      <c r="BB232" s="13">
        <v>11451</v>
      </c>
      <c r="BC232" s="11">
        <v>268515887569</v>
      </c>
      <c r="BD232" s="11">
        <v>155544123497</v>
      </c>
      <c r="BE232" s="11">
        <v>378626600000</v>
      </c>
      <c r="BF232" s="11">
        <v>56878002187</v>
      </c>
      <c r="BG232" s="11">
        <v>86859147970</v>
      </c>
      <c r="BH232" s="11">
        <v>0</v>
      </c>
      <c r="BI232" s="11">
        <v>0</v>
      </c>
      <c r="BJ232" s="11">
        <v>0</v>
      </c>
      <c r="BK232" s="11">
        <v>0</v>
      </c>
      <c r="BL232" s="11">
        <v>0</v>
      </c>
      <c r="BM232" s="11">
        <v>1151548691</v>
      </c>
    </row>
    <row r="233" spans="1:65" x14ac:dyDescent="0.25">
      <c r="A233" s="32"/>
      <c r="B233" s="10">
        <v>2019</v>
      </c>
      <c r="C233" s="10" t="s">
        <v>288</v>
      </c>
      <c r="D233" s="11">
        <v>2566218756888</v>
      </c>
      <c r="E233" s="11">
        <v>766499062475</v>
      </c>
      <c r="F233" s="11">
        <v>0</v>
      </c>
      <c r="G233" s="11">
        <v>0</v>
      </c>
      <c r="H233" s="11">
        <v>3332717819363</v>
      </c>
      <c r="I233" s="11">
        <v>264686421052</v>
      </c>
      <c r="J233" s="11">
        <v>3068031398311</v>
      </c>
      <c r="K233" s="11">
        <v>3368484372246</v>
      </c>
      <c r="L233" s="11">
        <v>-35766552883</v>
      </c>
      <c r="M233" s="12">
        <v>-1.06</v>
      </c>
      <c r="N233" s="11">
        <v>3858911992859</v>
      </c>
      <c r="O233" s="12">
        <v>116.77</v>
      </c>
      <c r="P233" s="12">
        <v>125.78</v>
      </c>
      <c r="Q233" s="12">
        <v>49.07</v>
      </c>
      <c r="R233" s="11">
        <v>1867678572062</v>
      </c>
      <c r="S233" s="11">
        <v>2023976992918</v>
      </c>
      <c r="T233" s="11">
        <v>8376779465</v>
      </c>
      <c r="U233" s="11">
        <v>779097914</v>
      </c>
      <c r="V233" s="11">
        <v>2014821115539</v>
      </c>
      <c r="W233" s="11">
        <v>3891655564980</v>
      </c>
      <c r="X233" s="11">
        <v>267526594324</v>
      </c>
      <c r="Y233" s="11">
        <v>31980755135</v>
      </c>
      <c r="Z233" s="11">
        <v>4191162914439</v>
      </c>
      <c r="AA233" s="11">
        <v>1250666650084</v>
      </c>
      <c r="AB233" s="12">
        <v>211.17</v>
      </c>
      <c r="AC233" s="11">
        <v>8520502772699</v>
      </c>
      <c r="AD233" s="11">
        <v>8520502772699</v>
      </c>
      <c r="AE233" s="11">
        <v>7302516564470</v>
      </c>
      <c r="AF233" s="11">
        <v>146865812478</v>
      </c>
      <c r="AG233" s="11">
        <v>0</v>
      </c>
      <c r="AH233" s="11">
        <v>0</v>
      </c>
      <c r="AI233" s="11">
        <v>0</v>
      </c>
      <c r="AJ233" s="12">
        <f>24+1</f>
        <v>25</v>
      </c>
      <c r="AK233" s="11">
        <f>5375203374947+2151754615343</f>
        <v>7526957990290</v>
      </c>
      <c r="AL233" s="13">
        <v>1087</v>
      </c>
      <c r="AM233" s="11">
        <v>9414403528749</v>
      </c>
      <c r="AN233" s="12">
        <v>543</v>
      </c>
      <c r="AO233" s="11">
        <v>2530432291736</v>
      </c>
      <c r="AP233" s="11">
        <v>2023976992918</v>
      </c>
      <c r="AQ233" s="11">
        <v>47390817095</v>
      </c>
      <c r="AR233" s="11">
        <v>1976586175823</v>
      </c>
      <c r="AS233" s="19">
        <v>4170.82</v>
      </c>
      <c r="AT233" s="11">
        <v>7462307063027</v>
      </c>
      <c r="AU233" s="11">
        <v>1510099939945</v>
      </c>
      <c r="AV233" s="11">
        <v>792963672005</v>
      </c>
      <c r="AW233" s="11">
        <v>460855186303</v>
      </c>
      <c r="AX233" s="11">
        <v>440396298580</v>
      </c>
      <c r="AY233" s="11">
        <v>872003600000</v>
      </c>
      <c r="AZ233" s="11">
        <v>100226448291</v>
      </c>
      <c r="BA233" s="11">
        <v>3332717819363</v>
      </c>
      <c r="BB233" s="13">
        <v>37813</v>
      </c>
      <c r="BC233" s="11">
        <v>2020317920783</v>
      </c>
      <c r="BD233" s="11">
        <v>440396298580</v>
      </c>
      <c r="BE233" s="11">
        <v>872003600000</v>
      </c>
      <c r="BF233" s="11">
        <v>6235270598771</v>
      </c>
      <c r="BG233" s="11">
        <v>2285232173928</v>
      </c>
      <c r="BH233" s="11">
        <v>36100451333</v>
      </c>
      <c r="BI233" s="11">
        <v>1953777535094</v>
      </c>
      <c r="BJ233" s="11">
        <v>6844270463555</v>
      </c>
      <c r="BK233" s="11">
        <v>3215635016</v>
      </c>
      <c r="BL233" s="11">
        <v>58522981127</v>
      </c>
      <c r="BM233" s="11">
        <v>3781702261</v>
      </c>
    </row>
    <row r="234" spans="1:65" x14ac:dyDescent="0.25">
      <c r="A234" s="32"/>
      <c r="B234" s="10">
        <v>2020</v>
      </c>
      <c r="C234" s="10" t="s">
        <v>289</v>
      </c>
      <c r="D234" s="11">
        <v>794184972116</v>
      </c>
      <c r="E234" s="11">
        <v>127762294224</v>
      </c>
      <c r="F234" s="11">
        <v>0</v>
      </c>
      <c r="G234" s="11">
        <v>0</v>
      </c>
      <c r="H234" s="11">
        <v>921947266340</v>
      </c>
      <c r="I234" s="11">
        <v>73959686711</v>
      </c>
      <c r="J234" s="11">
        <v>847987579629</v>
      </c>
      <c r="K234" s="11">
        <v>831742369588</v>
      </c>
      <c r="L234" s="11">
        <v>90204896752</v>
      </c>
      <c r="M234" s="12">
        <v>10.85</v>
      </c>
      <c r="N234" s="11">
        <v>598960853409</v>
      </c>
      <c r="O234" s="12">
        <v>69.8</v>
      </c>
      <c r="P234" s="12">
        <v>70.63</v>
      </c>
      <c r="Q234" s="12">
        <v>0</v>
      </c>
      <c r="R234" s="11">
        <v>643546627451</v>
      </c>
      <c r="S234" s="11">
        <v>0</v>
      </c>
      <c r="T234" s="11">
        <v>0</v>
      </c>
      <c r="U234" s="11">
        <v>0</v>
      </c>
      <c r="V234" s="11">
        <v>0</v>
      </c>
      <c r="W234" s="11">
        <v>643546627451</v>
      </c>
      <c r="X234" s="11">
        <v>68097854835</v>
      </c>
      <c r="Y234" s="11">
        <v>23674487072</v>
      </c>
      <c r="Z234" s="11">
        <v>735318969358</v>
      </c>
      <c r="AA234" s="11">
        <v>205161295911</v>
      </c>
      <c r="AB234" s="12">
        <v>213.68</v>
      </c>
      <c r="AC234" s="11">
        <v>786579068570</v>
      </c>
      <c r="AD234" s="11">
        <v>786579068570</v>
      </c>
      <c r="AE234" s="11">
        <v>100117681389</v>
      </c>
      <c r="AF234" s="11">
        <v>1372258018</v>
      </c>
      <c r="AG234" s="11">
        <v>0</v>
      </c>
      <c r="AH234" s="11">
        <v>0</v>
      </c>
      <c r="AI234" s="11">
        <v>0</v>
      </c>
      <c r="AJ234" s="12">
        <v>7</v>
      </c>
      <c r="AK234" s="11">
        <v>87742954937</v>
      </c>
      <c r="AL234" s="12">
        <v>408</v>
      </c>
      <c r="AM234" s="11">
        <v>3543086179772</v>
      </c>
      <c r="AN234" s="12">
        <v>68</v>
      </c>
      <c r="AO234" s="11">
        <v>528804166329</v>
      </c>
      <c r="AP234" s="11">
        <v>0</v>
      </c>
      <c r="AQ234" s="11">
        <v>0</v>
      </c>
      <c r="AR234" s="11">
        <v>0</v>
      </c>
      <c r="AS234" s="12"/>
      <c r="AT234" s="11">
        <v>326097330446</v>
      </c>
      <c r="AU234" s="11">
        <v>49307074083</v>
      </c>
      <c r="AV234" s="11">
        <v>98583118662</v>
      </c>
      <c r="AW234" s="11">
        <v>92124633167</v>
      </c>
      <c r="AX234" s="11">
        <v>233535220287</v>
      </c>
      <c r="AY234" s="11">
        <v>369942000000</v>
      </c>
      <c r="AZ234" s="11">
        <v>232046191084</v>
      </c>
      <c r="BA234" s="11">
        <v>921947266340</v>
      </c>
      <c r="BB234" s="13">
        <v>24084</v>
      </c>
      <c r="BC234" s="11">
        <v>318470046053</v>
      </c>
      <c r="BD234" s="11">
        <v>233535220287</v>
      </c>
      <c r="BE234" s="11">
        <v>369942000000</v>
      </c>
      <c r="BF234" s="11">
        <v>642204646582</v>
      </c>
      <c r="BG234" s="11">
        <v>144374421988</v>
      </c>
      <c r="BH234" s="11">
        <v>0</v>
      </c>
      <c r="BI234" s="11">
        <v>0</v>
      </c>
      <c r="BJ234" s="11">
        <v>103226802126</v>
      </c>
      <c r="BK234" s="11">
        <v>0</v>
      </c>
      <c r="BL234" s="11">
        <v>0</v>
      </c>
      <c r="BM234" s="11">
        <v>1434182561</v>
      </c>
    </row>
    <row r="235" spans="1:65" x14ac:dyDescent="0.25">
      <c r="A235" s="32"/>
      <c r="B235" s="10">
        <v>2099</v>
      </c>
      <c r="C235" s="10" t="s">
        <v>290</v>
      </c>
      <c r="D235" s="11">
        <v>39000000</v>
      </c>
      <c r="E235" s="11">
        <v>8374276533</v>
      </c>
      <c r="F235" s="11">
        <v>0</v>
      </c>
      <c r="G235" s="11">
        <v>0</v>
      </c>
      <c r="H235" s="11">
        <v>8413276533</v>
      </c>
      <c r="I235" s="11">
        <v>688281716</v>
      </c>
      <c r="J235" s="11">
        <v>7724994817</v>
      </c>
      <c r="K235" s="11">
        <v>7084211503</v>
      </c>
      <c r="L235" s="11">
        <v>1329065030</v>
      </c>
      <c r="M235" s="12">
        <v>18.760000000000002</v>
      </c>
      <c r="N235" s="11">
        <v>0</v>
      </c>
      <c r="O235" s="12">
        <v>0</v>
      </c>
      <c r="P235" s="12">
        <v>0</v>
      </c>
      <c r="Q235" s="12">
        <v>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11">
        <v>0</v>
      </c>
      <c r="X235" s="11">
        <v>0</v>
      </c>
      <c r="Y235" s="11">
        <v>0</v>
      </c>
      <c r="Z235" s="11">
        <v>0</v>
      </c>
      <c r="AA235" s="11">
        <v>0</v>
      </c>
      <c r="AB235" s="12"/>
      <c r="AC235" s="11">
        <v>0</v>
      </c>
      <c r="AD235" s="11">
        <v>0</v>
      </c>
      <c r="AE235" s="11">
        <v>0</v>
      </c>
      <c r="AF235" s="11">
        <v>0</v>
      </c>
      <c r="AG235" s="11">
        <v>0</v>
      </c>
      <c r="AH235" s="11">
        <v>0</v>
      </c>
      <c r="AI235" s="11">
        <v>0</v>
      </c>
      <c r="AJ235" s="12">
        <v>0</v>
      </c>
      <c r="AK235" s="11">
        <v>0</v>
      </c>
      <c r="AL235" s="12">
        <v>0</v>
      </c>
      <c r="AM235" s="11">
        <v>0</v>
      </c>
      <c r="AN235" s="12">
        <v>0</v>
      </c>
      <c r="AO235" s="11">
        <v>0</v>
      </c>
      <c r="AP235" s="11">
        <v>0</v>
      </c>
      <c r="AQ235" s="11">
        <v>0</v>
      </c>
      <c r="AR235" s="11">
        <v>0</v>
      </c>
      <c r="AS235" s="12"/>
      <c r="AT235" s="11">
        <v>0</v>
      </c>
      <c r="AU235" s="11">
        <v>0</v>
      </c>
      <c r="AV235" s="11">
        <v>39000000</v>
      </c>
      <c r="AW235" s="11">
        <v>0</v>
      </c>
      <c r="AX235" s="11">
        <v>0</v>
      </c>
      <c r="AY235" s="11">
        <v>0</v>
      </c>
      <c r="AZ235" s="11">
        <v>0</v>
      </c>
      <c r="BA235" s="11">
        <v>8413276533</v>
      </c>
      <c r="BB235" s="12">
        <v>0</v>
      </c>
      <c r="BC235" s="11">
        <v>8413276533</v>
      </c>
      <c r="BD235" s="11">
        <v>0</v>
      </c>
      <c r="BE235" s="11">
        <v>0</v>
      </c>
      <c r="BF235" s="11">
        <v>0</v>
      </c>
      <c r="BG235" s="11">
        <v>0</v>
      </c>
      <c r="BH235" s="11">
        <v>0</v>
      </c>
      <c r="BI235" s="11">
        <v>0</v>
      </c>
      <c r="BJ235" s="11">
        <v>0</v>
      </c>
      <c r="BK235" s="11">
        <v>0</v>
      </c>
      <c r="BL235" s="11">
        <v>0</v>
      </c>
      <c r="BM235" s="11">
        <v>0</v>
      </c>
    </row>
    <row r="236" spans="1:65" x14ac:dyDescent="0.25">
      <c r="A236" s="14" t="s">
        <v>601</v>
      </c>
      <c r="B236" s="15"/>
      <c r="C236" s="15"/>
      <c r="D236" s="16">
        <v>39966877742168</v>
      </c>
      <c r="E236" s="16">
        <v>3671907810247</v>
      </c>
      <c r="F236" s="16">
        <v>100000000000</v>
      </c>
      <c r="G236" s="16">
        <v>401877000</v>
      </c>
      <c r="H236" s="16">
        <v>43739187429415</v>
      </c>
      <c r="I236" s="16">
        <v>3545621786140</v>
      </c>
      <c r="J236" s="16">
        <v>40193565643275</v>
      </c>
      <c r="K236" s="16">
        <v>39931754669915</v>
      </c>
      <c r="L236" s="16">
        <v>3807432759500</v>
      </c>
      <c r="M236" s="17">
        <v>9.5299999999999994</v>
      </c>
      <c r="N236" s="16">
        <v>34972307200013</v>
      </c>
      <c r="O236" s="17">
        <v>90.05</v>
      </c>
      <c r="P236" s="17">
        <v>87.01</v>
      </c>
      <c r="Q236" s="17">
        <v>8.1999999999999993</v>
      </c>
      <c r="R236" s="16">
        <v>36099016920388</v>
      </c>
      <c r="S236" s="16">
        <v>3287015976756</v>
      </c>
      <c r="T236" s="16">
        <v>350736044935</v>
      </c>
      <c r="U236" s="16">
        <v>250800926187</v>
      </c>
      <c r="V236" s="16">
        <v>2685479005634</v>
      </c>
      <c r="W236" s="16">
        <v>39386032897144</v>
      </c>
      <c r="X236" s="16">
        <v>2386702043872</v>
      </c>
      <c r="Y236" s="16">
        <v>352546834918</v>
      </c>
      <c r="Z236" s="16">
        <v>42125281775934</v>
      </c>
      <c r="AA236" s="16">
        <v>28885313216982</v>
      </c>
      <c r="AB236" s="17">
        <v>36.35</v>
      </c>
      <c r="AC236" s="16">
        <v>34471919339962</v>
      </c>
      <c r="AD236" s="16">
        <v>33988978137301</v>
      </c>
      <c r="AE236" s="16">
        <v>18637727047563</v>
      </c>
      <c r="AF236" s="16">
        <v>219345577166</v>
      </c>
      <c r="AG236" s="16">
        <v>0</v>
      </c>
      <c r="AH236" s="16">
        <v>0</v>
      </c>
      <c r="AI236" s="16">
        <v>0</v>
      </c>
      <c r="AJ236" s="18">
        <f>94+1</f>
        <v>95</v>
      </c>
      <c r="AK236" s="16">
        <f>22588494912913+2151754615343</f>
        <v>24740249528256</v>
      </c>
      <c r="AL236" s="18">
        <v>6400</v>
      </c>
      <c r="AM236" s="16">
        <v>46611455636606</v>
      </c>
      <c r="AN236" s="18">
        <f>SUM(AN214:AN235)</f>
        <v>2352</v>
      </c>
      <c r="AO236" s="16">
        <f>SUM(AO214:AO235)</f>
        <v>13271823771167</v>
      </c>
      <c r="AP236" s="16">
        <v>3287015976756</v>
      </c>
      <c r="AQ236" s="16">
        <v>1152759480477</v>
      </c>
      <c r="AR236" s="16">
        <v>2134256496279</v>
      </c>
      <c r="AS236" s="17">
        <v>185.14</v>
      </c>
      <c r="AT236" s="16">
        <v>28738921880848</v>
      </c>
      <c r="AU236" s="16">
        <v>10291810414899</v>
      </c>
      <c r="AV236" s="16">
        <v>12777222665588</v>
      </c>
      <c r="AW236" s="16">
        <v>4850956777328</v>
      </c>
      <c r="AX236" s="16">
        <v>9825021499252</v>
      </c>
      <c r="AY236" s="16">
        <v>12513676800000</v>
      </c>
      <c r="AZ236" s="16">
        <v>5826500288034</v>
      </c>
      <c r="BA236" s="16">
        <v>43739187429415</v>
      </c>
      <c r="BB236" s="18">
        <v>2099500</v>
      </c>
      <c r="BC236" s="16">
        <v>21060626443709</v>
      </c>
      <c r="BD236" s="16">
        <v>9923901399252</v>
      </c>
      <c r="BE236" s="16">
        <v>12754659586454</v>
      </c>
      <c r="BF236" s="16">
        <v>25604771045559</v>
      </c>
      <c r="BG236" s="16">
        <v>8867148294403</v>
      </c>
      <c r="BH236" s="16">
        <v>904297037125</v>
      </c>
      <c r="BI236" s="16">
        <v>2295462291020</v>
      </c>
      <c r="BJ236" s="16">
        <v>18580558685078</v>
      </c>
      <c r="BK236" s="16">
        <v>47628085601</v>
      </c>
      <c r="BL236" s="16">
        <v>76374650665</v>
      </c>
      <c r="BM236" s="16">
        <v>257647133213</v>
      </c>
    </row>
    <row r="237" spans="1:65" x14ac:dyDescent="0.25">
      <c r="A237" s="32" t="s">
        <v>291</v>
      </c>
      <c r="B237" s="10">
        <v>2100</v>
      </c>
      <c r="C237" s="10" t="s">
        <v>291</v>
      </c>
      <c r="D237" s="11">
        <v>1724414734785</v>
      </c>
      <c r="E237" s="11">
        <v>168408755670</v>
      </c>
      <c r="F237" s="11">
        <v>76400000000</v>
      </c>
      <c r="G237" s="11">
        <v>981315800</v>
      </c>
      <c r="H237" s="11">
        <v>1970204806255</v>
      </c>
      <c r="I237" s="11">
        <v>155702401285</v>
      </c>
      <c r="J237" s="11">
        <v>1814502404970</v>
      </c>
      <c r="K237" s="11">
        <v>2999379989534</v>
      </c>
      <c r="L237" s="11">
        <v>-1029175183279</v>
      </c>
      <c r="M237" s="12">
        <v>-34.31</v>
      </c>
      <c r="N237" s="11">
        <v>3547840254069</v>
      </c>
      <c r="O237" s="12">
        <v>245.7</v>
      </c>
      <c r="P237" s="12">
        <v>195.53</v>
      </c>
      <c r="Q237" s="12">
        <v>3.67</v>
      </c>
      <c r="R237" s="11">
        <v>4674858370007</v>
      </c>
      <c r="S237" s="11">
        <v>166010951607</v>
      </c>
      <c r="T237" s="11">
        <v>23688231662</v>
      </c>
      <c r="U237" s="11">
        <v>81152470737</v>
      </c>
      <c r="V237" s="11">
        <v>61170249208</v>
      </c>
      <c r="W237" s="11">
        <v>4840869321614</v>
      </c>
      <c r="X237" s="11">
        <v>154038866016</v>
      </c>
      <c r="Y237" s="11">
        <v>3986724000</v>
      </c>
      <c r="Z237" s="11">
        <v>4998894911630</v>
      </c>
      <c r="AA237" s="11">
        <v>4255851788978</v>
      </c>
      <c r="AB237" s="12">
        <v>13.75</v>
      </c>
      <c r="AC237" s="11">
        <v>1533486481107</v>
      </c>
      <c r="AD237" s="11">
        <v>1438251217132</v>
      </c>
      <c r="AE237" s="11">
        <v>30330314240</v>
      </c>
      <c r="AF237" s="11">
        <v>0</v>
      </c>
      <c r="AG237" s="11">
        <v>0</v>
      </c>
      <c r="AH237" s="11">
        <v>0</v>
      </c>
      <c r="AI237" s="11">
        <v>0</v>
      </c>
      <c r="AJ237" s="12">
        <v>0</v>
      </c>
      <c r="AK237" s="11">
        <v>0</v>
      </c>
      <c r="AL237" s="12">
        <v>85</v>
      </c>
      <c r="AM237" s="11">
        <v>370919539280</v>
      </c>
      <c r="AN237" s="12">
        <v>32</v>
      </c>
      <c r="AO237" s="11">
        <v>387866002142</v>
      </c>
      <c r="AP237" s="11">
        <v>166010951607</v>
      </c>
      <c r="AQ237" s="11">
        <v>211996948560</v>
      </c>
      <c r="AR237" s="11">
        <v>-45985996953</v>
      </c>
      <c r="AS237" s="12">
        <v>-21.69</v>
      </c>
      <c r="AT237" s="11">
        <v>1612283676234</v>
      </c>
      <c r="AU237" s="11">
        <v>372901541239</v>
      </c>
      <c r="AV237" s="11">
        <v>797037956339</v>
      </c>
      <c r="AW237" s="11">
        <v>212030962437</v>
      </c>
      <c r="AX237" s="11">
        <v>239979816009</v>
      </c>
      <c r="AY237" s="11">
        <v>475366000000</v>
      </c>
      <c r="AZ237" s="11">
        <v>91234618580</v>
      </c>
      <c r="BA237" s="11">
        <v>1970204806255</v>
      </c>
      <c r="BB237" s="13">
        <v>386014</v>
      </c>
      <c r="BC237" s="11">
        <v>1075500617623</v>
      </c>
      <c r="BD237" s="11">
        <v>316379816009</v>
      </c>
      <c r="BE237" s="11">
        <v>578324372623</v>
      </c>
      <c r="BF237" s="11">
        <v>905382390262</v>
      </c>
      <c r="BG237" s="11">
        <v>628104090845</v>
      </c>
      <c r="BH237" s="11">
        <v>0</v>
      </c>
      <c r="BI237" s="11">
        <v>14795908700</v>
      </c>
      <c r="BJ237" s="11">
        <v>31751990846</v>
      </c>
      <c r="BK237" s="11">
        <v>0</v>
      </c>
      <c r="BL237" s="11">
        <v>0</v>
      </c>
      <c r="BM237" s="11">
        <v>0</v>
      </c>
    </row>
    <row r="238" spans="1:65" x14ac:dyDescent="0.25">
      <c r="A238" s="32"/>
      <c r="B238" s="10">
        <v>2101</v>
      </c>
      <c r="C238" s="10" t="s">
        <v>292</v>
      </c>
      <c r="D238" s="11">
        <v>4001658495430</v>
      </c>
      <c r="E238" s="11">
        <v>270911450365</v>
      </c>
      <c r="F238" s="11">
        <v>0</v>
      </c>
      <c r="G238" s="11">
        <v>0</v>
      </c>
      <c r="H238" s="11">
        <v>4272569945795</v>
      </c>
      <c r="I238" s="11">
        <v>320528637293</v>
      </c>
      <c r="J238" s="11">
        <v>3952041308502</v>
      </c>
      <c r="K238" s="11">
        <v>3597167882341</v>
      </c>
      <c r="L238" s="11">
        <v>675402063454</v>
      </c>
      <c r="M238" s="12">
        <v>18.78</v>
      </c>
      <c r="N238" s="11">
        <v>2400240098715</v>
      </c>
      <c r="O238" s="12">
        <v>61.63</v>
      </c>
      <c r="P238" s="12">
        <v>60.73</v>
      </c>
      <c r="Q238" s="12">
        <v>0.5</v>
      </c>
      <c r="R238" s="11">
        <v>2619525371130</v>
      </c>
      <c r="S238" s="11">
        <v>13690801579</v>
      </c>
      <c r="T238" s="11">
        <v>13607610357</v>
      </c>
      <c r="U238" s="11">
        <v>0</v>
      </c>
      <c r="V238" s="11">
        <v>83191222</v>
      </c>
      <c r="W238" s="11">
        <v>2633216172709</v>
      </c>
      <c r="X238" s="11">
        <v>123580613254</v>
      </c>
      <c r="Y238" s="11">
        <v>21657840819</v>
      </c>
      <c r="Z238" s="11">
        <v>2778454626782</v>
      </c>
      <c r="AA238" s="11">
        <v>2526061750447</v>
      </c>
      <c r="AB238" s="12">
        <v>4.24</v>
      </c>
      <c r="AC238" s="11">
        <v>3934963552291</v>
      </c>
      <c r="AD238" s="11">
        <v>3934963552291</v>
      </c>
      <c r="AE238" s="11">
        <v>416727935901</v>
      </c>
      <c r="AF238" s="11">
        <v>0</v>
      </c>
      <c r="AG238" s="11">
        <v>0</v>
      </c>
      <c r="AH238" s="11">
        <v>0</v>
      </c>
      <c r="AI238" s="11">
        <v>0</v>
      </c>
      <c r="AJ238" s="12">
        <v>10</v>
      </c>
      <c r="AK238" s="11">
        <v>1807764587269</v>
      </c>
      <c r="AL238" s="12">
        <v>26</v>
      </c>
      <c r="AM238" s="11">
        <v>205528083137</v>
      </c>
      <c r="AN238" s="12">
        <v>20</v>
      </c>
      <c r="AO238" s="11">
        <v>76660624097</v>
      </c>
      <c r="AP238" s="11">
        <v>13690801579</v>
      </c>
      <c r="AQ238" s="11">
        <v>3849039068</v>
      </c>
      <c r="AR238" s="11">
        <v>9841762511</v>
      </c>
      <c r="AS238" s="19">
        <v>255.69</v>
      </c>
      <c r="AT238" s="11">
        <v>3975312722770</v>
      </c>
      <c r="AU238" s="11">
        <v>507797188725</v>
      </c>
      <c r="AV238" s="11">
        <v>2057187751837</v>
      </c>
      <c r="AW238" s="11">
        <v>219390178247</v>
      </c>
      <c r="AX238" s="11">
        <v>488448365346</v>
      </c>
      <c r="AY238" s="11">
        <v>1236632200000</v>
      </c>
      <c r="AZ238" s="11">
        <v>212331590918</v>
      </c>
      <c r="BA238" s="11">
        <v>4272569945795</v>
      </c>
      <c r="BB238" s="13">
        <v>15240</v>
      </c>
      <c r="BC238" s="11">
        <v>2547489380449</v>
      </c>
      <c r="BD238" s="11">
        <v>488448365346</v>
      </c>
      <c r="BE238" s="11">
        <v>1236632200000</v>
      </c>
      <c r="BF238" s="11">
        <v>2024950314280</v>
      </c>
      <c r="BG238" s="11">
        <v>1910013238011</v>
      </c>
      <c r="BH238" s="11">
        <v>0</v>
      </c>
      <c r="BI238" s="11">
        <v>0</v>
      </c>
      <c r="BJ238" s="11">
        <v>437762622148</v>
      </c>
      <c r="BK238" s="11">
        <v>0</v>
      </c>
      <c r="BL238" s="11">
        <v>0</v>
      </c>
      <c r="BM238" s="11">
        <v>0</v>
      </c>
    </row>
    <row r="239" spans="1:65" x14ac:dyDescent="0.25">
      <c r="A239" s="32"/>
      <c r="B239" s="10">
        <v>2102</v>
      </c>
      <c r="C239" s="10" t="s">
        <v>293</v>
      </c>
      <c r="D239" s="11">
        <v>1652020497497</v>
      </c>
      <c r="E239" s="11">
        <v>21248371148</v>
      </c>
      <c r="F239" s="11">
        <v>0</v>
      </c>
      <c r="G239" s="11">
        <v>0</v>
      </c>
      <c r="H239" s="11">
        <v>1673268868645</v>
      </c>
      <c r="I239" s="11">
        <v>138809211210</v>
      </c>
      <c r="J239" s="11">
        <v>1534459657435</v>
      </c>
      <c r="K239" s="11">
        <v>1298361729884</v>
      </c>
      <c r="L239" s="11">
        <v>374907138761</v>
      </c>
      <c r="M239" s="12">
        <v>28.88</v>
      </c>
      <c r="N239" s="11">
        <v>1760416291484</v>
      </c>
      <c r="O239" s="12">
        <v>112.8</v>
      </c>
      <c r="P239" s="12">
        <v>114.73</v>
      </c>
      <c r="Q239" s="12">
        <v>1.64</v>
      </c>
      <c r="R239" s="11">
        <v>1853604848835</v>
      </c>
      <c r="S239" s="11">
        <v>33893844941</v>
      </c>
      <c r="T239" s="11">
        <v>30620587516</v>
      </c>
      <c r="U239" s="11">
        <v>2506725554</v>
      </c>
      <c r="V239" s="11">
        <v>766531871</v>
      </c>
      <c r="W239" s="11">
        <v>1887498693776</v>
      </c>
      <c r="X239" s="11">
        <v>180200131865</v>
      </c>
      <c r="Y239" s="11">
        <v>32158371002</v>
      </c>
      <c r="Z239" s="11">
        <v>2099857196643</v>
      </c>
      <c r="AA239" s="11">
        <v>1649652611026</v>
      </c>
      <c r="AB239" s="12">
        <v>14.42</v>
      </c>
      <c r="AC239" s="11">
        <v>846766096804</v>
      </c>
      <c r="AD239" s="11">
        <v>846766096804</v>
      </c>
      <c r="AE239" s="11">
        <v>53185222601</v>
      </c>
      <c r="AF239" s="11">
        <v>0</v>
      </c>
      <c r="AG239" s="11">
        <v>5374605742</v>
      </c>
      <c r="AH239" s="11">
        <v>0</v>
      </c>
      <c r="AI239" s="11">
        <v>0</v>
      </c>
      <c r="AJ239" s="12">
        <v>7</v>
      </c>
      <c r="AK239" s="11">
        <v>77426113456</v>
      </c>
      <c r="AL239" s="12">
        <v>52</v>
      </c>
      <c r="AM239" s="11">
        <v>493144533854</v>
      </c>
      <c r="AN239" s="12">
        <v>19</v>
      </c>
      <c r="AO239" s="11">
        <v>21285879262</v>
      </c>
      <c r="AP239" s="11">
        <v>33893844941</v>
      </c>
      <c r="AQ239" s="11">
        <v>12776659188</v>
      </c>
      <c r="AR239" s="11">
        <v>21117185753</v>
      </c>
      <c r="AS239" s="12">
        <v>165.28</v>
      </c>
      <c r="AT239" s="11">
        <v>803492364170</v>
      </c>
      <c r="AU239" s="11">
        <v>242239943109</v>
      </c>
      <c r="AV239" s="11">
        <v>576258268262</v>
      </c>
      <c r="AW239" s="11">
        <v>166036848048</v>
      </c>
      <c r="AX239" s="11">
        <v>461416181187</v>
      </c>
      <c r="AY239" s="11">
        <v>448309200000</v>
      </c>
      <c r="AZ239" s="11">
        <v>389916935922</v>
      </c>
      <c r="BA239" s="11">
        <v>1673268868645</v>
      </c>
      <c r="BB239" s="13">
        <v>10599</v>
      </c>
      <c r="BC239" s="11">
        <v>763543487458</v>
      </c>
      <c r="BD239" s="11">
        <v>461416181187</v>
      </c>
      <c r="BE239" s="11">
        <v>448309200000</v>
      </c>
      <c r="BF239" s="11">
        <v>581200462786</v>
      </c>
      <c r="BG239" s="11">
        <v>265565634018</v>
      </c>
      <c r="BH239" s="11">
        <v>0</v>
      </c>
      <c r="BI239" s="11">
        <v>0</v>
      </c>
      <c r="BJ239" s="11">
        <v>53966541347</v>
      </c>
      <c r="BK239" s="11">
        <v>0</v>
      </c>
      <c r="BL239" s="11">
        <v>0</v>
      </c>
      <c r="BM239" s="11">
        <v>0</v>
      </c>
    </row>
    <row r="240" spans="1:65" x14ac:dyDescent="0.25">
      <c r="A240" s="32"/>
      <c r="B240" s="10">
        <v>2103</v>
      </c>
      <c r="C240" s="10" t="s">
        <v>294</v>
      </c>
      <c r="D240" s="11">
        <v>880975422433</v>
      </c>
      <c r="E240" s="11">
        <v>6033866868</v>
      </c>
      <c r="F240" s="11">
        <v>0</v>
      </c>
      <c r="G240" s="11">
        <v>0</v>
      </c>
      <c r="H240" s="11">
        <v>887009289301</v>
      </c>
      <c r="I240" s="11">
        <v>72940280466</v>
      </c>
      <c r="J240" s="11">
        <v>814069008835</v>
      </c>
      <c r="K240" s="11">
        <v>819551982317</v>
      </c>
      <c r="L240" s="11">
        <v>67457306984</v>
      </c>
      <c r="M240" s="12">
        <v>8.23</v>
      </c>
      <c r="N240" s="11">
        <v>809428679752</v>
      </c>
      <c r="O240" s="12">
        <v>97.59</v>
      </c>
      <c r="P240" s="12">
        <v>99.43</v>
      </c>
      <c r="Q240" s="12">
        <v>5.47</v>
      </c>
      <c r="R240" s="11">
        <v>815936346916</v>
      </c>
      <c r="S240" s="11">
        <v>49724615689</v>
      </c>
      <c r="T240" s="11">
        <v>14089027398</v>
      </c>
      <c r="U240" s="11">
        <v>1198337693</v>
      </c>
      <c r="V240" s="11">
        <v>34437250598</v>
      </c>
      <c r="W240" s="11">
        <v>865660962605</v>
      </c>
      <c r="X240" s="11">
        <v>52288857409</v>
      </c>
      <c r="Y240" s="11">
        <v>15324280000</v>
      </c>
      <c r="Z240" s="11">
        <v>933274100014</v>
      </c>
      <c r="AA240" s="11">
        <v>668832415373</v>
      </c>
      <c r="AB240" s="12">
        <v>29.43</v>
      </c>
      <c r="AC240" s="11">
        <v>440395754198</v>
      </c>
      <c r="AD240" s="11">
        <v>440395754198</v>
      </c>
      <c r="AE240" s="11">
        <v>0</v>
      </c>
      <c r="AF240" s="11">
        <v>36000000000</v>
      </c>
      <c r="AG240" s="11">
        <v>0</v>
      </c>
      <c r="AH240" s="11">
        <v>0</v>
      </c>
      <c r="AI240" s="11">
        <v>0</v>
      </c>
      <c r="AJ240" s="12">
        <v>0</v>
      </c>
      <c r="AK240" s="11">
        <v>0</v>
      </c>
      <c r="AL240" s="12">
        <v>15</v>
      </c>
      <c r="AM240" s="11">
        <v>64643951977</v>
      </c>
      <c r="AN240" s="12">
        <v>22</v>
      </c>
      <c r="AO240" s="11">
        <v>25798570340</v>
      </c>
      <c r="AP240" s="11">
        <v>49724615689</v>
      </c>
      <c r="AQ240" s="11">
        <v>15905128391</v>
      </c>
      <c r="AR240" s="11">
        <v>33819487298</v>
      </c>
      <c r="AS240" s="12">
        <v>212.63</v>
      </c>
      <c r="AT240" s="11">
        <v>334545554739</v>
      </c>
      <c r="AU240" s="11">
        <v>109184724024</v>
      </c>
      <c r="AV240" s="11">
        <v>198453098889</v>
      </c>
      <c r="AW240" s="11">
        <v>130351067132</v>
      </c>
      <c r="AX240" s="11">
        <v>130666256412</v>
      </c>
      <c r="AY240" s="11">
        <v>421505000000</v>
      </c>
      <c r="AZ240" s="11">
        <v>92768608475</v>
      </c>
      <c r="BA240" s="11">
        <v>887009289301</v>
      </c>
      <c r="BB240" s="13">
        <v>16952</v>
      </c>
      <c r="BC240" s="11">
        <v>334838032889</v>
      </c>
      <c r="BD240" s="11">
        <v>130666256412</v>
      </c>
      <c r="BE240" s="11">
        <v>421505000000</v>
      </c>
      <c r="BF240" s="11">
        <v>352752538696</v>
      </c>
      <c r="BG240" s="11">
        <v>87643215502</v>
      </c>
      <c r="BH240" s="11">
        <v>0</v>
      </c>
      <c r="BI240" s="11">
        <v>0</v>
      </c>
      <c r="BJ240" s="11">
        <v>0</v>
      </c>
      <c r="BK240" s="11">
        <v>0</v>
      </c>
      <c r="BL240" s="11">
        <v>33117151275</v>
      </c>
      <c r="BM240" s="11">
        <v>0</v>
      </c>
    </row>
    <row r="241" spans="1:65" x14ac:dyDescent="0.25">
      <c r="A241" s="32"/>
      <c r="B241" s="10">
        <v>2104</v>
      </c>
      <c r="C241" s="10" t="s">
        <v>295</v>
      </c>
      <c r="D241" s="11">
        <v>427743540476</v>
      </c>
      <c r="E241" s="11">
        <v>729390421</v>
      </c>
      <c r="F241" s="11">
        <v>0</v>
      </c>
      <c r="G241" s="11">
        <v>0</v>
      </c>
      <c r="H241" s="11">
        <v>428472930897</v>
      </c>
      <c r="I241" s="11">
        <v>36481428476</v>
      </c>
      <c r="J241" s="11">
        <v>391991502421</v>
      </c>
      <c r="K241" s="11">
        <v>535606144150</v>
      </c>
      <c r="L241" s="11">
        <v>-107133213253</v>
      </c>
      <c r="M241" s="12">
        <v>-20</v>
      </c>
      <c r="N241" s="11">
        <v>968063812132</v>
      </c>
      <c r="O241" s="12">
        <v>240.86</v>
      </c>
      <c r="P241" s="12">
        <v>246.96</v>
      </c>
      <c r="Q241" s="12">
        <v>2.19</v>
      </c>
      <c r="R241" s="11">
        <v>1008521413081</v>
      </c>
      <c r="S241" s="11">
        <v>23489176739</v>
      </c>
      <c r="T241" s="11">
        <v>20895789143</v>
      </c>
      <c r="U241" s="11">
        <v>2533300405</v>
      </c>
      <c r="V241" s="11">
        <v>60087191</v>
      </c>
      <c r="W241" s="11">
        <v>1032010589820</v>
      </c>
      <c r="X241" s="11">
        <v>45983587060</v>
      </c>
      <c r="Y241" s="11">
        <v>604930000</v>
      </c>
      <c r="Z241" s="11">
        <v>1078599106880</v>
      </c>
      <c r="AA241" s="11">
        <v>866619463666</v>
      </c>
      <c r="AB241" s="12">
        <v>19.079999999999998</v>
      </c>
      <c r="AC241" s="11">
        <v>529846505454</v>
      </c>
      <c r="AD241" s="11">
        <v>529846505454</v>
      </c>
      <c r="AE241" s="11">
        <v>0</v>
      </c>
      <c r="AF241" s="11">
        <v>0</v>
      </c>
      <c r="AG241" s="11">
        <v>0</v>
      </c>
      <c r="AH241" s="11">
        <v>3000000000</v>
      </c>
      <c r="AI241" s="11">
        <v>0</v>
      </c>
      <c r="AJ241" s="12">
        <v>0</v>
      </c>
      <c r="AK241" s="11">
        <v>0</v>
      </c>
      <c r="AL241" s="12">
        <v>1</v>
      </c>
      <c r="AM241" s="11">
        <v>60000000</v>
      </c>
      <c r="AN241" s="12">
        <v>5</v>
      </c>
      <c r="AO241" s="11">
        <v>662654236</v>
      </c>
      <c r="AP241" s="11">
        <v>23489176739</v>
      </c>
      <c r="AQ241" s="11">
        <v>16628456833</v>
      </c>
      <c r="AR241" s="11">
        <v>6860719906</v>
      </c>
      <c r="AS241" s="12">
        <v>41.26</v>
      </c>
      <c r="AT241" s="11">
        <v>462214059009</v>
      </c>
      <c r="AU241" s="11">
        <v>174544063737</v>
      </c>
      <c r="AV241" s="11">
        <v>181864136652</v>
      </c>
      <c r="AW241" s="11">
        <v>75807986252</v>
      </c>
      <c r="AX241" s="11">
        <v>74140817572</v>
      </c>
      <c r="AY241" s="11">
        <v>95930600000</v>
      </c>
      <c r="AZ241" s="11">
        <v>31355937556</v>
      </c>
      <c r="BA241" s="11">
        <v>428472930897</v>
      </c>
      <c r="BB241" s="13">
        <v>228923</v>
      </c>
      <c r="BC241" s="11">
        <v>258401513325</v>
      </c>
      <c r="BD241" s="11">
        <v>74140817572</v>
      </c>
      <c r="BE241" s="11">
        <v>95930600000</v>
      </c>
      <c r="BF241" s="11">
        <v>443847145454</v>
      </c>
      <c r="BG241" s="11">
        <v>85999360000</v>
      </c>
      <c r="BH241" s="11">
        <v>0</v>
      </c>
      <c r="BI241" s="11">
        <v>0</v>
      </c>
      <c r="BJ241" s="11">
        <v>0</v>
      </c>
      <c r="BK241" s="11">
        <v>0</v>
      </c>
      <c r="BL241" s="11">
        <v>0</v>
      </c>
      <c r="BM241" s="11">
        <v>0</v>
      </c>
    </row>
    <row r="242" spans="1:65" x14ac:dyDescent="0.25">
      <c r="A242" s="32"/>
      <c r="B242" s="10">
        <v>2105</v>
      </c>
      <c r="C242" s="10" t="s">
        <v>296</v>
      </c>
      <c r="D242" s="11">
        <v>954189303173</v>
      </c>
      <c r="E242" s="11">
        <v>91324808403</v>
      </c>
      <c r="F242" s="11">
        <v>0</v>
      </c>
      <c r="G242" s="11">
        <v>0</v>
      </c>
      <c r="H242" s="11">
        <v>1045514111576</v>
      </c>
      <c r="I242" s="11">
        <v>77306062080</v>
      </c>
      <c r="J242" s="11">
        <v>968208049496</v>
      </c>
      <c r="K242" s="11">
        <v>962574189789</v>
      </c>
      <c r="L242" s="11">
        <v>82939921787</v>
      </c>
      <c r="M242" s="12">
        <v>8.6199999999999992</v>
      </c>
      <c r="N242" s="11">
        <v>1242408418722</v>
      </c>
      <c r="O242" s="12">
        <v>126.64</v>
      </c>
      <c r="P242" s="12">
        <v>128.32</v>
      </c>
      <c r="Q242" s="12">
        <v>1.33</v>
      </c>
      <c r="R242" s="11">
        <v>1304776615673</v>
      </c>
      <c r="S242" s="11">
        <v>19233781858</v>
      </c>
      <c r="T242" s="11">
        <v>18649445078</v>
      </c>
      <c r="U242" s="11">
        <v>398773926</v>
      </c>
      <c r="V242" s="11">
        <v>185562854</v>
      </c>
      <c r="W242" s="11">
        <v>1324010397531</v>
      </c>
      <c r="X242" s="11">
        <v>169456706030</v>
      </c>
      <c r="Y242" s="11">
        <v>26750888994</v>
      </c>
      <c r="Z242" s="11">
        <v>1520217992555</v>
      </c>
      <c r="AA242" s="11">
        <v>1155978579949</v>
      </c>
      <c r="AB242" s="12">
        <v>14.54</v>
      </c>
      <c r="AC242" s="11">
        <v>584823314474</v>
      </c>
      <c r="AD242" s="11">
        <v>575682667899</v>
      </c>
      <c r="AE242" s="11">
        <v>10769862000</v>
      </c>
      <c r="AF242" s="11">
        <v>0</v>
      </c>
      <c r="AG242" s="11">
        <v>8128567861</v>
      </c>
      <c r="AH242" s="11">
        <v>0</v>
      </c>
      <c r="AI242" s="11">
        <v>0</v>
      </c>
      <c r="AJ242" s="12">
        <v>2</v>
      </c>
      <c r="AK242" s="11">
        <v>110223705000</v>
      </c>
      <c r="AL242" s="12">
        <v>27</v>
      </c>
      <c r="AM242" s="11">
        <v>864022740375</v>
      </c>
      <c r="AN242" s="12">
        <v>14</v>
      </c>
      <c r="AO242" s="11">
        <v>17875167420</v>
      </c>
      <c r="AP242" s="11">
        <v>19233781858</v>
      </c>
      <c r="AQ242" s="11">
        <v>15597858568</v>
      </c>
      <c r="AR242" s="11">
        <v>3635923290</v>
      </c>
      <c r="AS242" s="12">
        <v>23.31</v>
      </c>
      <c r="AT242" s="11">
        <v>490337673829</v>
      </c>
      <c r="AU242" s="11">
        <v>109017108408</v>
      </c>
      <c r="AV242" s="11">
        <v>345884347574</v>
      </c>
      <c r="AW242" s="11">
        <v>138555271832</v>
      </c>
      <c r="AX242" s="11">
        <v>236708183767</v>
      </c>
      <c r="AY242" s="11">
        <v>233041500000</v>
      </c>
      <c r="AZ242" s="11">
        <v>97952978631</v>
      </c>
      <c r="BA242" s="11">
        <v>1045514111576</v>
      </c>
      <c r="BB242" s="13">
        <v>79294</v>
      </c>
      <c r="BC242" s="11">
        <v>539112132164</v>
      </c>
      <c r="BD242" s="11">
        <v>236708183767</v>
      </c>
      <c r="BE242" s="11">
        <v>269693795645</v>
      </c>
      <c r="BF242" s="11">
        <v>505074884525</v>
      </c>
      <c r="BG242" s="11">
        <v>79748429949</v>
      </c>
      <c r="BH242" s="11">
        <v>10769862000</v>
      </c>
      <c r="BI242" s="11">
        <v>0</v>
      </c>
      <c r="BJ242" s="11">
        <v>0</v>
      </c>
      <c r="BK242" s="11">
        <v>0</v>
      </c>
      <c r="BL242" s="11">
        <v>0</v>
      </c>
      <c r="BM242" s="11">
        <v>0</v>
      </c>
    </row>
    <row r="243" spans="1:65" x14ac:dyDescent="0.25">
      <c r="A243" s="32"/>
      <c r="B243" s="10">
        <v>2106</v>
      </c>
      <c r="C243" s="10" t="s">
        <v>297</v>
      </c>
      <c r="D243" s="11">
        <v>781635681728</v>
      </c>
      <c r="E243" s="11">
        <v>47481360609</v>
      </c>
      <c r="F243" s="11">
        <v>0</v>
      </c>
      <c r="G243" s="11">
        <v>0</v>
      </c>
      <c r="H243" s="11">
        <v>829117042337</v>
      </c>
      <c r="I243" s="11">
        <v>70785392653</v>
      </c>
      <c r="J243" s="11">
        <v>758331649684</v>
      </c>
      <c r="K243" s="11">
        <v>717974919161</v>
      </c>
      <c r="L243" s="11">
        <v>111142123176</v>
      </c>
      <c r="M243" s="12">
        <v>15.48</v>
      </c>
      <c r="N243" s="11">
        <v>1073386314571</v>
      </c>
      <c r="O243" s="12">
        <v>145.18</v>
      </c>
      <c r="P243" s="12">
        <v>141.55000000000001</v>
      </c>
      <c r="Q243" s="12">
        <v>10.98</v>
      </c>
      <c r="R243" s="11">
        <v>1061340950840</v>
      </c>
      <c r="S243" s="11">
        <v>142408987132</v>
      </c>
      <c r="T243" s="11">
        <v>31589481920</v>
      </c>
      <c r="U243" s="11">
        <v>804509064</v>
      </c>
      <c r="V243" s="11">
        <v>110014996148</v>
      </c>
      <c r="W243" s="11">
        <v>1203749937972</v>
      </c>
      <c r="X243" s="11">
        <v>80566860487</v>
      </c>
      <c r="Y243" s="11">
        <v>18499638000</v>
      </c>
      <c r="Z243" s="11">
        <v>1302816436459</v>
      </c>
      <c r="AA243" s="11">
        <v>972935322510</v>
      </c>
      <c r="AB243" s="12">
        <v>23.72</v>
      </c>
      <c r="AC243" s="11">
        <v>586206286504</v>
      </c>
      <c r="AD243" s="11">
        <v>586206286504</v>
      </c>
      <c r="AE243" s="11">
        <v>154518405800</v>
      </c>
      <c r="AF243" s="11">
        <v>0</v>
      </c>
      <c r="AG243" s="11">
        <v>0</v>
      </c>
      <c r="AH243" s="11">
        <v>0</v>
      </c>
      <c r="AI243" s="11">
        <v>0</v>
      </c>
      <c r="AJ243" s="12">
        <v>0</v>
      </c>
      <c r="AK243" s="11">
        <v>0</v>
      </c>
      <c r="AL243" s="12">
        <v>123</v>
      </c>
      <c r="AM243" s="11">
        <v>402540117493</v>
      </c>
      <c r="AN243" s="12">
        <v>24</v>
      </c>
      <c r="AO243" s="11">
        <v>218877450915</v>
      </c>
      <c r="AP243" s="11">
        <v>142408987132</v>
      </c>
      <c r="AQ243" s="11">
        <v>17012164361</v>
      </c>
      <c r="AR243" s="11">
        <v>125396822771</v>
      </c>
      <c r="AS243" s="12">
        <v>737.1</v>
      </c>
      <c r="AT243" s="11">
        <v>458677532256</v>
      </c>
      <c r="AU243" s="11">
        <v>161824961400</v>
      </c>
      <c r="AV243" s="11">
        <v>160360468781</v>
      </c>
      <c r="AW243" s="11">
        <v>159041898364</v>
      </c>
      <c r="AX243" s="11">
        <v>216016314583</v>
      </c>
      <c r="AY243" s="11">
        <v>246217000000</v>
      </c>
      <c r="AZ243" s="11">
        <v>131422124142</v>
      </c>
      <c r="BA243" s="11">
        <v>829117042337</v>
      </c>
      <c r="BB243" s="13">
        <v>55537</v>
      </c>
      <c r="BC243" s="11">
        <v>366883727754</v>
      </c>
      <c r="BD243" s="11">
        <v>216016314583</v>
      </c>
      <c r="BE243" s="11">
        <v>246217000000</v>
      </c>
      <c r="BF243" s="11">
        <v>295423841191</v>
      </c>
      <c r="BG243" s="11">
        <v>290782445313</v>
      </c>
      <c r="BH243" s="11">
        <v>0</v>
      </c>
      <c r="BI243" s="11">
        <v>107668640158</v>
      </c>
      <c r="BJ243" s="11">
        <v>15889375244</v>
      </c>
      <c r="BK243" s="11">
        <v>0</v>
      </c>
      <c r="BL243" s="11">
        <v>777149114</v>
      </c>
      <c r="BM243" s="11">
        <v>0</v>
      </c>
    </row>
    <row r="244" spans="1:65" x14ac:dyDescent="0.25">
      <c r="A244" s="32"/>
      <c r="B244" s="10">
        <v>2107</v>
      </c>
      <c r="C244" s="10" t="s">
        <v>298</v>
      </c>
      <c r="D244" s="11">
        <v>458925154304</v>
      </c>
      <c r="E244" s="11">
        <v>941868336</v>
      </c>
      <c r="F244" s="11">
        <v>0</v>
      </c>
      <c r="G244" s="11">
        <v>0</v>
      </c>
      <c r="H244" s="11">
        <v>459867022640</v>
      </c>
      <c r="I244" s="11">
        <v>39304433998</v>
      </c>
      <c r="J244" s="11">
        <v>420562588642</v>
      </c>
      <c r="K244" s="11">
        <v>408758367458</v>
      </c>
      <c r="L244" s="11">
        <v>51108655182</v>
      </c>
      <c r="M244" s="12">
        <v>12.5</v>
      </c>
      <c r="N244" s="11">
        <v>918053134341</v>
      </c>
      <c r="O244" s="12">
        <v>211.28</v>
      </c>
      <c r="P244" s="12">
        <v>218.29</v>
      </c>
      <c r="Q244" s="12">
        <v>2.33</v>
      </c>
      <c r="R244" s="11">
        <v>947264211835</v>
      </c>
      <c r="S244" s="11">
        <v>24320584239</v>
      </c>
      <c r="T244" s="11">
        <v>17115349558</v>
      </c>
      <c r="U244" s="11">
        <v>7205234681</v>
      </c>
      <c r="V244" s="11">
        <v>0</v>
      </c>
      <c r="W244" s="11">
        <v>971584796074</v>
      </c>
      <c r="X244" s="11">
        <v>60571079626</v>
      </c>
      <c r="Y244" s="11">
        <v>10973940000</v>
      </c>
      <c r="Z244" s="11">
        <v>1043129815700</v>
      </c>
      <c r="AA244" s="11">
        <v>773731335137</v>
      </c>
      <c r="AB244" s="12">
        <v>25.57</v>
      </c>
      <c r="AC244" s="11">
        <v>439636223287</v>
      </c>
      <c r="AD244" s="11">
        <v>439636223287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2">
        <v>0</v>
      </c>
      <c r="AK244" s="11">
        <v>0</v>
      </c>
      <c r="AL244" s="12">
        <v>2</v>
      </c>
      <c r="AM244" s="11">
        <v>2111557050</v>
      </c>
      <c r="AN244" s="12">
        <v>4</v>
      </c>
      <c r="AO244" s="11">
        <v>2475800000</v>
      </c>
      <c r="AP244" s="11">
        <v>24320584239</v>
      </c>
      <c r="AQ244" s="11">
        <v>3699366476</v>
      </c>
      <c r="AR244" s="11">
        <v>20621217763</v>
      </c>
      <c r="AS244" s="12">
        <v>557.42999999999995</v>
      </c>
      <c r="AT244" s="11">
        <v>328389838395</v>
      </c>
      <c r="AU244" s="11">
        <v>72640710823</v>
      </c>
      <c r="AV244" s="11">
        <v>39901419496</v>
      </c>
      <c r="AW244" s="11">
        <v>119122622113</v>
      </c>
      <c r="AX244" s="11">
        <v>172939112695</v>
      </c>
      <c r="AY244" s="11">
        <v>126962000000</v>
      </c>
      <c r="AZ244" s="11">
        <v>159731812721</v>
      </c>
      <c r="BA244" s="11">
        <v>459867022640</v>
      </c>
      <c r="BB244" s="12">
        <v>10136</v>
      </c>
      <c r="BC244" s="11">
        <v>159965909945</v>
      </c>
      <c r="BD244" s="11">
        <v>172939112695</v>
      </c>
      <c r="BE244" s="11">
        <v>126962000000</v>
      </c>
      <c r="BF244" s="11">
        <v>331401893287</v>
      </c>
      <c r="BG244" s="11">
        <v>108234330000</v>
      </c>
      <c r="BH244" s="11">
        <v>0</v>
      </c>
      <c r="BI244" s="11">
        <v>0</v>
      </c>
      <c r="BJ244" s="11">
        <v>0</v>
      </c>
      <c r="BK244" s="11">
        <v>0</v>
      </c>
      <c r="BL244" s="11">
        <v>0</v>
      </c>
      <c r="BM244" s="11">
        <v>0</v>
      </c>
    </row>
    <row r="245" spans="1:65" x14ac:dyDescent="0.25">
      <c r="A245" s="32"/>
      <c r="B245" s="10">
        <v>2199</v>
      </c>
      <c r="C245" s="10" t="s">
        <v>299</v>
      </c>
      <c r="D245" s="11">
        <v>0</v>
      </c>
      <c r="E245" s="11">
        <v>3172806695</v>
      </c>
      <c r="F245" s="11">
        <v>0</v>
      </c>
      <c r="G245" s="11">
        <v>0</v>
      </c>
      <c r="H245" s="11">
        <v>3172806695</v>
      </c>
      <c r="I245" s="11">
        <v>260200746</v>
      </c>
      <c r="J245" s="11">
        <v>2912605949</v>
      </c>
      <c r="K245" s="11">
        <v>3118456695</v>
      </c>
      <c r="L245" s="11">
        <v>54350000</v>
      </c>
      <c r="M245" s="12">
        <v>1.74</v>
      </c>
      <c r="N245" s="11">
        <v>0</v>
      </c>
      <c r="O245" s="12">
        <v>0</v>
      </c>
      <c r="P245" s="12">
        <v>0</v>
      </c>
      <c r="Q245" s="12">
        <v>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11">
        <v>0</v>
      </c>
      <c r="X245" s="11">
        <v>0</v>
      </c>
      <c r="Y245" s="11">
        <v>0</v>
      </c>
      <c r="Z245" s="11">
        <v>0</v>
      </c>
      <c r="AA245" s="11">
        <v>0</v>
      </c>
      <c r="AB245" s="12"/>
      <c r="AC245" s="11">
        <v>0</v>
      </c>
      <c r="AD245" s="11">
        <v>0</v>
      </c>
      <c r="AE245" s="11">
        <v>0</v>
      </c>
      <c r="AF245" s="11">
        <v>0</v>
      </c>
      <c r="AG245" s="11">
        <v>0</v>
      </c>
      <c r="AH245" s="11">
        <v>0</v>
      </c>
      <c r="AI245" s="11">
        <v>0</v>
      </c>
      <c r="AJ245" s="12">
        <v>0</v>
      </c>
      <c r="AK245" s="11">
        <v>0</v>
      </c>
      <c r="AL245" s="12">
        <v>0</v>
      </c>
      <c r="AM245" s="11">
        <v>0</v>
      </c>
      <c r="AN245" s="12">
        <v>0</v>
      </c>
      <c r="AO245" s="11">
        <v>0</v>
      </c>
      <c r="AP245" s="11">
        <v>0</v>
      </c>
      <c r="AQ245" s="11">
        <v>0</v>
      </c>
      <c r="AR245" s="11">
        <v>0</v>
      </c>
      <c r="AS245" s="12"/>
      <c r="AT245" s="11">
        <v>0</v>
      </c>
      <c r="AU245" s="11">
        <v>0</v>
      </c>
      <c r="AV245" s="11">
        <v>0</v>
      </c>
      <c r="AW245" s="11">
        <v>0</v>
      </c>
      <c r="AX245" s="11">
        <v>0</v>
      </c>
      <c r="AY245" s="11">
        <v>0</v>
      </c>
      <c r="AZ245" s="11">
        <v>0</v>
      </c>
      <c r="BA245" s="11">
        <v>3172806695</v>
      </c>
      <c r="BB245" s="12">
        <v>0</v>
      </c>
      <c r="BC245" s="11">
        <v>3172806695</v>
      </c>
      <c r="BD245" s="11">
        <v>0</v>
      </c>
      <c r="BE245" s="11">
        <v>0</v>
      </c>
      <c r="BF245" s="11">
        <v>0</v>
      </c>
      <c r="BG245" s="11">
        <v>0</v>
      </c>
      <c r="BH245" s="11">
        <v>0</v>
      </c>
      <c r="BI245" s="11">
        <v>0</v>
      </c>
      <c r="BJ245" s="11">
        <v>0</v>
      </c>
      <c r="BK245" s="11">
        <v>0</v>
      </c>
      <c r="BL245" s="11">
        <v>0</v>
      </c>
      <c r="BM245" s="11">
        <v>0</v>
      </c>
    </row>
    <row r="246" spans="1:65" x14ac:dyDescent="0.25">
      <c r="A246" s="14" t="s">
        <v>602</v>
      </c>
      <c r="B246" s="15"/>
      <c r="C246" s="15"/>
      <c r="D246" s="16">
        <v>10881562829826</v>
      </c>
      <c r="E246" s="16">
        <v>610252678515</v>
      </c>
      <c r="F246" s="16">
        <v>76400000000</v>
      </c>
      <c r="G246" s="16">
        <v>981315800</v>
      </c>
      <c r="H246" s="16">
        <v>11569196824141</v>
      </c>
      <c r="I246" s="16">
        <v>912118048207</v>
      </c>
      <c r="J246" s="16">
        <v>10657078775934</v>
      </c>
      <c r="K246" s="16">
        <v>11342493661329</v>
      </c>
      <c r="L246" s="16">
        <v>226703162812</v>
      </c>
      <c r="M246" s="17">
        <v>2</v>
      </c>
      <c r="N246" s="16">
        <v>12719837003786</v>
      </c>
      <c r="O246" s="17">
        <v>127.57</v>
      </c>
      <c r="P246" s="17">
        <v>119.36</v>
      </c>
      <c r="Q246" s="17">
        <v>3.14</v>
      </c>
      <c r="R246" s="16">
        <v>14285828128317</v>
      </c>
      <c r="S246" s="16">
        <v>472772743784</v>
      </c>
      <c r="T246" s="16">
        <v>170255522632</v>
      </c>
      <c r="U246" s="16">
        <v>95799352060</v>
      </c>
      <c r="V246" s="16">
        <v>206717869092</v>
      </c>
      <c r="W246" s="16">
        <v>14758600872101</v>
      </c>
      <c r="X246" s="16">
        <v>866686701747</v>
      </c>
      <c r="Y246" s="16">
        <v>129956612815</v>
      </c>
      <c r="Z246" s="16">
        <v>15755244186663</v>
      </c>
      <c r="AA246" s="16">
        <v>12869663267086</v>
      </c>
      <c r="AB246" s="17">
        <v>14.68</v>
      </c>
      <c r="AC246" s="16">
        <v>8896124214119</v>
      </c>
      <c r="AD246" s="16">
        <v>8791748303569</v>
      </c>
      <c r="AE246" s="16">
        <v>665531740542</v>
      </c>
      <c r="AF246" s="16">
        <v>36000000000</v>
      </c>
      <c r="AG246" s="16">
        <v>13503173603</v>
      </c>
      <c r="AH246" s="16">
        <v>3000000000</v>
      </c>
      <c r="AI246" s="16">
        <v>0</v>
      </c>
      <c r="AJ246" s="17">
        <v>19</v>
      </c>
      <c r="AK246" s="16">
        <v>1995414405725</v>
      </c>
      <c r="AL246" s="17">
        <v>331</v>
      </c>
      <c r="AM246" s="16">
        <v>2402970523166</v>
      </c>
      <c r="AN246" s="18">
        <f>SUM(AN237:AN245)</f>
        <v>140</v>
      </c>
      <c r="AO246" s="16">
        <f>SUM(AO237:AO245)</f>
        <v>751502148412</v>
      </c>
      <c r="AP246" s="16">
        <v>472772743784</v>
      </c>
      <c r="AQ246" s="16">
        <v>297465621445</v>
      </c>
      <c r="AR246" s="16">
        <v>175307122339</v>
      </c>
      <c r="AS246" s="17">
        <v>58.93</v>
      </c>
      <c r="AT246" s="16">
        <v>8465253421402</v>
      </c>
      <c r="AU246" s="16">
        <v>1750150241465</v>
      </c>
      <c r="AV246" s="16">
        <v>4356947447830</v>
      </c>
      <c r="AW246" s="16">
        <v>1220336834425</v>
      </c>
      <c r="AX246" s="16">
        <v>2020315047571</v>
      </c>
      <c r="AY246" s="16">
        <v>3283963500000</v>
      </c>
      <c r="AZ246" s="16">
        <v>1206714606945</v>
      </c>
      <c r="BA246" s="16">
        <v>11569196824141</v>
      </c>
      <c r="BB246" s="18">
        <v>802695</v>
      </c>
      <c r="BC246" s="16">
        <v>6048907608302</v>
      </c>
      <c r="BD246" s="16">
        <v>2096715047571</v>
      </c>
      <c r="BE246" s="16">
        <v>3423574168268</v>
      </c>
      <c r="BF246" s="16">
        <v>5440033470481</v>
      </c>
      <c r="BG246" s="16">
        <v>3456090743638</v>
      </c>
      <c r="BH246" s="16">
        <v>10769862000</v>
      </c>
      <c r="BI246" s="16">
        <v>122464548858</v>
      </c>
      <c r="BJ246" s="16">
        <v>539370529585</v>
      </c>
      <c r="BK246" s="16">
        <v>0</v>
      </c>
      <c r="BL246" s="16">
        <v>33894300389</v>
      </c>
      <c r="BM246" s="16">
        <v>0</v>
      </c>
    </row>
    <row r="247" spans="1:65" x14ac:dyDescent="0.25">
      <c r="A247" s="32" t="s">
        <v>300</v>
      </c>
      <c r="B247" s="10">
        <v>1</v>
      </c>
      <c r="C247" s="10" t="s">
        <v>301</v>
      </c>
      <c r="D247" s="11">
        <v>0</v>
      </c>
      <c r="E247" s="11">
        <v>244146332</v>
      </c>
      <c r="F247" s="11">
        <v>0</v>
      </c>
      <c r="G247" s="11">
        <v>0</v>
      </c>
      <c r="H247" s="11">
        <v>244146332</v>
      </c>
      <c r="I247" s="11">
        <v>0</v>
      </c>
      <c r="J247" s="11">
        <v>244146332</v>
      </c>
      <c r="K247" s="11">
        <v>27248290</v>
      </c>
      <c r="L247" s="11">
        <v>216898042</v>
      </c>
      <c r="M247" s="12">
        <v>796.01</v>
      </c>
      <c r="N247" s="11">
        <v>0</v>
      </c>
      <c r="O247" s="12">
        <v>0</v>
      </c>
      <c r="P247" s="12">
        <v>0</v>
      </c>
      <c r="Q247" s="12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2"/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2">
        <v>0</v>
      </c>
      <c r="AK247" s="11">
        <v>0</v>
      </c>
      <c r="AL247" s="12">
        <v>0</v>
      </c>
      <c r="AM247" s="11">
        <v>0</v>
      </c>
      <c r="AN247" s="12">
        <v>0</v>
      </c>
      <c r="AO247" s="11">
        <v>0</v>
      </c>
      <c r="AP247" s="11">
        <v>0</v>
      </c>
      <c r="AQ247" s="11">
        <v>0</v>
      </c>
      <c r="AR247" s="11">
        <v>0</v>
      </c>
      <c r="AS247" s="12"/>
      <c r="AT247" s="11">
        <v>0</v>
      </c>
      <c r="AU247" s="11">
        <v>0</v>
      </c>
      <c r="AV247" s="11">
        <v>0</v>
      </c>
      <c r="AW247" s="11">
        <v>0</v>
      </c>
      <c r="AX247" s="11">
        <v>0</v>
      </c>
      <c r="AY247" s="11">
        <v>0</v>
      </c>
      <c r="AZ247" s="11">
        <v>0</v>
      </c>
      <c r="BA247" s="11">
        <v>244146332</v>
      </c>
      <c r="BB247" s="12">
        <v>0</v>
      </c>
      <c r="BC247" s="11">
        <v>244146332</v>
      </c>
      <c r="BD247" s="11">
        <v>0</v>
      </c>
      <c r="BE247" s="11">
        <v>0</v>
      </c>
      <c r="BF247" s="11">
        <v>0</v>
      </c>
      <c r="BG247" s="11">
        <v>0</v>
      </c>
      <c r="BH247" s="11">
        <v>0</v>
      </c>
      <c r="BI247" s="11">
        <v>0</v>
      </c>
      <c r="BJ247" s="11">
        <v>0</v>
      </c>
      <c r="BK247" s="11">
        <v>0</v>
      </c>
      <c r="BL247" s="11">
        <v>0</v>
      </c>
      <c r="BM247" s="11">
        <v>0</v>
      </c>
    </row>
    <row r="248" spans="1:65" x14ac:dyDescent="0.25">
      <c r="A248" s="32"/>
      <c r="B248" s="10">
        <v>100</v>
      </c>
      <c r="C248" s="10" t="s">
        <v>302</v>
      </c>
      <c r="D248" s="11">
        <v>0</v>
      </c>
      <c r="E248" s="11">
        <v>0</v>
      </c>
      <c r="F248" s="11">
        <v>0</v>
      </c>
      <c r="G248" s="11">
        <v>0</v>
      </c>
      <c r="H248" s="11">
        <v>0</v>
      </c>
      <c r="I248" s="11">
        <v>0</v>
      </c>
      <c r="J248" s="11">
        <v>0</v>
      </c>
      <c r="K248" s="11">
        <v>0</v>
      </c>
      <c r="L248" s="11">
        <v>0</v>
      </c>
      <c r="M248" s="12">
        <v>0</v>
      </c>
      <c r="N248" s="11">
        <v>0</v>
      </c>
      <c r="O248" s="12">
        <v>0</v>
      </c>
      <c r="P248" s="12"/>
      <c r="Q248" s="12">
        <v>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11">
        <v>0</v>
      </c>
      <c r="X248" s="11">
        <v>0</v>
      </c>
      <c r="Y248" s="11">
        <v>0</v>
      </c>
      <c r="Z248" s="11">
        <v>0</v>
      </c>
      <c r="AA248" s="11">
        <v>0</v>
      </c>
      <c r="AB248" s="12"/>
      <c r="AC248" s="11">
        <v>0</v>
      </c>
      <c r="AD248" s="11">
        <v>0</v>
      </c>
      <c r="AE248" s="11">
        <v>0</v>
      </c>
      <c r="AF248" s="11">
        <v>0</v>
      </c>
      <c r="AG248" s="11">
        <v>0</v>
      </c>
      <c r="AH248" s="11">
        <v>0</v>
      </c>
      <c r="AI248" s="11">
        <v>0</v>
      </c>
      <c r="AJ248" s="12">
        <v>0</v>
      </c>
      <c r="AK248" s="11">
        <v>0</v>
      </c>
      <c r="AL248" s="12">
        <v>0</v>
      </c>
      <c r="AM248" s="11">
        <v>0</v>
      </c>
      <c r="AN248" s="12">
        <v>0</v>
      </c>
      <c r="AO248" s="11">
        <v>0</v>
      </c>
      <c r="AP248" s="11">
        <v>0</v>
      </c>
      <c r="AQ248" s="11">
        <v>0</v>
      </c>
      <c r="AR248" s="11">
        <v>0</v>
      </c>
      <c r="AS248" s="12"/>
      <c r="AT248" s="11">
        <v>0</v>
      </c>
      <c r="AU248" s="11">
        <v>0</v>
      </c>
      <c r="AV248" s="11">
        <v>0</v>
      </c>
      <c r="AW248" s="11">
        <v>0</v>
      </c>
      <c r="AX248" s="11">
        <v>0</v>
      </c>
      <c r="AY248" s="11">
        <v>0</v>
      </c>
      <c r="AZ248" s="11">
        <v>0</v>
      </c>
      <c r="BA248" s="11">
        <v>0</v>
      </c>
      <c r="BB248" s="12">
        <v>23969</v>
      </c>
      <c r="BC248" s="11">
        <v>0</v>
      </c>
      <c r="BD248" s="11">
        <v>0</v>
      </c>
      <c r="BE248" s="11">
        <v>0</v>
      </c>
      <c r="BF248" s="11">
        <v>0</v>
      </c>
      <c r="BG248" s="11">
        <v>0</v>
      </c>
      <c r="BH248" s="11">
        <v>0</v>
      </c>
      <c r="BI248" s="11">
        <v>0</v>
      </c>
      <c r="BJ248" s="11">
        <v>0</v>
      </c>
      <c r="BK248" s="11">
        <v>0</v>
      </c>
      <c r="BL248" s="11">
        <v>0</v>
      </c>
      <c r="BM248" s="11">
        <v>0</v>
      </c>
    </row>
    <row r="249" spans="1:65" x14ac:dyDescent="0.25">
      <c r="A249" s="32"/>
      <c r="B249" s="10">
        <v>1001</v>
      </c>
      <c r="C249" s="10" t="s">
        <v>303</v>
      </c>
      <c r="D249" s="11">
        <v>6676612112394</v>
      </c>
      <c r="E249" s="11">
        <v>8068368591265</v>
      </c>
      <c r="F249" s="11">
        <v>26945598895281</v>
      </c>
      <c r="G249" s="11">
        <v>0</v>
      </c>
      <c r="H249" s="11">
        <v>41690579598940</v>
      </c>
      <c r="I249" s="11">
        <v>2536793010113</v>
      </c>
      <c r="J249" s="11">
        <v>39153786588827</v>
      </c>
      <c r="K249" s="11">
        <v>21601776001456</v>
      </c>
      <c r="L249" s="11">
        <v>20088803597484</v>
      </c>
      <c r="M249" s="12">
        <v>93</v>
      </c>
      <c r="N249" s="11">
        <v>669276775285</v>
      </c>
      <c r="O249" s="12">
        <v>0</v>
      </c>
      <c r="P249" s="12">
        <v>1.71</v>
      </c>
      <c r="Q249" s="12">
        <v>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11">
        <v>0</v>
      </c>
      <c r="X249" s="11">
        <v>706052055040</v>
      </c>
      <c r="Y249" s="11">
        <v>0</v>
      </c>
      <c r="Z249" s="11">
        <v>706052055040</v>
      </c>
      <c r="AA249" s="11">
        <v>0</v>
      </c>
      <c r="AB249" s="12"/>
      <c r="AC249" s="11">
        <v>0</v>
      </c>
      <c r="AD249" s="11">
        <v>0</v>
      </c>
      <c r="AE249" s="11">
        <v>0</v>
      </c>
      <c r="AF249" s="11">
        <v>0</v>
      </c>
      <c r="AG249" s="11">
        <v>0</v>
      </c>
      <c r="AH249" s="11">
        <v>0</v>
      </c>
      <c r="AI249" s="11">
        <v>0</v>
      </c>
      <c r="AJ249" s="12">
        <v>0</v>
      </c>
      <c r="AK249" s="11">
        <v>0</v>
      </c>
      <c r="AL249" s="12">
        <v>0</v>
      </c>
      <c r="AM249" s="11">
        <v>0</v>
      </c>
      <c r="AN249" s="12">
        <v>0</v>
      </c>
      <c r="AO249" s="11">
        <v>0</v>
      </c>
      <c r="AP249" s="11">
        <v>0</v>
      </c>
      <c r="AQ249" s="11">
        <v>0</v>
      </c>
      <c r="AR249" s="11">
        <v>0</v>
      </c>
      <c r="AS249" s="12"/>
      <c r="AT249" s="11">
        <v>0</v>
      </c>
      <c r="AU249" s="11">
        <v>0</v>
      </c>
      <c r="AV249" s="11">
        <v>3889623048338</v>
      </c>
      <c r="AW249" s="11">
        <v>2744598144247</v>
      </c>
      <c r="AX249" s="11">
        <v>42390919809</v>
      </c>
      <c r="AY249" s="11">
        <v>0</v>
      </c>
      <c r="AZ249" s="11">
        <v>0</v>
      </c>
      <c r="BA249" s="11">
        <v>41690579598940</v>
      </c>
      <c r="BB249" s="12">
        <v>0</v>
      </c>
      <c r="BC249" s="11">
        <v>12868089920270</v>
      </c>
      <c r="BD249" s="11">
        <v>26987989815090</v>
      </c>
      <c r="BE249" s="11">
        <v>1834499863580</v>
      </c>
      <c r="BF249" s="11">
        <v>0</v>
      </c>
      <c r="BG249" s="11">
        <v>0</v>
      </c>
      <c r="BH249" s="11">
        <v>0</v>
      </c>
      <c r="BI249" s="11">
        <v>0</v>
      </c>
      <c r="BJ249" s="11">
        <v>0</v>
      </c>
      <c r="BK249" s="11">
        <v>0</v>
      </c>
      <c r="BL249" s="11">
        <v>0</v>
      </c>
      <c r="BM249" s="11">
        <v>0</v>
      </c>
    </row>
    <row r="250" spans="1:65" x14ac:dyDescent="0.25">
      <c r="A250" s="32"/>
      <c r="B250" s="10">
        <v>1002</v>
      </c>
      <c r="C250" s="10" t="s">
        <v>304</v>
      </c>
      <c r="D250" s="11">
        <v>0</v>
      </c>
      <c r="E250" s="11">
        <v>13836000</v>
      </c>
      <c r="F250" s="11">
        <v>0</v>
      </c>
      <c r="G250" s="11">
        <v>0</v>
      </c>
      <c r="H250" s="11">
        <v>13836000</v>
      </c>
      <c r="I250" s="11">
        <v>0</v>
      </c>
      <c r="J250" s="11">
        <v>13836000</v>
      </c>
      <c r="K250" s="11">
        <v>12864000</v>
      </c>
      <c r="L250" s="11">
        <v>972000</v>
      </c>
      <c r="M250" s="12">
        <v>7.56</v>
      </c>
      <c r="N250" s="11">
        <v>0</v>
      </c>
      <c r="O250" s="12">
        <v>0</v>
      </c>
      <c r="P250" s="12">
        <v>0</v>
      </c>
      <c r="Q250" s="12">
        <v>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11">
        <v>0</v>
      </c>
      <c r="X250" s="11">
        <v>0</v>
      </c>
      <c r="Y250" s="11">
        <v>0</v>
      </c>
      <c r="Z250" s="11">
        <v>0</v>
      </c>
      <c r="AA250" s="11">
        <v>0</v>
      </c>
      <c r="AB250" s="12"/>
      <c r="AC250" s="11">
        <v>0</v>
      </c>
      <c r="AD250" s="11">
        <v>0</v>
      </c>
      <c r="AE250" s="11">
        <v>0</v>
      </c>
      <c r="AF250" s="11">
        <v>0</v>
      </c>
      <c r="AG250" s="11">
        <v>0</v>
      </c>
      <c r="AH250" s="11">
        <v>0</v>
      </c>
      <c r="AI250" s="11">
        <v>0</v>
      </c>
      <c r="AJ250" s="12">
        <v>0</v>
      </c>
      <c r="AK250" s="11">
        <v>0</v>
      </c>
      <c r="AL250" s="12">
        <v>0</v>
      </c>
      <c r="AM250" s="11">
        <v>0</v>
      </c>
      <c r="AN250" s="12">
        <v>0</v>
      </c>
      <c r="AO250" s="11">
        <v>0</v>
      </c>
      <c r="AP250" s="11">
        <v>0</v>
      </c>
      <c r="AQ250" s="11">
        <v>0</v>
      </c>
      <c r="AR250" s="11">
        <v>0</v>
      </c>
      <c r="AS250" s="12"/>
      <c r="AT250" s="11">
        <v>0</v>
      </c>
      <c r="AU250" s="11">
        <v>0</v>
      </c>
      <c r="AV250" s="11">
        <v>0</v>
      </c>
      <c r="AW250" s="11">
        <v>0</v>
      </c>
      <c r="AX250" s="11">
        <v>0</v>
      </c>
      <c r="AY250" s="11">
        <v>0</v>
      </c>
      <c r="AZ250" s="11">
        <v>0</v>
      </c>
      <c r="BA250" s="11">
        <v>13836000</v>
      </c>
      <c r="BB250" s="12">
        <v>0</v>
      </c>
      <c r="BC250" s="11">
        <v>13836000</v>
      </c>
      <c r="BD250" s="11">
        <v>0</v>
      </c>
      <c r="BE250" s="11">
        <v>0</v>
      </c>
      <c r="BF250" s="11">
        <v>0</v>
      </c>
      <c r="BG250" s="11">
        <v>0</v>
      </c>
      <c r="BH250" s="11">
        <v>0</v>
      </c>
      <c r="BI250" s="11">
        <v>0</v>
      </c>
      <c r="BJ250" s="11">
        <v>0</v>
      </c>
      <c r="BK250" s="11">
        <v>0</v>
      </c>
      <c r="BL250" s="11">
        <v>0</v>
      </c>
      <c r="BM250" s="11">
        <v>0</v>
      </c>
    </row>
    <row r="251" spans="1:65" x14ac:dyDescent="0.25">
      <c r="A251" s="32"/>
      <c r="B251" s="10">
        <v>1003</v>
      </c>
      <c r="C251" s="10" t="s">
        <v>305</v>
      </c>
      <c r="D251" s="11">
        <v>0</v>
      </c>
      <c r="E251" s="11">
        <v>1900180000</v>
      </c>
      <c r="F251" s="11">
        <v>0</v>
      </c>
      <c r="G251" s="11">
        <v>0</v>
      </c>
      <c r="H251" s="11">
        <v>1900180000</v>
      </c>
      <c r="I251" s="11">
        <v>0</v>
      </c>
      <c r="J251" s="11">
        <v>1900180000</v>
      </c>
      <c r="K251" s="11">
        <v>26180330423</v>
      </c>
      <c r="L251" s="11">
        <v>-24280150423</v>
      </c>
      <c r="M251" s="12">
        <v>-92.74</v>
      </c>
      <c r="N251" s="11">
        <v>0</v>
      </c>
      <c r="O251" s="12">
        <v>0</v>
      </c>
      <c r="P251" s="12">
        <v>0</v>
      </c>
      <c r="Q251" s="12">
        <v>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11">
        <v>0</v>
      </c>
      <c r="X251" s="11">
        <v>0</v>
      </c>
      <c r="Y251" s="11">
        <v>0</v>
      </c>
      <c r="Z251" s="11">
        <v>0</v>
      </c>
      <c r="AA251" s="11">
        <v>0</v>
      </c>
      <c r="AB251" s="12"/>
      <c r="AC251" s="11">
        <v>0</v>
      </c>
      <c r="AD251" s="11">
        <v>0</v>
      </c>
      <c r="AE251" s="11">
        <v>0</v>
      </c>
      <c r="AF251" s="11">
        <v>0</v>
      </c>
      <c r="AG251" s="11">
        <v>0</v>
      </c>
      <c r="AH251" s="11">
        <v>0</v>
      </c>
      <c r="AI251" s="11">
        <v>0</v>
      </c>
      <c r="AJ251" s="12">
        <v>0</v>
      </c>
      <c r="AK251" s="11">
        <v>0</v>
      </c>
      <c r="AL251" s="12">
        <v>0</v>
      </c>
      <c r="AM251" s="11">
        <v>0</v>
      </c>
      <c r="AN251" s="12">
        <v>0</v>
      </c>
      <c r="AO251" s="11">
        <v>0</v>
      </c>
      <c r="AP251" s="11">
        <v>0</v>
      </c>
      <c r="AQ251" s="11">
        <v>0</v>
      </c>
      <c r="AR251" s="11">
        <v>0</v>
      </c>
      <c r="AS251" s="12"/>
      <c r="AT251" s="11">
        <v>0</v>
      </c>
      <c r="AU251" s="11">
        <v>0</v>
      </c>
      <c r="AV251" s="11">
        <v>0</v>
      </c>
      <c r="AW251" s="11">
        <v>0</v>
      </c>
      <c r="AX251" s="11">
        <v>0</v>
      </c>
      <c r="AY251" s="11">
        <v>0</v>
      </c>
      <c r="AZ251" s="11">
        <v>0</v>
      </c>
      <c r="BA251" s="11">
        <v>1900180000</v>
      </c>
      <c r="BB251" s="12">
        <v>0</v>
      </c>
      <c r="BC251" s="11">
        <v>1900180000</v>
      </c>
      <c r="BD251" s="11">
        <v>0</v>
      </c>
      <c r="BE251" s="11">
        <v>0</v>
      </c>
      <c r="BF251" s="11">
        <v>0</v>
      </c>
      <c r="BG251" s="11">
        <v>0</v>
      </c>
      <c r="BH251" s="11">
        <v>0</v>
      </c>
      <c r="BI251" s="11">
        <v>0</v>
      </c>
      <c r="BJ251" s="11">
        <v>0</v>
      </c>
      <c r="BK251" s="11">
        <v>0</v>
      </c>
      <c r="BL251" s="11">
        <v>0</v>
      </c>
      <c r="BM251" s="11">
        <v>0</v>
      </c>
    </row>
    <row r="252" spans="1:65" x14ac:dyDescent="0.25">
      <c r="A252" s="32"/>
      <c r="B252" s="10">
        <v>1004</v>
      </c>
      <c r="C252" s="10" t="s">
        <v>306</v>
      </c>
      <c r="D252" s="11">
        <v>0</v>
      </c>
      <c r="E252" s="11">
        <v>273351670</v>
      </c>
      <c r="F252" s="11">
        <v>0</v>
      </c>
      <c r="G252" s="11">
        <v>0</v>
      </c>
      <c r="H252" s="11">
        <v>273351670</v>
      </c>
      <c r="I252" s="11">
        <v>0</v>
      </c>
      <c r="J252" s="11">
        <v>273351670</v>
      </c>
      <c r="K252" s="11">
        <v>14135953998</v>
      </c>
      <c r="L252" s="11">
        <v>-13862602328</v>
      </c>
      <c r="M252" s="12">
        <v>-98.07</v>
      </c>
      <c r="N252" s="11">
        <v>0</v>
      </c>
      <c r="O252" s="12">
        <v>0</v>
      </c>
      <c r="P252" s="12">
        <v>0</v>
      </c>
      <c r="Q252" s="12">
        <v>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11">
        <v>0</v>
      </c>
      <c r="X252" s="11">
        <v>0</v>
      </c>
      <c r="Y252" s="11">
        <v>0</v>
      </c>
      <c r="Z252" s="11">
        <v>0</v>
      </c>
      <c r="AA252" s="11">
        <v>0</v>
      </c>
      <c r="AB252" s="12"/>
      <c r="AC252" s="11">
        <v>0</v>
      </c>
      <c r="AD252" s="11">
        <v>0</v>
      </c>
      <c r="AE252" s="11">
        <v>0</v>
      </c>
      <c r="AF252" s="11">
        <v>0</v>
      </c>
      <c r="AG252" s="11">
        <v>0</v>
      </c>
      <c r="AH252" s="11">
        <v>0</v>
      </c>
      <c r="AI252" s="11">
        <v>0</v>
      </c>
      <c r="AJ252" s="12">
        <v>0</v>
      </c>
      <c r="AK252" s="11">
        <v>0</v>
      </c>
      <c r="AL252" s="12">
        <v>0</v>
      </c>
      <c r="AM252" s="11">
        <v>0</v>
      </c>
      <c r="AN252" s="12">
        <v>0</v>
      </c>
      <c r="AO252" s="11">
        <v>0</v>
      </c>
      <c r="AP252" s="11">
        <v>0</v>
      </c>
      <c r="AQ252" s="11">
        <v>0</v>
      </c>
      <c r="AR252" s="11">
        <v>0</v>
      </c>
      <c r="AS252" s="12"/>
      <c r="AT252" s="11">
        <v>0</v>
      </c>
      <c r="AU252" s="11">
        <v>0</v>
      </c>
      <c r="AV252" s="11">
        <v>0</v>
      </c>
      <c r="AW252" s="11">
        <v>0</v>
      </c>
      <c r="AX252" s="11">
        <v>0</v>
      </c>
      <c r="AY252" s="11">
        <v>0</v>
      </c>
      <c r="AZ252" s="11">
        <v>0</v>
      </c>
      <c r="BA252" s="11">
        <v>273351670</v>
      </c>
      <c r="BB252" s="12">
        <v>0</v>
      </c>
      <c r="BC252" s="11">
        <v>273351670</v>
      </c>
      <c r="BD252" s="11">
        <v>0</v>
      </c>
      <c r="BE252" s="11">
        <v>0</v>
      </c>
      <c r="BF252" s="11">
        <v>0</v>
      </c>
      <c r="BG252" s="11">
        <v>0</v>
      </c>
      <c r="BH252" s="11">
        <v>0</v>
      </c>
      <c r="BI252" s="11">
        <v>0</v>
      </c>
      <c r="BJ252" s="11">
        <v>0</v>
      </c>
      <c r="BK252" s="11">
        <v>0</v>
      </c>
      <c r="BL252" s="11">
        <v>0</v>
      </c>
      <c r="BM252" s="11">
        <v>0</v>
      </c>
    </row>
    <row r="253" spans="1:65" x14ac:dyDescent="0.25">
      <c r="A253" s="32"/>
      <c r="B253" s="10">
        <v>1005</v>
      </c>
      <c r="C253" s="10" t="s">
        <v>307</v>
      </c>
      <c r="D253" s="11">
        <v>0</v>
      </c>
      <c r="E253" s="11">
        <v>0</v>
      </c>
      <c r="F253" s="11">
        <v>0</v>
      </c>
      <c r="G253" s="11">
        <v>0</v>
      </c>
      <c r="H253" s="11">
        <v>0</v>
      </c>
      <c r="I253" s="11">
        <v>0</v>
      </c>
      <c r="J253" s="11">
        <v>0</v>
      </c>
      <c r="K253" s="11">
        <v>0</v>
      </c>
      <c r="L253" s="11">
        <v>0</v>
      </c>
      <c r="M253" s="12">
        <v>0</v>
      </c>
      <c r="N253" s="11">
        <v>0</v>
      </c>
      <c r="O253" s="12">
        <v>0</v>
      </c>
      <c r="P253" s="12"/>
      <c r="Q253" s="12">
        <v>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11">
        <v>0</v>
      </c>
      <c r="X253" s="11">
        <v>0</v>
      </c>
      <c r="Y253" s="11">
        <v>0</v>
      </c>
      <c r="Z253" s="11">
        <v>0</v>
      </c>
      <c r="AA253" s="11">
        <v>0</v>
      </c>
      <c r="AB253" s="12"/>
      <c r="AC253" s="11">
        <v>0</v>
      </c>
      <c r="AD253" s="11">
        <v>0</v>
      </c>
      <c r="AE253" s="11">
        <v>0</v>
      </c>
      <c r="AF253" s="11">
        <v>0</v>
      </c>
      <c r="AG253" s="11">
        <v>0</v>
      </c>
      <c r="AH253" s="11">
        <v>0</v>
      </c>
      <c r="AI253" s="11">
        <v>0</v>
      </c>
      <c r="AJ253" s="12">
        <v>0</v>
      </c>
      <c r="AK253" s="11">
        <v>0</v>
      </c>
      <c r="AL253" s="12">
        <v>0</v>
      </c>
      <c r="AM253" s="11">
        <v>0</v>
      </c>
      <c r="AN253" s="12">
        <v>0</v>
      </c>
      <c r="AO253" s="11">
        <v>0</v>
      </c>
      <c r="AP253" s="11">
        <v>0</v>
      </c>
      <c r="AQ253" s="11">
        <v>0</v>
      </c>
      <c r="AR253" s="11">
        <v>0</v>
      </c>
      <c r="AS253" s="12"/>
      <c r="AT253" s="11">
        <v>0</v>
      </c>
      <c r="AU253" s="11">
        <v>0</v>
      </c>
      <c r="AV253" s="11">
        <v>0</v>
      </c>
      <c r="AW253" s="11">
        <v>0</v>
      </c>
      <c r="AX253" s="11">
        <v>0</v>
      </c>
      <c r="AY253" s="11">
        <v>0</v>
      </c>
      <c r="AZ253" s="11">
        <v>0</v>
      </c>
      <c r="BA253" s="11">
        <v>0</v>
      </c>
      <c r="BB253" s="12">
        <v>0</v>
      </c>
      <c r="BC253" s="11">
        <v>0</v>
      </c>
      <c r="BD253" s="11">
        <v>0</v>
      </c>
      <c r="BE253" s="11">
        <v>0</v>
      </c>
      <c r="BF253" s="11">
        <v>0</v>
      </c>
      <c r="BG253" s="11">
        <v>0</v>
      </c>
      <c r="BH253" s="11">
        <v>0</v>
      </c>
      <c r="BI253" s="11">
        <v>0</v>
      </c>
      <c r="BJ253" s="11">
        <v>0</v>
      </c>
      <c r="BK253" s="11">
        <v>0</v>
      </c>
      <c r="BL253" s="11">
        <v>0</v>
      </c>
      <c r="BM253" s="11">
        <v>0</v>
      </c>
    </row>
    <row r="254" spans="1:65" x14ac:dyDescent="0.25">
      <c r="A254" s="32"/>
      <c r="B254" s="10">
        <v>101</v>
      </c>
      <c r="C254" s="10" t="s">
        <v>308</v>
      </c>
      <c r="D254" s="11">
        <v>0</v>
      </c>
      <c r="E254" s="11">
        <v>0</v>
      </c>
      <c r="F254" s="11">
        <v>0</v>
      </c>
      <c r="G254" s="11">
        <v>0</v>
      </c>
      <c r="H254" s="11">
        <v>0</v>
      </c>
      <c r="I254" s="11">
        <v>0</v>
      </c>
      <c r="J254" s="11">
        <v>0</v>
      </c>
      <c r="K254" s="11">
        <v>0</v>
      </c>
      <c r="L254" s="11">
        <v>0</v>
      </c>
      <c r="M254" s="12">
        <v>0</v>
      </c>
      <c r="N254" s="11">
        <v>0</v>
      </c>
      <c r="O254" s="12">
        <v>0</v>
      </c>
      <c r="P254" s="12"/>
      <c r="Q254" s="12">
        <v>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11">
        <v>0</v>
      </c>
      <c r="X254" s="11">
        <v>0</v>
      </c>
      <c r="Y254" s="11">
        <v>0</v>
      </c>
      <c r="Z254" s="11">
        <v>0</v>
      </c>
      <c r="AA254" s="11">
        <v>0</v>
      </c>
      <c r="AB254" s="12"/>
      <c r="AC254" s="11">
        <v>0</v>
      </c>
      <c r="AD254" s="11">
        <v>0</v>
      </c>
      <c r="AE254" s="11">
        <v>0</v>
      </c>
      <c r="AF254" s="11">
        <v>0</v>
      </c>
      <c r="AG254" s="11">
        <v>0</v>
      </c>
      <c r="AH254" s="11">
        <v>0</v>
      </c>
      <c r="AI254" s="11">
        <v>0</v>
      </c>
      <c r="AJ254" s="12">
        <v>0</v>
      </c>
      <c r="AK254" s="11">
        <v>0</v>
      </c>
      <c r="AL254" s="12">
        <v>0</v>
      </c>
      <c r="AM254" s="11">
        <v>0</v>
      </c>
      <c r="AN254" s="12">
        <v>0</v>
      </c>
      <c r="AO254" s="11">
        <v>0</v>
      </c>
      <c r="AP254" s="11">
        <v>0</v>
      </c>
      <c r="AQ254" s="11">
        <v>0</v>
      </c>
      <c r="AR254" s="11">
        <v>0</v>
      </c>
      <c r="AS254" s="12"/>
      <c r="AT254" s="11">
        <v>0</v>
      </c>
      <c r="AU254" s="11">
        <v>0</v>
      </c>
      <c r="AV254" s="11">
        <v>0</v>
      </c>
      <c r="AW254" s="11">
        <v>0</v>
      </c>
      <c r="AX254" s="11">
        <v>0</v>
      </c>
      <c r="AY254" s="11">
        <v>0</v>
      </c>
      <c r="AZ254" s="11">
        <v>0</v>
      </c>
      <c r="BA254" s="11">
        <v>0</v>
      </c>
      <c r="BB254" s="12">
        <v>0</v>
      </c>
      <c r="BC254" s="11">
        <v>0</v>
      </c>
      <c r="BD254" s="11">
        <v>0</v>
      </c>
      <c r="BE254" s="11">
        <v>0</v>
      </c>
      <c r="BF254" s="11">
        <v>0</v>
      </c>
      <c r="BG254" s="11">
        <v>0</v>
      </c>
      <c r="BH254" s="11">
        <v>0</v>
      </c>
      <c r="BI254" s="11">
        <v>0</v>
      </c>
      <c r="BJ254" s="11">
        <v>0</v>
      </c>
      <c r="BK254" s="11">
        <v>0</v>
      </c>
      <c r="BL254" s="11">
        <v>0</v>
      </c>
      <c r="BM254" s="11">
        <v>0</v>
      </c>
    </row>
    <row r="255" spans="1:65" x14ac:dyDescent="0.25">
      <c r="A255" s="32"/>
      <c r="B255" s="10">
        <v>1010</v>
      </c>
      <c r="C255" s="10" t="s">
        <v>309</v>
      </c>
      <c r="D255" s="11">
        <v>0</v>
      </c>
      <c r="E255" s="11">
        <v>165000000</v>
      </c>
      <c r="F255" s="11">
        <v>0</v>
      </c>
      <c r="G255" s="11">
        <v>3762837570812</v>
      </c>
      <c r="H255" s="11">
        <v>3763002570812</v>
      </c>
      <c r="I255" s="11">
        <v>0</v>
      </c>
      <c r="J255" s="11">
        <v>3763002570812</v>
      </c>
      <c r="K255" s="11">
        <v>2069413783942</v>
      </c>
      <c r="L255" s="11">
        <v>1693588786870</v>
      </c>
      <c r="M255" s="12">
        <v>81.84</v>
      </c>
      <c r="N255" s="11">
        <v>0</v>
      </c>
      <c r="O255" s="12">
        <v>0</v>
      </c>
      <c r="P255" s="12">
        <v>0</v>
      </c>
      <c r="Q255" s="12">
        <v>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11">
        <v>0</v>
      </c>
      <c r="X255" s="11">
        <v>0</v>
      </c>
      <c r="Y255" s="11">
        <v>0</v>
      </c>
      <c r="Z255" s="11">
        <v>0</v>
      </c>
      <c r="AA255" s="11">
        <v>0</v>
      </c>
      <c r="AB255" s="12"/>
      <c r="AC255" s="11">
        <v>0</v>
      </c>
      <c r="AD255" s="11">
        <v>0</v>
      </c>
      <c r="AE255" s="11">
        <v>0</v>
      </c>
      <c r="AF255" s="11">
        <v>0</v>
      </c>
      <c r="AG255" s="11">
        <v>0</v>
      </c>
      <c r="AH255" s="11">
        <v>0</v>
      </c>
      <c r="AI255" s="11">
        <v>0</v>
      </c>
      <c r="AJ255" s="12">
        <v>0</v>
      </c>
      <c r="AK255" s="11">
        <v>0</v>
      </c>
      <c r="AL255" s="12">
        <v>0</v>
      </c>
      <c r="AM255" s="11">
        <v>0</v>
      </c>
      <c r="AN255" s="12">
        <v>0</v>
      </c>
      <c r="AO255" s="11">
        <v>0</v>
      </c>
      <c r="AP255" s="11">
        <v>0</v>
      </c>
      <c r="AQ255" s="11">
        <v>0</v>
      </c>
      <c r="AR255" s="11">
        <v>0</v>
      </c>
      <c r="AS255" s="12"/>
      <c r="AT255" s="11">
        <v>0</v>
      </c>
      <c r="AU255" s="11">
        <v>0</v>
      </c>
      <c r="AV255" s="11">
        <v>0</v>
      </c>
      <c r="AW255" s="11">
        <v>0</v>
      </c>
      <c r="AX255" s="11">
        <v>0</v>
      </c>
      <c r="AY255" s="11">
        <v>0</v>
      </c>
      <c r="AZ255" s="11">
        <v>0</v>
      </c>
      <c r="BA255" s="11">
        <v>3763002570812</v>
      </c>
      <c r="BB255" s="12">
        <v>0</v>
      </c>
      <c r="BC255" s="11">
        <v>3763002570812</v>
      </c>
      <c r="BD255" s="11">
        <v>0</v>
      </c>
      <c r="BE255" s="11">
        <v>0</v>
      </c>
      <c r="BF255" s="11">
        <v>0</v>
      </c>
      <c r="BG255" s="11">
        <v>0</v>
      </c>
      <c r="BH255" s="11">
        <v>0</v>
      </c>
      <c r="BI255" s="11">
        <v>0</v>
      </c>
      <c r="BJ255" s="11">
        <v>0</v>
      </c>
      <c r="BK255" s="11">
        <v>0</v>
      </c>
      <c r="BL255" s="11">
        <v>0</v>
      </c>
      <c r="BM255" s="11">
        <v>0</v>
      </c>
    </row>
    <row r="256" spans="1:65" x14ac:dyDescent="0.25">
      <c r="A256" s="32"/>
      <c r="B256" s="10">
        <v>1011</v>
      </c>
      <c r="C256" s="10" t="s">
        <v>310</v>
      </c>
      <c r="D256" s="11">
        <v>0</v>
      </c>
      <c r="E256" s="11">
        <v>0</v>
      </c>
      <c r="F256" s="11">
        <v>0</v>
      </c>
      <c r="G256" s="11">
        <v>0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2">
        <v>0</v>
      </c>
      <c r="N256" s="11">
        <v>0</v>
      </c>
      <c r="O256" s="12">
        <v>0</v>
      </c>
      <c r="P256" s="12"/>
      <c r="Q256" s="12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2"/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2">
        <v>0</v>
      </c>
      <c r="AK256" s="11">
        <v>0</v>
      </c>
      <c r="AL256" s="12">
        <v>0</v>
      </c>
      <c r="AM256" s="11">
        <v>0</v>
      </c>
      <c r="AN256" s="12">
        <v>0</v>
      </c>
      <c r="AO256" s="11">
        <v>0</v>
      </c>
      <c r="AP256" s="11">
        <v>0</v>
      </c>
      <c r="AQ256" s="11">
        <v>0</v>
      </c>
      <c r="AR256" s="11">
        <v>0</v>
      </c>
      <c r="AS256" s="12"/>
      <c r="AT256" s="11">
        <v>0</v>
      </c>
      <c r="AU256" s="11">
        <v>0</v>
      </c>
      <c r="AV256" s="11">
        <v>0</v>
      </c>
      <c r="AW256" s="11">
        <v>0</v>
      </c>
      <c r="AX256" s="11">
        <v>0</v>
      </c>
      <c r="AY256" s="11">
        <v>0</v>
      </c>
      <c r="AZ256" s="11">
        <v>0</v>
      </c>
      <c r="BA256" s="11">
        <v>0</v>
      </c>
      <c r="BB256" s="12">
        <v>0</v>
      </c>
      <c r="BC256" s="11">
        <v>0</v>
      </c>
      <c r="BD256" s="11">
        <v>0</v>
      </c>
      <c r="BE256" s="11">
        <v>0</v>
      </c>
      <c r="BF256" s="11">
        <v>0</v>
      </c>
      <c r="BG256" s="11">
        <v>0</v>
      </c>
      <c r="BH256" s="11">
        <v>0</v>
      </c>
      <c r="BI256" s="11">
        <v>0</v>
      </c>
      <c r="BJ256" s="11">
        <v>0</v>
      </c>
      <c r="BK256" s="11">
        <v>0</v>
      </c>
      <c r="BL256" s="11">
        <v>0</v>
      </c>
      <c r="BM256" s="11">
        <v>0</v>
      </c>
    </row>
    <row r="257" spans="1:65" x14ac:dyDescent="0.25">
      <c r="A257" s="32"/>
      <c r="B257" s="10">
        <v>102</v>
      </c>
      <c r="C257" s="10" t="s">
        <v>311</v>
      </c>
      <c r="D257" s="11">
        <v>0</v>
      </c>
      <c r="E257" s="11">
        <v>0</v>
      </c>
      <c r="F257" s="11">
        <v>0</v>
      </c>
      <c r="G257" s="11">
        <v>0</v>
      </c>
      <c r="H257" s="11">
        <v>0</v>
      </c>
      <c r="I257" s="11">
        <v>0</v>
      </c>
      <c r="J257" s="11">
        <v>0</v>
      </c>
      <c r="K257" s="11">
        <v>0</v>
      </c>
      <c r="L257" s="11">
        <v>0</v>
      </c>
      <c r="M257" s="12">
        <v>0</v>
      </c>
      <c r="N257" s="11">
        <v>0</v>
      </c>
      <c r="O257" s="12">
        <v>0</v>
      </c>
      <c r="P257" s="12"/>
      <c r="Q257" s="12">
        <v>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11">
        <v>0</v>
      </c>
      <c r="X257" s="11">
        <v>0</v>
      </c>
      <c r="Y257" s="11">
        <v>0</v>
      </c>
      <c r="Z257" s="11">
        <v>0</v>
      </c>
      <c r="AA257" s="11">
        <v>0</v>
      </c>
      <c r="AB257" s="12"/>
      <c r="AC257" s="11">
        <v>0</v>
      </c>
      <c r="AD257" s="11">
        <v>0</v>
      </c>
      <c r="AE257" s="11">
        <v>0</v>
      </c>
      <c r="AF257" s="11">
        <v>0</v>
      </c>
      <c r="AG257" s="11">
        <v>0</v>
      </c>
      <c r="AH257" s="11">
        <v>0</v>
      </c>
      <c r="AI257" s="11">
        <v>0</v>
      </c>
      <c r="AJ257" s="12">
        <v>0</v>
      </c>
      <c r="AK257" s="11">
        <v>0</v>
      </c>
      <c r="AL257" s="12">
        <v>0</v>
      </c>
      <c r="AM257" s="11">
        <v>0</v>
      </c>
      <c r="AN257" s="12">
        <v>0</v>
      </c>
      <c r="AO257" s="11">
        <v>0</v>
      </c>
      <c r="AP257" s="11">
        <v>0</v>
      </c>
      <c r="AQ257" s="11">
        <v>0</v>
      </c>
      <c r="AR257" s="11">
        <v>0</v>
      </c>
      <c r="AS257" s="12"/>
      <c r="AT257" s="11">
        <v>0</v>
      </c>
      <c r="AU257" s="11">
        <v>0</v>
      </c>
      <c r="AV257" s="11">
        <v>0</v>
      </c>
      <c r="AW257" s="11">
        <v>0</v>
      </c>
      <c r="AX257" s="11">
        <v>0</v>
      </c>
      <c r="AY257" s="11">
        <v>0</v>
      </c>
      <c r="AZ257" s="11">
        <v>0</v>
      </c>
      <c r="BA257" s="11">
        <v>0</v>
      </c>
      <c r="BB257" s="13">
        <v>61346</v>
      </c>
      <c r="BC257" s="11">
        <v>0</v>
      </c>
      <c r="BD257" s="11">
        <v>0</v>
      </c>
      <c r="BE257" s="11">
        <v>0</v>
      </c>
      <c r="BF257" s="11">
        <v>0</v>
      </c>
      <c r="BG257" s="11">
        <v>0</v>
      </c>
      <c r="BH257" s="11">
        <v>0</v>
      </c>
      <c r="BI257" s="11">
        <v>0</v>
      </c>
      <c r="BJ257" s="11">
        <v>0</v>
      </c>
      <c r="BK257" s="11">
        <v>0</v>
      </c>
      <c r="BL257" s="11">
        <v>0</v>
      </c>
      <c r="BM257" s="11">
        <v>0</v>
      </c>
    </row>
    <row r="258" spans="1:65" x14ac:dyDescent="0.25">
      <c r="A258" s="32"/>
      <c r="B258" s="10">
        <v>103</v>
      </c>
      <c r="C258" s="10" t="s">
        <v>312</v>
      </c>
      <c r="D258" s="11">
        <v>0</v>
      </c>
      <c r="E258" s="11">
        <v>0</v>
      </c>
      <c r="F258" s="11">
        <v>0</v>
      </c>
      <c r="G258" s="11">
        <v>0</v>
      </c>
      <c r="H258" s="11">
        <v>0</v>
      </c>
      <c r="I258" s="11">
        <v>0</v>
      </c>
      <c r="J258" s="11">
        <v>0</v>
      </c>
      <c r="K258" s="11">
        <v>0</v>
      </c>
      <c r="L258" s="11">
        <v>0</v>
      </c>
      <c r="M258" s="12">
        <v>0</v>
      </c>
      <c r="N258" s="11">
        <v>0</v>
      </c>
      <c r="O258" s="12">
        <v>0</v>
      </c>
      <c r="P258" s="12"/>
      <c r="Q258" s="12">
        <v>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11">
        <v>0</v>
      </c>
      <c r="X258" s="11">
        <v>0</v>
      </c>
      <c r="Y258" s="11">
        <v>0</v>
      </c>
      <c r="Z258" s="11">
        <v>0</v>
      </c>
      <c r="AA258" s="11">
        <v>0</v>
      </c>
      <c r="AB258" s="12"/>
      <c r="AC258" s="11">
        <v>0</v>
      </c>
      <c r="AD258" s="11">
        <v>0</v>
      </c>
      <c r="AE258" s="11">
        <v>0</v>
      </c>
      <c r="AF258" s="11">
        <v>0</v>
      </c>
      <c r="AG258" s="11">
        <v>0</v>
      </c>
      <c r="AH258" s="11">
        <v>0</v>
      </c>
      <c r="AI258" s="11">
        <v>0</v>
      </c>
      <c r="AJ258" s="12">
        <v>0</v>
      </c>
      <c r="AK258" s="11">
        <v>0</v>
      </c>
      <c r="AL258" s="12">
        <v>0</v>
      </c>
      <c r="AM258" s="11">
        <v>0</v>
      </c>
      <c r="AN258" s="12">
        <v>0</v>
      </c>
      <c r="AO258" s="11">
        <v>0</v>
      </c>
      <c r="AP258" s="11">
        <v>0</v>
      </c>
      <c r="AQ258" s="11">
        <v>0</v>
      </c>
      <c r="AR258" s="11">
        <v>0</v>
      </c>
      <c r="AS258" s="12"/>
      <c r="AT258" s="11">
        <v>0</v>
      </c>
      <c r="AU258" s="11">
        <v>0</v>
      </c>
      <c r="AV258" s="11">
        <v>0</v>
      </c>
      <c r="AW258" s="11">
        <v>0</v>
      </c>
      <c r="AX258" s="11">
        <v>0</v>
      </c>
      <c r="AY258" s="11">
        <v>0</v>
      </c>
      <c r="AZ258" s="11">
        <v>0</v>
      </c>
      <c r="BA258" s="11">
        <v>0</v>
      </c>
      <c r="BB258" s="13">
        <v>36268</v>
      </c>
      <c r="BC258" s="11">
        <v>0</v>
      </c>
      <c r="BD258" s="11">
        <v>0</v>
      </c>
      <c r="BE258" s="11">
        <v>0</v>
      </c>
      <c r="BF258" s="11">
        <v>0</v>
      </c>
      <c r="BG258" s="11">
        <v>0</v>
      </c>
      <c r="BH258" s="11">
        <v>0</v>
      </c>
      <c r="BI258" s="11">
        <v>0</v>
      </c>
      <c r="BJ258" s="11">
        <v>0</v>
      </c>
      <c r="BK258" s="11">
        <v>0</v>
      </c>
      <c r="BL258" s="11">
        <v>0</v>
      </c>
      <c r="BM258" s="11">
        <v>0</v>
      </c>
    </row>
    <row r="259" spans="1:65" x14ac:dyDescent="0.25">
      <c r="A259" s="32"/>
      <c r="B259" s="10">
        <v>104</v>
      </c>
      <c r="C259" s="10" t="s">
        <v>313</v>
      </c>
      <c r="D259" s="11">
        <v>0</v>
      </c>
      <c r="E259" s="11">
        <v>0</v>
      </c>
      <c r="F259" s="11">
        <v>0</v>
      </c>
      <c r="G259" s="11">
        <v>0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2">
        <v>0</v>
      </c>
      <c r="N259" s="11">
        <v>0</v>
      </c>
      <c r="O259" s="12">
        <v>0</v>
      </c>
      <c r="P259" s="12"/>
      <c r="Q259" s="12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2"/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2">
        <v>0</v>
      </c>
      <c r="AK259" s="11">
        <v>0</v>
      </c>
      <c r="AL259" s="12">
        <v>0</v>
      </c>
      <c r="AM259" s="11">
        <v>0</v>
      </c>
      <c r="AN259" s="12">
        <v>0</v>
      </c>
      <c r="AO259" s="11">
        <v>0</v>
      </c>
      <c r="AP259" s="11">
        <v>0</v>
      </c>
      <c r="AQ259" s="11">
        <v>0</v>
      </c>
      <c r="AR259" s="11">
        <v>0</v>
      </c>
      <c r="AS259" s="12"/>
      <c r="AT259" s="11">
        <v>0</v>
      </c>
      <c r="AU259" s="11">
        <v>0</v>
      </c>
      <c r="AV259" s="11">
        <v>0</v>
      </c>
      <c r="AW259" s="11">
        <v>0</v>
      </c>
      <c r="AX259" s="11">
        <v>0</v>
      </c>
      <c r="AY259" s="11">
        <v>0</v>
      </c>
      <c r="AZ259" s="11">
        <v>0</v>
      </c>
      <c r="BA259" s="11">
        <v>0</v>
      </c>
      <c r="BB259" s="13">
        <v>19765</v>
      </c>
      <c r="BC259" s="11">
        <v>0</v>
      </c>
      <c r="BD259" s="11">
        <v>0</v>
      </c>
      <c r="BE259" s="11">
        <v>0</v>
      </c>
      <c r="BF259" s="11">
        <v>0</v>
      </c>
      <c r="BG259" s="11">
        <v>0</v>
      </c>
      <c r="BH259" s="11">
        <v>0</v>
      </c>
      <c r="BI259" s="11">
        <v>0</v>
      </c>
      <c r="BJ259" s="11">
        <v>0</v>
      </c>
      <c r="BK259" s="11">
        <v>0</v>
      </c>
      <c r="BL259" s="11">
        <v>0</v>
      </c>
      <c r="BM259" s="11">
        <v>0</v>
      </c>
    </row>
    <row r="260" spans="1:65" x14ac:dyDescent="0.25">
      <c r="A260" s="32"/>
      <c r="B260" s="10">
        <v>105</v>
      </c>
      <c r="C260" s="10" t="s">
        <v>314</v>
      </c>
      <c r="D260" s="11">
        <v>0</v>
      </c>
      <c r="E260" s="11">
        <v>0</v>
      </c>
      <c r="F260" s="11">
        <v>0</v>
      </c>
      <c r="G260" s="11">
        <v>0</v>
      </c>
      <c r="H260" s="11">
        <v>0</v>
      </c>
      <c r="I260" s="11">
        <v>0</v>
      </c>
      <c r="J260" s="11">
        <v>0</v>
      </c>
      <c r="K260" s="11">
        <v>0</v>
      </c>
      <c r="L260" s="11">
        <v>0</v>
      </c>
      <c r="M260" s="12">
        <v>0</v>
      </c>
      <c r="N260" s="11">
        <v>0</v>
      </c>
      <c r="O260" s="12">
        <v>0</v>
      </c>
      <c r="P260" s="12"/>
      <c r="Q260" s="12">
        <v>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11">
        <v>0</v>
      </c>
      <c r="X260" s="11">
        <v>0</v>
      </c>
      <c r="Y260" s="11">
        <v>0</v>
      </c>
      <c r="Z260" s="11">
        <v>0</v>
      </c>
      <c r="AA260" s="11">
        <v>0</v>
      </c>
      <c r="AB260" s="12"/>
      <c r="AC260" s="11">
        <v>0</v>
      </c>
      <c r="AD260" s="11">
        <v>0</v>
      </c>
      <c r="AE260" s="11">
        <v>0</v>
      </c>
      <c r="AF260" s="11">
        <v>0</v>
      </c>
      <c r="AG260" s="11">
        <v>0</v>
      </c>
      <c r="AH260" s="11">
        <v>0</v>
      </c>
      <c r="AI260" s="11">
        <v>0</v>
      </c>
      <c r="AJ260" s="12">
        <v>0</v>
      </c>
      <c r="AK260" s="11">
        <v>0</v>
      </c>
      <c r="AL260" s="12">
        <v>0</v>
      </c>
      <c r="AM260" s="11">
        <v>0</v>
      </c>
      <c r="AN260" s="12">
        <v>0</v>
      </c>
      <c r="AO260" s="11">
        <v>0</v>
      </c>
      <c r="AP260" s="11">
        <v>0</v>
      </c>
      <c r="AQ260" s="11">
        <v>0</v>
      </c>
      <c r="AR260" s="11">
        <v>0</v>
      </c>
      <c r="AS260" s="12"/>
      <c r="AT260" s="11">
        <v>0</v>
      </c>
      <c r="AU260" s="11">
        <v>0</v>
      </c>
      <c r="AV260" s="11">
        <v>0</v>
      </c>
      <c r="AW260" s="11">
        <v>0</v>
      </c>
      <c r="AX260" s="11">
        <v>0</v>
      </c>
      <c r="AY260" s="11">
        <v>0</v>
      </c>
      <c r="AZ260" s="11">
        <v>0</v>
      </c>
      <c r="BA260" s="11">
        <v>0</v>
      </c>
      <c r="BB260" s="13">
        <v>33330</v>
      </c>
      <c r="BC260" s="11">
        <v>0</v>
      </c>
      <c r="BD260" s="11">
        <v>0</v>
      </c>
      <c r="BE260" s="11">
        <v>0</v>
      </c>
      <c r="BF260" s="11">
        <v>0</v>
      </c>
      <c r="BG260" s="11">
        <v>0</v>
      </c>
      <c r="BH260" s="11">
        <v>0</v>
      </c>
      <c r="BI260" s="11">
        <v>0</v>
      </c>
      <c r="BJ260" s="11">
        <v>0</v>
      </c>
      <c r="BK260" s="11">
        <v>0</v>
      </c>
      <c r="BL260" s="11">
        <v>0</v>
      </c>
      <c r="BM260" s="11">
        <v>0</v>
      </c>
    </row>
    <row r="261" spans="1:65" x14ac:dyDescent="0.25">
      <c r="A261" s="32"/>
      <c r="B261" s="10">
        <v>106</v>
      </c>
      <c r="C261" s="10" t="s">
        <v>315</v>
      </c>
      <c r="D261" s="11">
        <v>0</v>
      </c>
      <c r="E261" s="11">
        <v>0</v>
      </c>
      <c r="F261" s="11">
        <v>0</v>
      </c>
      <c r="G261" s="11">
        <v>0</v>
      </c>
      <c r="H261" s="11">
        <v>0</v>
      </c>
      <c r="I261" s="11">
        <v>0</v>
      </c>
      <c r="J261" s="11">
        <v>0</v>
      </c>
      <c r="K261" s="11">
        <v>0</v>
      </c>
      <c r="L261" s="11">
        <v>0</v>
      </c>
      <c r="M261" s="12">
        <v>0</v>
      </c>
      <c r="N261" s="11">
        <v>0</v>
      </c>
      <c r="O261" s="12">
        <v>0</v>
      </c>
      <c r="P261" s="12"/>
      <c r="Q261" s="12">
        <v>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11">
        <v>0</v>
      </c>
      <c r="X261" s="11">
        <v>0</v>
      </c>
      <c r="Y261" s="11">
        <v>0</v>
      </c>
      <c r="Z261" s="11">
        <v>0</v>
      </c>
      <c r="AA261" s="11">
        <v>0</v>
      </c>
      <c r="AB261" s="12"/>
      <c r="AC261" s="11">
        <v>0</v>
      </c>
      <c r="AD261" s="11">
        <v>0</v>
      </c>
      <c r="AE261" s="11">
        <v>0</v>
      </c>
      <c r="AF261" s="11">
        <v>0</v>
      </c>
      <c r="AG261" s="11">
        <v>0</v>
      </c>
      <c r="AH261" s="11">
        <v>0</v>
      </c>
      <c r="AI261" s="11">
        <v>0</v>
      </c>
      <c r="AJ261" s="12">
        <v>0</v>
      </c>
      <c r="AK261" s="11">
        <v>0</v>
      </c>
      <c r="AL261" s="12">
        <v>0</v>
      </c>
      <c r="AM261" s="11">
        <v>0</v>
      </c>
      <c r="AN261" s="12">
        <v>0</v>
      </c>
      <c r="AO261" s="11">
        <v>0</v>
      </c>
      <c r="AP261" s="11">
        <v>0</v>
      </c>
      <c r="AQ261" s="11">
        <v>0</v>
      </c>
      <c r="AR261" s="11">
        <v>0</v>
      </c>
      <c r="AS261" s="12"/>
      <c r="AT261" s="11">
        <v>0</v>
      </c>
      <c r="AU261" s="11">
        <v>0</v>
      </c>
      <c r="AV261" s="11">
        <v>0</v>
      </c>
      <c r="AW261" s="11">
        <v>0</v>
      </c>
      <c r="AX261" s="11">
        <v>0</v>
      </c>
      <c r="AY261" s="11">
        <v>0</v>
      </c>
      <c r="AZ261" s="11">
        <v>0</v>
      </c>
      <c r="BA261" s="11">
        <v>0</v>
      </c>
      <c r="BB261" s="13">
        <v>30330</v>
      </c>
      <c r="BC261" s="11">
        <v>0</v>
      </c>
      <c r="BD261" s="11">
        <v>0</v>
      </c>
      <c r="BE261" s="11">
        <v>0</v>
      </c>
      <c r="BF261" s="11">
        <v>0</v>
      </c>
      <c r="BG261" s="11">
        <v>0</v>
      </c>
      <c r="BH261" s="11">
        <v>0</v>
      </c>
      <c r="BI261" s="11">
        <v>0</v>
      </c>
      <c r="BJ261" s="11">
        <v>0</v>
      </c>
      <c r="BK261" s="11">
        <v>0</v>
      </c>
      <c r="BL261" s="11">
        <v>0</v>
      </c>
      <c r="BM261" s="11">
        <v>0</v>
      </c>
    </row>
    <row r="262" spans="1:65" x14ac:dyDescent="0.25">
      <c r="A262" s="32"/>
      <c r="B262" s="10">
        <v>107</v>
      </c>
      <c r="C262" s="10" t="s">
        <v>316</v>
      </c>
      <c r="D262" s="11">
        <v>0</v>
      </c>
      <c r="E262" s="11">
        <v>0</v>
      </c>
      <c r="F262" s="11">
        <v>0</v>
      </c>
      <c r="G262" s="11">
        <v>0</v>
      </c>
      <c r="H262" s="11">
        <v>0</v>
      </c>
      <c r="I262" s="11">
        <v>0</v>
      </c>
      <c r="J262" s="11">
        <v>0</v>
      </c>
      <c r="K262" s="11">
        <v>0</v>
      </c>
      <c r="L262" s="11">
        <v>0</v>
      </c>
      <c r="M262" s="12">
        <v>0</v>
      </c>
      <c r="N262" s="11">
        <v>0</v>
      </c>
      <c r="O262" s="12">
        <v>0</v>
      </c>
      <c r="P262" s="12"/>
      <c r="Q262" s="12">
        <v>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11">
        <v>0</v>
      </c>
      <c r="X262" s="11">
        <v>0</v>
      </c>
      <c r="Y262" s="11">
        <v>0</v>
      </c>
      <c r="Z262" s="11">
        <v>0</v>
      </c>
      <c r="AA262" s="11">
        <v>0</v>
      </c>
      <c r="AB262" s="12"/>
      <c r="AC262" s="11">
        <v>0</v>
      </c>
      <c r="AD262" s="11">
        <v>0</v>
      </c>
      <c r="AE262" s="11">
        <v>0</v>
      </c>
      <c r="AF262" s="11">
        <v>0</v>
      </c>
      <c r="AG262" s="11">
        <v>0</v>
      </c>
      <c r="AH262" s="11">
        <v>0</v>
      </c>
      <c r="AI262" s="11">
        <v>0</v>
      </c>
      <c r="AJ262" s="12">
        <v>0</v>
      </c>
      <c r="AK262" s="11">
        <v>0</v>
      </c>
      <c r="AL262" s="12">
        <v>0</v>
      </c>
      <c r="AM262" s="11">
        <v>0</v>
      </c>
      <c r="AN262" s="12">
        <v>0</v>
      </c>
      <c r="AO262" s="11">
        <v>0</v>
      </c>
      <c r="AP262" s="11">
        <v>0</v>
      </c>
      <c r="AQ262" s="11">
        <v>0</v>
      </c>
      <c r="AR262" s="11">
        <v>0</v>
      </c>
      <c r="AS262" s="12"/>
      <c r="AT262" s="11">
        <v>0</v>
      </c>
      <c r="AU262" s="11">
        <v>0</v>
      </c>
      <c r="AV262" s="11">
        <v>0</v>
      </c>
      <c r="AW262" s="11">
        <v>0</v>
      </c>
      <c r="AX262" s="11">
        <v>0</v>
      </c>
      <c r="AY262" s="11">
        <v>0</v>
      </c>
      <c r="AZ262" s="11">
        <v>0</v>
      </c>
      <c r="BA262" s="11">
        <v>0</v>
      </c>
      <c r="BB262" s="13">
        <v>11583</v>
      </c>
      <c r="BC262" s="11">
        <v>0</v>
      </c>
      <c r="BD262" s="11">
        <v>0</v>
      </c>
      <c r="BE262" s="11">
        <v>0</v>
      </c>
      <c r="BF262" s="11">
        <v>0</v>
      </c>
      <c r="BG262" s="11">
        <v>0</v>
      </c>
      <c r="BH262" s="11">
        <v>0</v>
      </c>
      <c r="BI262" s="11">
        <v>0</v>
      </c>
      <c r="BJ262" s="11">
        <v>0</v>
      </c>
      <c r="BK262" s="11">
        <v>0</v>
      </c>
      <c r="BL262" s="11">
        <v>0</v>
      </c>
      <c r="BM262" s="11">
        <v>0</v>
      </c>
    </row>
    <row r="263" spans="1:65" x14ac:dyDescent="0.25">
      <c r="A263" s="32"/>
      <c r="B263" s="10">
        <v>108</v>
      </c>
      <c r="C263" s="10" t="s">
        <v>317</v>
      </c>
      <c r="D263" s="11">
        <v>0</v>
      </c>
      <c r="E263" s="11">
        <v>0</v>
      </c>
      <c r="F263" s="11">
        <v>0</v>
      </c>
      <c r="G263" s="11">
        <v>0</v>
      </c>
      <c r="H263" s="11">
        <v>0</v>
      </c>
      <c r="I263" s="11">
        <v>0</v>
      </c>
      <c r="J263" s="11">
        <v>0</v>
      </c>
      <c r="K263" s="11">
        <v>0</v>
      </c>
      <c r="L263" s="11">
        <v>0</v>
      </c>
      <c r="M263" s="12">
        <v>0</v>
      </c>
      <c r="N263" s="11">
        <v>0</v>
      </c>
      <c r="O263" s="12">
        <v>0</v>
      </c>
      <c r="P263" s="12"/>
      <c r="Q263" s="12">
        <v>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11">
        <v>0</v>
      </c>
      <c r="X263" s="11">
        <v>0</v>
      </c>
      <c r="Y263" s="11">
        <v>0</v>
      </c>
      <c r="Z263" s="11">
        <v>0</v>
      </c>
      <c r="AA263" s="11">
        <v>0</v>
      </c>
      <c r="AB263" s="12"/>
      <c r="AC263" s="11">
        <v>0</v>
      </c>
      <c r="AD263" s="11">
        <v>0</v>
      </c>
      <c r="AE263" s="11">
        <v>0</v>
      </c>
      <c r="AF263" s="11">
        <v>0</v>
      </c>
      <c r="AG263" s="11">
        <v>0</v>
      </c>
      <c r="AH263" s="11">
        <v>0</v>
      </c>
      <c r="AI263" s="11">
        <v>0</v>
      </c>
      <c r="AJ263" s="12">
        <v>0</v>
      </c>
      <c r="AK263" s="11">
        <v>0</v>
      </c>
      <c r="AL263" s="12">
        <v>0</v>
      </c>
      <c r="AM263" s="11">
        <v>0</v>
      </c>
      <c r="AN263" s="12">
        <v>0</v>
      </c>
      <c r="AO263" s="11">
        <v>0</v>
      </c>
      <c r="AP263" s="11">
        <v>0</v>
      </c>
      <c r="AQ263" s="11">
        <v>0</v>
      </c>
      <c r="AR263" s="11">
        <v>0</v>
      </c>
      <c r="AS263" s="12"/>
      <c r="AT263" s="11">
        <v>0</v>
      </c>
      <c r="AU263" s="11">
        <v>0</v>
      </c>
      <c r="AV263" s="11">
        <v>0</v>
      </c>
      <c r="AW263" s="11">
        <v>0</v>
      </c>
      <c r="AX263" s="11">
        <v>0</v>
      </c>
      <c r="AY263" s="11">
        <v>0</v>
      </c>
      <c r="AZ263" s="11">
        <v>0</v>
      </c>
      <c r="BA263" s="11">
        <v>0</v>
      </c>
      <c r="BB263" s="13">
        <v>3557</v>
      </c>
      <c r="BC263" s="11">
        <v>0</v>
      </c>
      <c r="BD263" s="11">
        <v>0</v>
      </c>
      <c r="BE263" s="11">
        <v>0</v>
      </c>
      <c r="BF263" s="11">
        <v>0</v>
      </c>
      <c r="BG263" s="11">
        <v>0</v>
      </c>
      <c r="BH263" s="11">
        <v>0</v>
      </c>
      <c r="BI263" s="11">
        <v>0</v>
      </c>
      <c r="BJ263" s="11">
        <v>0</v>
      </c>
      <c r="BK263" s="11">
        <v>0</v>
      </c>
      <c r="BL263" s="11">
        <v>0</v>
      </c>
      <c r="BM263" s="11">
        <v>0</v>
      </c>
    </row>
    <row r="264" spans="1:65" x14ac:dyDescent="0.25">
      <c r="A264" s="32"/>
      <c r="B264" s="10">
        <v>110</v>
      </c>
      <c r="C264" s="10" t="s">
        <v>318</v>
      </c>
      <c r="D264" s="11">
        <v>0</v>
      </c>
      <c r="E264" s="11">
        <v>0</v>
      </c>
      <c r="F264" s="11">
        <v>0</v>
      </c>
      <c r="G264" s="11">
        <v>0</v>
      </c>
      <c r="H264" s="11">
        <v>0</v>
      </c>
      <c r="I264" s="11">
        <v>0</v>
      </c>
      <c r="J264" s="11">
        <v>0</v>
      </c>
      <c r="K264" s="11">
        <v>0</v>
      </c>
      <c r="L264" s="11">
        <v>0</v>
      </c>
      <c r="M264" s="12">
        <v>0</v>
      </c>
      <c r="N264" s="11">
        <v>0</v>
      </c>
      <c r="O264" s="12">
        <v>0</v>
      </c>
      <c r="P264" s="12"/>
      <c r="Q264" s="12">
        <v>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11">
        <v>0</v>
      </c>
      <c r="X264" s="11">
        <v>0</v>
      </c>
      <c r="Y264" s="11">
        <v>0</v>
      </c>
      <c r="Z264" s="11">
        <v>0</v>
      </c>
      <c r="AA264" s="11">
        <v>0</v>
      </c>
      <c r="AB264" s="12"/>
      <c r="AC264" s="11">
        <v>0</v>
      </c>
      <c r="AD264" s="11">
        <v>0</v>
      </c>
      <c r="AE264" s="11">
        <v>0</v>
      </c>
      <c r="AF264" s="11">
        <v>0</v>
      </c>
      <c r="AG264" s="11">
        <v>0</v>
      </c>
      <c r="AH264" s="11">
        <v>0</v>
      </c>
      <c r="AI264" s="11">
        <v>0</v>
      </c>
      <c r="AJ264" s="12">
        <v>0</v>
      </c>
      <c r="AK264" s="11">
        <v>0</v>
      </c>
      <c r="AL264" s="12">
        <v>0</v>
      </c>
      <c r="AM264" s="11">
        <v>0</v>
      </c>
      <c r="AN264" s="12">
        <v>0</v>
      </c>
      <c r="AO264" s="11">
        <v>0</v>
      </c>
      <c r="AP264" s="11">
        <v>0</v>
      </c>
      <c r="AQ264" s="11">
        <v>0</v>
      </c>
      <c r="AR264" s="11">
        <v>0</v>
      </c>
      <c r="AS264" s="12"/>
      <c r="AT264" s="11">
        <v>0</v>
      </c>
      <c r="AU264" s="11">
        <v>0</v>
      </c>
      <c r="AV264" s="11">
        <v>0</v>
      </c>
      <c r="AW264" s="11">
        <v>0</v>
      </c>
      <c r="AX264" s="11">
        <v>0</v>
      </c>
      <c r="AY264" s="11">
        <v>0</v>
      </c>
      <c r="AZ264" s="11">
        <v>0</v>
      </c>
      <c r="BA264" s="11">
        <v>0</v>
      </c>
      <c r="BB264" s="13">
        <v>5421</v>
      </c>
      <c r="BC264" s="11">
        <v>0</v>
      </c>
      <c r="BD264" s="11">
        <v>0</v>
      </c>
      <c r="BE264" s="11">
        <v>0</v>
      </c>
      <c r="BF264" s="11">
        <v>0</v>
      </c>
      <c r="BG264" s="11">
        <v>0</v>
      </c>
      <c r="BH264" s="11">
        <v>0</v>
      </c>
      <c r="BI264" s="11">
        <v>0</v>
      </c>
      <c r="BJ264" s="11">
        <v>0</v>
      </c>
      <c r="BK264" s="11">
        <v>0</v>
      </c>
      <c r="BL264" s="11">
        <v>0</v>
      </c>
      <c r="BM264" s="11">
        <v>0</v>
      </c>
    </row>
    <row r="265" spans="1:65" x14ac:dyDescent="0.25">
      <c r="A265" s="14" t="s">
        <v>603</v>
      </c>
      <c r="B265" s="15"/>
      <c r="C265" s="15"/>
      <c r="D265" s="16">
        <v>6676612112394</v>
      </c>
      <c r="E265" s="16">
        <v>8070965105267</v>
      </c>
      <c r="F265" s="16">
        <v>26945598895281</v>
      </c>
      <c r="G265" s="16">
        <v>3762837570812</v>
      </c>
      <c r="H265" s="16">
        <v>45456013683754</v>
      </c>
      <c r="I265" s="16">
        <v>2536793010113</v>
      </c>
      <c r="J265" s="16">
        <v>42919220673641</v>
      </c>
      <c r="K265" s="16">
        <v>23711546182109</v>
      </c>
      <c r="L265" s="16">
        <v>21744467501645</v>
      </c>
      <c r="M265" s="17">
        <v>91.7</v>
      </c>
      <c r="N265" s="16">
        <v>669276775285</v>
      </c>
      <c r="O265" s="17">
        <v>0</v>
      </c>
      <c r="P265" s="17">
        <v>1.56</v>
      </c>
      <c r="Q265" s="17">
        <v>0</v>
      </c>
      <c r="R265" s="16">
        <v>0</v>
      </c>
      <c r="S265" s="16">
        <v>0</v>
      </c>
      <c r="T265" s="16">
        <v>0</v>
      </c>
      <c r="U265" s="16">
        <v>0</v>
      </c>
      <c r="V265" s="16">
        <v>0</v>
      </c>
      <c r="W265" s="16">
        <v>0</v>
      </c>
      <c r="X265" s="16">
        <v>706052055040</v>
      </c>
      <c r="Y265" s="16">
        <v>0</v>
      </c>
      <c r="Z265" s="16">
        <v>706052055040</v>
      </c>
      <c r="AA265" s="16">
        <v>0</v>
      </c>
      <c r="AB265" s="17"/>
      <c r="AC265" s="16">
        <v>0</v>
      </c>
      <c r="AD265" s="16">
        <v>0</v>
      </c>
      <c r="AE265" s="16">
        <v>0</v>
      </c>
      <c r="AF265" s="16">
        <v>0</v>
      </c>
      <c r="AG265" s="16">
        <v>0</v>
      </c>
      <c r="AH265" s="16">
        <v>0</v>
      </c>
      <c r="AI265" s="16">
        <v>0</v>
      </c>
      <c r="AJ265" s="17">
        <v>0</v>
      </c>
      <c r="AK265" s="16">
        <v>0</v>
      </c>
      <c r="AL265" s="17">
        <v>0</v>
      </c>
      <c r="AM265" s="16">
        <v>0</v>
      </c>
      <c r="AN265" s="18">
        <f>SUM(AN247:AN264)</f>
        <v>0</v>
      </c>
      <c r="AO265" s="16">
        <f>SUM(AO247:AO264)</f>
        <v>0</v>
      </c>
      <c r="AP265" s="16">
        <v>0</v>
      </c>
      <c r="AQ265" s="16">
        <v>0</v>
      </c>
      <c r="AR265" s="16">
        <v>0</v>
      </c>
      <c r="AS265" s="17"/>
      <c r="AT265" s="16">
        <v>0</v>
      </c>
      <c r="AU265" s="16">
        <v>0</v>
      </c>
      <c r="AV265" s="16">
        <v>3889623048338</v>
      </c>
      <c r="AW265" s="16">
        <v>2744598144247</v>
      </c>
      <c r="AX265" s="16">
        <v>42390919809</v>
      </c>
      <c r="AY265" s="16">
        <v>0</v>
      </c>
      <c r="AZ265" s="16">
        <v>0</v>
      </c>
      <c r="BA265" s="16">
        <v>45456013683754</v>
      </c>
      <c r="BB265" s="18">
        <v>225569</v>
      </c>
      <c r="BC265" s="16">
        <v>16633524005084</v>
      </c>
      <c r="BD265" s="16">
        <v>26987989815090</v>
      </c>
      <c r="BE265" s="16">
        <v>1834499863580</v>
      </c>
      <c r="BF265" s="16">
        <v>0</v>
      </c>
      <c r="BG265" s="16">
        <v>0</v>
      </c>
      <c r="BH265" s="16">
        <v>0</v>
      </c>
      <c r="BI265" s="16">
        <v>0</v>
      </c>
      <c r="BJ265" s="16">
        <v>0</v>
      </c>
      <c r="BK265" s="16">
        <v>0</v>
      </c>
      <c r="BL265" s="16">
        <v>0</v>
      </c>
      <c r="BM265" s="16">
        <v>0</v>
      </c>
    </row>
    <row r="266" spans="1:65" x14ac:dyDescent="0.25">
      <c r="A266" s="32" t="s">
        <v>319</v>
      </c>
      <c r="B266" s="10">
        <v>2200</v>
      </c>
      <c r="C266" s="10" t="s">
        <v>319</v>
      </c>
      <c r="D266" s="11">
        <v>2122743867812</v>
      </c>
      <c r="E266" s="11">
        <v>1784801857618</v>
      </c>
      <c r="F266" s="11">
        <v>40000000000</v>
      </c>
      <c r="G266" s="11">
        <v>977969059373</v>
      </c>
      <c r="H266" s="11">
        <v>4925514784803</v>
      </c>
      <c r="I266" s="11">
        <v>412976453670</v>
      </c>
      <c r="J266" s="11">
        <v>4512538331133</v>
      </c>
      <c r="K266" s="11">
        <v>4573430726718</v>
      </c>
      <c r="L266" s="11">
        <v>352084058085</v>
      </c>
      <c r="M266" s="12">
        <v>7.7</v>
      </c>
      <c r="N266" s="11">
        <v>8987174873999</v>
      </c>
      <c r="O266" s="12">
        <v>202.41</v>
      </c>
      <c r="P266" s="12">
        <v>199.16</v>
      </c>
      <c r="Q266" s="12">
        <v>17.13</v>
      </c>
      <c r="R266" s="11">
        <v>8219611572238</v>
      </c>
      <c r="S266" s="11">
        <v>1749915497596</v>
      </c>
      <c r="T266" s="11">
        <v>108563062756</v>
      </c>
      <c r="U266" s="11">
        <v>19250900446</v>
      </c>
      <c r="V266" s="11">
        <v>1622101534394</v>
      </c>
      <c r="W266" s="11">
        <v>9969527069834</v>
      </c>
      <c r="X266" s="11">
        <v>464332600491</v>
      </c>
      <c r="Y266" s="11">
        <v>19061472849</v>
      </c>
      <c r="Z266" s="11">
        <v>10452921143174</v>
      </c>
      <c r="AA266" s="11">
        <v>4475662326944</v>
      </c>
      <c r="AB266" s="12">
        <v>122.75</v>
      </c>
      <c r="AC266" s="11">
        <v>14517769253890</v>
      </c>
      <c r="AD266" s="11">
        <v>14465131390337</v>
      </c>
      <c r="AE266" s="11">
        <v>12561171906536</v>
      </c>
      <c r="AF266" s="11">
        <v>80775000000</v>
      </c>
      <c r="AG266" s="11">
        <v>0</v>
      </c>
      <c r="AH266" s="11">
        <v>0</v>
      </c>
      <c r="AI266" s="11">
        <v>0</v>
      </c>
      <c r="AJ266" s="12">
        <v>44</v>
      </c>
      <c r="AK266" s="11">
        <v>21704058718065</v>
      </c>
      <c r="AL266" s="12">
        <v>57</v>
      </c>
      <c r="AM266" s="11">
        <v>1992418697614</v>
      </c>
      <c r="AN266" s="12">
        <v>80</v>
      </c>
      <c r="AO266" s="11">
        <v>2685621198918</v>
      </c>
      <c r="AP266" s="11">
        <v>1749915497596</v>
      </c>
      <c r="AQ266" s="11">
        <v>96351559674</v>
      </c>
      <c r="AR266" s="11">
        <v>1653563937922</v>
      </c>
      <c r="AS266" s="19">
        <v>1716.18</v>
      </c>
      <c r="AT266" s="11">
        <v>10499465743171</v>
      </c>
      <c r="AU266" s="11">
        <v>1222157815974</v>
      </c>
      <c r="AV266" s="11">
        <v>199420457636</v>
      </c>
      <c r="AW266" s="11">
        <v>190099560362</v>
      </c>
      <c r="AX266" s="11">
        <v>1425680149814</v>
      </c>
      <c r="AY266" s="11">
        <v>307543700000</v>
      </c>
      <c r="AZ266" s="11">
        <v>443186516277</v>
      </c>
      <c r="BA266" s="11">
        <v>4925514784803</v>
      </c>
      <c r="BB266" s="13">
        <v>740026</v>
      </c>
      <c r="BC266" s="11">
        <v>3074699487473</v>
      </c>
      <c r="BD266" s="11">
        <v>1465680149814</v>
      </c>
      <c r="BE266" s="11">
        <v>385135147516</v>
      </c>
      <c r="BF266" s="11">
        <v>9691984603084</v>
      </c>
      <c r="BG266" s="11">
        <v>4825784650806</v>
      </c>
      <c r="BH266" s="11">
        <v>3363734623746</v>
      </c>
      <c r="BI266" s="11">
        <v>1545935101420</v>
      </c>
      <c r="BJ266" s="11">
        <v>8722438341837</v>
      </c>
      <c r="BK266" s="11">
        <v>9832219243</v>
      </c>
      <c r="BL266" s="11">
        <v>0</v>
      </c>
      <c r="BM266" s="11">
        <v>52788164024</v>
      </c>
    </row>
    <row r="267" spans="1:65" x14ac:dyDescent="0.25">
      <c r="A267" s="32"/>
      <c r="B267" s="10">
        <v>2201</v>
      </c>
      <c r="C267" s="10" t="s">
        <v>320</v>
      </c>
      <c r="D267" s="11">
        <v>1178540003159</v>
      </c>
      <c r="E267" s="11">
        <v>400163995475</v>
      </c>
      <c r="F267" s="11">
        <v>0</v>
      </c>
      <c r="G267" s="11">
        <v>0</v>
      </c>
      <c r="H267" s="11">
        <v>1578703998634</v>
      </c>
      <c r="I267" s="11">
        <v>127941523723</v>
      </c>
      <c r="J267" s="11">
        <v>1450762474911</v>
      </c>
      <c r="K267" s="11">
        <v>1440386854522</v>
      </c>
      <c r="L267" s="11">
        <v>138317144112</v>
      </c>
      <c r="M267" s="12">
        <v>9.6</v>
      </c>
      <c r="N267" s="11">
        <v>3732177461388</v>
      </c>
      <c r="O267" s="12">
        <v>249.92</v>
      </c>
      <c r="P267" s="12">
        <v>257.26</v>
      </c>
      <c r="Q267" s="12">
        <v>3.95</v>
      </c>
      <c r="R267" s="11">
        <v>3787928687077</v>
      </c>
      <c r="S267" s="11">
        <v>157639371489</v>
      </c>
      <c r="T267" s="11">
        <v>5942089386</v>
      </c>
      <c r="U267" s="11">
        <v>236048130</v>
      </c>
      <c r="V267" s="11">
        <v>151461233973</v>
      </c>
      <c r="W267" s="11">
        <v>3945568058566</v>
      </c>
      <c r="X267" s="11">
        <v>137967447380</v>
      </c>
      <c r="Y267" s="11">
        <v>17773810000</v>
      </c>
      <c r="Z267" s="11">
        <v>4101309315946</v>
      </c>
      <c r="AA267" s="11">
        <v>2809246035291</v>
      </c>
      <c r="AB267" s="12">
        <v>40.450000000000003</v>
      </c>
      <c r="AC267" s="11">
        <v>6973382707038</v>
      </c>
      <c r="AD267" s="11">
        <v>6822422152384</v>
      </c>
      <c r="AE267" s="11">
        <v>6260055000750</v>
      </c>
      <c r="AF267" s="11">
        <v>5925500000</v>
      </c>
      <c r="AG267" s="11">
        <v>0</v>
      </c>
      <c r="AH267" s="11">
        <v>0</v>
      </c>
      <c r="AI267" s="11">
        <v>0</v>
      </c>
      <c r="AJ267" s="12">
        <v>35</v>
      </c>
      <c r="AK267" s="11">
        <v>8285215451673</v>
      </c>
      <c r="AL267" s="12">
        <v>65</v>
      </c>
      <c r="AM267" s="11">
        <v>503665667717</v>
      </c>
      <c r="AN267" s="12">
        <v>33</v>
      </c>
      <c r="AO267" s="11">
        <v>244980008944</v>
      </c>
      <c r="AP267" s="11">
        <v>157639371489</v>
      </c>
      <c r="AQ267" s="11">
        <v>6408118244</v>
      </c>
      <c r="AR267" s="11">
        <v>151231253245</v>
      </c>
      <c r="AS267" s="19">
        <v>2359.9899999999998</v>
      </c>
      <c r="AT267" s="11">
        <v>5917455813458</v>
      </c>
      <c r="AU267" s="11">
        <v>1363752842260</v>
      </c>
      <c r="AV267" s="11">
        <v>175794975987</v>
      </c>
      <c r="AW267" s="11">
        <v>160091693181</v>
      </c>
      <c r="AX267" s="11">
        <v>493916333991</v>
      </c>
      <c r="AY267" s="11">
        <v>348737000000</v>
      </c>
      <c r="AZ267" s="11">
        <v>379442838372</v>
      </c>
      <c r="BA267" s="11">
        <v>1578703998634</v>
      </c>
      <c r="BB267" s="13">
        <v>8323</v>
      </c>
      <c r="BC267" s="11">
        <v>736050664643</v>
      </c>
      <c r="BD267" s="11">
        <v>493916333991</v>
      </c>
      <c r="BE267" s="11">
        <v>348737000000</v>
      </c>
      <c r="BF267" s="11">
        <v>5666948785552</v>
      </c>
      <c r="BG267" s="11">
        <v>1306433921486</v>
      </c>
      <c r="BH267" s="11">
        <v>2083433969258</v>
      </c>
      <c r="BI267" s="11">
        <v>150895431153</v>
      </c>
      <c r="BJ267" s="11">
        <v>4989837175671</v>
      </c>
      <c r="BK267" s="11">
        <v>157500000</v>
      </c>
      <c r="BL267" s="11">
        <v>0</v>
      </c>
      <c r="BM267" s="11">
        <v>5848048646</v>
      </c>
    </row>
    <row r="268" spans="1:65" x14ac:dyDescent="0.25">
      <c r="A268" s="32"/>
      <c r="B268" s="10">
        <v>2202</v>
      </c>
      <c r="C268" s="10" t="s">
        <v>321</v>
      </c>
      <c r="D268" s="11">
        <v>1098103504993</v>
      </c>
      <c r="E268" s="11">
        <v>558241855519</v>
      </c>
      <c r="F268" s="11">
        <v>0</v>
      </c>
      <c r="G268" s="11">
        <v>0</v>
      </c>
      <c r="H268" s="11">
        <v>1656345360512</v>
      </c>
      <c r="I268" s="11">
        <v>131489032654</v>
      </c>
      <c r="J268" s="11">
        <v>1524856327858</v>
      </c>
      <c r="K268" s="11">
        <v>1715295397462</v>
      </c>
      <c r="L268" s="11">
        <v>-58950036950</v>
      </c>
      <c r="M268" s="12">
        <v>-3.44</v>
      </c>
      <c r="N268" s="11">
        <v>2345651804814</v>
      </c>
      <c r="O268" s="12">
        <v>145.37</v>
      </c>
      <c r="P268" s="12">
        <v>153.83000000000001</v>
      </c>
      <c r="Q268" s="12">
        <v>11.06</v>
      </c>
      <c r="R268" s="11">
        <v>2153970318236</v>
      </c>
      <c r="S268" s="11">
        <v>253815762753</v>
      </c>
      <c r="T268" s="11">
        <v>114743232887</v>
      </c>
      <c r="U268" s="11">
        <v>15089438788</v>
      </c>
      <c r="V268" s="11">
        <v>123983091078</v>
      </c>
      <c r="W268" s="11">
        <v>2407786080989</v>
      </c>
      <c r="X268" s="11">
        <v>175229737387</v>
      </c>
      <c r="Y268" s="11">
        <v>12493248200</v>
      </c>
      <c r="Z268" s="11">
        <v>2595509066576</v>
      </c>
      <c r="AA268" s="11">
        <v>1989187080764</v>
      </c>
      <c r="AB268" s="12">
        <v>21.04</v>
      </c>
      <c r="AC268" s="11">
        <v>4157649470875</v>
      </c>
      <c r="AD268" s="11">
        <v>4146939642410</v>
      </c>
      <c r="AE268" s="11">
        <v>3449500477134</v>
      </c>
      <c r="AF268" s="11">
        <v>14880763528</v>
      </c>
      <c r="AG268" s="11">
        <v>86451802461</v>
      </c>
      <c r="AH268" s="11">
        <v>0</v>
      </c>
      <c r="AI268" s="11">
        <v>0</v>
      </c>
      <c r="AJ268" s="12">
        <v>78</v>
      </c>
      <c r="AK268" s="11">
        <v>4616318554216</v>
      </c>
      <c r="AL268" s="12">
        <v>57</v>
      </c>
      <c r="AM268" s="11">
        <v>1455690872645</v>
      </c>
      <c r="AN268" s="12">
        <v>22</v>
      </c>
      <c r="AO268" s="11">
        <v>897361765183</v>
      </c>
      <c r="AP268" s="11">
        <v>253815762753</v>
      </c>
      <c r="AQ268" s="11">
        <v>153388571513</v>
      </c>
      <c r="AR268" s="11">
        <v>100427191240</v>
      </c>
      <c r="AS268" s="12">
        <v>65.47</v>
      </c>
      <c r="AT268" s="11">
        <v>4104889191360</v>
      </c>
      <c r="AU268" s="11">
        <v>899457509543</v>
      </c>
      <c r="AV268" s="11">
        <v>232058919949</v>
      </c>
      <c r="AW268" s="11">
        <v>95262701975</v>
      </c>
      <c r="AX268" s="11">
        <v>400603683069</v>
      </c>
      <c r="AY268" s="11">
        <v>370178200000</v>
      </c>
      <c r="AZ268" s="11">
        <v>296996783786</v>
      </c>
      <c r="BA268" s="11">
        <v>1656345360512</v>
      </c>
      <c r="BB268" s="13">
        <v>102879</v>
      </c>
      <c r="BC268" s="11">
        <v>885563477443</v>
      </c>
      <c r="BD268" s="11">
        <v>400603683069</v>
      </c>
      <c r="BE268" s="11">
        <v>370178200000</v>
      </c>
      <c r="BF268" s="11">
        <v>2087124727743</v>
      </c>
      <c r="BG268" s="11">
        <v>2070524743132</v>
      </c>
      <c r="BH268" s="11">
        <v>565819834297</v>
      </c>
      <c r="BI268" s="11">
        <v>123983091078</v>
      </c>
      <c r="BJ268" s="11">
        <v>3216216102396</v>
      </c>
      <c r="BK268" s="11">
        <v>0</v>
      </c>
      <c r="BL268" s="11">
        <v>0</v>
      </c>
      <c r="BM268" s="11">
        <v>39046297045</v>
      </c>
    </row>
    <row r="269" spans="1:65" x14ac:dyDescent="0.25">
      <c r="A269" s="32"/>
      <c r="B269" s="10">
        <v>2203</v>
      </c>
      <c r="C269" s="10" t="s">
        <v>322</v>
      </c>
      <c r="D269" s="11">
        <v>959216218525</v>
      </c>
      <c r="E269" s="11">
        <v>258357186191</v>
      </c>
      <c r="F269" s="11">
        <v>0</v>
      </c>
      <c r="G269" s="11">
        <v>0</v>
      </c>
      <c r="H269" s="11">
        <v>1217573404716</v>
      </c>
      <c r="I269" s="11">
        <v>101758091984</v>
      </c>
      <c r="J269" s="11">
        <v>1115815312732</v>
      </c>
      <c r="K269" s="11">
        <v>1135180421438</v>
      </c>
      <c r="L269" s="11">
        <v>82392983278</v>
      </c>
      <c r="M269" s="12">
        <v>7.26</v>
      </c>
      <c r="N269" s="11">
        <v>2887207462640</v>
      </c>
      <c r="O269" s="12">
        <v>251.79</v>
      </c>
      <c r="P269" s="12">
        <v>258.75</v>
      </c>
      <c r="Q269" s="12">
        <v>11.11</v>
      </c>
      <c r="R269" s="11">
        <v>2714241006674</v>
      </c>
      <c r="S269" s="11">
        <v>351465708244</v>
      </c>
      <c r="T269" s="11">
        <v>43663851928</v>
      </c>
      <c r="U269" s="11">
        <v>1536119953</v>
      </c>
      <c r="V269" s="11">
        <v>306265736363</v>
      </c>
      <c r="W269" s="11">
        <v>3065706714918</v>
      </c>
      <c r="X269" s="11">
        <v>111682048006</v>
      </c>
      <c r="Y269" s="11">
        <v>8660383672</v>
      </c>
      <c r="Z269" s="11">
        <v>3186049146596</v>
      </c>
      <c r="AA269" s="11">
        <v>2052742792396</v>
      </c>
      <c r="AB269" s="12">
        <v>49.35</v>
      </c>
      <c r="AC269" s="11">
        <v>3850342297439</v>
      </c>
      <c r="AD269" s="11">
        <v>3794056780206</v>
      </c>
      <c r="AE269" s="11">
        <v>2843801935896</v>
      </c>
      <c r="AF269" s="11">
        <v>0</v>
      </c>
      <c r="AG269" s="11">
        <v>0</v>
      </c>
      <c r="AH269" s="11">
        <v>0</v>
      </c>
      <c r="AI269" s="11">
        <v>2094238337</v>
      </c>
      <c r="AJ269" s="12">
        <v>21</v>
      </c>
      <c r="AK269" s="11">
        <v>3321417172435</v>
      </c>
      <c r="AL269" s="12">
        <v>20</v>
      </c>
      <c r="AM269" s="11">
        <v>403278015958</v>
      </c>
      <c r="AN269" s="12">
        <v>23</v>
      </c>
      <c r="AO269" s="11">
        <v>638246845123</v>
      </c>
      <c r="AP269" s="11">
        <v>351465708244</v>
      </c>
      <c r="AQ269" s="11">
        <v>5735687141</v>
      </c>
      <c r="AR269" s="11">
        <v>345730021103</v>
      </c>
      <c r="AS269" s="12">
        <v>6027.7</v>
      </c>
      <c r="AT269" s="11">
        <v>2884694945487</v>
      </c>
      <c r="AU269" s="11">
        <v>2126327118553</v>
      </c>
      <c r="AV269" s="11">
        <v>238675213395</v>
      </c>
      <c r="AW269" s="11">
        <v>110612411430</v>
      </c>
      <c r="AX269" s="11">
        <v>390675593700</v>
      </c>
      <c r="AY269" s="11">
        <v>219253000000</v>
      </c>
      <c r="AZ269" s="11">
        <v>198673591826</v>
      </c>
      <c r="BA269" s="11">
        <v>1217573404716</v>
      </c>
      <c r="BB269" s="13">
        <v>269034</v>
      </c>
      <c r="BC269" s="11">
        <v>607644811016</v>
      </c>
      <c r="BD269" s="11">
        <v>390675593700</v>
      </c>
      <c r="BE269" s="11">
        <v>219253000000</v>
      </c>
      <c r="BF269" s="11">
        <v>2959824155896</v>
      </c>
      <c r="BG269" s="11">
        <v>890518141543</v>
      </c>
      <c r="BH269" s="11">
        <v>877513520609</v>
      </c>
      <c r="BI269" s="11">
        <v>306265736363</v>
      </c>
      <c r="BJ269" s="11">
        <v>2042167265340</v>
      </c>
      <c r="BK269" s="11">
        <v>0</v>
      </c>
      <c r="BL269" s="11">
        <v>0</v>
      </c>
      <c r="BM269" s="11">
        <v>0</v>
      </c>
    </row>
    <row r="270" spans="1:65" x14ac:dyDescent="0.25">
      <c r="A270" s="32"/>
      <c r="B270" s="10">
        <v>2204</v>
      </c>
      <c r="C270" s="10" t="s">
        <v>323</v>
      </c>
      <c r="D270" s="11">
        <v>963015665011</v>
      </c>
      <c r="E270" s="11">
        <v>276949001020</v>
      </c>
      <c r="F270" s="11">
        <v>0</v>
      </c>
      <c r="G270" s="11">
        <v>0</v>
      </c>
      <c r="H270" s="11">
        <v>1239964666031</v>
      </c>
      <c r="I270" s="11">
        <v>97283502397</v>
      </c>
      <c r="J270" s="11">
        <v>1142681163634</v>
      </c>
      <c r="K270" s="11">
        <v>1421157344707</v>
      </c>
      <c r="L270" s="11">
        <v>-181192678676</v>
      </c>
      <c r="M270" s="12">
        <v>-12.75</v>
      </c>
      <c r="N270" s="11">
        <v>4108887919584</v>
      </c>
      <c r="O270" s="12">
        <v>333.56</v>
      </c>
      <c r="P270" s="12">
        <v>359.58</v>
      </c>
      <c r="Q270" s="12">
        <v>0.01</v>
      </c>
      <c r="R270" s="11">
        <v>4135459664163</v>
      </c>
      <c r="S270" s="11">
        <v>538679917</v>
      </c>
      <c r="T270" s="11">
        <v>538679917</v>
      </c>
      <c r="U270" s="11">
        <v>0</v>
      </c>
      <c r="V270" s="11">
        <v>0</v>
      </c>
      <c r="W270" s="11">
        <v>4135998344080</v>
      </c>
      <c r="X270" s="11">
        <v>156555646154</v>
      </c>
      <c r="Y270" s="11">
        <v>11000000000</v>
      </c>
      <c r="Z270" s="11">
        <v>4303553990234</v>
      </c>
      <c r="AA270" s="11">
        <v>2976668486293</v>
      </c>
      <c r="AB270" s="12">
        <v>38.950000000000003</v>
      </c>
      <c r="AC270" s="11">
        <v>8298733932310</v>
      </c>
      <c r="AD270" s="11">
        <v>8253213932310</v>
      </c>
      <c r="AE270" s="11">
        <v>7540593614330</v>
      </c>
      <c r="AF270" s="11">
        <v>0</v>
      </c>
      <c r="AG270" s="11">
        <v>0</v>
      </c>
      <c r="AH270" s="11">
        <v>0</v>
      </c>
      <c r="AI270" s="11">
        <v>0</v>
      </c>
      <c r="AJ270" s="12">
        <v>39</v>
      </c>
      <c r="AK270" s="11">
        <v>6806282315183</v>
      </c>
      <c r="AL270" s="12">
        <v>163</v>
      </c>
      <c r="AM270" s="11">
        <v>2378646415182</v>
      </c>
      <c r="AN270" s="12">
        <v>38</v>
      </c>
      <c r="AO270" s="11">
        <v>659667305845</v>
      </c>
      <c r="AP270" s="11">
        <v>538679917</v>
      </c>
      <c r="AQ270" s="11">
        <v>589941252</v>
      </c>
      <c r="AR270" s="11">
        <v>-51261335</v>
      </c>
      <c r="AS270" s="19">
        <v>-8.69</v>
      </c>
      <c r="AT270" s="11">
        <v>7816511532240</v>
      </c>
      <c r="AU270" s="11">
        <v>2678241541372</v>
      </c>
      <c r="AV270" s="11">
        <v>132573593978</v>
      </c>
      <c r="AW270" s="11">
        <v>165816164343</v>
      </c>
      <c r="AX270" s="11">
        <v>386388806690</v>
      </c>
      <c r="AY270" s="11">
        <v>278237100000</v>
      </c>
      <c r="AZ270" s="11">
        <v>290924996609</v>
      </c>
      <c r="BA270" s="11">
        <v>1239964666031</v>
      </c>
      <c r="BB270" s="13">
        <v>103235</v>
      </c>
      <c r="BC270" s="11">
        <v>575338759341</v>
      </c>
      <c r="BD270" s="11">
        <v>386388806690</v>
      </c>
      <c r="BE270" s="11">
        <v>278237100000</v>
      </c>
      <c r="BF270" s="11">
        <v>8134751016149</v>
      </c>
      <c r="BG270" s="11">
        <v>163982916161</v>
      </c>
      <c r="BH270" s="11">
        <v>2971008851904</v>
      </c>
      <c r="BI270" s="11">
        <v>0</v>
      </c>
      <c r="BJ270" s="11">
        <v>7279278309952</v>
      </c>
      <c r="BK270" s="11">
        <v>0</v>
      </c>
      <c r="BL270" s="11">
        <v>0</v>
      </c>
      <c r="BM270" s="11">
        <v>0</v>
      </c>
    </row>
    <row r="271" spans="1:65" x14ac:dyDescent="0.25">
      <c r="A271" s="32"/>
      <c r="B271" s="10">
        <v>2205</v>
      </c>
      <c r="C271" s="10" t="s">
        <v>324</v>
      </c>
      <c r="D271" s="11">
        <v>1346693762679</v>
      </c>
      <c r="E271" s="11">
        <v>566735776299</v>
      </c>
      <c r="F271" s="11">
        <v>0</v>
      </c>
      <c r="G271" s="11">
        <v>0</v>
      </c>
      <c r="H271" s="11">
        <v>1913429538978</v>
      </c>
      <c r="I271" s="11">
        <v>158616077260</v>
      </c>
      <c r="J271" s="11">
        <v>1754813461718</v>
      </c>
      <c r="K271" s="11">
        <v>2242311035051</v>
      </c>
      <c r="L271" s="11">
        <v>-328881496073</v>
      </c>
      <c r="M271" s="12">
        <v>-14.67</v>
      </c>
      <c r="N271" s="11">
        <v>4965776824722</v>
      </c>
      <c r="O271" s="12">
        <v>277.11</v>
      </c>
      <c r="P271" s="12">
        <v>282.98</v>
      </c>
      <c r="Q271" s="12">
        <v>28.22</v>
      </c>
      <c r="R271" s="11">
        <v>3832453292689</v>
      </c>
      <c r="S271" s="11">
        <v>1469838979526</v>
      </c>
      <c r="T271" s="11">
        <v>828362904946</v>
      </c>
      <c r="U271" s="11">
        <v>85792712429</v>
      </c>
      <c r="V271" s="11">
        <v>555683362151</v>
      </c>
      <c r="W271" s="11">
        <v>5302292272215</v>
      </c>
      <c r="X271" s="11">
        <v>371453166683</v>
      </c>
      <c r="Y271" s="11">
        <v>15004277000</v>
      </c>
      <c r="Z271" s="11">
        <v>5688749715898</v>
      </c>
      <c r="AA271" s="11">
        <v>4429172430482</v>
      </c>
      <c r="AB271" s="12">
        <v>19.71</v>
      </c>
      <c r="AC271" s="11">
        <v>5214994484646</v>
      </c>
      <c r="AD271" s="11">
        <v>5072885906703</v>
      </c>
      <c r="AE271" s="11">
        <v>3570328839046</v>
      </c>
      <c r="AF271" s="11">
        <v>142321257111</v>
      </c>
      <c r="AG271" s="11">
        <v>372256744308</v>
      </c>
      <c r="AH271" s="11">
        <v>0</v>
      </c>
      <c r="AI271" s="11">
        <v>0</v>
      </c>
      <c r="AJ271" s="12">
        <v>30</v>
      </c>
      <c r="AK271" s="11">
        <v>3927524523394</v>
      </c>
      <c r="AL271" s="12">
        <v>40</v>
      </c>
      <c r="AM271" s="11">
        <v>2685915349844</v>
      </c>
      <c r="AN271" s="12">
        <v>45</v>
      </c>
      <c r="AO271" s="11">
        <v>1951542948200</v>
      </c>
      <c r="AP271" s="11">
        <v>1469838979526</v>
      </c>
      <c r="AQ271" s="11">
        <v>6634093441</v>
      </c>
      <c r="AR271" s="11">
        <v>1463204886085</v>
      </c>
      <c r="AS271" s="19">
        <v>22055.84</v>
      </c>
      <c r="AT271" s="11">
        <v>4733411775775</v>
      </c>
      <c r="AU271" s="11">
        <v>745196098245</v>
      </c>
      <c r="AV271" s="11">
        <v>300047806230</v>
      </c>
      <c r="AW271" s="11">
        <v>144699006482</v>
      </c>
      <c r="AX271" s="11">
        <v>496873949967</v>
      </c>
      <c r="AY271" s="11">
        <v>405073000000</v>
      </c>
      <c r="AZ271" s="11">
        <v>340408580183</v>
      </c>
      <c r="BA271" s="11">
        <v>1913429538978</v>
      </c>
      <c r="BB271" s="13">
        <v>113700</v>
      </c>
      <c r="BC271" s="11">
        <v>1011482589011</v>
      </c>
      <c r="BD271" s="11">
        <v>496873949967</v>
      </c>
      <c r="BE271" s="11">
        <v>405073000000</v>
      </c>
      <c r="BF271" s="11">
        <v>4686989030793</v>
      </c>
      <c r="BG271" s="11">
        <v>528005453853</v>
      </c>
      <c r="BH271" s="11">
        <v>443606319184</v>
      </c>
      <c r="BI271" s="11">
        <v>445112543151</v>
      </c>
      <c r="BJ271" s="11">
        <v>3037722099699</v>
      </c>
      <c r="BK271" s="11">
        <v>11215664559</v>
      </c>
      <c r="BL271" s="11">
        <v>108000000000</v>
      </c>
      <c r="BM271" s="11">
        <v>54974298596</v>
      </c>
    </row>
    <row r="272" spans="1:65" x14ac:dyDescent="0.25">
      <c r="A272" s="32"/>
      <c r="B272" s="10">
        <v>2206</v>
      </c>
      <c r="C272" s="10" t="s">
        <v>325</v>
      </c>
      <c r="D272" s="11">
        <v>1191783771420</v>
      </c>
      <c r="E272" s="11">
        <v>202315136254</v>
      </c>
      <c r="F272" s="11">
        <v>0</v>
      </c>
      <c r="G272" s="11">
        <v>0</v>
      </c>
      <c r="H272" s="11">
        <v>1394098907674</v>
      </c>
      <c r="I272" s="11">
        <v>124740419853</v>
      </c>
      <c r="J272" s="11">
        <v>1269358487821</v>
      </c>
      <c r="K272" s="11">
        <v>1661968670189</v>
      </c>
      <c r="L272" s="11">
        <v>-267869762515</v>
      </c>
      <c r="M272" s="12">
        <v>-16.12</v>
      </c>
      <c r="N272" s="11">
        <v>2597117864584</v>
      </c>
      <c r="O272" s="12">
        <v>205.05</v>
      </c>
      <c r="P272" s="12">
        <v>204.6</v>
      </c>
      <c r="Q272" s="12">
        <v>0.77</v>
      </c>
      <c r="R272" s="11">
        <v>2854430878036</v>
      </c>
      <c r="S272" s="11">
        <v>4212490920</v>
      </c>
      <c r="T272" s="11">
        <v>2624646445</v>
      </c>
      <c r="U272" s="11">
        <v>0</v>
      </c>
      <c r="V272" s="11">
        <v>1587844475</v>
      </c>
      <c r="W272" s="11">
        <v>2858643368956</v>
      </c>
      <c r="X272" s="11">
        <v>135629371779</v>
      </c>
      <c r="Y272" s="11">
        <v>7000000000</v>
      </c>
      <c r="Z272" s="11">
        <v>3001272740735</v>
      </c>
      <c r="AA272" s="11">
        <v>2067360376972</v>
      </c>
      <c r="AB272" s="12">
        <v>38.28</v>
      </c>
      <c r="AC272" s="11">
        <v>4342297836907</v>
      </c>
      <c r="AD272" s="11">
        <v>4125838801298</v>
      </c>
      <c r="AE272" s="11">
        <v>2497769208059</v>
      </c>
      <c r="AF272" s="11">
        <v>340840064735</v>
      </c>
      <c r="AG272" s="11">
        <v>443022798593</v>
      </c>
      <c r="AH272" s="11">
        <v>0</v>
      </c>
      <c r="AI272" s="11">
        <v>0</v>
      </c>
      <c r="AJ272" s="12">
        <v>28</v>
      </c>
      <c r="AK272" s="11">
        <v>2383740527706</v>
      </c>
      <c r="AL272" s="12">
        <v>81</v>
      </c>
      <c r="AM272" s="11">
        <v>896351096741</v>
      </c>
      <c r="AN272" s="12">
        <v>34</v>
      </c>
      <c r="AO272" s="11">
        <v>965343158170</v>
      </c>
      <c r="AP272" s="11">
        <v>4212490920</v>
      </c>
      <c r="AQ272" s="11">
        <v>5627716508</v>
      </c>
      <c r="AR272" s="11">
        <v>-1415225588</v>
      </c>
      <c r="AS272" s="12">
        <v>-25.15</v>
      </c>
      <c r="AT272" s="11">
        <v>4258503558069</v>
      </c>
      <c r="AU272" s="11">
        <v>863913949103</v>
      </c>
      <c r="AV272" s="11">
        <v>297866452509</v>
      </c>
      <c r="AW272" s="11">
        <v>144357664931</v>
      </c>
      <c r="AX272" s="11">
        <v>294152653980</v>
      </c>
      <c r="AY272" s="11">
        <v>455407000000</v>
      </c>
      <c r="AZ272" s="11">
        <v>157507399945</v>
      </c>
      <c r="BA272" s="11">
        <v>1394098907674</v>
      </c>
      <c r="BB272" s="13">
        <v>39556</v>
      </c>
      <c r="BC272" s="11">
        <v>644539253694</v>
      </c>
      <c r="BD272" s="11">
        <v>294152653980</v>
      </c>
      <c r="BE272" s="11">
        <v>455407000000</v>
      </c>
      <c r="BF272" s="11">
        <v>3034706480094</v>
      </c>
      <c r="BG272" s="11">
        <v>1307591356813</v>
      </c>
      <c r="BH272" s="11">
        <v>315803622587</v>
      </c>
      <c r="BI272" s="11">
        <v>0</v>
      </c>
      <c r="BJ272" s="11">
        <v>2514700631851</v>
      </c>
      <c r="BK272" s="11">
        <v>4916559320</v>
      </c>
      <c r="BL272" s="11">
        <v>0</v>
      </c>
      <c r="BM272" s="11">
        <v>379177841386</v>
      </c>
    </row>
    <row r="273" spans="1:65" x14ac:dyDescent="0.25">
      <c r="A273" s="32"/>
      <c r="B273" s="10">
        <v>2207</v>
      </c>
      <c r="C273" s="10" t="s">
        <v>326</v>
      </c>
      <c r="D273" s="11">
        <v>0</v>
      </c>
      <c r="E273" s="11">
        <v>0</v>
      </c>
      <c r="F273" s="11">
        <v>0</v>
      </c>
      <c r="G273" s="11">
        <v>0</v>
      </c>
      <c r="H273" s="11">
        <v>0</v>
      </c>
      <c r="I273" s="11">
        <v>0</v>
      </c>
      <c r="J273" s="11">
        <v>0</v>
      </c>
      <c r="K273" s="11">
        <v>401557</v>
      </c>
      <c r="L273" s="11">
        <v>-401557</v>
      </c>
      <c r="M273" s="12">
        <v>-100</v>
      </c>
      <c r="N273" s="11">
        <v>0</v>
      </c>
      <c r="O273" s="12">
        <v>0</v>
      </c>
      <c r="P273" s="12"/>
      <c r="Q273" s="12">
        <v>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11">
        <v>0</v>
      </c>
      <c r="X273" s="11">
        <v>0</v>
      </c>
      <c r="Y273" s="11">
        <v>0</v>
      </c>
      <c r="Z273" s="11">
        <v>0</v>
      </c>
      <c r="AA273" s="11">
        <v>0</v>
      </c>
      <c r="AB273" s="12"/>
      <c r="AC273" s="11">
        <v>0</v>
      </c>
      <c r="AD273" s="11">
        <v>0</v>
      </c>
      <c r="AE273" s="11">
        <v>0</v>
      </c>
      <c r="AF273" s="11">
        <v>0</v>
      </c>
      <c r="AG273" s="11">
        <v>0</v>
      </c>
      <c r="AH273" s="11">
        <v>0</v>
      </c>
      <c r="AI273" s="11">
        <v>0</v>
      </c>
      <c r="AJ273" s="12">
        <v>0</v>
      </c>
      <c r="AK273" s="11">
        <v>0</v>
      </c>
      <c r="AL273" s="12">
        <v>0</v>
      </c>
      <c r="AM273" s="11">
        <v>0</v>
      </c>
      <c r="AN273" s="12">
        <v>0</v>
      </c>
      <c r="AO273" s="11">
        <v>0</v>
      </c>
      <c r="AP273" s="11">
        <v>0</v>
      </c>
      <c r="AQ273" s="11">
        <v>0</v>
      </c>
      <c r="AR273" s="11">
        <v>0</v>
      </c>
      <c r="AS273" s="12"/>
      <c r="AT273" s="11">
        <v>0</v>
      </c>
      <c r="AU273" s="11">
        <v>0</v>
      </c>
      <c r="AV273" s="11">
        <v>0</v>
      </c>
      <c r="AW273" s="11">
        <v>0</v>
      </c>
      <c r="AX273" s="11">
        <v>0</v>
      </c>
      <c r="AY273" s="11">
        <v>0</v>
      </c>
      <c r="AZ273" s="11">
        <v>0</v>
      </c>
      <c r="BA273" s="11">
        <v>0</v>
      </c>
      <c r="BB273" s="12">
        <v>0</v>
      </c>
      <c r="BC273" s="11">
        <v>0</v>
      </c>
      <c r="BD273" s="11">
        <v>0</v>
      </c>
      <c r="BE273" s="11">
        <v>0</v>
      </c>
      <c r="BF273" s="11">
        <v>0</v>
      </c>
      <c r="BG273" s="11">
        <v>0</v>
      </c>
      <c r="BH273" s="11">
        <v>0</v>
      </c>
      <c r="BI273" s="11">
        <v>0</v>
      </c>
      <c r="BJ273" s="11">
        <v>0</v>
      </c>
      <c r="BK273" s="11">
        <v>0</v>
      </c>
      <c r="BL273" s="11">
        <v>0</v>
      </c>
      <c r="BM273" s="11">
        <v>0</v>
      </c>
    </row>
    <row r="274" spans="1:65" x14ac:dyDescent="0.25">
      <c r="A274" s="32"/>
      <c r="B274" s="10">
        <v>2299</v>
      </c>
      <c r="C274" s="10" t="s">
        <v>327</v>
      </c>
      <c r="D274" s="11">
        <v>0</v>
      </c>
      <c r="E274" s="11">
        <v>54772718946</v>
      </c>
      <c r="F274" s="11">
        <v>0</v>
      </c>
      <c r="G274" s="11">
        <v>0</v>
      </c>
      <c r="H274" s="11">
        <v>54772718946</v>
      </c>
      <c r="I274" s="11">
        <v>4438910468</v>
      </c>
      <c r="J274" s="11">
        <v>50333808478</v>
      </c>
      <c r="K274" s="11">
        <v>23434138475</v>
      </c>
      <c r="L274" s="11">
        <v>31338580471</v>
      </c>
      <c r="M274" s="12">
        <v>133.72999999999999</v>
      </c>
      <c r="N274" s="11">
        <v>0</v>
      </c>
      <c r="O274" s="12">
        <v>0</v>
      </c>
      <c r="P274" s="12">
        <v>0</v>
      </c>
      <c r="Q274" s="12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2"/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2">
        <v>0</v>
      </c>
      <c r="AK274" s="11">
        <v>0</v>
      </c>
      <c r="AL274" s="12">
        <v>0</v>
      </c>
      <c r="AM274" s="11">
        <v>0</v>
      </c>
      <c r="AN274" s="12">
        <v>0</v>
      </c>
      <c r="AO274" s="11">
        <v>0</v>
      </c>
      <c r="AP274" s="11">
        <v>0</v>
      </c>
      <c r="AQ274" s="11">
        <v>0</v>
      </c>
      <c r="AR274" s="11">
        <v>0</v>
      </c>
      <c r="AS274" s="12"/>
      <c r="AT274" s="11">
        <v>0</v>
      </c>
      <c r="AU274" s="11">
        <v>0</v>
      </c>
      <c r="AV274" s="11">
        <v>0</v>
      </c>
      <c r="AW274" s="11">
        <v>0</v>
      </c>
      <c r="AX274" s="11">
        <v>0</v>
      </c>
      <c r="AY274" s="11">
        <v>0</v>
      </c>
      <c r="AZ274" s="11">
        <v>0</v>
      </c>
      <c r="BA274" s="11">
        <v>54772718946</v>
      </c>
      <c r="BB274" s="12">
        <v>0</v>
      </c>
      <c r="BC274" s="11">
        <v>54772718946</v>
      </c>
      <c r="BD274" s="11">
        <v>0</v>
      </c>
      <c r="BE274" s="11">
        <v>0</v>
      </c>
      <c r="BF274" s="11">
        <v>0</v>
      </c>
      <c r="BG274" s="11">
        <v>0</v>
      </c>
      <c r="BH274" s="11">
        <v>0</v>
      </c>
      <c r="BI274" s="11">
        <v>0</v>
      </c>
      <c r="BJ274" s="11">
        <v>0</v>
      </c>
      <c r="BK274" s="11">
        <v>0</v>
      </c>
      <c r="BL274" s="11">
        <v>0</v>
      </c>
      <c r="BM274" s="11">
        <v>0</v>
      </c>
    </row>
    <row r="275" spans="1:65" x14ac:dyDescent="0.25">
      <c r="A275" s="14" t="s">
        <v>604</v>
      </c>
      <c r="B275" s="15"/>
      <c r="C275" s="15"/>
      <c r="D275" s="16">
        <v>8860096793599</v>
      </c>
      <c r="E275" s="16">
        <v>4102337527322</v>
      </c>
      <c r="F275" s="16">
        <v>40000000000</v>
      </c>
      <c r="G275" s="16">
        <v>977969059373</v>
      </c>
      <c r="H275" s="16">
        <v>13980403380294</v>
      </c>
      <c r="I275" s="16">
        <v>1159244012009</v>
      </c>
      <c r="J275" s="16">
        <v>12821159368285</v>
      </c>
      <c r="K275" s="16">
        <v>14213164990119</v>
      </c>
      <c r="L275" s="16">
        <v>-232761609825</v>
      </c>
      <c r="M275" s="17">
        <v>-1.64</v>
      </c>
      <c r="N275" s="16">
        <v>29623994211731</v>
      </c>
      <c r="O275" s="17">
        <v>226.64</v>
      </c>
      <c r="P275" s="17">
        <v>231.06</v>
      </c>
      <c r="Q275" s="17">
        <v>12.67</v>
      </c>
      <c r="R275" s="16">
        <v>27698095419113</v>
      </c>
      <c r="S275" s="16">
        <v>3987426490445</v>
      </c>
      <c r="T275" s="16">
        <v>1104438468265</v>
      </c>
      <c r="U275" s="16">
        <v>121905219746</v>
      </c>
      <c r="V275" s="16">
        <v>2761082802434</v>
      </c>
      <c r="W275" s="16">
        <v>31685521909558</v>
      </c>
      <c r="X275" s="16">
        <v>1552850017880</v>
      </c>
      <c r="Y275" s="16">
        <v>90993191721</v>
      </c>
      <c r="Z275" s="16">
        <v>33329365119159</v>
      </c>
      <c r="AA275" s="16">
        <v>20800039529142</v>
      </c>
      <c r="AB275" s="17">
        <v>52.33</v>
      </c>
      <c r="AC275" s="16">
        <v>47355169983105</v>
      </c>
      <c r="AD275" s="16">
        <v>46680488605648</v>
      </c>
      <c r="AE275" s="16">
        <v>38723220981751</v>
      </c>
      <c r="AF275" s="16">
        <v>584742585374</v>
      </c>
      <c r="AG275" s="16">
        <v>901731345362</v>
      </c>
      <c r="AH275" s="16">
        <v>0</v>
      </c>
      <c r="AI275" s="16">
        <v>2094238337</v>
      </c>
      <c r="AJ275" s="17">
        <v>275</v>
      </c>
      <c r="AK275" s="16">
        <v>51044557262672</v>
      </c>
      <c r="AL275" s="17">
        <v>483</v>
      </c>
      <c r="AM275" s="16">
        <v>10315966115701</v>
      </c>
      <c r="AN275" s="18">
        <f>SUM(AN266:AN274)</f>
        <v>275</v>
      </c>
      <c r="AO275" s="16">
        <f>SUM(AO266:AO274)</f>
        <v>8042763230383</v>
      </c>
      <c r="AP275" s="16">
        <v>3987426490445</v>
      </c>
      <c r="AQ275" s="16">
        <v>274735687773</v>
      </c>
      <c r="AR275" s="16">
        <v>3712690802672</v>
      </c>
      <c r="AS275" s="17">
        <v>1351.37</v>
      </c>
      <c r="AT275" s="16">
        <v>40214932559560</v>
      </c>
      <c r="AU275" s="16">
        <v>9899046875050</v>
      </c>
      <c r="AV275" s="16">
        <v>1576437419684</v>
      </c>
      <c r="AW275" s="16">
        <v>1010939202704</v>
      </c>
      <c r="AX275" s="16">
        <v>3888291171211</v>
      </c>
      <c r="AY275" s="16">
        <v>2384429000000</v>
      </c>
      <c r="AZ275" s="16">
        <v>2107140706998</v>
      </c>
      <c r="BA275" s="16">
        <v>13980403380294</v>
      </c>
      <c r="BB275" s="18">
        <v>1376753</v>
      </c>
      <c r="BC275" s="16">
        <v>7590091761567</v>
      </c>
      <c r="BD275" s="16">
        <v>3928291171211</v>
      </c>
      <c r="BE275" s="16">
        <v>2462020447516</v>
      </c>
      <c r="BF275" s="16">
        <v>36262328799311</v>
      </c>
      <c r="BG275" s="16">
        <v>11092841183794</v>
      </c>
      <c r="BH275" s="16">
        <v>10620920741585</v>
      </c>
      <c r="BI275" s="16">
        <v>2572191903165</v>
      </c>
      <c r="BJ275" s="16">
        <v>31802359926746</v>
      </c>
      <c r="BK275" s="16">
        <v>26121943122</v>
      </c>
      <c r="BL275" s="16">
        <v>108000000000</v>
      </c>
      <c r="BM275" s="16">
        <v>531834649697</v>
      </c>
    </row>
    <row r="276" spans="1:65" x14ac:dyDescent="0.25">
      <c r="A276" s="32" t="s">
        <v>328</v>
      </c>
      <c r="B276" s="10">
        <v>2300</v>
      </c>
      <c r="C276" s="10" t="s">
        <v>329</v>
      </c>
      <c r="D276" s="11">
        <v>1581528905814</v>
      </c>
      <c r="E276" s="11">
        <v>332610439336</v>
      </c>
      <c r="F276" s="11">
        <v>0</v>
      </c>
      <c r="G276" s="11">
        <v>419820343434</v>
      </c>
      <c r="H276" s="11">
        <v>2333959688584</v>
      </c>
      <c r="I276" s="11">
        <v>182865981208</v>
      </c>
      <c r="J276" s="11">
        <v>2151093707376</v>
      </c>
      <c r="K276" s="11">
        <v>1983422263422</v>
      </c>
      <c r="L276" s="11">
        <v>350537425162</v>
      </c>
      <c r="M276" s="12">
        <v>17.670000000000002</v>
      </c>
      <c r="N276" s="11">
        <v>4047560320609</v>
      </c>
      <c r="O276" s="12">
        <v>235.54</v>
      </c>
      <c r="P276" s="12">
        <v>188.16</v>
      </c>
      <c r="Q276" s="12">
        <v>5.24</v>
      </c>
      <c r="R276" s="11">
        <v>5237395987713</v>
      </c>
      <c r="S276" s="11">
        <v>260066814818</v>
      </c>
      <c r="T276" s="11">
        <v>144641434271</v>
      </c>
      <c r="U276" s="11">
        <v>65264355459</v>
      </c>
      <c r="V276" s="11">
        <v>50161025088</v>
      </c>
      <c r="W276" s="11">
        <v>5497462802531</v>
      </c>
      <c r="X276" s="11">
        <v>249480255073</v>
      </c>
      <c r="Y276" s="11">
        <v>11882666878</v>
      </c>
      <c r="Z276" s="11">
        <v>5758825724482</v>
      </c>
      <c r="AA276" s="11">
        <v>4428151505312</v>
      </c>
      <c r="AB276" s="12">
        <v>24.15</v>
      </c>
      <c r="AC276" s="11">
        <v>2137996930685</v>
      </c>
      <c r="AD276" s="11">
        <v>1817847113743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2">
        <v>0</v>
      </c>
      <c r="AK276" s="11">
        <v>0</v>
      </c>
      <c r="AL276" s="12">
        <v>197</v>
      </c>
      <c r="AM276" s="11">
        <v>1037135380830</v>
      </c>
      <c r="AN276" s="12">
        <v>487</v>
      </c>
      <c r="AO276" s="11">
        <v>706515821950</v>
      </c>
      <c r="AP276" s="11">
        <v>260066814818</v>
      </c>
      <c r="AQ276" s="11">
        <v>78191042268</v>
      </c>
      <c r="AR276" s="11">
        <v>181875772550</v>
      </c>
      <c r="AS276" s="12">
        <v>232.6</v>
      </c>
      <c r="AT276" s="11">
        <v>1633237212541</v>
      </c>
      <c r="AU276" s="11">
        <v>176134738045</v>
      </c>
      <c r="AV276" s="11">
        <v>268266831078</v>
      </c>
      <c r="AW276" s="11">
        <v>753056632005</v>
      </c>
      <c r="AX276" s="11">
        <v>293668442731</v>
      </c>
      <c r="AY276" s="11">
        <v>266537000000</v>
      </c>
      <c r="AZ276" s="11">
        <v>147531196228</v>
      </c>
      <c r="BA276" s="11">
        <v>2333959688584</v>
      </c>
      <c r="BB276" s="13">
        <v>101200</v>
      </c>
      <c r="BC276" s="11">
        <v>1657596905357</v>
      </c>
      <c r="BD276" s="11">
        <v>293668442731</v>
      </c>
      <c r="BE276" s="11">
        <v>382694340496</v>
      </c>
      <c r="BF276" s="11">
        <v>722111788698</v>
      </c>
      <c r="BG276" s="11">
        <v>1415885141987</v>
      </c>
      <c r="BH276" s="11">
        <v>0</v>
      </c>
      <c r="BI276" s="11">
        <v>12627486429</v>
      </c>
      <c r="BJ276" s="11">
        <v>0</v>
      </c>
      <c r="BK276" s="11">
        <v>0</v>
      </c>
      <c r="BL276" s="11">
        <v>293570396</v>
      </c>
      <c r="BM276" s="11">
        <v>250622017</v>
      </c>
    </row>
    <row r="277" spans="1:65" x14ac:dyDescent="0.25">
      <c r="A277" s="32"/>
      <c r="B277" s="10">
        <v>2301</v>
      </c>
      <c r="C277" s="10" t="s">
        <v>330</v>
      </c>
      <c r="D277" s="11">
        <v>1613963241113</v>
      </c>
      <c r="E277" s="11">
        <v>14650595460</v>
      </c>
      <c r="F277" s="11">
        <v>0</v>
      </c>
      <c r="G277" s="11">
        <v>0</v>
      </c>
      <c r="H277" s="11">
        <v>1628613836573</v>
      </c>
      <c r="I277" s="11">
        <v>130412406543</v>
      </c>
      <c r="J277" s="11">
        <v>1498201430030</v>
      </c>
      <c r="K277" s="11">
        <v>1308400037437</v>
      </c>
      <c r="L277" s="11">
        <v>320213799136</v>
      </c>
      <c r="M277" s="12">
        <v>24.47</v>
      </c>
      <c r="N277" s="11">
        <v>1793196681864</v>
      </c>
      <c r="O277" s="12">
        <v>111.99</v>
      </c>
      <c r="P277" s="12">
        <v>119.69</v>
      </c>
      <c r="Q277" s="12">
        <v>0.03</v>
      </c>
      <c r="R277" s="11">
        <v>1823331693830</v>
      </c>
      <c r="S277" s="11">
        <v>534063239</v>
      </c>
      <c r="T277" s="11">
        <v>534063239</v>
      </c>
      <c r="U277" s="11">
        <v>0</v>
      </c>
      <c r="V277" s="11">
        <v>0</v>
      </c>
      <c r="W277" s="11">
        <v>1823865757069</v>
      </c>
      <c r="X277" s="11">
        <v>172484607380</v>
      </c>
      <c r="Y277" s="11">
        <v>31098491659</v>
      </c>
      <c r="Z277" s="11">
        <v>2027448856108</v>
      </c>
      <c r="AA277" s="11">
        <v>1322376236089</v>
      </c>
      <c r="AB277" s="12">
        <v>37.92</v>
      </c>
      <c r="AC277" s="11">
        <v>815419024316</v>
      </c>
      <c r="AD277" s="11">
        <v>815419024316</v>
      </c>
      <c r="AE277" s="11">
        <v>0</v>
      </c>
      <c r="AF277" s="11">
        <v>0</v>
      </c>
      <c r="AG277" s="11">
        <v>0</v>
      </c>
      <c r="AH277" s="11">
        <v>0</v>
      </c>
      <c r="AI277" s="11">
        <v>0</v>
      </c>
      <c r="AJ277" s="12">
        <v>0</v>
      </c>
      <c r="AK277" s="11">
        <v>0</v>
      </c>
      <c r="AL277" s="12">
        <v>28</v>
      </c>
      <c r="AM277" s="11">
        <v>145056973991</v>
      </c>
      <c r="AN277" s="12">
        <v>5</v>
      </c>
      <c r="AO277" s="11">
        <v>61456270501</v>
      </c>
      <c r="AP277" s="11">
        <v>534063239</v>
      </c>
      <c r="AQ277" s="11">
        <v>0</v>
      </c>
      <c r="AR277" s="11">
        <v>534063239</v>
      </c>
      <c r="AS277" s="19"/>
      <c r="AT277" s="11">
        <v>418812448746</v>
      </c>
      <c r="AU277" s="11">
        <v>86801030192</v>
      </c>
      <c r="AV277" s="11">
        <v>88182932457</v>
      </c>
      <c r="AW277" s="11">
        <v>359748447799</v>
      </c>
      <c r="AX277" s="11">
        <v>258853860857</v>
      </c>
      <c r="AY277" s="11">
        <v>907178000000</v>
      </c>
      <c r="AZ277" s="11">
        <v>201327633348</v>
      </c>
      <c r="BA277" s="11">
        <v>1628613836573</v>
      </c>
      <c r="BB277" s="13">
        <v>24263</v>
      </c>
      <c r="BC277" s="11">
        <v>462581975716</v>
      </c>
      <c r="BD277" s="11">
        <v>258570060857</v>
      </c>
      <c r="BE277" s="11">
        <v>907461800000</v>
      </c>
      <c r="BF277" s="11">
        <v>680559959316</v>
      </c>
      <c r="BG277" s="11">
        <v>134859065000</v>
      </c>
      <c r="BH277" s="11">
        <v>0</v>
      </c>
      <c r="BI277" s="11">
        <v>0</v>
      </c>
      <c r="BJ277" s="11">
        <v>0</v>
      </c>
      <c r="BK277" s="11">
        <v>0</v>
      </c>
      <c r="BL277" s="11">
        <v>0</v>
      </c>
      <c r="BM277" s="11">
        <v>0</v>
      </c>
    </row>
    <row r="278" spans="1:65" x14ac:dyDescent="0.25">
      <c r="A278" s="32"/>
      <c r="B278" s="10">
        <v>2302</v>
      </c>
      <c r="C278" s="10" t="s">
        <v>331</v>
      </c>
      <c r="D278" s="11">
        <v>1586367212518</v>
      </c>
      <c r="E278" s="11">
        <v>135953828704</v>
      </c>
      <c r="F278" s="11">
        <v>0</v>
      </c>
      <c r="G278" s="11">
        <v>0</v>
      </c>
      <c r="H278" s="11">
        <v>1722321041222</v>
      </c>
      <c r="I278" s="11">
        <v>140744570904</v>
      </c>
      <c r="J278" s="11">
        <v>1581576470318</v>
      </c>
      <c r="K278" s="11">
        <v>2013708881388</v>
      </c>
      <c r="L278" s="11">
        <v>-291387840166</v>
      </c>
      <c r="M278" s="12">
        <v>-14.47</v>
      </c>
      <c r="N278" s="11">
        <v>1724060460437</v>
      </c>
      <c r="O278" s="12">
        <v>98.26</v>
      </c>
      <c r="P278" s="12">
        <v>109.01</v>
      </c>
      <c r="Q278" s="12">
        <v>11.08</v>
      </c>
      <c r="R278" s="11">
        <v>1494988912849</v>
      </c>
      <c r="S278" s="11">
        <v>197367512175</v>
      </c>
      <c r="T278" s="11">
        <v>82986178189</v>
      </c>
      <c r="U278" s="11">
        <v>109059116617</v>
      </c>
      <c r="V278" s="11">
        <v>5322217369</v>
      </c>
      <c r="W278" s="11">
        <v>1692356425024</v>
      </c>
      <c r="X278" s="11">
        <v>141266733998</v>
      </c>
      <c r="Y278" s="11">
        <v>26808669562</v>
      </c>
      <c r="Z278" s="11">
        <v>1860431828584</v>
      </c>
      <c r="AA278" s="11">
        <v>1270423417594</v>
      </c>
      <c r="AB278" s="12">
        <v>33.21</v>
      </c>
      <c r="AC278" s="11">
        <v>1107409362852</v>
      </c>
      <c r="AD278" s="11">
        <v>1107409362852</v>
      </c>
      <c r="AE278" s="11">
        <v>0</v>
      </c>
      <c r="AF278" s="11">
        <v>0</v>
      </c>
      <c r="AG278" s="11">
        <v>0</v>
      </c>
      <c r="AH278" s="11">
        <v>0</v>
      </c>
      <c r="AI278" s="11">
        <v>0</v>
      </c>
      <c r="AJ278" s="12">
        <v>2</v>
      </c>
      <c r="AK278" s="11">
        <v>321700200000</v>
      </c>
      <c r="AL278" s="12">
        <v>115</v>
      </c>
      <c r="AM278" s="11">
        <v>1052328477229</v>
      </c>
      <c r="AN278" s="12">
        <v>92</v>
      </c>
      <c r="AO278" s="11">
        <v>1077715657418</v>
      </c>
      <c r="AP278" s="11">
        <v>197367512175</v>
      </c>
      <c r="AQ278" s="11">
        <v>18648331935</v>
      </c>
      <c r="AR278" s="11">
        <v>178719180240</v>
      </c>
      <c r="AS278" s="12">
        <v>958.37</v>
      </c>
      <c r="AT278" s="11">
        <v>789082280695</v>
      </c>
      <c r="AU278" s="11">
        <v>426554785966</v>
      </c>
      <c r="AV278" s="11">
        <v>259958446608</v>
      </c>
      <c r="AW278" s="11">
        <v>664426569673</v>
      </c>
      <c r="AX278" s="11">
        <v>314262196237</v>
      </c>
      <c r="AY278" s="11">
        <v>347720000000</v>
      </c>
      <c r="AZ278" s="11">
        <v>183443217629</v>
      </c>
      <c r="BA278" s="11">
        <v>1722321041222</v>
      </c>
      <c r="BB278" s="13">
        <v>9103</v>
      </c>
      <c r="BC278" s="11">
        <v>1060283380385</v>
      </c>
      <c r="BD278" s="11">
        <v>313491196237</v>
      </c>
      <c r="BE278" s="11">
        <v>348546464600</v>
      </c>
      <c r="BF278" s="11">
        <v>1082718049644</v>
      </c>
      <c r="BG278" s="11">
        <v>24691313208</v>
      </c>
      <c r="BH278" s="11">
        <v>0</v>
      </c>
      <c r="BI278" s="11">
        <v>0</v>
      </c>
      <c r="BJ278" s="11">
        <v>0</v>
      </c>
      <c r="BK278" s="11">
        <v>0</v>
      </c>
      <c r="BL278" s="11">
        <v>0</v>
      </c>
      <c r="BM278" s="11">
        <v>0</v>
      </c>
    </row>
    <row r="279" spans="1:65" x14ac:dyDescent="0.25">
      <c r="A279" s="32"/>
      <c r="B279" s="10">
        <v>2303</v>
      </c>
      <c r="C279" s="10" t="s">
        <v>332</v>
      </c>
      <c r="D279" s="11">
        <v>1081444755878</v>
      </c>
      <c r="E279" s="11">
        <v>236556361201</v>
      </c>
      <c r="F279" s="11">
        <v>0</v>
      </c>
      <c r="G279" s="11">
        <v>0</v>
      </c>
      <c r="H279" s="11">
        <v>1318001117079</v>
      </c>
      <c r="I279" s="11">
        <v>109440895445</v>
      </c>
      <c r="J279" s="11">
        <v>1208560221634</v>
      </c>
      <c r="K279" s="11">
        <v>1228034262460</v>
      </c>
      <c r="L279" s="11">
        <v>89966854619</v>
      </c>
      <c r="M279" s="12">
        <v>7.33</v>
      </c>
      <c r="N279" s="11">
        <v>965774780756</v>
      </c>
      <c r="O279" s="12">
        <v>74.31</v>
      </c>
      <c r="P279" s="12">
        <v>79.91</v>
      </c>
      <c r="Q279" s="12">
        <v>3.23</v>
      </c>
      <c r="R279" s="11">
        <v>945778269522</v>
      </c>
      <c r="S279" s="11">
        <v>33631112926</v>
      </c>
      <c r="T279" s="11">
        <v>20547312445</v>
      </c>
      <c r="U279" s="11">
        <v>7424735324</v>
      </c>
      <c r="V279" s="11">
        <v>5659065157</v>
      </c>
      <c r="W279" s="11">
        <v>979409382448</v>
      </c>
      <c r="X279" s="11">
        <v>60229559446</v>
      </c>
      <c r="Y279" s="11">
        <v>20212120000</v>
      </c>
      <c r="Z279" s="11">
        <v>1059851061894</v>
      </c>
      <c r="AA279" s="11">
        <v>838386506987</v>
      </c>
      <c r="AB279" s="12">
        <v>16.82</v>
      </c>
      <c r="AC279" s="11">
        <v>334346307055</v>
      </c>
      <c r="AD279" s="11">
        <v>334346307055</v>
      </c>
      <c r="AE279" s="11">
        <v>0</v>
      </c>
      <c r="AF279" s="11">
        <v>14098280000</v>
      </c>
      <c r="AG279" s="11">
        <v>0</v>
      </c>
      <c r="AH279" s="11">
        <v>0</v>
      </c>
      <c r="AI279" s="11">
        <v>0</v>
      </c>
      <c r="AJ279" s="12">
        <v>0</v>
      </c>
      <c r="AK279" s="11">
        <v>0</v>
      </c>
      <c r="AL279" s="12">
        <v>134</v>
      </c>
      <c r="AM279" s="11">
        <v>2007021705560</v>
      </c>
      <c r="AN279" s="12">
        <v>180</v>
      </c>
      <c r="AO279" s="11">
        <v>810512841479</v>
      </c>
      <c r="AP279" s="11">
        <v>33631112926</v>
      </c>
      <c r="AQ279" s="11">
        <v>25003388079</v>
      </c>
      <c r="AR279" s="11">
        <v>8627724847</v>
      </c>
      <c r="AS279" s="12">
        <v>34.51</v>
      </c>
      <c r="AT279" s="11">
        <v>235404227622</v>
      </c>
      <c r="AU279" s="11">
        <v>77085357152</v>
      </c>
      <c r="AV279" s="11">
        <v>156185503871</v>
      </c>
      <c r="AW279" s="11">
        <v>539386895098</v>
      </c>
      <c r="AX279" s="11">
        <v>247354356909</v>
      </c>
      <c r="AY279" s="11">
        <v>138518000000</v>
      </c>
      <c r="AZ279" s="11">
        <v>163907634478</v>
      </c>
      <c r="BA279" s="11">
        <v>1318001117079</v>
      </c>
      <c r="BB279" s="13">
        <v>7067</v>
      </c>
      <c r="BC279" s="11">
        <v>931997369684</v>
      </c>
      <c r="BD279" s="11">
        <v>243408656909</v>
      </c>
      <c r="BE279" s="11">
        <v>142595090486</v>
      </c>
      <c r="BF279" s="11">
        <v>282443188263</v>
      </c>
      <c r="BG279" s="11">
        <v>51903118792</v>
      </c>
      <c r="BH279" s="11">
        <v>0</v>
      </c>
      <c r="BI279" s="11">
        <v>0</v>
      </c>
      <c r="BJ279" s="11">
        <v>0</v>
      </c>
      <c r="BK279" s="11">
        <v>0</v>
      </c>
      <c r="BL279" s="11">
        <v>0</v>
      </c>
      <c r="BM279" s="11">
        <v>14098280000</v>
      </c>
    </row>
    <row r="280" spans="1:65" x14ac:dyDescent="0.25">
      <c r="A280" s="32"/>
      <c r="B280" s="10">
        <v>2304</v>
      </c>
      <c r="C280" s="10" t="s">
        <v>333</v>
      </c>
      <c r="D280" s="11">
        <v>766286579891</v>
      </c>
      <c r="E280" s="11">
        <v>65053460067</v>
      </c>
      <c r="F280" s="11">
        <v>29423000000</v>
      </c>
      <c r="G280" s="11">
        <v>0</v>
      </c>
      <c r="H280" s="11">
        <v>860763039958</v>
      </c>
      <c r="I280" s="11">
        <v>72863480138</v>
      </c>
      <c r="J280" s="11">
        <v>787899559820</v>
      </c>
      <c r="K280" s="11">
        <v>670889560339</v>
      </c>
      <c r="L280" s="11">
        <v>189873479619</v>
      </c>
      <c r="M280" s="12">
        <v>28.3</v>
      </c>
      <c r="N280" s="11">
        <v>754179919233</v>
      </c>
      <c r="O280" s="12">
        <v>89.1</v>
      </c>
      <c r="P280" s="12">
        <v>95.72</v>
      </c>
      <c r="Q280" s="12">
        <v>1.63</v>
      </c>
      <c r="R280" s="11">
        <v>754359392036</v>
      </c>
      <c r="S280" s="11">
        <v>12589889593</v>
      </c>
      <c r="T280" s="11">
        <v>11128145943</v>
      </c>
      <c r="U280" s="11">
        <v>552561993</v>
      </c>
      <c r="V280" s="11">
        <v>909181657</v>
      </c>
      <c r="W280" s="11">
        <v>766949281629</v>
      </c>
      <c r="X280" s="11">
        <v>69432871185</v>
      </c>
      <c r="Y280" s="11">
        <v>15265446301</v>
      </c>
      <c r="Z280" s="11">
        <v>851647599115</v>
      </c>
      <c r="AA280" s="11">
        <v>703946561425</v>
      </c>
      <c r="AB280" s="12">
        <v>8.9499999999999993</v>
      </c>
      <c r="AC280" s="11">
        <v>215494195033</v>
      </c>
      <c r="AD280" s="11">
        <v>215494195033</v>
      </c>
      <c r="AE280" s="11">
        <v>0</v>
      </c>
      <c r="AF280" s="11">
        <v>0</v>
      </c>
      <c r="AG280" s="11">
        <v>0</v>
      </c>
      <c r="AH280" s="11">
        <v>0</v>
      </c>
      <c r="AI280" s="11">
        <v>0</v>
      </c>
      <c r="AJ280" s="12">
        <v>0</v>
      </c>
      <c r="AK280" s="11">
        <v>0</v>
      </c>
      <c r="AL280" s="12">
        <v>52</v>
      </c>
      <c r="AM280" s="11">
        <v>165836544605</v>
      </c>
      <c r="AN280" s="12">
        <v>66</v>
      </c>
      <c r="AO280" s="11">
        <v>318439996808</v>
      </c>
      <c r="AP280" s="11">
        <v>12589889593</v>
      </c>
      <c r="AQ280" s="11">
        <v>5396265752</v>
      </c>
      <c r="AR280" s="11">
        <v>7193623841</v>
      </c>
      <c r="AS280" s="12">
        <v>133.31</v>
      </c>
      <c r="AT280" s="11">
        <v>191026705353</v>
      </c>
      <c r="AU280" s="11">
        <v>30330736293</v>
      </c>
      <c r="AV280" s="11">
        <v>284519103595</v>
      </c>
      <c r="AW280" s="11">
        <v>194555216352</v>
      </c>
      <c r="AX280" s="11">
        <v>136550759944</v>
      </c>
      <c r="AY280" s="11">
        <v>150661500000</v>
      </c>
      <c r="AZ280" s="11">
        <v>98719546029</v>
      </c>
      <c r="BA280" s="11">
        <v>860763039958</v>
      </c>
      <c r="BB280" s="13">
        <v>91037</v>
      </c>
      <c r="BC280" s="11">
        <v>544127780014</v>
      </c>
      <c r="BD280" s="11">
        <v>165855759944</v>
      </c>
      <c r="BE280" s="11">
        <v>150779500000</v>
      </c>
      <c r="BF280" s="11">
        <v>186176528948</v>
      </c>
      <c r="BG280" s="11">
        <v>29317666085</v>
      </c>
      <c r="BH280" s="11">
        <v>0</v>
      </c>
      <c r="BI280" s="11">
        <v>0</v>
      </c>
      <c r="BJ280" s="11">
        <v>0</v>
      </c>
      <c r="BK280" s="11">
        <v>0</v>
      </c>
      <c r="BL280" s="11">
        <v>0</v>
      </c>
      <c r="BM280" s="11">
        <v>0</v>
      </c>
    </row>
    <row r="281" spans="1:65" x14ac:dyDescent="0.25">
      <c r="A281" s="32"/>
      <c r="B281" s="10">
        <v>2305</v>
      </c>
      <c r="C281" s="10" t="s">
        <v>334</v>
      </c>
      <c r="D281" s="11">
        <v>1030915843170</v>
      </c>
      <c r="E281" s="11">
        <v>23538354202</v>
      </c>
      <c r="F281" s="11">
        <v>0</v>
      </c>
      <c r="G281" s="11">
        <v>0</v>
      </c>
      <c r="H281" s="11">
        <v>1054454197372</v>
      </c>
      <c r="I281" s="11">
        <v>85229348748</v>
      </c>
      <c r="J281" s="11">
        <v>969224848624</v>
      </c>
      <c r="K281" s="11">
        <v>1170799545699</v>
      </c>
      <c r="L281" s="11">
        <v>-116345348327</v>
      </c>
      <c r="M281" s="12">
        <v>-9.94</v>
      </c>
      <c r="N281" s="11">
        <v>272996758960</v>
      </c>
      <c r="O281" s="12">
        <v>26.05</v>
      </c>
      <c r="P281" s="12">
        <v>28.17</v>
      </c>
      <c r="Q281" s="12">
        <v>0.95</v>
      </c>
      <c r="R281" s="11">
        <v>272157493241</v>
      </c>
      <c r="S281" s="11">
        <v>2485415398</v>
      </c>
      <c r="T281" s="11">
        <v>1776643893</v>
      </c>
      <c r="U281" s="11">
        <v>587384145</v>
      </c>
      <c r="V281" s="11">
        <v>121387360</v>
      </c>
      <c r="W281" s="11">
        <v>274642908639</v>
      </c>
      <c r="X281" s="11">
        <v>3068693924</v>
      </c>
      <c r="Y281" s="11">
        <v>0</v>
      </c>
      <c r="Z281" s="11">
        <v>277711602563</v>
      </c>
      <c r="AA281" s="11">
        <v>202841746154</v>
      </c>
      <c r="AB281" s="12">
        <v>35.4</v>
      </c>
      <c r="AC281" s="11">
        <v>119490000000</v>
      </c>
      <c r="AD281" s="11">
        <v>119490000000</v>
      </c>
      <c r="AE281" s="11">
        <v>0</v>
      </c>
      <c r="AF281" s="11">
        <v>0</v>
      </c>
      <c r="AG281" s="11">
        <v>0</v>
      </c>
      <c r="AH281" s="11">
        <v>0</v>
      </c>
      <c r="AI281" s="11">
        <v>0</v>
      </c>
      <c r="AJ281" s="12">
        <v>0</v>
      </c>
      <c r="AK281" s="11">
        <v>0</v>
      </c>
      <c r="AL281" s="12">
        <v>34</v>
      </c>
      <c r="AM281" s="11">
        <v>189221644962</v>
      </c>
      <c r="AN281" s="12">
        <v>51</v>
      </c>
      <c r="AO281" s="11">
        <v>82821007766</v>
      </c>
      <c r="AP281" s="11">
        <v>2485415398</v>
      </c>
      <c r="AQ281" s="11">
        <v>2806156821</v>
      </c>
      <c r="AR281" s="11">
        <v>-320741423</v>
      </c>
      <c r="AS281" s="12">
        <v>-11.43</v>
      </c>
      <c r="AT281" s="11">
        <v>56582524972</v>
      </c>
      <c r="AU281" s="11">
        <v>12979677667</v>
      </c>
      <c r="AV281" s="11">
        <v>191779471125</v>
      </c>
      <c r="AW281" s="11">
        <v>491779235021</v>
      </c>
      <c r="AX281" s="11">
        <v>278382237024</v>
      </c>
      <c r="AY281" s="11">
        <v>68974900000</v>
      </c>
      <c r="AZ281" s="11">
        <v>259002973596</v>
      </c>
      <c r="BA281" s="11">
        <v>1054454197372</v>
      </c>
      <c r="BB281" s="13">
        <v>58367</v>
      </c>
      <c r="BC281" s="11">
        <v>706995024786</v>
      </c>
      <c r="BD281" s="11">
        <v>278382237024</v>
      </c>
      <c r="BE281" s="11">
        <v>69076935562</v>
      </c>
      <c r="BF281" s="11">
        <v>104290000000</v>
      </c>
      <c r="BG281" s="11">
        <v>15200000000</v>
      </c>
      <c r="BH281" s="11">
        <v>0</v>
      </c>
      <c r="BI281" s="11">
        <v>0</v>
      </c>
      <c r="BJ281" s="11">
        <v>0</v>
      </c>
      <c r="BK281" s="11">
        <v>0</v>
      </c>
      <c r="BL281" s="11">
        <v>0</v>
      </c>
      <c r="BM281" s="11">
        <v>0</v>
      </c>
    </row>
    <row r="282" spans="1:65" x14ac:dyDescent="0.25">
      <c r="A282" s="32"/>
      <c r="B282" s="10">
        <v>2306</v>
      </c>
      <c r="C282" s="10" t="s">
        <v>335</v>
      </c>
      <c r="D282" s="11">
        <v>1512429251493</v>
      </c>
      <c r="E282" s="11">
        <v>145943049952</v>
      </c>
      <c r="F282" s="11">
        <v>0</v>
      </c>
      <c r="G282" s="11">
        <v>0</v>
      </c>
      <c r="H282" s="11">
        <v>1658372301445</v>
      </c>
      <c r="I282" s="11">
        <v>108835735033</v>
      </c>
      <c r="J282" s="11">
        <v>1549536566412</v>
      </c>
      <c r="K282" s="11">
        <v>756178744786</v>
      </c>
      <c r="L282" s="11">
        <v>902193556659</v>
      </c>
      <c r="M282" s="12">
        <v>119.31</v>
      </c>
      <c r="N282" s="11">
        <v>1442447540980</v>
      </c>
      <c r="O282" s="12">
        <v>96.09</v>
      </c>
      <c r="P282" s="12">
        <v>93.09</v>
      </c>
      <c r="Q282" s="12">
        <v>6.58</v>
      </c>
      <c r="R282" s="11">
        <v>1486261362769</v>
      </c>
      <c r="S282" s="11">
        <v>107340982383</v>
      </c>
      <c r="T282" s="11">
        <v>29096615299</v>
      </c>
      <c r="U282" s="11">
        <v>1524353273</v>
      </c>
      <c r="V282" s="11">
        <v>76720013811</v>
      </c>
      <c r="W282" s="11">
        <v>1593602345152</v>
      </c>
      <c r="X282" s="11">
        <v>64234753160</v>
      </c>
      <c r="Y282" s="11">
        <v>5653464197</v>
      </c>
      <c r="Z282" s="11">
        <v>1663490562509</v>
      </c>
      <c r="AA282" s="11">
        <v>1202157558760</v>
      </c>
      <c r="AB282" s="12">
        <v>32.56</v>
      </c>
      <c r="AC282" s="11">
        <v>1098889631010</v>
      </c>
      <c r="AD282" s="11">
        <v>1059986821284</v>
      </c>
      <c r="AE282" s="11">
        <v>0</v>
      </c>
      <c r="AF282" s="11">
        <v>50867865000</v>
      </c>
      <c r="AG282" s="11">
        <v>0</v>
      </c>
      <c r="AH282" s="11">
        <v>0</v>
      </c>
      <c r="AI282" s="11">
        <v>0</v>
      </c>
      <c r="AJ282" s="12">
        <v>0</v>
      </c>
      <c r="AK282" s="11">
        <v>0</v>
      </c>
      <c r="AL282" s="12">
        <v>69</v>
      </c>
      <c r="AM282" s="11">
        <v>1120075780988</v>
      </c>
      <c r="AN282" s="12">
        <v>44</v>
      </c>
      <c r="AO282" s="11">
        <v>235085988049</v>
      </c>
      <c r="AP282" s="11">
        <v>107340982383</v>
      </c>
      <c r="AQ282" s="11">
        <v>94695484626</v>
      </c>
      <c r="AR282" s="11">
        <v>12645497757</v>
      </c>
      <c r="AS282" s="12">
        <v>13.35</v>
      </c>
      <c r="AT282" s="11">
        <v>704138385653</v>
      </c>
      <c r="AU282" s="11">
        <v>116941555688</v>
      </c>
      <c r="AV282" s="11">
        <v>821019975368</v>
      </c>
      <c r="AW282" s="11">
        <v>278276584278</v>
      </c>
      <c r="AX282" s="11">
        <v>145520791847</v>
      </c>
      <c r="AY282" s="11">
        <v>267611900000</v>
      </c>
      <c r="AZ282" s="11">
        <v>34302915032</v>
      </c>
      <c r="BA282" s="11">
        <v>1658372301445</v>
      </c>
      <c r="BB282" s="13">
        <v>50237</v>
      </c>
      <c r="BC282" s="11">
        <v>1245239609598</v>
      </c>
      <c r="BD282" s="11">
        <v>145520791847</v>
      </c>
      <c r="BE282" s="11">
        <v>267611900000</v>
      </c>
      <c r="BF282" s="11">
        <v>967387092162</v>
      </c>
      <c r="BG282" s="11">
        <v>131502538848</v>
      </c>
      <c r="BH282" s="11">
        <v>0</v>
      </c>
      <c r="BI282" s="11">
        <v>0</v>
      </c>
      <c r="BJ282" s="11">
        <v>0</v>
      </c>
      <c r="BK282" s="11">
        <v>50787000000</v>
      </c>
      <c r="BL282" s="11">
        <v>75593298409</v>
      </c>
      <c r="BM282" s="11">
        <v>0</v>
      </c>
    </row>
    <row r="283" spans="1:65" x14ac:dyDescent="0.25">
      <c r="A283" s="32"/>
      <c r="B283" s="10">
        <v>2307</v>
      </c>
      <c r="C283" s="10" t="s">
        <v>336</v>
      </c>
      <c r="D283" s="11">
        <v>602005615300</v>
      </c>
      <c r="E283" s="11">
        <v>313823601622</v>
      </c>
      <c r="F283" s="11">
        <v>0</v>
      </c>
      <c r="G283" s="11">
        <v>0</v>
      </c>
      <c r="H283" s="11">
        <v>915829216922</v>
      </c>
      <c r="I283" s="11">
        <v>69087178348</v>
      </c>
      <c r="J283" s="11">
        <v>846742038574</v>
      </c>
      <c r="K283" s="11">
        <v>855866828280</v>
      </c>
      <c r="L283" s="11">
        <v>59962388642</v>
      </c>
      <c r="M283" s="12">
        <v>7.01</v>
      </c>
      <c r="N283" s="11">
        <v>852791025073</v>
      </c>
      <c r="O283" s="12">
        <v>96.48</v>
      </c>
      <c r="P283" s="12">
        <v>100.71</v>
      </c>
      <c r="Q283" s="12">
        <v>2.65</v>
      </c>
      <c r="R283" s="11">
        <v>857775585527</v>
      </c>
      <c r="S283" s="11">
        <v>25845233051</v>
      </c>
      <c r="T283" s="11">
        <v>24384852240</v>
      </c>
      <c r="U283" s="11">
        <v>773083329</v>
      </c>
      <c r="V283" s="11">
        <v>687297482</v>
      </c>
      <c r="W283" s="11">
        <v>883620818578</v>
      </c>
      <c r="X283" s="11">
        <v>81864617593</v>
      </c>
      <c r="Y283" s="11">
        <v>15220191782</v>
      </c>
      <c r="Z283" s="11">
        <v>980705627953</v>
      </c>
      <c r="AA283" s="11">
        <v>874483283317</v>
      </c>
      <c r="AB283" s="12">
        <v>1.04</v>
      </c>
      <c r="AC283" s="11">
        <v>255862633929</v>
      </c>
      <c r="AD283" s="11">
        <v>255862633929</v>
      </c>
      <c r="AE283" s="11">
        <v>0</v>
      </c>
      <c r="AF283" s="11">
        <v>1242000000</v>
      </c>
      <c r="AG283" s="11">
        <v>0</v>
      </c>
      <c r="AH283" s="11">
        <v>0</v>
      </c>
      <c r="AI283" s="11">
        <v>0</v>
      </c>
      <c r="AJ283" s="12">
        <v>0</v>
      </c>
      <c r="AK283" s="11">
        <v>0</v>
      </c>
      <c r="AL283" s="12">
        <v>163</v>
      </c>
      <c r="AM283" s="11">
        <v>2194241742313</v>
      </c>
      <c r="AN283" s="12">
        <v>128</v>
      </c>
      <c r="AO283" s="11">
        <v>767831761210</v>
      </c>
      <c r="AP283" s="11">
        <v>25845233051</v>
      </c>
      <c r="AQ283" s="11">
        <v>1536152913</v>
      </c>
      <c r="AR283" s="11">
        <v>24309080138</v>
      </c>
      <c r="AS283" s="12">
        <v>1582.46</v>
      </c>
      <c r="AT283" s="11">
        <v>314781038232</v>
      </c>
      <c r="AU283" s="11">
        <v>131001974276</v>
      </c>
      <c r="AV283" s="11">
        <v>217594580512</v>
      </c>
      <c r="AW283" s="11">
        <v>137452981928</v>
      </c>
      <c r="AX283" s="11">
        <v>102761052860</v>
      </c>
      <c r="AY283" s="11">
        <v>144197000000</v>
      </c>
      <c r="AZ283" s="11">
        <v>64488276549</v>
      </c>
      <c r="BA283" s="11">
        <v>915829216922</v>
      </c>
      <c r="BB283" s="13">
        <v>54952</v>
      </c>
      <c r="BC283" s="11">
        <v>668871157448</v>
      </c>
      <c r="BD283" s="11">
        <v>102761052860</v>
      </c>
      <c r="BE283" s="11">
        <v>144197006614</v>
      </c>
      <c r="BF283" s="11">
        <v>217649947629</v>
      </c>
      <c r="BG283" s="11">
        <v>38212686300</v>
      </c>
      <c r="BH283" s="11">
        <v>0</v>
      </c>
      <c r="BI283" s="11">
        <v>0</v>
      </c>
      <c r="BJ283" s="11">
        <v>0</v>
      </c>
      <c r="BK283" s="11">
        <v>1242000000</v>
      </c>
      <c r="BL283" s="11">
        <v>0</v>
      </c>
      <c r="BM283" s="11">
        <v>4205451240</v>
      </c>
    </row>
    <row r="284" spans="1:65" x14ac:dyDescent="0.25">
      <c r="A284" s="32"/>
      <c r="B284" s="10">
        <v>2308</v>
      </c>
      <c r="C284" s="10" t="s">
        <v>337</v>
      </c>
      <c r="D284" s="11">
        <v>1094609511789</v>
      </c>
      <c r="E284" s="11">
        <v>6015824849</v>
      </c>
      <c r="F284" s="11">
        <v>0</v>
      </c>
      <c r="G284" s="11">
        <v>0</v>
      </c>
      <c r="H284" s="11">
        <v>1100625336638</v>
      </c>
      <c r="I284" s="11">
        <v>87185168882</v>
      </c>
      <c r="J284" s="11">
        <v>1013440167756</v>
      </c>
      <c r="K284" s="11">
        <v>957391201632</v>
      </c>
      <c r="L284" s="11">
        <v>143234135006</v>
      </c>
      <c r="M284" s="12">
        <v>14.96</v>
      </c>
      <c r="N284" s="11">
        <v>583357122712</v>
      </c>
      <c r="O284" s="12">
        <v>57.36</v>
      </c>
      <c r="P284" s="12">
        <v>57.56</v>
      </c>
      <c r="Q284" s="12">
        <v>0.77</v>
      </c>
      <c r="R284" s="11">
        <v>626354884311</v>
      </c>
      <c r="S284" s="11">
        <v>5000876708</v>
      </c>
      <c r="T284" s="11">
        <v>4669938034</v>
      </c>
      <c r="U284" s="11">
        <v>0</v>
      </c>
      <c r="V284" s="11">
        <v>330938674</v>
      </c>
      <c r="W284" s="11">
        <v>631355761019</v>
      </c>
      <c r="X284" s="11">
        <v>56181665668</v>
      </c>
      <c r="Y284" s="11">
        <v>16081526670</v>
      </c>
      <c r="Z284" s="11">
        <v>703618953357</v>
      </c>
      <c r="AA284" s="11">
        <v>447367927177</v>
      </c>
      <c r="AB284" s="12">
        <v>41.13</v>
      </c>
      <c r="AC284" s="11">
        <v>293304795933</v>
      </c>
      <c r="AD284" s="11">
        <v>241224642983</v>
      </c>
      <c r="AE284" s="11">
        <v>0</v>
      </c>
      <c r="AF284" s="11">
        <v>0</v>
      </c>
      <c r="AG284" s="11">
        <v>0</v>
      </c>
      <c r="AH284" s="11">
        <v>0</v>
      </c>
      <c r="AI284" s="11">
        <v>0</v>
      </c>
      <c r="AJ284" s="12">
        <v>0</v>
      </c>
      <c r="AK284" s="11">
        <v>0</v>
      </c>
      <c r="AL284" s="12">
        <v>22</v>
      </c>
      <c r="AM284" s="11">
        <v>271867726759</v>
      </c>
      <c r="AN284" s="12">
        <v>4</v>
      </c>
      <c r="AO284" s="11">
        <v>37931940000</v>
      </c>
      <c r="AP284" s="11">
        <v>5000876708</v>
      </c>
      <c r="AQ284" s="11">
        <v>898625094</v>
      </c>
      <c r="AR284" s="11">
        <v>4102251614</v>
      </c>
      <c r="AS284" s="19">
        <v>456.5</v>
      </c>
      <c r="AT284" s="11">
        <v>169919868013</v>
      </c>
      <c r="AU284" s="11">
        <v>24078466349</v>
      </c>
      <c r="AV284" s="11">
        <v>38728354097</v>
      </c>
      <c r="AW284" s="11">
        <v>322441007298</v>
      </c>
      <c r="AX284" s="11">
        <v>112631650394</v>
      </c>
      <c r="AY284" s="11">
        <v>620808500000</v>
      </c>
      <c r="AZ284" s="11">
        <v>63426544446</v>
      </c>
      <c r="BA284" s="11">
        <v>1100625336638</v>
      </c>
      <c r="BB284" s="13">
        <v>30124</v>
      </c>
      <c r="BC284" s="11">
        <v>367185186244</v>
      </c>
      <c r="BD284" s="11">
        <v>112018650394</v>
      </c>
      <c r="BE284" s="11">
        <v>621421500000</v>
      </c>
      <c r="BF284" s="11">
        <v>287004795933</v>
      </c>
      <c r="BG284" s="11">
        <v>6300000000</v>
      </c>
      <c r="BH284" s="11">
        <v>0</v>
      </c>
      <c r="BI284" s="11">
        <v>0</v>
      </c>
      <c r="BJ284" s="11">
        <v>0</v>
      </c>
      <c r="BK284" s="11">
        <v>0</v>
      </c>
      <c r="BL284" s="11">
        <v>0</v>
      </c>
      <c r="BM284" s="11">
        <v>0</v>
      </c>
    </row>
    <row r="285" spans="1:65" x14ac:dyDescent="0.25">
      <c r="A285" s="32"/>
      <c r="B285" s="10">
        <v>2309</v>
      </c>
      <c r="C285" s="10" t="s">
        <v>338</v>
      </c>
      <c r="D285" s="11">
        <v>460686771314</v>
      </c>
      <c r="E285" s="11">
        <v>3502965636</v>
      </c>
      <c r="F285" s="11">
        <v>0</v>
      </c>
      <c r="G285" s="11">
        <v>0</v>
      </c>
      <c r="H285" s="11">
        <v>464189736950</v>
      </c>
      <c r="I285" s="11">
        <v>42644132619</v>
      </c>
      <c r="J285" s="11">
        <v>421545604331</v>
      </c>
      <c r="K285" s="11">
        <v>516957837387</v>
      </c>
      <c r="L285" s="11">
        <v>-52768100437</v>
      </c>
      <c r="M285" s="12">
        <v>-10.210000000000001</v>
      </c>
      <c r="N285" s="11">
        <v>407723270154</v>
      </c>
      <c r="O285" s="12">
        <v>88.13</v>
      </c>
      <c r="P285" s="12">
        <v>96.72</v>
      </c>
      <c r="Q285" s="12">
        <v>1.1200000000000001</v>
      </c>
      <c r="R285" s="11">
        <v>403986885857</v>
      </c>
      <c r="S285" s="11">
        <v>5103402555</v>
      </c>
      <c r="T285" s="11">
        <v>4923722204</v>
      </c>
      <c r="U285" s="11">
        <v>179680351</v>
      </c>
      <c r="V285" s="11">
        <v>0</v>
      </c>
      <c r="W285" s="11">
        <v>409090288412</v>
      </c>
      <c r="X285" s="11">
        <v>30913935746</v>
      </c>
      <c r="Y285" s="11">
        <v>14149830000</v>
      </c>
      <c r="Z285" s="11">
        <v>454154054158</v>
      </c>
      <c r="AA285" s="11">
        <v>288455837148</v>
      </c>
      <c r="AB285" s="12">
        <v>41.82</v>
      </c>
      <c r="AC285" s="11">
        <v>183600124625</v>
      </c>
      <c r="AD285" s="11">
        <v>183600124625</v>
      </c>
      <c r="AE285" s="11">
        <v>0</v>
      </c>
      <c r="AF285" s="11">
        <v>0</v>
      </c>
      <c r="AG285" s="11">
        <v>0</v>
      </c>
      <c r="AH285" s="11">
        <v>0</v>
      </c>
      <c r="AI285" s="11">
        <v>0</v>
      </c>
      <c r="AJ285" s="12">
        <v>0</v>
      </c>
      <c r="AK285" s="11">
        <v>0</v>
      </c>
      <c r="AL285" s="12">
        <v>37</v>
      </c>
      <c r="AM285" s="11">
        <v>67736148523</v>
      </c>
      <c r="AN285" s="12">
        <v>0</v>
      </c>
      <c r="AO285" s="11">
        <v>0</v>
      </c>
      <c r="AP285" s="11">
        <v>5103402555</v>
      </c>
      <c r="AQ285" s="11">
        <v>322481711</v>
      </c>
      <c r="AR285" s="11">
        <v>4780920844</v>
      </c>
      <c r="AS285" s="12">
        <v>1482.54</v>
      </c>
      <c r="AT285" s="11">
        <v>80219592297</v>
      </c>
      <c r="AU285" s="11">
        <v>18620147231</v>
      </c>
      <c r="AV285" s="11">
        <v>26926894693</v>
      </c>
      <c r="AW285" s="11">
        <v>152368980905</v>
      </c>
      <c r="AX285" s="11">
        <v>174699895716</v>
      </c>
      <c r="AY285" s="11">
        <v>106691000000</v>
      </c>
      <c r="AZ285" s="11">
        <v>152478774264</v>
      </c>
      <c r="BA285" s="11">
        <v>464189736950</v>
      </c>
      <c r="BB285" s="12">
        <v>4</v>
      </c>
      <c r="BC285" s="11">
        <v>182698475384</v>
      </c>
      <c r="BD285" s="11">
        <v>174699895716</v>
      </c>
      <c r="BE285" s="11">
        <v>106791365850</v>
      </c>
      <c r="BF285" s="11">
        <v>132140124625</v>
      </c>
      <c r="BG285" s="11">
        <v>51460000000</v>
      </c>
      <c r="BH285" s="11">
        <v>0</v>
      </c>
      <c r="BI285" s="11">
        <v>0</v>
      </c>
      <c r="BJ285" s="11">
        <v>0</v>
      </c>
      <c r="BK285" s="11">
        <v>0</v>
      </c>
      <c r="BL285" s="11">
        <v>0</v>
      </c>
      <c r="BM285" s="11">
        <v>0</v>
      </c>
    </row>
    <row r="286" spans="1:65" x14ac:dyDescent="0.25">
      <c r="A286" s="32"/>
      <c r="B286" s="10">
        <v>2310</v>
      </c>
      <c r="C286" s="10" t="s">
        <v>339</v>
      </c>
      <c r="D286" s="11">
        <v>711140782945</v>
      </c>
      <c r="E286" s="11">
        <v>32684650046</v>
      </c>
      <c r="F286" s="11">
        <v>0</v>
      </c>
      <c r="G286" s="11">
        <v>0</v>
      </c>
      <c r="H286" s="11">
        <v>743825432991</v>
      </c>
      <c r="I286" s="11">
        <v>56114669955</v>
      </c>
      <c r="J286" s="11">
        <v>687710763036</v>
      </c>
      <c r="K286" s="11">
        <v>630753365342</v>
      </c>
      <c r="L286" s="11">
        <v>113072067649</v>
      </c>
      <c r="M286" s="12">
        <v>17.93</v>
      </c>
      <c r="N286" s="11">
        <v>541567239056</v>
      </c>
      <c r="O286" s="12">
        <v>73.260000000000005</v>
      </c>
      <c r="P286" s="12">
        <v>78.75</v>
      </c>
      <c r="Q286" s="12">
        <v>1.07</v>
      </c>
      <c r="R286" s="11">
        <v>538440685598</v>
      </c>
      <c r="S286" s="11">
        <v>6511258991</v>
      </c>
      <c r="T286" s="11">
        <v>5449724295</v>
      </c>
      <c r="U286" s="11">
        <v>1061534696</v>
      </c>
      <c r="V286" s="11">
        <v>0</v>
      </c>
      <c r="W286" s="11">
        <v>544951944589</v>
      </c>
      <c r="X286" s="11">
        <v>42828335806</v>
      </c>
      <c r="Y286" s="11">
        <v>18051700049</v>
      </c>
      <c r="Z286" s="11">
        <v>605831980444</v>
      </c>
      <c r="AA286" s="11">
        <v>356304114090</v>
      </c>
      <c r="AB286" s="12">
        <v>52.95</v>
      </c>
      <c r="AC286" s="11">
        <v>284189184889</v>
      </c>
      <c r="AD286" s="11">
        <v>284189184889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2">
        <v>0</v>
      </c>
      <c r="AK286" s="11">
        <v>0</v>
      </c>
      <c r="AL286" s="12">
        <v>27</v>
      </c>
      <c r="AM286" s="11">
        <v>156154220374</v>
      </c>
      <c r="AN286" s="12">
        <v>19</v>
      </c>
      <c r="AO286" s="11">
        <v>154115979666</v>
      </c>
      <c r="AP286" s="11">
        <v>6511258991</v>
      </c>
      <c r="AQ286" s="11">
        <v>1862078264</v>
      </c>
      <c r="AR286" s="11">
        <v>4649180727</v>
      </c>
      <c r="AS286" s="12">
        <v>249.68</v>
      </c>
      <c r="AT286" s="11">
        <v>125698968496</v>
      </c>
      <c r="AU286" s="11">
        <v>29573260797</v>
      </c>
      <c r="AV286" s="11">
        <v>64785558753</v>
      </c>
      <c r="AW286" s="11">
        <v>228251592675</v>
      </c>
      <c r="AX286" s="11">
        <v>211207131517</v>
      </c>
      <c r="AY286" s="11">
        <v>206896500000</v>
      </c>
      <c r="AZ286" s="11">
        <v>190091434842</v>
      </c>
      <c r="BA286" s="11">
        <v>743825432991</v>
      </c>
      <c r="BB286" s="12">
        <v>299</v>
      </c>
      <c r="BC286" s="11">
        <v>325612692524</v>
      </c>
      <c r="BD286" s="11">
        <v>211207131517</v>
      </c>
      <c r="BE286" s="11">
        <v>207005608950</v>
      </c>
      <c r="BF286" s="11">
        <v>243397608998</v>
      </c>
      <c r="BG286" s="11">
        <v>40791575891</v>
      </c>
      <c r="BH286" s="11">
        <v>0</v>
      </c>
      <c r="BI286" s="11">
        <v>0</v>
      </c>
      <c r="BJ286" s="11">
        <v>0</v>
      </c>
      <c r="BK286" s="11">
        <v>0</v>
      </c>
      <c r="BL286" s="11">
        <v>0</v>
      </c>
      <c r="BM286" s="11">
        <v>0</v>
      </c>
    </row>
    <row r="287" spans="1:65" x14ac:dyDescent="0.25">
      <c r="A287" s="32"/>
      <c r="B287" s="10">
        <v>2399</v>
      </c>
      <c r="C287" s="10" t="s">
        <v>340</v>
      </c>
      <c r="D287" s="11">
        <v>0</v>
      </c>
      <c r="E287" s="11">
        <v>0</v>
      </c>
      <c r="F287" s="11">
        <v>0</v>
      </c>
      <c r="G287" s="11">
        <v>0</v>
      </c>
      <c r="H287" s="11">
        <v>0</v>
      </c>
      <c r="I287" s="11">
        <v>0</v>
      </c>
      <c r="J287" s="11">
        <v>0</v>
      </c>
      <c r="K287" s="11">
        <v>14420000</v>
      </c>
      <c r="L287" s="11">
        <v>-14420000</v>
      </c>
      <c r="M287" s="12">
        <v>-100</v>
      </c>
      <c r="N287" s="11">
        <v>0</v>
      </c>
      <c r="O287" s="12">
        <v>0</v>
      </c>
      <c r="P287" s="12"/>
      <c r="Q287" s="12">
        <v>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11">
        <v>0</v>
      </c>
      <c r="X287" s="11">
        <v>0</v>
      </c>
      <c r="Y287" s="11">
        <v>0</v>
      </c>
      <c r="Z287" s="11">
        <v>0</v>
      </c>
      <c r="AA287" s="11">
        <v>0</v>
      </c>
      <c r="AB287" s="12"/>
      <c r="AC287" s="11">
        <v>0</v>
      </c>
      <c r="AD287" s="11">
        <v>0</v>
      </c>
      <c r="AE287" s="11">
        <v>0</v>
      </c>
      <c r="AF287" s="11">
        <v>0</v>
      </c>
      <c r="AG287" s="11">
        <v>0</v>
      </c>
      <c r="AH287" s="11">
        <v>0</v>
      </c>
      <c r="AI287" s="11">
        <v>0</v>
      </c>
      <c r="AJ287" s="12">
        <v>0</v>
      </c>
      <c r="AK287" s="11">
        <v>0</v>
      </c>
      <c r="AL287" s="12">
        <v>0</v>
      </c>
      <c r="AM287" s="11">
        <v>0</v>
      </c>
      <c r="AN287" s="12">
        <v>0</v>
      </c>
      <c r="AO287" s="11">
        <v>0</v>
      </c>
      <c r="AP287" s="11">
        <v>0</v>
      </c>
      <c r="AQ287" s="11">
        <v>0</v>
      </c>
      <c r="AR287" s="11">
        <v>0</v>
      </c>
      <c r="AS287" s="12"/>
      <c r="AT287" s="11">
        <v>0</v>
      </c>
      <c r="AU287" s="11">
        <v>0</v>
      </c>
      <c r="AV287" s="11">
        <v>0</v>
      </c>
      <c r="AW287" s="11">
        <v>0</v>
      </c>
      <c r="AX287" s="11">
        <v>0</v>
      </c>
      <c r="AY287" s="11">
        <v>0</v>
      </c>
      <c r="AZ287" s="11">
        <v>0</v>
      </c>
      <c r="BA287" s="11">
        <v>0</v>
      </c>
      <c r="BB287" s="12">
        <v>0</v>
      </c>
      <c r="BC287" s="11">
        <v>0</v>
      </c>
      <c r="BD287" s="11">
        <v>0</v>
      </c>
      <c r="BE287" s="11">
        <v>0</v>
      </c>
      <c r="BF287" s="11">
        <v>0</v>
      </c>
      <c r="BG287" s="11">
        <v>0</v>
      </c>
      <c r="BH287" s="11">
        <v>0</v>
      </c>
      <c r="BI287" s="11">
        <v>0</v>
      </c>
      <c r="BJ287" s="11">
        <v>0</v>
      </c>
      <c r="BK287" s="11">
        <v>0</v>
      </c>
      <c r="BL287" s="11">
        <v>0</v>
      </c>
      <c r="BM287" s="11">
        <v>0</v>
      </c>
    </row>
    <row r="288" spans="1:65" x14ac:dyDescent="0.25">
      <c r="A288" s="14" t="s">
        <v>605</v>
      </c>
      <c r="B288" s="15"/>
      <c r="C288" s="15"/>
      <c r="D288" s="16">
        <v>12041378471225</v>
      </c>
      <c r="E288" s="16">
        <v>1310333131075</v>
      </c>
      <c r="F288" s="16">
        <v>29423000000</v>
      </c>
      <c r="G288" s="16">
        <v>419820343434</v>
      </c>
      <c r="H288" s="16">
        <v>13800954945734</v>
      </c>
      <c r="I288" s="16">
        <v>1085423567823</v>
      </c>
      <c r="J288" s="16">
        <v>12715531377911</v>
      </c>
      <c r="K288" s="16">
        <v>12092416948172</v>
      </c>
      <c r="L288" s="16">
        <v>1708537997562</v>
      </c>
      <c r="M288" s="17">
        <v>14.13</v>
      </c>
      <c r="N288" s="16">
        <v>13385655119834</v>
      </c>
      <c r="O288" s="17">
        <v>109.39</v>
      </c>
      <c r="P288" s="17">
        <v>105.27</v>
      </c>
      <c r="Q288" s="17">
        <v>4.38</v>
      </c>
      <c r="R288" s="16">
        <v>14440831153253</v>
      </c>
      <c r="S288" s="16">
        <v>656476561837</v>
      </c>
      <c r="T288" s="16">
        <v>330138630052</v>
      </c>
      <c r="U288" s="16">
        <v>186426805187</v>
      </c>
      <c r="V288" s="16">
        <v>139911126598</v>
      </c>
      <c r="W288" s="16">
        <v>15097307715090</v>
      </c>
      <c r="X288" s="16">
        <v>971986028979</v>
      </c>
      <c r="Y288" s="16">
        <v>174424107098</v>
      </c>
      <c r="Z288" s="16">
        <v>16243717851167</v>
      </c>
      <c r="AA288" s="16">
        <v>11934894694053</v>
      </c>
      <c r="AB288" s="17">
        <v>26.5</v>
      </c>
      <c r="AC288" s="16">
        <v>6846002190327</v>
      </c>
      <c r="AD288" s="16">
        <v>6434869410709</v>
      </c>
      <c r="AE288" s="16">
        <v>0</v>
      </c>
      <c r="AF288" s="16">
        <v>66208145000</v>
      </c>
      <c r="AG288" s="16">
        <v>0</v>
      </c>
      <c r="AH288" s="16">
        <v>0</v>
      </c>
      <c r="AI288" s="16">
        <v>0</v>
      </c>
      <c r="AJ288" s="17">
        <v>2</v>
      </c>
      <c r="AK288" s="16">
        <v>321700200000</v>
      </c>
      <c r="AL288" s="17">
        <v>878</v>
      </c>
      <c r="AM288" s="16">
        <v>8406676346134</v>
      </c>
      <c r="AN288" s="18">
        <f>SUM(AN276:AN287)</f>
        <v>1076</v>
      </c>
      <c r="AO288" s="16">
        <f>SUM(AO276:AO287)</f>
        <v>4252427264847</v>
      </c>
      <c r="AP288" s="16">
        <v>656476561837</v>
      </c>
      <c r="AQ288" s="16">
        <v>229360007463</v>
      </c>
      <c r="AR288" s="16">
        <v>427116554374</v>
      </c>
      <c r="AS288" s="17">
        <v>186.22</v>
      </c>
      <c r="AT288" s="16">
        <v>4718903252620</v>
      </c>
      <c r="AU288" s="16">
        <v>1130101729656</v>
      </c>
      <c r="AV288" s="16">
        <v>2417947652157</v>
      </c>
      <c r="AW288" s="16">
        <v>4121744143032</v>
      </c>
      <c r="AX288" s="16">
        <v>2275892376036</v>
      </c>
      <c r="AY288" s="16">
        <v>3225794300000</v>
      </c>
      <c r="AZ288" s="16">
        <v>1558720146441</v>
      </c>
      <c r="BA288" s="16">
        <v>13800954945734</v>
      </c>
      <c r="BB288" s="18">
        <v>426653</v>
      </c>
      <c r="BC288" s="16">
        <v>8153189557140</v>
      </c>
      <c r="BD288" s="16">
        <v>2299583876036</v>
      </c>
      <c r="BE288" s="16">
        <v>3348181512558</v>
      </c>
      <c r="BF288" s="16">
        <v>4905879084216</v>
      </c>
      <c r="BG288" s="16">
        <v>1940123106111</v>
      </c>
      <c r="BH288" s="16">
        <v>0</v>
      </c>
      <c r="BI288" s="16">
        <v>12627486429</v>
      </c>
      <c r="BJ288" s="16">
        <v>0</v>
      </c>
      <c r="BK288" s="16">
        <v>52029000000</v>
      </c>
      <c r="BL288" s="16">
        <v>75886868805</v>
      </c>
      <c r="BM288" s="16">
        <v>18554353257</v>
      </c>
    </row>
    <row r="289" spans="1:65" s="24" customFormat="1" x14ac:dyDescent="0.25">
      <c r="A289" s="31" t="s">
        <v>341</v>
      </c>
      <c r="B289" s="20">
        <v>313</v>
      </c>
      <c r="C289" s="20" t="s">
        <v>342</v>
      </c>
      <c r="D289" s="21">
        <v>101547001644459</v>
      </c>
      <c r="E289" s="21">
        <v>1499260954277</v>
      </c>
      <c r="F289" s="21">
        <v>1</v>
      </c>
      <c r="G289" s="21">
        <v>2175650549160</v>
      </c>
      <c r="H289" s="21">
        <v>105221913147897</v>
      </c>
      <c r="I289" s="21">
        <v>8746692866731</v>
      </c>
      <c r="J289" s="21">
        <v>96475220281166</v>
      </c>
      <c r="K289" s="21">
        <v>95374944375005</v>
      </c>
      <c r="L289" s="21">
        <v>9846968772892</v>
      </c>
      <c r="M289" s="22">
        <v>10.32</v>
      </c>
      <c r="N289" s="21">
        <v>56369276744742</v>
      </c>
      <c r="O289" s="22">
        <v>57.48</v>
      </c>
      <c r="P289" s="22">
        <v>58.43</v>
      </c>
      <c r="Q289" s="22">
        <v>14.43</v>
      </c>
      <c r="R289" s="21">
        <v>54152194996670</v>
      </c>
      <c r="S289" s="21">
        <v>6333135107490</v>
      </c>
      <c r="T289" s="21">
        <v>709424886818</v>
      </c>
      <c r="U289" s="21">
        <v>329568198673</v>
      </c>
      <c r="V289" s="21">
        <v>5294142021999</v>
      </c>
      <c r="W289" s="21">
        <v>60485330104160</v>
      </c>
      <c r="X289" s="21">
        <v>8710410957598</v>
      </c>
      <c r="Y289" s="21">
        <v>57889927588</v>
      </c>
      <c r="Z289" s="21">
        <v>69253630989346</v>
      </c>
      <c r="AA289" s="21">
        <v>52921984573769</v>
      </c>
      <c r="AB289" s="22">
        <v>14.29</v>
      </c>
      <c r="AC289" s="21">
        <v>20974091889145</v>
      </c>
      <c r="AD289" s="21">
        <v>19928995318515</v>
      </c>
      <c r="AE289" s="21">
        <v>2693721468543</v>
      </c>
      <c r="AF289" s="21">
        <v>174346321346</v>
      </c>
      <c r="AG289" s="21">
        <v>0</v>
      </c>
      <c r="AH289" s="21">
        <v>0</v>
      </c>
      <c r="AI289" s="21">
        <v>2500000000000</v>
      </c>
      <c r="AJ289" s="22">
        <v>58</v>
      </c>
      <c r="AK289" s="21">
        <v>7322379871449</v>
      </c>
      <c r="AL289" s="22">
        <v>303</v>
      </c>
      <c r="AM289" s="21">
        <v>6477775743428</v>
      </c>
      <c r="AN289" s="12">
        <v>178</v>
      </c>
      <c r="AO289" s="11">
        <v>7141004527118</v>
      </c>
      <c r="AP289" s="21">
        <v>6333135107490</v>
      </c>
      <c r="AQ289" s="21">
        <v>5785916225687</v>
      </c>
      <c r="AR289" s="21">
        <v>547218881803</v>
      </c>
      <c r="AS289" s="22">
        <v>9.4600000000000009</v>
      </c>
      <c r="AT289" s="21">
        <v>29528757683700</v>
      </c>
      <c r="AU289" s="21">
        <v>2735005159791</v>
      </c>
      <c r="AV289" s="21">
        <v>2740755539512</v>
      </c>
      <c r="AW289" s="21">
        <v>5146310283053</v>
      </c>
      <c r="AX289" s="21">
        <v>3492891821894</v>
      </c>
      <c r="AY289" s="21">
        <v>90167044000000</v>
      </c>
      <c r="AZ289" s="21">
        <v>226325225660</v>
      </c>
      <c r="BA289" s="21">
        <v>42265809747897</v>
      </c>
      <c r="BB289" s="23">
        <v>150885</v>
      </c>
      <c r="BC289" s="21">
        <v>11120673098724</v>
      </c>
      <c r="BD289" s="21">
        <v>3492891821895</v>
      </c>
      <c r="BE289" s="21">
        <v>90608348227278</v>
      </c>
      <c r="BF289" s="21">
        <v>11299212512311</v>
      </c>
      <c r="BG289" s="21">
        <v>9674879376834</v>
      </c>
      <c r="BH289" s="21">
        <v>40595368295</v>
      </c>
      <c r="BI289" s="21">
        <v>2264169346104</v>
      </c>
      <c r="BJ289" s="21">
        <v>2571307491073</v>
      </c>
      <c r="BK289" s="21">
        <v>0</v>
      </c>
      <c r="BL289" s="21">
        <v>404578824246</v>
      </c>
      <c r="BM289" s="21">
        <v>185662791206</v>
      </c>
    </row>
    <row r="290" spans="1:65" s="25" customFormat="1" x14ac:dyDescent="0.25">
      <c r="A290" s="14" t="s">
        <v>606</v>
      </c>
      <c r="B290" s="15"/>
      <c r="C290" s="15"/>
      <c r="D290" s="16">
        <v>101547001644459</v>
      </c>
      <c r="E290" s="16">
        <v>1499260954277</v>
      </c>
      <c r="F290" s="16">
        <v>1</v>
      </c>
      <c r="G290" s="16">
        <v>2175650549160</v>
      </c>
      <c r="H290" s="16">
        <v>105221913147897</v>
      </c>
      <c r="I290" s="16">
        <v>8746692866731</v>
      </c>
      <c r="J290" s="16">
        <v>96475220281166</v>
      </c>
      <c r="K290" s="16">
        <v>95374944375005</v>
      </c>
      <c r="L290" s="16">
        <v>9846968772892</v>
      </c>
      <c r="M290" s="17">
        <v>10.32</v>
      </c>
      <c r="N290" s="16">
        <v>56369276744742</v>
      </c>
      <c r="O290" s="17">
        <v>57.48</v>
      </c>
      <c r="P290" s="17">
        <v>58.43</v>
      </c>
      <c r="Q290" s="17">
        <v>14.43</v>
      </c>
      <c r="R290" s="16">
        <v>54152194996670</v>
      </c>
      <c r="S290" s="16">
        <v>6333135107490</v>
      </c>
      <c r="T290" s="16">
        <v>709424886818</v>
      </c>
      <c r="U290" s="16">
        <v>329568198673</v>
      </c>
      <c r="V290" s="16">
        <v>5294142021999</v>
      </c>
      <c r="W290" s="16">
        <v>60485330104160</v>
      </c>
      <c r="X290" s="16">
        <v>8710410957598</v>
      </c>
      <c r="Y290" s="16">
        <v>57889927588</v>
      </c>
      <c r="Z290" s="16">
        <v>69253630989346</v>
      </c>
      <c r="AA290" s="16">
        <v>52921984573769</v>
      </c>
      <c r="AB290" s="17">
        <v>14.29</v>
      </c>
      <c r="AC290" s="16">
        <v>20974091889145</v>
      </c>
      <c r="AD290" s="16">
        <v>19928995318515</v>
      </c>
      <c r="AE290" s="16">
        <v>2693721468543</v>
      </c>
      <c r="AF290" s="16">
        <v>174346321346</v>
      </c>
      <c r="AG290" s="16">
        <v>0</v>
      </c>
      <c r="AH290" s="16">
        <v>0</v>
      </c>
      <c r="AI290" s="16">
        <v>2500000000000</v>
      </c>
      <c r="AJ290" s="17">
        <v>58</v>
      </c>
      <c r="AK290" s="16">
        <v>7322379871449</v>
      </c>
      <c r="AL290" s="17">
        <v>303</v>
      </c>
      <c r="AM290" s="16">
        <v>6477775743428</v>
      </c>
      <c r="AN290" s="18">
        <f>SUM(AN289)</f>
        <v>178</v>
      </c>
      <c r="AO290" s="16">
        <f>SUM(AO289)</f>
        <v>7141004527118</v>
      </c>
      <c r="AP290" s="16">
        <v>6333135107490</v>
      </c>
      <c r="AQ290" s="16">
        <v>5785916225687</v>
      </c>
      <c r="AR290" s="16">
        <v>547218881803</v>
      </c>
      <c r="AS290" s="17">
        <v>9.4600000000000009</v>
      </c>
      <c r="AT290" s="16">
        <v>29528757683700</v>
      </c>
      <c r="AU290" s="16">
        <v>2735005159791</v>
      </c>
      <c r="AV290" s="16">
        <v>2740755539512</v>
      </c>
      <c r="AW290" s="16">
        <v>5146310283053</v>
      </c>
      <c r="AX290" s="16">
        <v>3492891821894</v>
      </c>
      <c r="AY290" s="16">
        <v>90167044000000</v>
      </c>
      <c r="AZ290" s="16">
        <v>226325225660</v>
      </c>
      <c r="BA290" s="16">
        <v>42265809747897</v>
      </c>
      <c r="BB290" s="18">
        <v>150885</v>
      </c>
      <c r="BC290" s="16">
        <v>11120673098724</v>
      </c>
      <c r="BD290" s="16">
        <v>3492891821895</v>
      </c>
      <c r="BE290" s="16">
        <v>90608348227278</v>
      </c>
      <c r="BF290" s="16">
        <v>11299212512311</v>
      </c>
      <c r="BG290" s="16">
        <v>9674879376834</v>
      </c>
      <c r="BH290" s="16">
        <v>40595368295</v>
      </c>
      <c r="BI290" s="16">
        <v>2264169346104</v>
      </c>
      <c r="BJ290" s="16">
        <v>2571307491073</v>
      </c>
      <c r="BK290" s="16">
        <v>0</v>
      </c>
      <c r="BL290" s="16">
        <v>404578824246</v>
      </c>
      <c r="BM290" s="16">
        <v>185662791206</v>
      </c>
    </row>
    <row r="291" spans="1:65" x14ac:dyDescent="0.25">
      <c r="A291" s="32" t="s">
        <v>343</v>
      </c>
      <c r="B291" s="10">
        <v>2400</v>
      </c>
      <c r="C291" s="10" t="s">
        <v>344</v>
      </c>
      <c r="D291" s="11">
        <v>1647390958556</v>
      </c>
      <c r="E291" s="11">
        <v>259845338037</v>
      </c>
      <c r="F291" s="11">
        <v>20000000000</v>
      </c>
      <c r="G291" s="11">
        <v>656650864685</v>
      </c>
      <c r="H291" s="11">
        <v>2583887161278</v>
      </c>
      <c r="I291" s="11">
        <v>264170456873</v>
      </c>
      <c r="J291" s="11">
        <v>2319716704405</v>
      </c>
      <c r="K291" s="11">
        <v>2937754119678</v>
      </c>
      <c r="L291" s="11">
        <v>-353866958400</v>
      </c>
      <c r="M291" s="12">
        <v>-12.05</v>
      </c>
      <c r="N291" s="11">
        <v>8333861222723</v>
      </c>
      <c r="O291" s="12">
        <v>414.63</v>
      </c>
      <c r="P291" s="12">
        <v>359.26</v>
      </c>
      <c r="Q291" s="12">
        <v>0.78</v>
      </c>
      <c r="R291" s="11">
        <v>10636478528299</v>
      </c>
      <c r="S291" s="11">
        <v>77171361812</v>
      </c>
      <c r="T291" s="11">
        <v>72492120155</v>
      </c>
      <c r="U291" s="11">
        <v>397726904</v>
      </c>
      <c r="V291" s="11">
        <v>4281514753</v>
      </c>
      <c r="W291" s="11">
        <v>10713649890111</v>
      </c>
      <c r="X291" s="11">
        <v>488176452638</v>
      </c>
      <c r="Y291" s="11">
        <v>9855411327</v>
      </c>
      <c r="Z291" s="11">
        <v>11211681754076</v>
      </c>
      <c r="AA291" s="11">
        <v>8758663639780</v>
      </c>
      <c r="AB291" s="12">
        <v>22.32</v>
      </c>
      <c r="AC291" s="11">
        <v>4385809788920</v>
      </c>
      <c r="AD291" s="11">
        <v>4375479339058</v>
      </c>
      <c r="AE291" s="11">
        <v>117835648543</v>
      </c>
      <c r="AF291" s="11">
        <v>0</v>
      </c>
      <c r="AG291" s="11">
        <v>0</v>
      </c>
      <c r="AH291" s="11">
        <v>0</v>
      </c>
      <c r="AI291" s="11">
        <v>0</v>
      </c>
      <c r="AJ291" s="12">
        <v>2</v>
      </c>
      <c r="AK291" s="11">
        <v>26690400000</v>
      </c>
      <c r="AL291" s="12">
        <v>67</v>
      </c>
      <c r="AM291" s="11">
        <v>469614829179</v>
      </c>
      <c r="AN291" s="12">
        <v>82</v>
      </c>
      <c r="AO291" s="11">
        <v>1097400141792</v>
      </c>
      <c r="AP291" s="11">
        <v>77171361812</v>
      </c>
      <c r="AQ291" s="11">
        <v>4625666664</v>
      </c>
      <c r="AR291" s="11">
        <v>72545695148</v>
      </c>
      <c r="AS291" s="19">
        <v>1568.33</v>
      </c>
      <c r="AT291" s="11">
        <v>3805019448139</v>
      </c>
      <c r="AU291" s="11">
        <v>314950004627</v>
      </c>
      <c r="AV291" s="11">
        <v>763758165894</v>
      </c>
      <c r="AW291" s="11">
        <v>245726542151</v>
      </c>
      <c r="AX291" s="11">
        <v>396242250511</v>
      </c>
      <c r="AY291" s="11">
        <v>241664000000</v>
      </c>
      <c r="AZ291" s="11">
        <v>206927544684</v>
      </c>
      <c r="BA291" s="11">
        <v>2583887161278</v>
      </c>
      <c r="BB291" s="13">
        <v>416167</v>
      </c>
      <c r="BC291" s="11">
        <v>1770524526464</v>
      </c>
      <c r="BD291" s="11">
        <v>416242250511</v>
      </c>
      <c r="BE291" s="11">
        <v>397120384303</v>
      </c>
      <c r="BF291" s="11">
        <v>2577144490750</v>
      </c>
      <c r="BG291" s="11">
        <v>1808665298170</v>
      </c>
      <c r="BH291" s="11">
        <v>15838416000</v>
      </c>
      <c r="BI291" s="11">
        <v>0</v>
      </c>
      <c r="BJ291" s="11">
        <v>110819072011</v>
      </c>
      <c r="BK291" s="11">
        <v>0</v>
      </c>
      <c r="BL291" s="11">
        <v>0</v>
      </c>
      <c r="BM291" s="11">
        <v>0</v>
      </c>
    </row>
    <row r="292" spans="1:65" x14ac:dyDescent="0.25">
      <c r="A292" s="32"/>
      <c r="B292" s="10">
        <v>2401</v>
      </c>
      <c r="C292" s="10" t="s">
        <v>345</v>
      </c>
      <c r="D292" s="11">
        <v>758704712709</v>
      </c>
      <c r="E292" s="11">
        <v>38790603229</v>
      </c>
      <c r="F292" s="11">
        <v>0</v>
      </c>
      <c r="G292" s="11">
        <v>0</v>
      </c>
      <c r="H292" s="11">
        <v>797495315938</v>
      </c>
      <c r="I292" s="11">
        <v>64859111609</v>
      </c>
      <c r="J292" s="11">
        <v>732636204329</v>
      </c>
      <c r="K292" s="11">
        <v>1013807806364</v>
      </c>
      <c r="L292" s="11">
        <v>-216312490426</v>
      </c>
      <c r="M292" s="12">
        <v>-21.34</v>
      </c>
      <c r="N292" s="11">
        <v>1684738852686</v>
      </c>
      <c r="O292" s="12">
        <v>205.46</v>
      </c>
      <c r="P292" s="12">
        <v>229.96</v>
      </c>
      <c r="Q292" s="12">
        <v>20.93</v>
      </c>
      <c r="R292" s="11">
        <v>1286838308793</v>
      </c>
      <c r="S292" s="11">
        <v>351673502240</v>
      </c>
      <c r="T292" s="11">
        <v>1362568555</v>
      </c>
      <c r="U292" s="11">
        <v>158154585565</v>
      </c>
      <c r="V292" s="11">
        <v>192156348120</v>
      </c>
      <c r="W292" s="11">
        <v>1638511811033</v>
      </c>
      <c r="X292" s="11">
        <v>203958318593</v>
      </c>
      <c r="Y292" s="11">
        <v>16000000000</v>
      </c>
      <c r="Z292" s="11">
        <v>1858470129626</v>
      </c>
      <c r="AA292" s="11">
        <v>923310545815</v>
      </c>
      <c r="AB292" s="12">
        <v>77.459999999999994</v>
      </c>
      <c r="AC292" s="11">
        <v>1786172321278</v>
      </c>
      <c r="AD292" s="11">
        <v>1741736380650</v>
      </c>
      <c r="AE292" s="11">
        <v>1450393979117</v>
      </c>
      <c r="AF292" s="11">
        <v>0</v>
      </c>
      <c r="AG292" s="11">
        <v>0</v>
      </c>
      <c r="AH292" s="11">
        <v>0</v>
      </c>
      <c r="AI292" s="11">
        <v>0</v>
      </c>
      <c r="AJ292" s="12">
        <v>26</v>
      </c>
      <c r="AK292" s="11">
        <v>1345331562281</v>
      </c>
      <c r="AL292" s="12">
        <v>25</v>
      </c>
      <c r="AM292" s="11">
        <v>126617055426</v>
      </c>
      <c r="AN292" s="12">
        <v>7</v>
      </c>
      <c r="AO292" s="11">
        <v>7621320000</v>
      </c>
      <c r="AP292" s="11">
        <v>351673502240</v>
      </c>
      <c r="AQ292" s="11">
        <v>364220227468</v>
      </c>
      <c r="AR292" s="11">
        <v>-12546725228</v>
      </c>
      <c r="AS292" s="12">
        <v>-3.44</v>
      </c>
      <c r="AT292" s="11">
        <v>1087331603156</v>
      </c>
      <c r="AU292" s="11">
        <v>551938515845</v>
      </c>
      <c r="AV292" s="11">
        <v>124379311622</v>
      </c>
      <c r="AW292" s="11">
        <v>188983051183</v>
      </c>
      <c r="AX292" s="11">
        <v>151601349904</v>
      </c>
      <c r="AY292" s="11">
        <v>293741000000</v>
      </c>
      <c r="AZ292" s="11">
        <v>90443987963</v>
      </c>
      <c r="BA292" s="11">
        <v>797495315938</v>
      </c>
      <c r="BB292" s="13">
        <v>324637</v>
      </c>
      <c r="BC292" s="11">
        <v>352152966034</v>
      </c>
      <c r="BD292" s="11">
        <v>151601349904</v>
      </c>
      <c r="BE292" s="11">
        <v>293741000000</v>
      </c>
      <c r="BF292" s="11">
        <v>1695967426804</v>
      </c>
      <c r="BG292" s="11">
        <v>90204894474</v>
      </c>
      <c r="BH292" s="11">
        <v>686827325403</v>
      </c>
      <c r="BI292" s="11">
        <v>21955252940</v>
      </c>
      <c r="BJ292" s="11">
        <v>939483883866</v>
      </c>
      <c r="BK292" s="11">
        <v>0</v>
      </c>
      <c r="BL292" s="11">
        <v>0</v>
      </c>
      <c r="BM292" s="11">
        <v>0</v>
      </c>
    </row>
    <row r="293" spans="1:65" x14ac:dyDescent="0.25">
      <c r="A293" s="32"/>
      <c r="B293" s="10">
        <v>2402</v>
      </c>
      <c r="C293" s="10" t="s">
        <v>346</v>
      </c>
      <c r="D293" s="11">
        <v>1268993084587</v>
      </c>
      <c r="E293" s="11">
        <v>101289176212</v>
      </c>
      <c r="F293" s="11">
        <v>0</v>
      </c>
      <c r="G293" s="11">
        <v>0</v>
      </c>
      <c r="H293" s="11">
        <v>1370282260799</v>
      </c>
      <c r="I293" s="11">
        <v>87446014915</v>
      </c>
      <c r="J293" s="11">
        <v>1282836245884</v>
      </c>
      <c r="K293" s="11">
        <v>974916550765</v>
      </c>
      <c r="L293" s="11">
        <v>395365710034</v>
      </c>
      <c r="M293" s="12">
        <v>40.549999999999997</v>
      </c>
      <c r="N293" s="11">
        <v>1891043213422</v>
      </c>
      <c r="O293" s="12">
        <v>174.57</v>
      </c>
      <c r="P293" s="12">
        <v>147.41</v>
      </c>
      <c r="Q293" s="12">
        <v>1.1599999999999999</v>
      </c>
      <c r="R293" s="11">
        <v>2365953924399</v>
      </c>
      <c r="S293" s="11">
        <v>26138114888</v>
      </c>
      <c r="T293" s="11">
        <v>14840411499</v>
      </c>
      <c r="U293" s="11">
        <v>8395160565</v>
      </c>
      <c r="V293" s="11">
        <v>2902542824</v>
      </c>
      <c r="W293" s="11">
        <v>2392092039287</v>
      </c>
      <c r="X293" s="11">
        <v>76803028631</v>
      </c>
      <c r="Y293" s="11">
        <v>5335040000</v>
      </c>
      <c r="Z293" s="11">
        <v>2474230107918</v>
      </c>
      <c r="AA293" s="11">
        <v>2262582809115</v>
      </c>
      <c r="AB293" s="12">
        <v>5.72</v>
      </c>
      <c r="AC293" s="11">
        <v>705958513582</v>
      </c>
      <c r="AD293" s="11">
        <v>705958513582</v>
      </c>
      <c r="AE293" s="11">
        <v>6757637120</v>
      </c>
      <c r="AF293" s="11">
        <v>0</v>
      </c>
      <c r="AG293" s="11">
        <v>0</v>
      </c>
      <c r="AH293" s="11">
        <v>0</v>
      </c>
      <c r="AI293" s="11">
        <v>0</v>
      </c>
      <c r="AJ293" s="12">
        <v>3</v>
      </c>
      <c r="AK293" s="11">
        <v>134152824642</v>
      </c>
      <c r="AL293" s="12">
        <v>40</v>
      </c>
      <c r="AM293" s="11">
        <v>1686522162418</v>
      </c>
      <c r="AN293" s="12">
        <v>13</v>
      </c>
      <c r="AO293" s="11">
        <v>68412151999</v>
      </c>
      <c r="AP293" s="11">
        <v>26138114888</v>
      </c>
      <c r="AQ293" s="11">
        <v>22715222210</v>
      </c>
      <c r="AR293" s="11">
        <v>3422892678</v>
      </c>
      <c r="AS293" s="12">
        <v>15.07</v>
      </c>
      <c r="AT293" s="11">
        <v>735048545419</v>
      </c>
      <c r="AU293" s="11">
        <v>242068690986</v>
      </c>
      <c r="AV293" s="11">
        <v>555076754241</v>
      </c>
      <c r="AW293" s="11">
        <v>286266603299</v>
      </c>
      <c r="AX293" s="11">
        <v>214324699547</v>
      </c>
      <c r="AY293" s="11">
        <v>213325027500</v>
      </c>
      <c r="AZ293" s="11">
        <v>122410237630</v>
      </c>
      <c r="BA293" s="11">
        <v>1370282260799</v>
      </c>
      <c r="BB293" s="13">
        <v>51778</v>
      </c>
      <c r="BC293" s="11">
        <v>942632533752</v>
      </c>
      <c r="BD293" s="11">
        <v>214324699547</v>
      </c>
      <c r="BE293" s="11">
        <v>213325027500</v>
      </c>
      <c r="BF293" s="11">
        <v>595444263582</v>
      </c>
      <c r="BG293" s="11">
        <v>110514250000</v>
      </c>
      <c r="BH293" s="11">
        <v>0</v>
      </c>
      <c r="BI293" s="11">
        <v>0</v>
      </c>
      <c r="BJ293" s="11">
        <v>6763006201</v>
      </c>
      <c r="BK293" s="11">
        <v>0</v>
      </c>
      <c r="BL293" s="11">
        <v>0</v>
      </c>
      <c r="BM293" s="11">
        <v>0</v>
      </c>
    </row>
    <row r="294" spans="1:65" x14ac:dyDescent="0.25">
      <c r="A294" s="32"/>
      <c r="B294" s="10">
        <v>2403</v>
      </c>
      <c r="C294" s="10" t="s">
        <v>347</v>
      </c>
      <c r="D294" s="11">
        <v>1340295827030</v>
      </c>
      <c r="E294" s="11">
        <v>13522245728</v>
      </c>
      <c r="F294" s="11">
        <v>0</v>
      </c>
      <c r="G294" s="11">
        <v>0</v>
      </c>
      <c r="H294" s="11">
        <v>1353818072758</v>
      </c>
      <c r="I294" s="11">
        <v>108356751053</v>
      </c>
      <c r="J294" s="11">
        <v>1245461321705</v>
      </c>
      <c r="K294" s="11">
        <v>1007433435843</v>
      </c>
      <c r="L294" s="11">
        <v>346384636915</v>
      </c>
      <c r="M294" s="12">
        <v>34.380000000000003</v>
      </c>
      <c r="N294" s="11">
        <v>1656558370061</v>
      </c>
      <c r="O294" s="12">
        <v>136.13999999999999</v>
      </c>
      <c r="P294" s="12">
        <v>133.01</v>
      </c>
      <c r="Q294" s="12">
        <v>0.81</v>
      </c>
      <c r="R294" s="11">
        <v>1827728778739</v>
      </c>
      <c r="S294" s="11">
        <v>15359099316</v>
      </c>
      <c r="T294" s="11">
        <v>12992710730</v>
      </c>
      <c r="U294" s="11">
        <v>2366388586</v>
      </c>
      <c r="V294" s="11">
        <v>0</v>
      </c>
      <c r="W294" s="11">
        <v>1843087878055</v>
      </c>
      <c r="X294" s="11">
        <v>92542295639</v>
      </c>
      <c r="Y294" s="11">
        <v>12746520000</v>
      </c>
      <c r="Z294" s="11">
        <v>1948376693694</v>
      </c>
      <c r="AA294" s="11">
        <v>1302480841551</v>
      </c>
      <c r="AB294" s="12">
        <v>41.51</v>
      </c>
      <c r="AC294" s="11">
        <v>877553198153</v>
      </c>
      <c r="AD294" s="11">
        <v>772355239161</v>
      </c>
      <c r="AE294" s="11">
        <v>0</v>
      </c>
      <c r="AF294" s="11">
        <v>0</v>
      </c>
      <c r="AG294" s="11">
        <v>820474348</v>
      </c>
      <c r="AH294" s="11">
        <v>0</v>
      </c>
      <c r="AI294" s="11">
        <v>0</v>
      </c>
      <c r="AJ294" s="12">
        <v>0</v>
      </c>
      <c r="AK294" s="11">
        <v>0</v>
      </c>
      <c r="AL294" s="12">
        <v>38</v>
      </c>
      <c r="AM294" s="11">
        <v>203327282598</v>
      </c>
      <c r="AN294" s="12">
        <v>20</v>
      </c>
      <c r="AO294" s="11">
        <v>100965071981</v>
      </c>
      <c r="AP294" s="11">
        <v>15359099316</v>
      </c>
      <c r="AQ294" s="11">
        <v>13817426080</v>
      </c>
      <c r="AR294" s="11">
        <v>1541673236</v>
      </c>
      <c r="AS294" s="12">
        <v>11.16</v>
      </c>
      <c r="AT294" s="11">
        <v>453140385027</v>
      </c>
      <c r="AU294" s="11">
        <v>119424463124</v>
      </c>
      <c r="AV294" s="11">
        <v>439692744974</v>
      </c>
      <c r="AW294" s="11">
        <v>148324311725</v>
      </c>
      <c r="AX294" s="11">
        <v>247710570331</v>
      </c>
      <c r="AY294" s="11">
        <v>504568200000</v>
      </c>
      <c r="AZ294" s="11">
        <v>182364956392</v>
      </c>
      <c r="BA294" s="11">
        <v>1353818072758</v>
      </c>
      <c r="BB294" s="13">
        <v>148305</v>
      </c>
      <c r="BC294" s="11">
        <v>601539302427</v>
      </c>
      <c r="BD294" s="11">
        <v>247710570331</v>
      </c>
      <c r="BE294" s="11">
        <v>504568200000</v>
      </c>
      <c r="BF294" s="11">
        <v>654440278992</v>
      </c>
      <c r="BG294" s="11">
        <v>223112919161</v>
      </c>
      <c r="BH294" s="11">
        <v>0</v>
      </c>
      <c r="BI294" s="11">
        <v>0</v>
      </c>
      <c r="BJ294" s="11">
        <v>0</v>
      </c>
      <c r="BK294" s="11">
        <v>0</v>
      </c>
      <c r="BL294" s="11">
        <v>0</v>
      </c>
      <c r="BM294" s="11">
        <v>0</v>
      </c>
    </row>
    <row r="295" spans="1:65" x14ac:dyDescent="0.25">
      <c r="A295" s="32"/>
      <c r="B295" s="10">
        <v>2404</v>
      </c>
      <c r="C295" s="10" t="s">
        <v>348</v>
      </c>
      <c r="D295" s="11">
        <v>831142630185</v>
      </c>
      <c r="E295" s="11">
        <v>12040993340</v>
      </c>
      <c r="F295" s="11">
        <v>0</v>
      </c>
      <c r="G295" s="11">
        <v>0</v>
      </c>
      <c r="H295" s="11">
        <v>843183623525</v>
      </c>
      <c r="I295" s="11">
        <v>70060826960</v>
      </c>
      <c r="J295" s="11">
        <v>773122796565</v>
      </c>
      <c r="K295" s="11">
        <v>847912393969</v>
      </c>
      <c r="L295" s="11">
        <v>-4728770444</v>
      </c>
      <c r="M295" s="12">
        <v>-0.56000000000000005</v>
      </c>
      <c r="N295" s="11">
        <v>863433884335</v>
      </c>
      <c r="O295" s="12">
        <v>112.8</v>
      </c>
      <c r="P295" s="12">
        <v>111.68</v>
      </c>
      <c r="Q295" s="12">
        <v>1.81</v>
      </c>
      <c r="R295" s="11">
        <v>937937781101</v>
      </c>
      <c r="S295" s="11">
        <v>13178290151</v>
      </c>
      <c r="T295" s="11">
        <v>7856681991</v>
      </c>
      <c r="U295" s="11">
        <v>1031776266</v>
      </c>
      <c r="V295" s="11">
        <v>4289831894</v>
      </c>
      <c r="W295" s="11">
        <v>951116071252</v>
      </c>
      <c r="X295" s="11">
        <v>72674732763</v>
      </c>
      <c r="Y295" s="11">
        <v>15700000000</v>
      </c>
      <c r="Z295" s="11">
        <v>1039490804015</v>
      </c>
      <c r="AA295" s="11">
        <v>783344354232</v>
      </c>
      <c r="AB295" s="12">
        <v>21.42</v>
      </c>
      <c r="AC295" s="11">
        <v>353507874000</v>
      </c>
      <c r="AD295" s="11">
        <v>348507874000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2">
        <v>0</v>
      </c>
      <c r="AK295" s="11">
        <v>0</v>
      </c>
      <c r="AL295" s="12">
        <v>62</v>
      </c>
      <c r="AM295" s="11">
        <v>75105113175</v>
      </c>
      <c r="AN295" s="12">
        <v>10</v>
      </c>
      <c r="AO295" s="11">
        <v>40032150000</v>
      </c>
      <c r="AP295" s="11">
        <v>13178290151</v>
      </c>
      <c r="AQ295" s="11">
        <v>21401977695</v>
      </c>
      <c r="AR295" s="11">
        <v>-8223687544</v>
      </c>
      <c r="AS295" s="12">
        <v>-38.42</v>
      </c>
      <c r="AT295" s="11">
        <v>280890395409</v>
      </c>
      <c r="AU295" s="11">
        <v>62528147856</v>
      </c>
      <c r="AV295" s="11">
        <v>117954112191</v>
      </c>
      <c r="AW295" s="11">
        <v>133165028383</v>
      </c>
      <c r="AX295" s="11">
        <v>212064489611</v>
      </c>
      <c r="AY295" s="11">
        <v>367959000000</v>
      </c>
      <c r="AZ295" s="11">
        <v>157392201575</v>
      </c>
      <c r="BA295" s="11">
        <v>843183623525</v>
      </c>
      <c r="BB295" s="13">
        <v>125410</v>
      </c>
      <c r="BC295" s="11">
        <v>263160133914</v>
      </c>
      <c r="BD295" s="11">
        <v>212064489611</v>
      </c>
      <c r="BE295" s="11">
        <v>367959000000</v>
      </c>
      <c r="BF295" s="11">
        <v>345508874000</v>
      </c>
      <c r="BG295" s="11">
        <v>7999000000</v>
      </c>
      <c r="BH295" s="11">
        <v>0</v>
      </c>
      <c r="BI295" s="11">
        <v>0</v>
      </c>
      <c r="BJ295" s="11">
        <v>0</v>
      </c>
      <c r="BK295" s="11">
        <v>0</v>
      </c>
      <c r="BL295" s="11">
        <v>0</v>
      </c>
      <c r="BM295" s="11">
        <v>0</v>
      </c>
    </row>
    <row r="296" spans="1:65" x14ac:dyDescent="0.25">
      <c r="A296" s="32"/>
      <c r="B296" s="10">
        <v>2405</v>
      </c>
      <c r="C296" s="10" t="s">
        <v>349</v>
      </c>
      <c r="D296" s="11">
        <v>921817640469</v>
      </c>
      <c r="E296" s="11">
        <v>32777133308</v>
      </c>
      <c r="F296" s="11">
        <v>0</v>
      </c>
      <c r="G296" s="11">
        <v>0</v>
      </c>
      <c r="H296" s="11">
        <v>954594773777</v>
      </c>
      <c r="I296" s="11">
        <v>79631983813</v>
      </c>
      <c r="J296" s="11">
        <v>874962789964</v>
      </c>
      <c r="K296" s="11">
        <v>937780148321</v>
      </c>
      <c r="L296" s="11">
        <v>16814625456</v>
      </c>
      <c r="M296" s="12">
        <v>1.79</v>
      </c>
      <c r="N296" s="11">
        <v>897411768084</v>
      </c>
      <c r="O296" s="12">
        <v>102.9</v>
      </c>
      <c r="P296" s="12">
        <v>102.57</v>
      </c>
      <c r="Q296" s="12">
        <v>1.36</v>
      </c>
      <c r="R296" s="11">
        <v>971285945180</v>
      </c>
      <c r="S296" s="11">
        <v>10966982222</v>
      </c>
      <c r="T296" s="11">
        <v>7390916216</v>
      </c>
      <c r="U296" s="11">
        <v>1695349049</v>
      </c>
      <c r="V296" s="11">
        <v>1880716957</v>
      </c>
      <c r="W296" s="11">
        <v>982252927402</v>
      </c>
      <c r="X296" s="11">
        <v>69881137602</v>
      </c>
      <c r="Y296" s="11">
        <v>10399167000</v>
      </c>
      <c r="Z296" s="11">
        <v>1062533232004</v>
      </c>
      <c r="AA296" s="11">
        <v>691978843786</v>
      </c>
      <c r="AB296" s="12">
        <v>41.95</v>
      </c>
      <c r="AC296" s="11">
        <v>437680844000</v>
      </c>
      <c r="AD296" s="11">
        <v>437680844000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2">
        <v>0</v>
      </c>
      <c r="AK296" s="11">
        <v>0</v>
      </c>
      <c r="AL296" s="12">
        <v>74</v>
      </c>
      <c r="AM296" s="11">
        <v>411504886251</v>
      </c>
      <c r="AN296" s="12">
        <v>26</v>
      </c>
      <c r="AO296" s="11">
        <v>72514583977</v>
      </c>
      <c r="AP296" s="11">
        <v>10966982222</v>
      </c>
      <c r="AQ296" s="11">
        <v>9150495402</v>
      </c>
      <c r="AR296" s="11">
        <v>1816486820</v>
      </c>
      <c r="AS296" s="12">
        <v>19.850000000000001</v>
      </c>
      <c r="AT296" s="11">
        <v>242121055139</v>
      </c>
      <c r="AU296" s="11">
        <v>48250061854</v>
      </c>
      <c r="AV296" s="11">
        <v>91708685885</v>
      </c>
      <c r="AW296" s="11">
        <v>259126631367</v>
      </c>
      <c r="AX296" s="11">
        <v>113431123217</v>
      </c>
      <c r="AY296" s="11">
        <v>457551200000</v>
      </c>
      <c r="AZ296" s="11">
        <v>39865552889</v>
      </c>
      <c r="BA296" s="11">
        <v>954594773777</v>
      </c>
      <c r="BB296" s="13">
        <v>47925</v>
      </c>
      <c r="BC296" s="11">
        <v>383612450560</v>
      </c>
      <c r="BD296" s="11">
        <v>113185923217</v>
      </c>
      <c r="BE296" s="11">
        <v>457796400000</v>
      </c>
      <c r="BF296" s="11">
        <v>193463088000</v>
      </c>
      <c r="BG296" s="11">
        <v>244217756000</v>
      </c>
      <c r="BH296" s="11">
        <v>0</v>
      </c>
      <c r="BI296" s="11">
        <v>0</v>
      </c>
      <c r="BJ296" s="11">
        <v>0</v>
      </c>
      <c r="BK296" s="11">
        <v>0</v>
      </c>
      <c r="BL296" s="11">
        <v>0</v>
      </c>
      <c r="BM296" s="11">
        <v>0</v>
      </c>
    </row>
    <row r="297" spans="1:65" x14ac:dyDescent="0.25">
      <c r="A297" s="32"/>
      <c r="B297" s="10">
        <v>2406</v>
      </c>
      <c r="C297" s="10" t="s">
        <v>350</v>
      </c>
      <c r="D297" s="11">
        <v>1283869629924</v>
      </c>
      <c r="E297" s="11">
        <v>12404666589</v>
      </c>
      <c r="F297" s="11">
        <v>0</v>
      </c>
      <c r="G297" s="11">
        <v>0</v>
      </c>
      <c r="H297" s="11">
        <v>1296274296513</v>
      </c>
      <c r="I297" s="11">
        <v>101611089618</v>
      </c>
      <c r="J297" s="11">
        <v>1194663206895</v>
      </c>
      <c r="K297" s="11">
        <v>1181585988407</v>
      </c>
      <c r="L297" s="11">
        <v>114688308106</v>
      </c>
      <c r="M297" s="12">
        <v>9.7100000000000009</v>
      </c>
      <c r="N297" s="11">
        <v>1083437271552</v>
      </c>
      <c r="O297" s="12">
        <v>92.49</v>
      </c>
      <c r="P297" s="12">
        <v>90.69</v>
      </c>
      <c r="Q297" s="12">
        <v>5.96</v>
      </c>
      <c r="R297" s="11">
        <v>1118557695021</v>
      </c>
      <c r="S297" s="11">
        <v>80419327942</v>
      </c>
      <c r="T297" s="11">
        <v>22065111260</v>
      </c>
      <c r="U297" s="11">
        <v>25380825684</v>
      </c>
      <c r="V297" s="11">
        <v>32973390998</v>
      </c>
      <c r="W297" s="11">
        <v>1198977022963</v>
      </c>
      <c r="X297" s="11">
        <v>117787705484</v>
      </c>
      <c r="Y297" s="11">
        <v>41961826000</v>
      </c>
      <c r="Z297" s="11">
        <v>1358726554447</v>
      </c>
      <c r="AA297" s="11">
        <v>865465180429</v>
      </c>
      <c r="AB297" s="12">
        <v>38.54</v>
      </c>
      <c r="AC297" s="11">
        <v>592089165311</v>
      </c>
      <c r="AD297" s="11">
        <v>560089165311</v>
      </c>
      <c r="AE297" s="11">
        <v>8707482550</v>
      </c>
      <c r="AF297" s="11">
        <v>36800000000</v>
      </c>
      <c r="AG297" s="11">
        <v>1640000000</v>
      </c>
      <c r="AH297" s="11">
        <v>0</v>
      </c>
      <c r="AI297" s="11">
        <v>0</v>
      </c>
      <c r="AJ297" s="12">
        <v>0</v>
      </c>
      <c r="AK297" s="11">
        <v>0</v>
      </c>
      <c r="AL297" s="12">
        <v>70</v>
      </c>
      <c r="AM297" s="11">
        <v>208671288621</v>
      </c>
      <c r="AN297" s="12">
        <v>19</v>
      </c>
      <c r="AO297" s="11">
        <v>115919662686</v>
      </c>
      <c r="AP297" s="11">
        <v>80419327942</v>
      </c>
      <c r="AQ297" s="11">
        <v>38113919838</v>
      </c>
      <c r="AR297" s="11">
        <v>42305408104</v>
      </c>
      <c r="AS297" s="12">
        <v>111</v>
      </c>
      <c r="AT297" s="11">
        <v>335247933741</v>
      </c>
      <c r="AU297" s="11">
        <v>76433060300</v>
      </c>
      <c r="AV297" s="11">
        <v>135275310031</v>
      </c>
      <c r="AW297" s="11">
        <v>427336629171</v>
      </c>
      <c r="AX297" s="11">
        <v>237020990722</v>
      </c>
      <c r="AY297" s="11">
        <v>484236700000</v>
      </c>
      <c r="AZ297" s="11">
        <v>159042520391</v>
      </c>
      <c r="BA297" s="11">
        <v>1296274296513</v>
      </c>
      <c r="BB297" s="13">
        <v>188417</v>
      </c>
      <c r="BC297" s="11">
        <v>575016605791</v>
      </c>
      <c r="BD297" s="11">
        <v>237020990722</v>
      </c>
      <c r="BE297" s="11">
        <v>484236700000</v>
      </c>
      <c r="BF297" s="11">
        <v>511958385659</v>
      </c>
      <c r="BG297" s="11">
        <v>80130779652</v>
      </c>
      <c r="BH297" s="11">
        <v>0</v>
      </c>
      <c r="BI297" s="11">
        <v>0</v>
      </c>
      <c r="BJ297" s="11">
        <v>8714438166</v>
      </c>
      <c r="BK297" s="11">
        <v>0</v>
      </c>
      <c r="BL297" s="11">
        <v>32185215897</v>
      </c>
      <c r="BM297" s="11">
        <v>0</v>
      </c>
    </row>
    <row r="298" spans="1:65" x14ac:dyDescent="0.25">
      <c r="A298" s="32"/>
      <c r="B298" s="10">
        <v>2407</v>
      </c>
      <c r="C298" s="10" t="s">
        <v>351</v>
      </c>
      <c r="D298" s="11">
        <v>777688941932</v>
      </c>
      <c r="E298" s="11">
        <v>32396774157</v>
      </c>
      <c r="F298" s="11">
        <v>0</v>
      </c>
      <c r="G298" s="11">
        <v>0</v>
      </c>
      <c r="H298" s="11">
        <v>810085716089</v>
      </c>
      <c r="I298" s="11">
        <v>64352053040</v>
      </c>
      <c r="J298" s="11">
        <v>745733663049</v>
      </c>
      <c r="K298" s="11">
        <v>906695960007</v>
      </c>
      <c r="L298" s="11">
        <v>-96610243918</v>
      </c>
      <c r="M298" s="12">
        <v>-10.66</v>
      </c>
      <c r="N298" s="11">
        <v>861485366815</v>
      </c>
      <c r="O298" s="12">
        <v>117.56</v>
      </c>
      <c r="P298" s="12">
        <v>115.52</v>
      </c>
      <c r="Q298" s="12">
        <v>0.74</v>
      </c>
      <c r="R298" s="11">
        <v>944515195413</v>
      </c>
      <c r="S298" s="11">
        <v>7802713169</v>
      </c>
      <c r="T298" s="11">
        <v>7390021217</v>
      </c>
      <c r="U298" s="11">
        <v>412691952</v>
      </c>
      <c r="V298" s="11">
        <v>0</v>
      </c>
      <c r="W298" s="11">
        <v>952317908582</v>
      </c>
      <c r="X298" s="11">
        <v>85172546662</v>
      </c>
      <c r="Y298" s="11">
        <v>11742601000</v>
      </c>
      <c r="Z298" s="11">
        <v>1049233056244</v>
      </c>
      <c r="AA298" s="11">
        <v>808618375545</v>
      </c>
      <c r="AB298" s="12">
        <v>17.77</v>
      </c>
      <c r="AC298" s="11">
        <v>332118552000</v>
      </c>
      <c r="AD298" s="11">
        <v>332118552000</v>
      </c>
      <c r="AE298" s="11">
        <v>0</v>
      </c>
      <c r="AF298" s="11">
        <v>4632365000</v>
      </c>
      <c r="AG298" s="11">
        <v>0</v>
      </c>
      <c r="AH298" s="11">
        <v>0</v>
      </c>
      <c r="AI298" s="11">
        <v>0</v>
      </c>
      <c r="AJ298" s="12">
        <v>0</v>
      </c>
      <c r="AK298" s="11">
        <v>0</v>
      </c>
      <c r="AL298" s="12">
        <v>60</v>
      </c>
      <c r="AM298" s="11">
        <v>221298018149</v>
      </c>
      <c r="AN298" s="12">
        <v>48</v>
      </c>
      <c r="AO298" s="11">
        <v>297798076054</v>
      </c>
      <c r="AP298" s="11">
        <v>7802713169</v>
      </c>
      <c r="AQ298" s="11">
        <v>4871123675</v>
      </c>
      <c r="AR298" s="11">
        <v>2931589494</v>
      </c>
      <c r="AS298" s="12">
        <v>60.18</v>
      </c>
      <c r="AT298" s="11">
        <v>292510412618</v>
      </c>
      <c r="AU298" s="11">
        <v>53651115104</v>
      </c>
      <c r="AV298" s="11">
        <v>117546873345</v>
      </c>
      <c r="AW298" s="11">
        <v>239024823874</v>
      </c>
      <c r="AX298" s="11">
        <v>200635544713</v>
      </c>
      <c r="AY298" s="11">
        <v>220481700000</v>
      </c>
      <c r="AZ298" s="11">
        <v>86159076490</v>
      </c>
      <c r="BA298" s="11">
        <v>810085716089</v>
      </c>
      <c r="BB298" s="13">
        <v>377662</v>
      </c>
      <c r="BC298" s="11">
        <v>388968471376</v>
      </c>
      <c r="BD298" s="11">
        <v>200635544713</v>
      </c>
      <c r="BE298" s="11">
        <v>220481700000</v>
      </c>
      <c r="BF298" s="11">
        <v>237971945000</v>
      </c>
      <c r="BG298" s="11">
        <v>94146607000</v>
      </c>
      <c r="BH298" s="11">
        <v>0</v>
      </c>
      <c r="BI298" s="11">
        <v>0</v>
      </c>
      <c r="BJ298" s="11">
        <v>0</v>
      </c>
      <c r="BK298" s="11">
        <v>0</v>
      </c>
      <c r="BL298" s="11">
        <v>0</v>
      </c>
      <c r="BM298" s="11">
        <v>4661576140</v>
      </c>
    </row>
    <row r="299" spans="1:65" x14ac:dyDescent="0.25">
      <c r="A299" s="32"/>
      <c r="B299" s="10">
        <v>2408</v>
      </c>
      <c r="C299" s="10" t="s">
        <v>352</v>
      </c>
      <c r="D299" s="11">
        <v>614070393977</v>
      </c>
      <c r="E299" s="11">
        <v>17035941868</v>
      </c>
      <c r="F299" s="11">
        <v>0</v>
      </c>
      <c r="G299" s="11">
        <v>0</v>
      </c>
      <c r="H299" s="11">
        <v>631106335845</v>
      </c>
      <c r="I299" s="11">
        <v>52042937237</v>
      </c>
      <c r="J299" s="11">
        <v>579063398608</v>
      </c>
      <c r="K299" s="11">
        <v>578212855348</v>
      </c>
      <c r="L299" s="11">
        <v>52893480497</v>
      </c>
      <c r="M299" s="12">
        <v>9.15</v>
      </c>
      <c r="N299" s="11">
        <v>524130097487</v>
      </c>
      <c r="O299" s="12">
        <v>88.3</v>
      </c>
      <c r="P299" s="12">
        <v>90.51</v>
      </c>
      <c r="Q299" s="12">
        <v>0.14000000000000001</v>
      </c>
      <c r="R299" s="11">
        <v>556684252769</v>
      </c>
      <c r="S299" s="11">
        <v>590401965</v>
      </c>
      <c r="T299" s="11">
        <v>590401965</v>
      </c>
      <c r="U299" s="11">
        <v>0</v>
      </c>
      <c r="V299" s="11">
        <v>0</v>
      </c>
      <c r="W299" s="11">
        <v>557274654734</v>
      </c>
      <c r="X299" s="11">
        <v>51084453358</v>
      </c>
      <c r="Y299" s="11">
        <v>7050000000</v>
      </c>
      <c r="Z299" s="11">
        <v>615409108092</v>
      </c>
      <c r="AA299" s="11">
        <v>485196179826</v>
      </c>
      <c r="AB299" s="12">
        <v>14.86</v>
      </c>
      <c r="AC299" s="11">
        <v>213921183514</v>
      </c>
      <c r="AD299" s="11">
        <v>213921183514</v>
      </c>
      <c r="AE299" s="11">
        <v>0</v>
      </c>
      <c r="AF299" s="11">
        <v>0</v>
      </c>
      <c r="AG299" s="11">
        <v>0</v>
      </c>
      <c r="AH299" s="11">
        <v>0</v>
      </c>
      <c r="AI299" s="11">
        <v>0</v>
      </c>
      <c r="AJ299" s="12">
        <v>0</v>
      </c>
      <c r="AK299" s="11">
        <v>0</v>
      </c>
      <c r="AL299" s="12">
        <v>25</v>
      </c>
      <c r="AM299" s="11">
        <v>476101964730</v>
      </c>
      <c r="AN299" s="12">
        <v>4</v>
      </c>
      <c r="AO299" s="11">
        <v>112686830000</v>
      </c>
      <c r="AP299" s="11">
        <v>590401965</v>
      </c>
      <c r="AQ299" s="11">
        <v>489056913</v>
      </c>
      <c r="AR299" s="11">
        <v>101345052</v>
      </c>
      <c r="AS299" s="12">
        <v>20.72</v>
      </c>
      <c r="AT299" s="11">
        <v>199963604639</v>
      </c>
      <c r="AU299" s="11">
        <v>49470800001</v>
      </c>
      <c r="AV299" s="11">
        <v>211973292361</v>
      </c>
      <c r="AW299" s="11">
        <v>85143875973</v>
      </c>
      <c r="AX299" s="11">
        <v>92913625643</v>
      </c>
      <c r="AY299" s="11">
        <v>224039600000</v>
      </c>
      <c r="AZ299" s="11">
        <v>21161924356</v>
      </c>
      <c r="BA299" s="11">
        <v>631106335845</v>
      </c>
      <c r="BB299" s="13">
        <v>118033</v>
      </c>
      <c r="BC299" s="11">
        <v>314153110202</v>
      </c>
      <c r="BD299" s="11">
        <v>92913625643</v>
      </c>
      <c r="BE299" s="11">
        <v>224039600000</v>
      </c>
      <c r="BF299" s="11">
        <v>108498860965</v>
      </c>
      <c r="BG299" s="11">
        <v>105422322549</v>
      </c>
      <c r="BH299" s="11">
        <v>0</v>
      </c>
      <c r="BI299" s="11">
        <v>0</v>
      </c>
      <c r="BJ299" s="11">
        <v>0</v>
      </c>
      <c r="BK299" s="11">
        <v>0</v>
      </c>
      <c r="BL299" s="11">
        <v>0</v>
      </c>
      <c r="BM299" s="11">
        <v>0</v>
      </c>
    </row>
    <row r="300" spans="1:65" x14ac:dyDescent="0.25">
      <c r="A300" s="32"/>
      <c r="B300" s="10">
        <v>2409</v>
      </c>
      <c r="C300" s="10" t="s">
        <v>353</v>
      </c>
      <c r="D300" s="11">
        <v>709234927008</v>
      </c>
      <c r="E300" s="11">
        <v>196633242260</v>
      </c>
      <c r="F300" s="11">
        <v>0</v>
      </c>
      <c r="G300" s="11">
        <v>0</v>
      </c>
      <c r="H300" s="11">
        <v>905868169268</v>
      </c>
      <c r="I300" s="11">
        <v>68915070667</v>
      </c>
      <c r="J300" s="11">
        <v>836953098601</v>
      </c>
      <c r="K300" s="11">
        <v>760370782187</v>
      </c>
      <c r="L300" s="11">
        <v>145497387081</v>
      </c>
      <c r="M300" s="12">
        <v>19.14</v>
      </c>
      <c r="N300" s="11">
        <v>772544458912</v>
      </c>
      <c r="O300" s="12">
        <v>92.41</v>
      </c>
      <c r="P300" s="12">
        <v>92.3</v>
      </c>
      <c r="Q300" s="12">
        <v>5.33</v>
      </c>
      <c r="R300" s="11">
        <v>789724116131</v>
      </c>
      <c r="S300" s="11">
        <v>47394187330</v>
      </c>
      <c r="T300" s="11">
        <v>45442107677</v>
      </c>
      <c r="U300" s="11">
        <v>1400744191</v>
      </c>
      <c r="V300" s="11">
        <v>551335462</v>
      </c>
      <c r="W300" s="11">
        <v>837118303461</v>
      </c>
      <c r="X300" s="11">
        <v>50697695873</v>
      </c>
      <c r="Y300" s="11">
        <v>7700000000</v>
      </c>
      <c r="Z300" s="11">
        <v>895515999334</v>
      </c>
      <c r="AA300" s="11">
        <v>575096919185</v>
      </c>
      <c r="AB300" s="12">
        <v>45.56</v>
      </c>
      <c r="AC300" s="11">
        <v>471426949451</v>
      </c>
      <c r="AD300" s="11">
        <v>471426949451</v>
      </c>
      <c r="AE300" s="11">
        <v>0</v>
      </c>
      <c r="AF300" s="11">
        <v>95967873917</v>
      </c>
      <c r="AG300" s="11">
        <v>0</v>
      </c>
      <c r="AH300" s="11">
        <v>0</v>
      </c>
      <c r="AI300" s="11">
        <v>0</v>
      </c>
      <c r="AJ300" s="12">
        <v>0</v>
      </c>
      <c r="AK300" s="11">
        <v>0</v>
      </c>
      <c r="AL300" s="12">
        <v>68</v>
      </c>
      <c r="AM300" s="11">
        <v>2083576513936</v>
      </c>
      <c r="AN300" s="12">
        <v>76</v>
      </c>
      <c r="AO300" s="11">
        <v>2837788696676</v>
      </c>
      <c r="AP300" s="11">
        <v>47394187330</v>
      </c>
      <c r="AQ300" s="11">
        <v>49971972556</v>
      </c>
      <c r="AR300" s="11">
        <v>-2577785226</v>
      </c>
      <c r="AS300" s="12">
        <v>-5.16</v>
      </c>
      <c r="AT300" s="11">
        <v>309973423150</v>
      </c>
      <c r="AU300" s="11">
        <v>86623696815</v>
      </c>
      <c r="AV300" s="11">
        <v>143002437245</v>
      </c>
      <c r="AW300" s="11">
        <v>153283836997</v>
      </c>
      <c r="AX300" s="11">
        <v>113461652766</v>
      </c>
      <c r="AY300" s="11">
        <v>299487000000</v>
      </c>
      <c r="AZ300" s="11">
        <v>54196233663</v>
      </c>
      <c r="BA300" s="11">
        <v>905868169268</v>
      </c>
      <c r="BB300" s="13">
        <v>150116</v>
      </c>
      <c r="BC300" s="11">
        <v>492919516502</v>
      </c>
      <c r="BD300" s="11">
        <v>113461652766</v>
      </c>
      <c r="BE300" s="11">
        <v>299487000000</v>
      </c>
      <c r="BF300" s="11">
        <v>423134379451</v>
      </c>
      <c r="BG300" s="11">
        <v>48292570000</v>
      </c>
      <c r="BH300" s="11">
        <v>0</v>
      </c>
      <c r="BI300" s="11">
        <v>0</v>
      </c>
      <c r="BJ300" s="11">
        <v>0</v>
      </c>
      <c r="BK300" s="11">
        <v>0</v>
      </c>
      <c r="BL300" s="11">
        <v>0</v>
      </c>
      <c r="BM300" s="11">
        <v>100991093739</v>
      </c>
    </row>
    <row r="301" spans="1:65" x14ac:dyDescent="0.25">
      <c r="A301" s="32"/>
      <c r="B301" s="10">
        <v>2410</v>
      </c>
      <c r="C301" s="10" t="s">
        <v>354</v>
      </c>
      <c r="D301" s="11">
        <v>1314835853390</v>
      </c>
      <c r="E301" s="11">
        <v>11207621012</v>
      </c>
      <c r="F301" s="11">
        <v>0</v>
      </c>
      <c r="G301" s="11">
        <v>0</v>
      </c>
      <c r="H301" s="11">
        <v>1326043474402</v>
      </c>
      <c r="I301" s="11">
        <v>111460564751</v>
      </c>
      <c r="J301" s="11">
        <v>1214582909651</v>
      </c>
      <c r="K301" s="11">
        <v>1099938171787</v>
      </c>
      <c r="L301" s="11">
        <v>226105302615</v>
      </c>
      <c r="M301" s="12">
        <v>20.56</v>
      </c>
      <c r="N301" s="11">
        <v>1247488999199</v>
      </c>
      <c r="O301" s="12">
        <v>111.75</v>
      </c>
      <c r="P301" s="12">
        <v>102.71</v>
      </c>
      <c r="Q301" s="12">
        <v>0.68</v>
      </c>
      <c r="R301" s="11">
        <v>1472410221767</v>
      </c>
      <c r="S301" s="11">
        <v>9439115016</v>
      </c>
      <c r="T301" s="11">
        <v>5496255904</v>
      </c>
      <c r="U301" s="11">
        <v>633084048</v>
      </c>
      <c r="V301" s="11">
        <v>3309775064</v>
      </c>
      <c r="W301" s="11">
        <v>1481849336783</v>
      </c>
      <c r="X301" s="11">
        <v>66955698138</v>
      </c>
      <c r="Y301" s="11">
        <v>11500000000</v>
      </c>
      <c r="Z301" s="11">
        <v>1560305034921</v>
      </c>
      <c r="AA301" s="11">
        <v>962780086477</v>
      </c>
      <c r="AB301" s="12">
        <v>53.91</v>
      </c>
      <c r="AC301" s="11">
        <v>711348172361</v>
      </c>
      <c r="AD301" s="11">
        <v>578748815110</v>
      </c>
      <c r="AE301" s="11">
        <v>0</v>
      </c>
      <c r="AF301" s="11">
        <v>1313368110</v>
      </c>
      <c r="AG301" s="11">
        <v>0</v>
      </c>
      <c r="AH301" s="11">
        <v>0</v>
      </c>
      <c r="AI301" s="11">
        <v>0</v>
      </c>
      <c r="AJ301" s="12">
        <v>0</v>
      </c>
      <c r="AK301" s="11">
        <v>0</v>
      </c>
      <c r="AL301" s="12">
        <v>28</v>
      </c>
      <c r="AM301" s="11">
        <v>137990324934</v>
      </c>
      <c r="AN301" s="12">
        <v>1</v>
      </c>
      <c r="AO301" s="11">
        <v>5544374875</v>
      </c>
      <c r="AP301" s="11">
        <v>9439115016</v>
      </c>
      <c r="AQ301" s="11">
        <v>6960634460</v>
      </c>
      <c r="AR301" s="11">
        <v>2478480556</v>
      </c>
      <c r="AS301" s="12">
        <v>35.61</v>
      </c>
      <c r="AT301" s="11">
        <v>293857871729</v>
      </c>
      <c r="AU301" s="11">
        <v>31414714416</v>
      </c>
      <c r="AV301" s="11">
        <v>142500272484</v>
      </c>
      <c r="AW301" s="11">
        <v>281764709316</v>
      </c>
      <c r="AX301" s="11">
        <v>213729471590</v>
      </c>
      <c r="AY301" s="11">
        <v>676841400000</v>
      </c>
      <c r="AZ301" s="11">
        <v>114055312386</v>
      </c>
      <c r="BA301" s="11">
        <v>1326043474402</v>
      </c>
      <c r="BB301" s="13">
        <v>142368</v>
      </c>
      <c r="BC301" s="11">
        <v>435472602812</v>
      </c>
      <c r="BD301" s="11">
        <v>213729471590</v>
      </c>
      <c r="BE301" s="11">
        <v>676841400000</v>
      </c>
      <c r="BF301" s="11">
        <v>537763411642</v>
      </c>
      <c r="BG301" s="11">
        <v>173584760719</v>
      </c>
      <c r="BH301" s="11">
        <v>0</v>
      </c>
      <c r="BI301" s="11">
        <v>0</v>
      </c>
      <c r="BJ301" s="11">
        <v>0</v>
      </c>
      <c r="BK301" s="11">
        <v>0</v>
      </c>
      <c r="BL301" s="11">
        <v>1313368110</v>
      </c>
      <c r="BM301" s="11">
        <v>0</v>
      </c>
    </row>
    <row r="302" spans="1:65" x14ac:dyDescent="0.25">
      <c r="A302" s="32"/>
      <c r="B302" s="10">
        <v>2411</v>
      </c>
      <c r="C302" s="10" t="s">
        <v>355</v>
      </c>
      <c r="D302" s="11">
        <v>1681499568764</v>
      </c>
      <c r="E302" s="11">
        <v>73201956143</v>
      </c>
      <c r="F302" s="11">
        <v>0</v>
      </c>
      <c r="G302" s="11">
        <v>0</v>
      </c>
      <c r="H302" s="11">
        <v>1754701524907</v>
      </c>
      <c r="I302" s="11">
        <v>112473526865</v>
      </c>
      <c r="J302" s="11">
        <v>1642227998042</v>
      </c>
      <c r="K302" s="11">
        <v>1474717303657</v>
      </c>
      <c r="L302" s="11">
        <v>279984221250</v>
      </c>
      <c r="M302" s="12">
        <v>18.989999999999998</v>
      </c>
      <c r="N302" s="11">
        <v>3255777477439</v>
      </c>
      <c r="O302" s="12">
        <v>207.15</v>
      </c>
      <c r="P302" s="12">
        <v>198.25</v>
      </c>
      <c r="Q302" s="12">
        <v>3.17</v>
      </c>
      <c r="R302" s="11">
        <v>3558285406058</v>
      </c>
      <c r="S302" s="11">
        <v>76576606085</v>
      </c>
      <c r="T302" s="11">
        <v>1225467389</v>
      </c>
      <c r="U302" s="11">
        <v>361024826</v>
      </c>
      <c r="V302" s="11">
        <v>74990113870</v>
      </c>
      <c r="W302" s="11">
        <v>3634862012143</v>
      </c>
      <c r="X302" s="11">
        <v>150807415555</v>
      </c>
      <c r="Y302" s="11">
        <v>1000000000</v>
      </c>
      <c r="Z302" s="11">
        <v>3786669427698</v>
      </c>
      <c r="AA302" s="11">
        <v>1682151274947</v>
      </c>
      <c r="AB302" s="12">
        <v>116.08</v>
      </c>
      <c r="AC302" s="11">
        <v>2418488343056</v>
      </c>
      <c r="AD302" s="11">
        <v>2334288343056</v>
      </c>
      <c r="AE302" s="11">
        <v>49771466166</v>
      </c>
      <c r="AF302" s="11">
        <v>8039300000</v>
      </c>
      <c r="AG302" s="11">
        <v>0</v>
      </c>
      <c r="AH302" s="11">
        <v>0</v>
      </c>
      <c r="AI302" s="11">
        <v>0</v>
      </c>
      <c r="AJ302" s="12">
        <v>4</v>
      </c>
      <c r="AK302" s="11">
        <v>101966247038</v>
      </c>
      <c r="AL302" s="12">
        <v>110</v>
      </c>
      <c r="AM302" s="11">
        <v>908529307046</v>
      </c>
      <c r="AN302" s="12">
        <v>46</v>
      </c>
      <c r="AO302" s="11">
        <v>375522314304</v>
      </c>
      <c r="AP302" s="11">
        <v>76576606085</v>
      </c>
      <c r="AQ302" s="11">
        <v>90077869428</v>
      </c>
      <c r="AR302" s="11">
        <v>-13501263343</v>
      </c>
      <c r="AS302" s="12">
        <v>-14.99</v>
      </c>
      <c r="AT302" s="11">
        <v>861106923230</v>
      </c>
      <c r="AU302" s="11">
        <v>74949790550</v>
      </c>
      <c r="AV302" s="11">
        <v>304942066996</v>
      </c>
      <c r="AW302" s="11">
        <v>666538987613</v>
      </c>
      <c r="AX302" s="11">
        <v>270892414155</v>
      </c>
      <c r="AY302" s="11">
        <v>439126100000</v>
      </c>
      <c r="AZ302" s="11">
        <v>208983112905</v>
      </c>
      <c r="BA302" s="11">
        <v>1754701524907</v>
      </c>
      <c r="BB302" s="13">
        <v>41821</v>
      </c>
      <c r="BC302" s="11">
        <v>1044683010752</v>
      </c>
      <c r="BD302" s="11">
        <v>270892414155</v>
      </c>
      <c r="BE302" s="11">
        <v>439126100000</v>
      </c>
      <c r="BF302" s="11">
        <v>2295509440752</v>
      </c>
      <c r="BG302" s="11">
        <v>122978902304</v>
      </c>
      <c r="BH302" s="11">
        <v>31149046260</v>
      </c>
      <c r="BI302" s="11">
        <v>0</v>
      </c>
      <c r="BJ302" s="11">
        <v>18482441584</v>
      </c>
      <c r="BK302" s="11">
        <v>3984341469</v>
      </c>
      <c r="BL302" s="11">
        <v>0</v>
      </c>
      <c r="BM302" s="11">
        <v>3117316325</v>
      </c>
    </row>
    <row r="303" spans="1:65" x14ac:dyDescent="0.25">
      <c r="A303" s="32"/>
      <c r="B303" s="10">
        <v>2412</v>
      </c>
      <c r="C303" s="10" t="s">
        <v>356</v>
      </c>
      <c r="D303" s="11">
        <v>656132526483</v>
      </c>
      <c r="E303" s="11">
        <v>17097320348</v>
      </c>
      <c r="F303" s="11">
        <v>0</v>
      </c>
      <c r="G303" s="11">
        <v>0</v>
      </c>
      <c r="H303" s="11">
        <v>673229846831</v>
      </c>
      <c r="I303" s="11">
        <v>57154485147</v>
      </c>
      <c r="J303" s="11">
        <v>616075361684</v>
      </c>
      <c r="K303" s="11">
        <v>763311553039</v>
      </c>
      <c r="L303" s="11">
        <v>-90081706208</v>
      </c>
      <c r="M303" s="12">
        <v>-11.8</v>
      </c>
      <c r="N303" s="11">
        <v>550858590068</v>
      </c>
      <c r="O303" s="12">
        <v>90.18</v>
      </c>
      <c r="P303" s="12">
        <v>89.41</v>
      </c>
      <c r="Q303" s="12">
        <v>2.5</v>
      </c>
      <c r="R303" s="11">
        <v>593072756014</v>
      </c>
      <c r="S303" s="11">
        <v>14067892441</v>
      </c>
      <c r="T303" s="11">
        <v>9581511948</v>
      </c>
      <c r="U303" s="11">
        <v>3667704083</v>
      </c>
      <c r="V303" s="11">
        <v>818676410</v>
      </c>
      <c r="W303" s="11">
        <v>607140648455</v>
      </c>
      <c r="X303" s="11">
        <v>56465933104</v>
      </c>
      <c r="Y303" s="11">
        <v>13356938289</v>
      </c>
      <c r="Z303" s="11">
        <v>676963519848</v>
      </c>
      <c r="AA303" s="11">
        <v>521901329378</v>
      </c>
      <c r="AB303" s="12">
        <v>16.329999999999998</v>
      </c>
      <c r="AC303" s="11">
        <v>221148054029</v>
      </c>
      <c r="AD303" s="11">
        <v>221148054029</v>
      </c>
      <c r="AE303" s="11">
        <v>0</v>
      </c>
      <c r="AF303" s="11">
        <v>0</v>
      </c>
      <c r="AG303" s="11">
        <v>0</v>
      </c>
      <c r="AH303" s="11">
        <v>0</v>
      </c>
      <c r="AI303" s="11">
        <v>0</v>
      </c>
      <c r="AJ303" s="12">
        <v>0</v>
      </c>
      <c r="AK303" s="11">
        <v>0</v>
      </c>
      <c r="AL303" s="12">
        <v>28</v>
      </c>
      <c r="AM303" s="11">
        <v>338715905932</v>
      </c>
      <c r="AN303" s="12">
        <v>11</v>
      </c>
      <c r="AO303" s="11">
        <v>55389643005</v>
      </c>
      <c r="AP303" s="11">
        <v>14067892441</v>
      </c>
      <c r="AQ303" s="11">
        <v>15447658794</v>
      </c>
      <c r="AR303" s="11">
        <v>-1379766353</v>
      </c>
      <c r="AS303" s="12">
        <v>-8.93</v>
      </c>
      <c r="AT303" s="11">
        <v>206559589470</v>
      </c>
      <c r="AU303" s="11">
        <v>59890407166</v>
      </c>
      <c r="AV303" s="11">
        <v>58423055759</v>
      </c>
      <c r="AW303" s="11">
        <v>248906983582</v>
      </c>
      <c r="AX303" s="11">
        <v>104522987142</v>
      </c>
      <c r="AY303" s="11">
        <v>244279500000</v>
      </c>
      <c r="AZ303" s="11">
        <v>51816480244</v>
      </c>
      <c r="BA303" s="11">
        <v>673229846831</v>
      </c>
      <c r="BB303" s="13">
        <v>95175</v>
      </c>
      <c r="BC303" s="11">
        <v>324427359689</v>
      </c>
      <c r="BD303" s="11">
        <v>104522987142</v>
      </c>
      <c r="BE303" s="11">
        <v>244279500000</v>
      </c>
      <c r="BF303" s="11">
        <v>181645677976</v>
      </c>
      <c r="BG303" s="11">
        <v>39502376053</v>
      </c>
      <c r="BH303" s="11">
        <v>0</v>
      </c>
      <c r="BI303" s="11">
        <v>0</v>
      </c>
      <c r="BJ303" s="11">
        <v>0</v>
      </c>
      <c r="BK303" s="11">
        <v>0</v>
      </c>
      <c r="BL303" s="11">
        <v>0</v>
      </c>
      <c r="BM303" s="11">
        <v>0</v>
      </c>
    </row>
    <row r="304" spans="1:65" x14ac:dyDescent="0.25">
      <c r="A304" s="32"/>
      <c r="B304" s="10">
        <v>2413</v>
      </c>
      <c r="C304" s="10" t="s">
        <v>357</v>
      </c>
      <c r="D304" s="11">
        <v>1708905860364</v>
      </c>
      <c r="E304" s="11">
        <v>218493884940</v>
      </c>
      <c r="F304" s="11">
        <v>0</v>
      </c>
      <c r="G304" s="11">
        <v>0</v>
      </c>
      <c r="H304" s="11">
        <v>1927399745304</v>
      </c>
      <c r="I304" s="11">
        <v>159174982340</v>
      </c>
      <c r="J304" s="11">
        <v>1768224762964</v>
      </c>
      <c r="K304" s="11">
        <v>1551044626394</v>
      </c>
      <c r="L304" s="11">
        <v>376355118910</v>
      </c>
      <c r="M304" s="12">
        <v>24.26</v>
      </c>
      <c r="N304" s="11">
        <v>2350283546116</v>
      </c>
      <c r="O304" s="12">
        <v>131.43</v>
      </c>
      <c r="P304" s="12">
        <v>132.91999999999999</v>
      </c>
      <c r="Q304" s="12">
        <v>5.25</v>
      </c>
      <c r="R304" s="11">
        <v>2393991963771</v>
      </c>
      <c r="S304" s="11">
        <v>139253399004</v>
      </c>
      <c r="T304" s="11">
        <v>63993883793</v>
      </c>
      <c r="U304" s="11">
        <v>74895700816</v>
      </c>
      <c r="V304" s="11">
        <v>363814395</v>
      </c>
      <c r="W304" s="11">
        <v>2533245362775</v>
      </c>
      <c r="X304" s="11">
        <v>145164031651</v>
      </c>
      <c r="Y304" s="11">
        <v>6000000000</v>
      </c>
      <c r="Z304" s="11">
        <v>2684409394426</v>
      </c>
      <c r="AA304" s="11">
        <v>2506627189357</v>
      </c>
      <c r="AB304" s="12">
        <v>1.06</v>
      </c>
      <c r="AC304" s="11">
        <v>843925185178</v>
      </c>
      <c r="AD304" s="11">
        <v>837186459748</v>
      </c>
      <c r="AE304" s="11">
        <v>0</v>
      </c>
      <c r="AF304" s="11">
        <v>0</v>
      </c>
      <c r="AG304" s="11">
        <v>42551183475</v>
      </c>
      <c r="AH304" s="11">
        <v>0</v>
      </c>
      <c r="AI304" s="11">
        <v>0</v>
      </c>
      <c r="AJ304" s="12">
        <v>0</v>
      </c>
      <c r="AK304" s="11">
        <v>0</v>
      </c>
      <c r="AL304" s="12">
        <v>100</v>
      </c>
      <c r="AM304" s="11">
        <v>2049607222454</v>
      </c>
      <c r="AN304" s="12">
        <v>61</v>
      </c>
      <c r="AO304" s="11">
        <v>1001622079545</v>
      </c>
      <c r="AP304" s="11">
        <v>139253399004</v>
      </c>
      <c r="AQ304" s="11">
        <v>35432476039</v>
      </c>
      <c r="AR304" s="11">
        <v>103820922965</v>
      </c>
      <c r="AS304" s="12">
        <v>293.01</v>
      </c>
      <c r="AT304" s="11">
        <v>992289649855</v>
      </c>
      <c r="AU304" s="11">
        <v>388332026732</v>
      </c>
      <c r="AV304" s="11">
        <v>208703098154</v>
      </c>
      <c r="AW304" s="11">
        <v>314358628056</v>
      </c>
      <c r="AX304" s="11">
        <v>637530134154</v>
      </c>
      <c r="AY304" s="11">
        <v>548314000000</v>
      </c>
      <c r="AZ304" s="11">
        <v>383831522717</v>
      </c>
      <c r="BA304" s="11">
        <v>1927399745304</v>
      </c>
      <c r="BB304" s="13">
        <v>121922</v>
      </c>
      <c r="BC304" s="11">
        <v>670459468637</v>
      </c>
      <c r="BD304" s="11">
        <v>637530134154</v>
      </c>
      <c r="BE304" s="11">
        <v>619410142513</v>
      </c>
      <c r="BF304" s="11">
        <v>567245782772</v>
      </c>
      <c r="BG304" s="11">
        <v>276679402406</v>
      </c>
      <c r="BH304" s="11">
        <v>0</v>
      </c>
      <c r="BI304" s="11">
        <v>0</v>
      </c>
      <c r="BJ304" s="11">
        <v>0</v>
      </c>
      <c r="BK304" s="11">
        <v>0</v>
      </c>
      <c r="BL304" s="11">
        <v>0</v>
      </c>
      <c r="BM304" s="11">
        <v>0</v>
      </c>
    </row>
    <row r="305" spans="1:65" x14ac:dyDescent="0.25">
      <c r="A305" s="32"/>
      <c r="B305" s="10">
        <v>2414</v>
      </c>
      <c r="C305" s="10" t="s">
        <v>358</v>
      </c>
      <c r="D305" s="11">
        <v>1203023434555</v>
      </c>
      <c r="E305" s="11">
        <v>35291801190</v>
      </c>
      <c r="F305" s="11">
        <v>0</v>
      </c>
      <c r="G305" s="11">
        <v>0</v>
      </c>
      <c r="H305" s="11">
        <v>1238315235745</v>
      </c>
      <c r="I305" s="11">
        <v>90481990641</v>
      </c>
      <c r="J305" s="11">
        <v>1147833245104</v>
      </c>
      <c r="K305" s="11">
        <v>1278612411095</v>
      </c>
      <c r="L305" s="11">
        <v>-40297175350</v>
      </c>
      <c r="M305" s="12">
        <v>-3.15</v>
      </c>
      <c r="N305" s="11">
        <v>1500631981817</v>
      </c>
      <c r="O305" s="12">
        <v>130.93</v>
      </c>
      <c r="P305" s="12">
        <v>130.74</v>
      </c>
      <c r="Q305" s="12">
        <v>2.06</v>
      </c>
      <c r="R305" s="11">
        <v>1591163272796</v>
      </c>
      <c r="S305" s="11">
        <v>30148366974</v>
      </c>
      <c r="T305" s="11">
        <v>18102833159</v>
      </c>
      <c r="U305" s="11">
        <v>9999001905</v>
      </c>
      <c r="V305" s="11">
        <v>2046531910</v>
      </c>
      <c r="W305" s="11">
        <v>1621311639770</v>
      </c>
      <c r="X305" s="11">
        <v>65685473823</v>
      </c>
      <c r="Y305" s="11">
        <v>6930000000</v>
      </c>
      <c r="Z305" s="11">
        <v>1693927113593</v>
      </c>
      <c r="AA305" s="11">
        <v>1107735451768</v>
      </c>
      <c r="AB305" s="12">
        <v>46.36</v>
      </c>
      <c r="AC305" s="11">
        <v>731288916408</v>
      </c>
      <c r="AD305" s="11">
        <v>731288916408</v>
      </c>
      <c r="AE305" s="11">
        <v>0</v>
      </c>
      <c r="AF305" s="11">
        <v>0</v>
      </c>
      <c r="AG305" s="11">
        <v>0</v>
      </c>
      <c r="AH305" s="11">
        <v>0</v>
      </c>
      <c r="AI305" s="11">
        <v>0</v>
      </c>
      <c r="AJ305" s="12">
        <v>0</v>
      </c>
      <c r="AK305" s="11">
        <v>0</v>
      </c>
      <c r="AL305" s="12">
        <v>31</v>
      </c>
      <c r="AM305" s="11">
        <v>295560750000</v>
      </c>
      <c r="AN305" s="12">
        <v>15</v>
      </c>
      <c r="AO305" s="11">
        <v>66316259121</v>
      </c>
      <c r="AP305" s="11">
        <v>30148366974</v>
      </c>
      <c r="AQ305" s="11">
        <v>20138076879</v>
      </c>
      <c r="AR305" s="11">
        <v>10010290095</v>
      </c>
      <c r="AS305" s="12">
        <v>49.71</v>
      </c>
      <c r="AT305" s="11">
        <v>365404136876</v>
      </c>
      <c r="AU305" s="11">
        <v>78259103247</v>
      </c>
      <c r="AV305" s="11">
        <v>236384810973</v>
      </c>
      <c r="AW305" s="11">
        <v>203550100715</v>
      </c>
      <c r="AX305" s="11">
        <v>406789122867</v>
      </c>
      <c r="AY305" s="11">
        <v>356299400000</v>
      </c>
      <c r="AZ305" s="11">
        <v>314844761860</v>
      </c>
      <c r="BA305" s="11">
        <v>1238315235745</v>
      </c>
      <c r="BB305" s="13">
        <v>167779</v>
      </c>
      <c r="BC305" s="11">
        <v>475226712878</v>
      </c>
      <c r="BD305" s="11">
        <v>406761122867</v>
      </c>
      <c r="BE305" s="11">
        <v>356327400000</v>
      </c>
      <c r="BF305" s="11">
        <v>585288916408</v>
      </c>
      <c r="BG305" s="11">
        <v>146000000000</v>
      </c>
      <c r="BH305" s="11">
        <v>0</v>
      </c>
      <c r="BI305" s="11">
        <v>0</v>
      </c>
      <c r="BJ305" s="11">
        <v>0</v>
      </c>
      <c r="BK305" s="11">
        <v>0</v>
      </c>
      <c r="BL305" s="11">
        <v>0</v>
      </c>
      <c r="BM305" s="11">
        <v>0</v>
      </c>
    </row>
    <row r="306" spans="1:65" x14ac:dyDescent="0.25">
      <c r="A306" s="32"/>
      <c r="B306" s="10">
        <v>2415</v>
      </c>
      <c r="C306" s="10" t="s">
        <v>359</v>
      </c>
      <c r="D306" s="11">
        <v>989621923662</v>
      </c>
      <c r="E306" s="11">
        <v>1386463239</v>
      </c>
      <c r="F306" s="11">
        <v>0</v>
      </c>
      <c r="G306" s="11">
        <v>0</v>
      </c>
      <c r="H306" s="11">
        <v>991008386901</v>
      </c>
      <c r="I306" s="11">
        <v>76483116518</v>
      </c>
      <c r="J306" s="11">
        <v>914525270383</v>
      </c>
      <c r="K306" s="11">
        <v>932769997551</v>
      </c>
      <c r="L306" s="11">
        <v>58238389350</v>
      </c>
      <c r="M306" s="12">
        <v>6.24</v>
      </c>
      <c r="N306" s="11">
        <v>739362548988</v>
      </c>
      <c r="O306" s="12">
        <v>80.349999999999994</v>
      </c>
      <c r="P306" s="12">
        <v>80.849999999999994</v>
      </c>
      <c r="Q306" s="12">
        <v>1.1499999999999999</v>
      </c>
      <c r="R306" s="11">
        <v>786133926001</v>
      </c>
      <c r="S306" s="11">
        <v>10103249811</v>
      </c>
      <c r="T306" s="11">
        <v>7130034466</v>
      </c>
      <c r="U306" s="11">
        <v>2973215345</v>
      </c>
      <c r="V306" s="11">
        <v>0</v>
      </c>
      <c r="W306" s="11">
        <v>796237175812</v>
      </c>
      <c r="X306" s="11">
        <v>73956582397</v>
      </c>
      <c r="Y306" s="11">
        <v>14491000000</v>
      </c>
      <c r="Z306" s="11">
        <v>884684758209</v>
      </c>
      <c r="AA306" s="11">
        <v>747787426051</v>
      </c>
      <c r="AB306" s="12">
        <v>6.48</v>
      </c>
      <c r="AC306" s="11">
        <v>337026678883</v>
      </c>
      <c r="AD306" s="11">
        <v>337026678883</v>
      </c>
      <c r="AE306" s="11">
        <v>0</v>
      </c>
      <c r="AF306" s="11">
        <v>0</v>
      </c>
      <c r="AG306" s="11">
        <v>0</v>
      </c>
      <c r="AH306" s="11">
        <v>0</v>
      </c>
      <c r="AI306" s="11">
        <v>0</v>
      </c>
      <c r="AJ306" s="12">
        <v>0</v>
      </c>
      <c r="AK306" s="11">
        <v>0</v>
      </c>
      <c r="AL306" s="12">
        <v>8</v>
      </c>
      <c r="AM306" s="11">
        <v>56633200000</v>
      </c>
      <c r="AN306" s="12">
        <v>1</v>
      </c>
      <c r="AO306" s="11">
        <v>36600000</v>
      </c>
      <c r="AP306" s="11">
        <v>10103249811</v>
      </c>
      <c r="AQ306" s="11">
        <v>9575493262</v>
      </c>
      <c r="AR306" s="11">
        <v>527756549</v>
      </c>
      <c r="AS306" s="12">
        <v>5.51</v>
      </c>
      <c r="AT306" s="11">
        <v>387632940835</v>
      </c>
      <c r="AU306" s="11">
        <v>92373926597</v>
      </c>
      <c r="AV306" s="11">
        <v>178894575947</v>
      </c>
      <c r="AW306" s="11">
        <v>132468128844</v>
      </c>
      <c r="AX306" s="11">
        <v>196553318871</v>
      </c>
      <c r="AY306" s="11">
        <v>481705900000</v>
      </c>
      <c r="AZ306" s="11">
        <v>162232720826</v>
      </c>
      <c r="BA306" s="11">
        <v>991008386901</v>
      </c>
      <c r="BB306" s="13">
        <v>352917</v>
      </c>
      <c r="BC306" s="11">
        <v>312749168030</v>
      </c>
      <c r="BD306" s="11">
        <v>196553318871</v>
      </c>
      <c r="BE306" s="11">
        <v>481705900000</v>
      </c>
      <c r="BF306" s="11">
        <v>267184535833</v>
      </c>
      <c r="BG306" s="11">
        <v>69842143050</v>
      </c>
      <c r="BH306" s="11">
        <v>0</v>
      </c>
      <c r="BI306" s="11">
        <v>0</v>
      </c>
      <c r="BJ306" s="11">
        <v>0</v>
      </c>
      <c r="BK306" s="11">
        <v>0</v>
      </c>
      <c r="BL306" s="11">
        <v>0</v>
      </c>
      <c r="BM306" s="11">
        <v>0</v>
      </c>
    </row>
    <row r="307" spans="1:65" x14ac:dyDescent="0.25">
      <c r="A307" s="32"/>
      <c r="B307" s="10">
        <v>2416</v>
      </c>
      <c r="C307" s="10" t="s">
        <v>360</v>
      </c>
      <c r="D307" s="11">
        <v>967765690593</v>
      </c>
      <c r="E307" s="11">
        <v>99934708418</v>
      </c>
      <c r="F307" s="11">
        <v>0</v>
      </c>
      <c r="G307" s="11">
        <v>0</v>
      </c>
      <c r="H307" s="11">
        <v>1067700399011</v>
      </c>
      <c r="I307" s="11">
        <v>83874301265</v>
      </c>
      <c r="J307" s="11">
        <v>983826097746</v>
      </c>
      <c r="K307" s="11">
        <v>1071444541488</v>
      </c>
      <c r="L307" s="11">
        <v>-3744142477</v>
      </c>
      <c r="M307" s="12">
        <v>-0.35</v>
      </c>
      <c r="N307" s="11">
        <v>1379850240136</v>
      </c>
      <c r="O307" s="12">
        <v>146.78</v>
      </c>
      <c r="P307" s="12">
        <v>140.25</v>
      </c>
      <c r="Q307" s="12">
        <v>3.83</v>
      </c>
      <c r="R307" s="11">
        <v>1507077874135</v>
      </c>
      <c r="S307" s="11">
        <v>60143384834</v>
      </c>
      <c r="T307" s="11">
        <v>45067165830</v>
      </c>
      <c r="U307" s="11">
        <v>9198459533</v>
      </c>
      <c r="V307" s="11">
        <v>5877759471</v>
      </c>
      <c r="W307" s="11">
        <v>1567221258969</v>
      </c>
      <c r="X307" s="11">
        <v>71020614482</v>
      </c>
      <c r="Y307" s="11">
        <v>9930000000</v>
      </c>
      <c r="Z307" s="11">
        <v>1648171873451</v>
      </c>
      <c r="AA307" s="11">
        <v>1806549433841</v>
      </c>
      <c r="AB307" s="12">
        <v>-13.25</v>
      </c>
      <c r="AC307" s="11">
        <v>570481790917</v>
      </c>
      <c r="AD307" s="11">
        <v>570481790917</v>
      </c>
      <c r="AE307" s="11">
        <v>24223839150</v>
      </c>
      <c r="AF307" s="11">
        <v>0</v>
      </c>
      <c r="AG307" s="11">
        <v>0</v>
      </c>
      <c r="AH307" s="11">
        <v>0</v>
      </c>
      <c r="AI307" s="11">
        <v>0</v>
      </c>
      <c r="AJ307" s="12">
        <v>2</v>
      </c>
      <c r="AK307" s="11">
        <v>19956621630</v>
      </c>
      <c r="AL307" s="12">
        <v>165</v>
      </c>
      <c r="AM307" s="11">
        <v>851778052986</v>
      </c>
      <c r="AN307" s="12">
        <v>83</v>
      </c>
      <c r="AO307" s="11">
        <v>219879797646</v>
      </c>
      <c r="AP307" s="11">
        <v>60143384834</v>
      </c>
      <c r="AQ307" s="11">
        <v>72171816268</v>
      </c>
      <c r="AR307" s="11">
        <v>-12028431434</v>
      </c>
      <c r="AS307" s="12">
        <v>-16.670000000000002</v>
      </c>
      <c r="AT307" s="11">
        <v>1004630049857</v>
      </c>
      <c r="AU307" s="11">
        <v>354035652837</v>
      </c>
      <c r="AV307" s="11">
        <v>179076771906</v>
      </c>
      <c r="AW307" s="11">
        <v>101696102489</v>
      </c>
      <c r="AX307" s="11">
        <v>244504316198</v>
      </c>
      <c r="AY307" s="11">
        <v>442488500000</v>
      </c>
      <c r="AZ307" s="11">
        <v>151543369274</v>
      </c>
      <c r="BA307" s="11">
        <v>1067700399011</v>
      </c>
      <c r="BB307" s="13">
        <v>135945</v>
      </c>
      <c r="BC307" s="11">
        <v>380680677132</v>
      </c>
      <c r="BD307" s="11">
        <v>244504316198</v>
      </c>
      <c r="BE307" s="11">
        <v>442515405681</v>
      </c>
      <c r="BF307" s="11">
        <v>430573681334</v>
      </c>
      <c r="BG307" s="11">
        <v>139908109583</v>
      </c>
      <c r="BH307" s="11">
        <v>0</v>
      </c>
      <c r="BI307" s="11">
        <v>0</v>
      </c>
      <c r="BJ307" s="11">
        <v>117067762040</v>
      </c>
      <c r="BK307" s="11">
        <v>0</v>
      </c>
      <c r="BL307" s="11">
        <v>0</v>
      </c>
      <c r="BM307" s="11">
        <v>1206636361</v>
      </c>
    </row>
    <row r="308" spans="1:65" x14ac:dyDescent="0.25">
      <c r="A308" s="32"/>
      <c r="B308" s="10">
        <v>2417</v>
      </c>
      <c r="C308" s="10" t="s">
        <v>361</v>
      </c>
      <c r="D308" s="11">
        <v>1452715758456</v>
      </c>
      <c r="E308" s="11">
        <v>94302463213</v>
      </c>
      <c r="F308" s="11">
        <v>0</v>
      </c>
      <c r="G308" s="11">
        <v>0</v>
      </c>
      <c r="H308" s="11">
        <v>1547018221669</v>
      </c>
      <c r="I308" s="11">
        <v>131096294600</v>
      </c>
      <c r="J308" s="11">
        <v>1415921927069</v>
      </c>
      <c r="K308" s="11">
        <v>1394321811234</v>
      </c>
      <c r="L308" s="11">
        <v>152696410435</v>
      </c>
      <c r="M308" s="12">
        <v>10.95</v>
      </c>
      <c r="N308" s="11">
        <v>2270423530085</v>
      </c>
      <c r="O308" s="12">
        <v>186.72</v>
      </c>
      <c r="P308" s="12">
        <v>160.35</v>
      </c>
      <c r="Q308" s="12">
        <v>0.18</v>
      </c>
      <c r="R308" s="11">
        <v>2883562036312</v>
      </c>
      <c r="S308" s="11">
        <v>5049746734</v>
      </c>
      <c r="T308" s="11">
        <v>3824284094</v>
      </c>
      <c r="U308" s="11">
        <v>931030677</v>
      </c>
      <c r="V308" s="11">
        <v>294431963</v>
      </c>
      <c r="W308" s="11">
        <v>2888611783046</v>
      </c>
      <c r="X308" s="11">
        <v>81491483126</v>
      </c>
      <c r="Y308" s="11">
        <v>7540000000</v>
      </c>
      <c r="Z308" s="11">
        <v>2977643266172</v>
      </c>
      <c r="AA308" s="11">
        <v>2727218382116</v>
      </c>
      <c r="AB308" s="12">
        <v>5.92</v>
      </c>
      <c r="AC308" s="11">
        <v>1052000570096</v>
      </c>
      <c r="AD308" s="11">
        <v>1021705142433</v>
      </c>
      <c r="AE308" s="11">
        <v>336505416280</v>
      </c>
      <c r="AF308" s="11">
        <v>0</v>
      </c>
      <c r="AG308" s="11">
        <v>0</v>
      </c>
      <c r="AH308" s="11">
        <v>0</v>
      </c>
      <c r="AI308" s="11">
        <v>0</v>
      </c>
      <c r="AJ308" s="12">
        <v>5</v>
      </c>
      <c r="AK308" s="11">
        <v>736561362800</v>
      </c>
      <c r="AL308" s="12">
        <v>79</v>
      </c>
      <c r="AM308" s="11">
        <v>958852089692</v>
      </c>
      <c r="AN308" s="12">
        <v>53</v>
      </c>
      <c r="AO308" s="11">
        <v>683062729551</v>
      </c>
      <c r="AP308" s="11">
        <v>5049746734</v>
      </c>
      <c r="AQ308" s="11">
        <v>10906332115</v>
      </c>
      <c r="AR308" s="11">
        <v>-5856585381</v>
      </c>
      <c r="AS308" s="12">
        <v>-53.7</v>
      </c>
      <c r="AT308" s="11">
        <v>1009302543137</v>
      </c>
      <c r="AU308" s="11">
        <v>352211419698</v>
      </c>
      <c r="AV308" s="11">
        <v>203341532616</v>
      </c>
      <c r="AW308" s="11">
        <v>394272037813</v>
      </c>
      <c r="AX308" s="11">
        <v>237196688027</v>
      </c>
      <c r="AY308" s="11">
        <v>617905500000</v>
      </c>
      <c r="AZ308" s="11">
        <v>101592442662</v>
      </c>
      <c r="BA308" s="11">
        <v>1547018221669</v>
      </c>
      <c r="BB308" s="13">
        <v>305927</v>
      </c>
      <c r="BC308" s="11">
        <v>691916033642</v>
      </c>
      <c r="BD308" s="11">
        <v>237196688027</v>
      </c>
      <c r="BE308" s="11">
        <v>617905500000</v>
      </c>
      <c r="BF308" s="11">
        <v>812165727504</v>
      </c>
      <c r="BG308" s="11">
        <v>239834842592</v>
      </c>
      <c r="BH308" s="11">
        <v>209999986680</v>
      </c>
      <c r="BI308" s="11">
        <v>0</v>
      </c>
      <c r="BJ308" s="11">
        <v>249838274009</v>
      </c>
      <c r="BK308" s="11">
        <v>0</v>
      </c>
      <c r="BL308" s="11">
        <v>0</v>
      </c>
      <c r="BM308" s="11">
        <v>0</v>
      </c>
    </row>
    <row r="309" spans="1:65" x14ac:dyDescent="0.25">
      <c r="A309" s="32"/>
      <c r="B309" s="10">
        <v>2418</v>
      </c>
      <c r="C309" s="10" t="s">
        <v>362</v>
      </c>
      <c r="D309" s="11">
        <v>2363375347345</v>
      </c>
      <c r="E309" s="11">
        <v>201970899184</v>
      </c>
      <c r="F309" s="11">
        <v>0</v>
      </c>
      <c r="G309" s="11">
        <v>401877000</v>
      </c>
      <c r="H309" s="11">
        <v>2565748123529</v>
      </c>
      <c r="I309" s="11">
        <v>218218789801</v>
      </c>
      <c r="J309" s="11">
        <v>2347529333728</v>
      </c>
      <c r="K309" s="11">
        <v>2705672671020</v>
      </c>
      <c r="L309" s="11">
        <v>-139924547491</v>
      </c>
      <c r="M309" s="12">
        <v>-5.17</v>
      </c>
      <c r="N309" s="11">
        <v>3163763892156</v>
      </c>
      <c r="O309" s="12">
        <v>137.72</v>
      </c>
      <c r="P309" s="12">
        <v>134.77000000000001</v>
      </c>
      <c r="Q309" s="12">
        <v>2.0299999999999998</v>
      </c>
      <c r="R309" s="11">
        <v>3458219113510</v>
      </c>
      <c r="S309" s="11">
        <v>75246039800</v>
      </c>
      <c r="T309" s="11">
        <v>72451204825</v>
      </c>
      <c r="U309" s="11">
        <v>2202733810</v>
      </c>
      <c r="V309" s="11">
        <v>592101165</v>
      </c>
      <c r="W309" s="11">
        <v>3533465153310</v>
      </c>
      <c r="X309" s="11">
        <v>156879241577</v>
      </c>
      <c r="Y309" s="11">
        <v>29079083319</v>
      </c>
      <c r="Z309" s="11">
        <v>3719423478206</v>
      </c>
      <c r="AA309" s="11">
        <v>2314159207620</v>
      </c>
      <c r="AB309" s="12">
        <v>52.69</v>
      </c>
      <c r="AC309" s="11">
        <v>2443964898288</v>
      </c>
      <c r="AD309" s="11">
        <v>2125635898288</v>
      </c>
      <c r="AE309" s="11">
        <v>142086650224</v>
      </c>
      <c r="AF309" s="11">
        <v>325520718</v>
      </c>
      <c r="AG309" s="11">
        <v>0</v>
      </c>
      <c r="AH309" s="11">
        <v>0</v>
      </c>
      <c r="AI309" s="11">
        <v>0</v>
      </c>
      <c r="AJ309" s="12">
        <v>12</v>
      </c>
      <c r="AK309" s="11">
        <v>961940750911</v>
      </c>
      <c r="AL309" s="12">
        <v>74</v>
      </c>
      <c r="AM309" s="11">
        <v>3236658963324</v>
      </c>
      <c r="AN309" s="12">
        <v>71</v>
      </c>
      <c r="AO309" s="11">
        <v>451716797152</v>
      </c>
      <c r="AP309" s="11">
        <v>75246039800</v>
      </c>
      <c r="AQ309" s="11">
        <v>26633307420</v>
      </c>
      <c r="AR309" s="11">
        <v>48612732380</v>
      </c>
      <c r="AS309" s="12">
        <v>182.53</v>
      </c>
      <c r="AT309" s="11">
        <v>1535707964907</v>
      </c>
      <c r="AU309" s="11">
        <v>392535116317</v>
      </c>
      <c r="AV309" s="11">
        <v>491005700558</v>
      </c>
      <c r="AW309" s="11">
        <v>184586851803</v>
      </c>
      <c r="AX309" s="11">
        <v>515244394984</v>
      </c>
      <c r="AY309" s="11">
        <v>1172538400000</v>
      </c>
      <c r="AZ309" s="11">
        <v>341996449492</v>
      </c>
      <c r="BA309" s="11">
        <v>2565748123529</v>
      </c>
      <c r="BB309" s="13">
        <v>620213</v>
      </c>
      <c r="BC309" s="11">
        <v>877965328545</v>
      </c>
      <c r="BD309" s="11">
        <v>515244394984</v>
      </c>
      <c r="BE309" s="11">
        <v>1172538400000</v>
      </c>
      <c r="BF309" s="11">
        <v>779658690940</v>
      </c>
      <c r="BG309" s="11">
        <v>1664306207348</v>
      </c>
      <c r="BH309" s="11">
        <v>0</v>
      </c>
      <c r="BI309" s="11">
        <v>0</v>
      </c>
      <c r="BJ309" s="11">
        <v>142192134048</v>
      </c>
      <c r="BK309" s="11">
        <v>0</v>
      </c>
      <c r="BL309" s="11">
        <v>0</v>
      </c>
      <c r="BM309" s="11">
        <v>332224056</v>
      </c>
    </row>
    <row r="310" spans="1:65" x14ac:dyDescent="0.25">
      <c r="A310" s="32"/>
      <c r="B310" s="10">
        <v>2419</v>
      </c>
      <c r="C310" s="10" t="s">
        <v>363</v>
      </c>
      <c r="D310" s="11">
        <v>868234713796</v>
      </c>
      <c r="E310" s="11">
        <v>11523442139</v>
      </c>
      <c r="F310" s="11">
        <v>0</v>
      </c>
      <c r="G310" s="11">
        <v>0</v>
      </c>
      <c r="H310" s="11">
        <v>879758155935</v>
      </c>
      <c r="I310" s="11">
        <v>75221935357</v>
      </c>
      <c r="J310" s="11">
        <v>804536220578</v>
      </c>
      <c r="K310" s="11">
        <v>1022102728961</v>
      </c>
      <c r="L310" s="11">
        <v>-142344573026</v>
      </c>
      <c r="M310" s="12">
        <v>-13.93</v>
      </c>
      <c r="N310" s="11">
        <v>934680777801</v>
      </c>
      <c r="O310" s="12">
        <v>114.86</v>
      </c>
      <c r="P310" s="12">
        <v>116.18</v>
      </c>
      <c r="Q310" s="12">
        <v>3.59</v>
      </c>
      <c r="R310" s="11">
        <v>973406328305</v>
      </c>
      <c r="S310" s="11">
        <v>37069181019</v>
      </c>
      <c r="T310" s="11">
        <v>23049177044</v>
      </c>
      <c r="U310" s="11">
        <v>8287714093</v>
      </c>
      <c r="V310" s="11">
        <v>5732289882</v>
      </c>
      <c r="W310" s="11">
        <v>1010475509324</v>
      </c>
      <c r="X310" s="11">
        <v>70304295082</v>
      </c>
      <c r="Y310" s="11">
        <v>7934100000</v>
      </c>
      <c r="Z310" s="11">
        <v>1088713904406</v>
      </c>
      <c r="AA310" s="11">
        <v>888258064917</v>
      </c>
      <c r="AB310" s="12">
        <v>13.76</v>
      </c>
      <c r="AC310" s="11">
        <v>337803148671</v>
      </c>
      <c r="AD310" s="11">
        <v>337803148671</v>
      </c>
      <c r="AE310" s="11">
        <v>0</v>
      </c>
      <c r="AF310" s="11">
        <v>2339932</v>
      </c>
      <c r="AG310" s="11">
        <v>0</v>
      </c>
      <c r="AH310" s="11">
        <v>0</v>
      </c>
      <c r="AI310" s="11">
        <v>0</v>
      </c>
      <c r="AJ310" s="12">
        <v>0</v>
      </c>
      <c r="AK310" s="11">
        <v>0</v>
      </c>
      <c r="AL310" s="12">
        <v>35</v>
      </c>
      <c r="AM310" s="11">
        <v>42393610870</v>
      </c>
      <c r="AN310" s="12">
        <v>18</v>
      </c>
      <c r="AO310" s="11">
        <v>37823231641</v>
      </c>
      <c r="AP310" s="11">
        <v>37069181019</v>
      </c>
      <c r="AQ310" s="11">
        <v>35628940516</v>
      </c>
      <c r="AR310" s="11">
        <v>1440240503</v>
      </c>
      <c r="AS310" s="12">
        <v>4.04</v>
      </c>
      <c r="AT310" s="11">
        <v>317084398968</v>
      </c>
      <c r="AU310" s="11">
        <v>98699168167</v>
      </c>
      <c r="AV310" s="11">
        <v>58807464453</v>
      </c>
      <c r="AW310" s="11">
        <v>288874879010</v>
      </c>
      <c r="AX310" s="11">
        <v>129873670333</v>
      </c>
      <c r="AY310" s="11">
        <v>390678700000</v>
      </c>
      <c r="AZ310" s="11">
        <v>40683662190</v>
      </c>
      <c r="BA310" s="11">
        <v>879758155935</v>
      </c>
      <c r="BB310" s="13">
        <v>87625</v>
      </c>
      <c r="BC310" s="11">
        <v>359205785602</v>
      </c>
      <c r="BD310" s="11">
        <v>129873670333</v>
      </c>
      <c r="BE310" s="11">
        <v>390678700000</v>
      </c>
      <c r="BF310" s="11">
        <v>172969227183</v>
      </c>
      <c r="BG310" s="11">
        <v>164833921488</v>
      </c>
      <c r="BH310" s="11">
        <v>0</v>
      </c>
      <c r="BI310" s="11">
        <v>0</v>
      </c>
      <c r="BJ310" s="11">
        <v>0</v>
      </c>
      <c r="BK310" s="11">
        <v>0</v>
      </c>
      <c r="BL310" s="11">
        <v>0</v>
      </c>
      <c r="BM310" s="11">
        <v>2339932</v>
      </c>
    </row>
    <row r="311" spans="1:65" x14ac:dyDescent="0.25">
      <c r="A311" s="32"/>
      <c r="B311" s="10">
        <v>2420</v>
      </c>
      <c r="C311" s="10" t="s">
        <v>364</v>
      </c>
      <c r="D311" s="11">
        <v>1116044447002</v>
      </c>
      <c r="E311" s="11">
        <v>83200540952</v>
      </c>
      <c r="F311" s="11">
        <v>0</v>
      </c>
      <c r="G311" s="11">
        <v>0</v>
      </c>
      <c r="H311" s="11">
        <v>1199244987954</v>
      </c>
      <c r="I311" s="11">
        <v>91678601456</v>
      </c>
      <c r="J311" s="11">
        <v>1107566386498</v>
      </c>
      <c r="K311" s="11">
        <v>1684184870863</v>
      </c>
      <c r="L311" s="11">
        <v>-484939882909</v>
      </c>
      <c r="M311" s="12">
        <v>-28.79</v>
      </c>
      <c r="N311" s="11">
        <v>3400259192872</v>
      </c>
      <c r="O311" s="12">
        <v>281.41000000000003</v>
      </c>
      <c r="P311" s="12">
        <v>307</v>
      </c>
      <c r="Q311" s="12">
        <v>0.64</v>
      </c>
      <c r="R311" s="11">
        <v>3351584340381</v>
      </c>
      <c r="S311" s="11">
        <v>23156047557</v>
      </c>
      <c r="T311" s="11">
        <v>12546602556</v>
      </c>
      <c r="U311" s="11">
        <v>10200232801</v>
      </c>
      <c r="V311" s="11">
        <v>409212200</v>
      </c>
      <c r="W311" s="11">
        <v>3374740387938</v>
      </c>
      <c r="X311" s="11">
        <v>263085693014</v>
      </c>
      <c r="Y311" s="11">
        <v>4628818145</v>
      </c>
      <c r="Z311" s="11">
        <v>3642454899097</v>
      </c>
      <c r="AA311" s="11">
        <v>2018510607386</v>
      </c>
      <c r="AB311" s="12">
        <v>67.19</v>
      </c>
      <c r="AC311" s="11">
        <v>1925992703295</v>
      </c>
      <c r="AD311" s="11">
        <v>1873499585965</v>
      </c>
      <c r="AE311" s="11">
        <v>0</v>
      </c>
      <c r="AF311" s="11">
        <v>15158277647</v>
      </c>
      <c r="AG311" s="11">
        <v>0</v>
      </c>
      <c r="AH311" s="11">
        <v>0</v>
      </c>
      <c r="AI311" s="11">
        <v>0</v>
      </c>
      <c r="AJ311" s="12">
        <v>0</v>
      </c>
      <c r="AK311" s="11">
        <v>0</v>
      </c>
      <c r="AL311" s="12">
        <v>109</v>
      </c>
      <c r="AM311" s="11">
        <v>1025937822012</v>
      </c>
      <c r="AN311" s="12">
        <v>55</v>
      </c>
      <c r="AO311" s="11">
        <v>239222396475</v>
      </c>
      <c r="AP311" s="11">
        <v>23156047557</v>
      </c>
      <c r="AQ311" s="11">
        <v>9055040338</v>
      </c>
      <c r="AR311" s="11">
        <v>14101007219</v>
      </c>
      <c r="AS311" s="12">
        <v>155.72999999999999</v>
      </c>
      <c r="AT311" s="11">
        <v>710538047171</v>
      </c>
      <c r="AU311" s="11">
        <v>64865432026</v>
      </c>
      <c r="AV311" s="11">
        <v>386332877651</v>
      </c>
      <c r="AW311" s="11">
        <v>235238764220</v>
      </c>
      <c r="AX311" s="11">
        <v>303408305131</v>
      </c>
      <c r="AY311" s="11">
        <v>191064500000</v>
      </c>
      <c r="AZ311" s="11">
        <v>156191370255</v>
      </c>
      <c r="BA311" s="11">
        <v>1199244987954</v>
      </c>
      <c r="BB311" s="13">
        <v>78639</v>
      </c>
      <c r="BC311" s="11">
        <v>704772182823</v>
      </c>
      <c r="BD311" s="11">
        <v>303408305131</v>
      </c>
      <c r="BE311" s="11">
        <v>191064500000</v>
      </c>
      <c r="BF311" s="11">
        <v>1545676650672</v>
      </c>
      <c r="BG311" s="11">
        <v>380316052623</v>
      </c>
      <c r="BH311" s="11">
        <v>0</v>
      </c>
      <c r="BI311" s="11">
        <v>0</v>
      </c>
      <c r="BJ311" s="11">
        <v>0</v>
      </c>
      <c r="BK311" s="11">
        <v>0</v>
      </c>
      <c r="BL311" s="11">
        <v>0</v>
      </c>
      <c r="BM311" s="11">
        <v>15159886417</v>
      </c>
    </row>
    <row r="312" spans="1:65" x14ac:dyDescent="0.25">
      <c r="A312" s="32"/>
      <c r="B312" s="10">
        <v>2421</v>
      </c>
      <c r="C312" s="10" t="s">
        <v>365</v>
      </c>
      <c r="D312" s="11">
        <v>987661090284</v>
      </c>
      <c r="E312" s="11">
        <v>46942578233</v>
      </c>
      <c r="F312" s="11">
        <v>0</v>
      </c>
      <c r="G312" s="11">
        <v>0</v>
      </c>
      <c r="H312" s="11">
        <v>1034603668517</v>
      </c>
      <c r="I312" s="11">
        <v>87076510117</v>
      </c>
      <c r="J312" s="11">
        <v>947527158400</v>
      </c>
      <c r="K312" s="11">
        <v>1137104898323</v>
      </c>
      <c r="L312" s="11">
        <v>-102501229806</v>
      </c>
      <c r="M312" s="12">
        <v>-9.01</v>
      </c>
      <c r="N312" s="11">
        <v>957109425299</v>
      </c>
      <c r="O312" s="12">
        <v>105.18</v>
      </c>
      <c r="P312" s="12">
        <v>101.01</v>
      </c>
      <c r="Q312" s="12">
        <v>0.97</v>
      </c>
      <c r="R312" s="11">
        <v>1076845180985</v>
      </c>
      <c r="S312" s="11">
        <v>11333654461</v>
      </c>
      <c r="T312" s="11">
        <v>10310840997</v>
      </c>
      <c r="U312" s="11">
        <v>1022813464</v>
      </c>
      <c r="V312" s="11">
        <v>0</v>
      </c>
      <c r="W312" s="11">
        <v>1088178835446</v>
      </c>
      <c r="X312" s="11">
        <v>67276602074</v>
      </c>
      <c r="Y312" s="11">
        <v>9832500000</v>
      </c>
      <c r="Z312" s="11">
        <v>1165287937520</v>
      </c>
      <c r="AA312" s="11">
        <v>874919798362</v>
      </c>
      <c r="AB312" s="12">
        <v>24.37</v>
      </c>
      <c r="AC312" s="11">
        <v>429165284180</v>
      </c>
      <c r="AD312" s="11">
        <v>429165284180</v>
      </c>
      <c r="AE312" s="11">
        <v>0</v>
      </c>
      <c r="AF312" s="11">
        <v>0</v>
      </c>
      <c r="AG312" s="11">
        <v>0</v>
      </c>
      <c r="AH312" s="11">
        <v>0</v>
      </c>
      <c r="AI312" s="11">
        <v>0</v>
      </c>
      <c r="AJ312" s="12">
        <v>0</v>
      </c>
      <c r="AK312" s="11">
        <v>0</v>
      </c>
      <c r="AL312" s="12">
        <v>88</v>
      </c>
      <c r="AM312" s="11">
        <v>362095696292</v>
      </c>
      <c r="AN312" s="12">
        <v>83</v>
      </c>
      <c r="AO312" s="11">
        <v>255382672896</v>
      </c>
      <c r="AP312" s="11">
        <v>11333654461</v>
      </c>
      <c r="AQ312" s="11">
        <v>9017136862</v>
      </c>
      <c r="AR312" s="11">
        <v>2316517599</v>
      </c>
      <c r="AS312" s="12">
        <v>25.69</v>
      </c>
      <c r="AT312" s="11">
        <v>329373642896</v>
      </c>
      <c r="AU312" s="11">
        <v>42942991849</v>
      </c>
      <c r="AV312" s="11">
        <v>133687065429</v>
      </c>
      <c r="AW312" s="11">
        <v>122613453512</v>
      </c>
      <c r="AX312" s="11">
        <v>245871071343</v>
      </c>
      <c r="AY312" s="11">
        <v>485489500000</v>
      </c>
      <c r="AZ312" s="11">
        <v>220511554048</v>
      </c>
      <c r="BA312" s="11">
        <v>1034603668517</v>
      </c>
      <c r="BB312" s="13">
        <v>240262</v>
      </c>
      <c r="BC312" s="11">
        <v>303243097174</v>
      </c>
      <c r="BD312" s="11">
        <v>245871071343</v>
      </c>
      <c r="BE312" s="11">
        <v>485489500000</v>
      </c>
      <c r="BF312" s="11">
        <v>228665978024</v>
      </c>
      <c r="BG312" s="11">
        <v>200499306156</v>
      </c>
      <c r="BH312" s="11">
        <v>0</v>
      </c>
      <c r="BI312" s="11">
        <v>0</v>
      </c>
      <c r="BJ312" s="11">
        <v>0</v>
      </c>
      <c r="BK312" s="11">
        <v>0</v>
      </c>
      <c r="BL312" s="11">
        <v>0</v>
      </c>
      <c r="BM312" s="11">
        <v>0</v>
      </c>
    </row>
    <row r="313" spans="1:65" x14ac:dyDescent="0.25">
      <c r="A313" s="32"/>
      <c r="B313" s="10">
        <v>2422</v>
      </c>
      <c r="C313" s="10" t="s">
        <v>366</v>
      </c>
      <c r="D313" s="11">
        <v>505787742708</v>
      </c>
      <c r="E313" s="11">
        <v>16254057880</v>
      </c>
      <c r="F313" s="11">
        <v>0</v>
      </c>
      <c r="G313" s="11">
        <v>0</v>
      </c>
      <c r="H313" s="11">
        <v>522041800588</v>
      </c>
      <c r="I313" s="11">
        <v>44460391273</v>
      </c>
      <c r="J313" s="11">
        <v>477581409315</v>
      </c>
      <c r="K313" s="11">
        <v>381271116468</v>
      </c>
      <c r="L313" s="11">
        <v>140770684120</v>
      </c>
      <c r="M313" s="12">
        <v>36.92</v>
      </c>
      <c r="N313" s="11">
        <v>285758830396</v>
      </c>
      <c r="O313" s="12">
        <v>61.35</v>
      </c>
      <c r="P313" s="12">
        <v>59.83</v>
      </c>
      <c r="Q313" s="12">
        <v>0.12</v>
      </c>
      <c r="R313" s="11">
        <v>319800565885</v>
      </c>
      <c r="S313" s="11">
        <v>454710931</v>
      </c>
      <c r="T313" s="11">
        <v>454710931</v>
      </c>
      <c r="U313" s="11">
        <v>0</v>
      </c>
      <c r="V313" s="11">
        <v>0</v>
      </c>
      <c r="W313" s="11">
        <v>320255276816</v>
      </c>
      <c r="X313" s="11">
        <v>36552745289</v>
      </c>
      <c r="Y313" s="11">
        <v>10477800000</v>
      </c>
      <c r="Z313" s="11">
        <v>367285822105</v>
      </c>
      <c r="AA313" s="11">
        <v>94484699744</v>
      </c>
      <c r="AB313" s="12">
        <v>238.95</v>
      </c>
      <c r="AC313" s="11">
        <v>269324058783</v>
      </c>
      <c r="AD313" s="11">
        <v>269324058783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2">
        <v>0</v>
      </c>
      <c r="AK313" s="11">
        <v>0</v>
      </c>
      <c r="AL313" s="12">
        <v>2</v>
      </c>
      <c r="AM313" s="11">
        <v>847050000</v>
      </c>
      <c r="AN313" s="12">
        <v>0</v>
      </c>
      <c r="AO313" s="11">
        <v>0</v>
      </c>
      <c r="AP313" s="11">
        <v>454710931</v>
      </c>
      <c r="AQ313" s="11">
        <v>0</v>
      </c>
      <c r="AR313" s="11">
        <v>454710931</v>
      </c>
      <c r="AS313" s="12"/>
      <c r="AT313" s="11">
        <v>46586542148</v>
      </c>
      <c r="AU313" s="11">
        <v>2972794892</v>
      </c>
      <c r="AV313" s="11">
        <v>22580067465</v>
      </c>
      <c r="AW313" s="11">
        <v>38938479458</v>
      </c>
      <c r="AX313" s="11">
        <v>191354195785</v>
      </c>
      <c r="AY313" s="11">
        <v>252915000000</v>
      </c>
      <c r="AZ313" s="11">
        <v>188172591375</v>
      </c>
      <c r="BA313" s="11">
        <v>522041800588</v>
      </c>
      <c r="BB313" s="12">
        <v>0</v>
      </c>
      <c r="BC313" s="11">
        <v>77772604803</v>
      </c>
      <c r="BD313" s="11">
        <v>191354195785</v>
      </c>
      <c r="BE313" s="11">
        <v>252915000000</v>
      </c>
      <c r="BF313" s="11">
        <v>199734868783</v>
      </c>
      <c r="BG313" s="11">
        <v>69589190000</v>
      </c>
      <c r="BH313" s="11">
        <v>0</v>
      </c>
      <c r="BI313" s="11">
        <v>0</v>
      </c>
      <c r="BJ313" s="11">
        <v>0</v>
      </c>
      <c r="BK313" s="11">
        <v>0</v>
      </c>
      <c r="BL313" s="11">
        <v>0</v>
      </c>
      <c r="BM313" s="11">
        <v>0</v>
      </c>
    </row>
    <row r="314" spans="1:65" x14ac:dyDescent="0.25">
      <c r="A314" s="32"/>
      <c r="B314" s="10">
        <v>2499</v>
      </c>
      <c r="C314" s="10" t="s">
        <v>367</v>
      </c>
      <c r="D314" s="11">
        <v>0</v>
      </c>
      <c r="E314" s="11">
        <v>3414919115</v>
      </c>
      <c r="F314" s="11">
        <v>0</v>
      </c>
      <c r="G314" s="11">
        <v>0</v>
      </c>
      <c r="H314" s="11">
        <v>3414919115</v>
      </c>
      <c r="I314" s="11">
        <v>276314219</v>
      </c>
      <c r="J314" s="11">
        <v>3138604896</v>
      </c>
      <c r="K314" s="11">
        <v>3515529881</v>
      </c>
      <c r="L314" s="11">
        <v>-100610766</v>
      </c>
      <c r="M314" s="12">
        <v>-2.86</v>
      </c>
      <c r="N314" s="11">
        <v>0</v>
      </c>
      <c r="O314" s="12">
        <v>0</v>
      </c>
      <c r="P314" s="12">
        <v>0</v>
      </c>
      <c r="Q314" s="12">
        <v>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11">
        <v>0</v>
      </c>
      <c r="X314" s="11">
        <v>0</v>
      </c>
      <c r="Y314" s="11">
        <v>0</v>
      </c>
      <c r="Z314" s="11">
        <v>0</v>
      </c>
      <c r="AA314" s="11">
        <v>0</v>
      </c>
      <c r="AB314" s="12"/>
      <c r="AC314" s="11">
        <v>0</v>
      </c>
      <c r="AD314" s="11">
        <v>0</v>
      </c>
      <c r="AE314" s="11">
        <v>0</v>
      </c>
      <c r="AF314" s="11">
        <v>0</v>
      </c>
      <c r="AG314" s="11">
        <v>0</v>
      </c>
      <c r="AH314" s="11">
        <v>0</v>
      </c>
      <c r="AI314" s="11">
        <v>0</v>
      </c>
      <c r="AJ314" s="12">
        <v>0</v>
      </c>
      <c r="AK314" s="11">
        <v>0</v>
      </c>
      <c r="AL314" s="12">
        <v>0</v>
      </c>
      <c r="AM314" s="11">
        <v>0</v>
      </c>
      <c r="AN314" s="12">
        <v>0</v>
      </c>
      <c r="AO314" s="11">
        <v>0</v>
      </c>
      <c r="AP314" s="11">
        <v>0</v>
      </c>
      <c r="AQ314" s="11">
        <v>0</v>
      </c>
      <c r="AR314" s="11">
        <v>0</v>
      </c>
      <c r="AS314" s="12"/>
      <c r="AT314" s="11">
        <v>0</v>
      </c>
      <c r="AU314" s="11">
        <v>0</v>
      </c>
      <c r="AV314" s="11">
        <v>0</v>
      </c>
      <c r="AW314" s="11">
        <v>0</v>
      </c>
      <c r="AX314" s="11">
        <v>0</v>
      </c>
      <c r="AY314" s="11">
        <v>0</v>
      </c>
      <c r="AZ314" s="11">
        <v>0</v>
      </c>
      <c r="BA314" s="11">
        <v>3414919115</v>
      </c>
      <c r="BB314" s="12">
        <v>0</v>
      </c>
      <c r="BC314" s="11">
        <v>3414919115</v>
      </c>
      <c r="BD314" s="11">
        <v>0</v>
      </c>
      <c r="BE314" s="11">
        <v>0</v>
      </c>
      <c r="BF314" s="11">
        <v>0</v>
      </c>
      <c r="BG314" s="11">
        <v>0</v>
      </c>
      <c r="BH314" s="11">
        <v>0</v>
      </c>
      <c r="BI314" s="11">
        <v>0</v>
      </c>
      <c r="BJ314" s="11">
        <v>0</v>
      </c>
      <c r="BK314" s="11">
        <v>0</v>
      </c>
      <c r="BL314" s="11">
        <v>0</v>
      </c>
      <c r="BM314" s="11">
        <v>0</v>
      </c>
    </row>
    <row r="315" spans="1:65" x14ac:dyDescent="0.25">
      <c r="A315" s="14" t="s">
        <v>607</v>
      </c>
      <c r="B315" s="15"/>
      <c r="C315" s="15"/>
      <c r="D315" s="16">
        <v>25968812703779</v>
      </c>
      <c r="E315" s="16">
        <v>1630958770734</v>
      </c>
      <c r="F315" s="16">
        <v>20000000000</v>
      </c>
      <c r="G315" s="16">
        <v>657052741685</v>
      </c>
      <c r="H315" s="16">
        <v>28276824216198</v>
      </c>
      <c r="I315" s="16">
        <v>2300578100135</v>
      </c>
      <c r="J315" s="16">
        <v>25976246116063</v>
      </c>
      <c r="K315" s="16">
        <v>27646482272650</v>
      </c>
      <c r="L315" s="16">
        <v>630341943548</v>
      </c>
      <c r="M315" s="17">
        <v>2.2799999999999998</v>
      </c>
      <c r="N315" s="16">
        <v>40604893538449</v>
      </c>
      <c r="O315" s="17">
        <v>164.53</v>
      </c>
      <c r="P315" s="17">
        <v>156.32</v>
      </c>
      <c r="Q315" s="17">
        <v>2.52</v>
      </c>
      <c r="R315" s="16">
        <v>45401257511765</v>
      </c>
      <c r="S315" s="16">
        <v>1122735375702</v>
      </c>
      <c r="T315" s="16">
        <v>465657024201</v>
      </c>
      <c r="U315" s="16">
        <v>323607964163</v>
      </c>
      <c r="V315" s="16">
        <v>333470387338</v>
      </c>
      <c r="W315" s="16">
        <v>46523992887467</v>
      </c>
      <c r="X315" s="16">
        <v>2614424176555</v>
      </c>
      <c r="Y315" s="16">
        <v>271190805080</v>
      </c>
      <c r="Z315" s="16">
        <v>49409607869102</v>
      </c>
      <c r="AA315" s="16">
        <v>35709820641228</v>
      </c>
      <c r="AB315" s="17">
        <v>30.28</v>
      </c>
      <c r="AC315" s="16">
        <v>22448196194354</v>
      </c>
      <c r="AD315" s="16">
        <v>21626576217198</v>
      </c>
      <c r="AE315" s="16">
        <v>2136282119150</v>
      </c>
      <c r="AF315" s="16">
        <v>162239045324</v>
      </c>
      <c r="AG315" s="16">
        <v>45011657823</v>
      </c>
      <c r="AH315" s="16">
        <v>0</v>
      </c>
      <c r="AI315" s="16">
        <v>0</v>
      </c>
      <c r="AJ315" s="17">
        <v>54</v>
      </c>
      <c r="AK315" s="16">
        <v>3326599769302</v>
      </c>
      <c r="AL315" s="18">
        <v>1386</v>
      </c>
      <c r="AM315" s="16">
        <v>16227939110025</v>
      </c>
      <c r="AN315" s="18">
        <f>SUM(AN291:AN314)</f>
        <v>803</v>
      </c>
      <c r="AO315" s="16">
        <f>SUM(AO291:AO314)</f>
        <v>8142657581376</v>
      </c>
      <c r="AP315" s="16">
        <v>1122735375702</v>
      </c>
      <c r="AQ315" s="16">
        <v>870421870882</v>
      </c>
      <c r="AR315" s="16">
        <v>252313504820</v>
      </c>
      <c r="AS315" s="17">
        <v>28.99</v>
      </c>
      <c r="AT315" s="16">
        <v>15801321107516</v>
      </c>
      <c r="AU315" s="16">
        <v>3638821101006</v>
      </c>
      <c r="AV315" s="16">
        <v>5305047048180</v>
      </c>
      <c r="AW315" s="16">
        <v>5380189440554</v>
      </c>
      <c r="AX315" s="16">
        <v>5676876387545</v>
      </c>
      <c r="AY315" s="16">
        <v>9606699827500</v>
      </c>
      <c r="AZ315" s="16">
        <v>3556419586267</v>
      </c>
      <c r="BA315" s="16">
        <v>28276824216198</v>
      </c>
      <c r="BB315" s="18">
        <v>4339043</v>
      </c>
      <c r="BC315" s="16">
        <v>12746668568656</v>
      </c>
      <c r="BD315" s="16">
        <v>5696603187545</v>
      </c>
      <c r="BE315" s="16">
        <v>9833552459997</v>
      </c>
      <c r="BF315" s="16">
        <v>15947614583026</v>
      </c>
      <c r="BG315" s="16">
        <v>6500581611328</v>
      </c>
      <c r="BH315" s="16">
        <v>943814774343</v>
      </c>
      <c r="BI315" s="16">
        <v>21955252940</v>
      </c>
      <c r="BJ315" s="16">
        <v>1593361011925</v>
      </c>
      <c r="BK315" s="16">
        <v>3984341469</v>
      </c>
      <c r="BL315" s="16">
        <v>33498584007</v>
      </c>
      <c r="BM315" s="16">
        <v>125471072970</v>
      </c>
    </row>
    <row r="316" spans="1:65" x14ac:dyDescent="0.25">
      <c r="A316" s="32" t="s">
        <v>368</v>
      </c>
      <c r="B316" s="10">
        <v>2500</v>
      </c>
      <c r="C316" s="10" t="s">
        <v>368</v>
      </c>
      <c r="D316" s="11">
        <v>2919884276042</v>
      </c>
      <c r="E316" s="11">
        <v>184560859818</v>
      </c>
      <c r="F316" s="11">
        <v>0</v>
      </c>
      <c r="G316" s="11">
        <v>14597107843</v>
      </c>
      <c r="H316" s="11">
        <v>3119042243703</v>
      </c>
      <c r="I316" s="11">
        <v>232150124228</v>
      </c>
      <c r="J316" s="11">
        <v>2886892119475</v>
      </c>
      <c r="K316" s="11">
        <v>3019532341545</v>
      </c>
      <c r="L316" s="11">
        <v>99509902158</v>
      </c>
      <c r="M316" s="12">
        <v>3.3</v>
      </c>
      <c r="N316" s="11">
        <v>5305349929007</v>
      </c>
      <c r="O316" s="12">
        <v>213.09</v>
      </c>
      <c r="P316" s="12">
        <v>183.77</v>
      </c>
      <c r="Q316" s="12">
        <v>4.53</v>
      </c>
      <c r="R316" s="11">
        <v>6337801110951</v>
      </c>
      <c r="S316" s="11">
        <v>308708878794</v>
      </c>
      <c r="T316" s="11">
        <v>147241829883</v>
      </c>
      <c r="U316" s="11">
        <v>31888336980</v>
      </c>
      <c r="V316" s="11">
        <v>129578711931</v>
      </c>
      <c r="W316" s="11">
        <v>6646509989745</v>
      </c>
      <c r="X316" s="11">
        <v>254313817132</v>
      </c>
      <c r="Y316" s="11">
        <v>23080754138</v>
      </c>
      <c r="Z316" s="11">
        <v>6923904561015</v>
      </c>
      <c r="AA316" s="11">
        <v>6114029248881</v>
      </c>
      <c r="AB316" s="12">
        <v>8.7100000000000009</v>
      </c>
      <c r="AC316" s="11">
        <v>3272208175846</v>
      </c>
      <c r="AD316" s="11">
        <v>3161891406544</v>
      </c>
      <c r="AE316" s="11">
        <v>1052999647376</v>
      </c>
      <c r="AF316" s="11">
        <v>33693774273</v>
      </c>
      <c r="AG316" s="11">
        <v>0</v>
      </c>
      <c r="AH316" s="11">
        <v>0</v>
      </c>
      <c r="AI316" s="11">
        <v>0</v>
      </c>
      <c r="AJ316" s="12">
        <v>11</v>
      </c>
      <c r="AK316" s="11">
        <v>781341922046</v>
      </c>
      <c r="AL316" s="12">
        <v>182</v>
      </c>
      <c r="AM316" s="11">
        <v>7833873192261</v>
      </c>
      <c r="AN316" s="12">
        <v>99</v>
      </c>
      <c r="AO316" s="11">
        <v>439379130876</v>
      </c>
      <c r="AP316" s="11">
        <v>308708878794</v>
      </c>
      <c r="AQ316" s="11">
        <v>86072611759</v>
      </c>
      <c r="AR316" s="11">
        <v>222636267035</v>
      </c>
      <c r="AS316" s="12">
        <v>258.66000000000003</v>
      </c>
      <c r="AT316" s="11">
        <v>3263115765794</v>
      </c>
      <c r="AU316" s="11">
        <v>831500536829</v>
      </c>
      <c r="AV316" s="11">
        <v>767426728256</v>
      </c>
      <c r="AW316" s="11">
        <v>246915045766</v>
      </c>
      <c r="AX316" s="11">
        <v>828520202020</v>
      </c>
      <c r="AY316" s="11">
        <v>1077022300000</v>
      </c>
      <c r="AZ316" s="11">
        <v>390001052044</v>
      </c>
      <c r="BA316" s="11">
        <v>3119042243703</v>
      </c>
      <c r="BB316" s="13">
        <v>43948</v>
      </c>
      <c r="BC316" s="11">
        <v>1179903467824</v>
      </c>
      <c r="BD316" s="11">
        <v>828520202020</v>
      </c>
      <c r="BE316" s="11">
        <v>1110618573859</v>
      </c>
      <c r="BF316" s="11">
        <v>2306989442411</v>
      </c>
      <c r="BG316" s="11">
        <v>965218733435</v>
      </c>
      <c r="BH316" s="11">
        <v>18763498579</v>
      </c>
      <c r="BI316" s="11">
        <v>119739273921</v>
      </c>
      <c r="BJ316" s="11">
        <v>1006048058960</v>
      </c>
      <c r="BK316" s="11">
        <v>0</v>
      </c>
      <c r="BL316" s="11">
        <v>0</v>
      </c>
      <c r="BM316" s="11">
        <v>33693774273</v>
      </c>
    </row>
    <row r="317" spans="1:65" x14ac:dyDescent="0.25">
      <c r="A317" s="32"/>
      <c r="B317" s="10">
        <v>2501</v>
      </c>
      <c r="C317" s="10" t="s">
        <v>369</v>
      </c>
      <c r="D317" s="11">
        <v>1465537110041</v>
      </c>
      <c r="E317" s="11">
        <v>13529170871</v>
      </c>
      <c r="F317" s="11">
        <v>0</v>
      </c>
      <c r="G317" s="11">
        <v>0</v>
      </c>
      <c r="H317" s="11">
        <v>1479066280912</v>
      </c>
      <c r="I317" s="11">
        <v>115154726645</v>
      </c>
      <c r="J317" s="11">
        <v>1363911554267</v>
      </c>
      <c r="K317" s="11">
        <v>1188245488276</v>
      </c>
      <c r="L317" s="11">
        <v>290820792636</v>
      </c>
      <c r="M317" s="12">
        <v>24.47</v>
      </c>
      <c r="N317" s="11">
        <v>1734420981230</v>
      </c>
      <c r="O317" s="12">
        <v>136.63</v>
      </c>
      <c r="P317" s="12">
        <v>127.17</v>
      </c>
      <c r="Q317" s="12">
        <v>2.04</v>
      </c>
      <c r="R317" s="11">
        <v>1976775278457</v>
      </c>
      <c r="S317" s="11">
        <v>44080888010</v>
      </c>
      <c r="T317" s="11">
        <v>42236527201</v>
      </c>
      <c r="U317" s="11">
        <v>585285872</v>
      </c>
      <c r="V317" s="11">
        <v>1259074937</v>
      </c>
      <c r="W317" s="11">
        <v>2020856166467</v>
      </c>
      <c r="X317" s="11">
        <v>135618306858</v>
      </c>
      <c r="Y317" s="11">
        <v>15109633200</v>
      </c>
      <c r="Z317" s="11">
        <v>2171584106525</v>
      </c>
      <c r="AA317" s="11">
        <v>1248832280979</v>
      </c>
      <c r="AB317" s="12">
        <v>61.82</v>
      </c>
      <c r="AC317" s="11">
        <v>1149228075459</v>
      </c>
      <c r="AD317" s="11">
        <v>1003457362857</v>
      </c>
      <c r="AE317" s="11">
        <v>0</v>
      </c>
      <c r="AF317" s="11">
        <v>397800000</v>
      </c>
      <c r="AG317" s="11">
        <v>0</v>
      </c>
      <c r="AH317" s="11">
        <v>0</v>
      </c>
      <c r="AI317" s="11">
        <v>0</v>
      </c>
      <c r="AJ317" s="12">
        <v>1</v>
      </c>
      <c r="AK317" s="11">
        <v>21780000000</v>
      </c>
      <c r="AL317" s="12">
        <v>97</v>
      </c>
      <c r="AM317" s="11">
        <v>205248417577</v>
      </c>
      <c r="AN317" s="12">
        <v>3</v>
      </c>
      <c r="AO317" s="11">
        <v>3712678343</v>
      </c>
      <c r="AP317" s="11">
        <v>44080888010</v>
      </c>
      <c r="AQ317" s="11">
        <v>4533496233</v>
      </c>
      <c r="AR317" s="11">
        <v>39547391777</v>
      </c>
      <c r="AS317" s="12">
        <v>872.34</v>
      </c>
      <c r="AT317" s="11">
        <v>510894881161</v>
      </c>
      <c r="AU317" s="11">
        <v>78207991902</v>
      </c>
      <c r="AV317" s="11">
        <v>192572352238</v>
      </c>
      <c r="AW317" s="11">
        <v>196297574247</v>
      </c>
      <c r="AX317" s="11">
        <v>481832483556</v>
      </c>
      <c r="AY317" s="11">
        <v>594834700000</v>
      </c>
      <c r="AZ317" s="11">
        <v>318472386759</v>
      </c>
      <c r="BA317" s="11">
        <v>1479066280912</v>
      </c>
      <c r="BB317" s="13">
        <v>25087</v>
      </c>
      <c r="BC317" s="11">
        <v>402399097356</v>
      </c>
      <c r="BD317" s="11">
        <v>481832483556</v>
      </c>
      <c r="BE317" s="11">
        <v>594834700000</v>
      </c>
      <c r="BF317" s="11">
        <v>505928931003</v>
      </c>
      <c r="BG317" s="11">
        <v>643299144456</v>
      </c>
      <c r="BH317" s="11">
        <v>0</v>
      </c>
      <c r="BI317" s="11">
        <v>0</v>
      </c>
      <c r="BJ317" s="11">
        <v>0</v>
      </c>
      <c r="BK317" s="11">
        <v>0</v>
      </c>
      <c r="BL317" s="11">
        <v>0</v>
      </c>
      <c r="BM317" s="11">
        <v>397800000</v>
      </c>
    </row>
    <row r="318" spans="1:65" x14ac:dyDescent="0.25">
      <c r="A318" s="32"/>
      <c r="B318" s="10">
        <v>2502</v>
      </c>
      <c r="C318" s="10" t="s">
        <v>370</v>
      </c>
      <c r="D318" s="11">
        <v>593370172541</v>
      </c>
      <c r="E318" s="11">
        <v>5755958637</v>
      </c>
      <c r="F318" s="11">
        <v>0</v>
      </c>
      <c r="G318" s="11">
        <v>0</v>
      </c>
      <c r="H318" s="11">
        <v>599126131178</v>
      </c>
      <c r="I318" s="11">
        <v>45486820762</v>
      </c>
      <c r="J318" s="11">
        <v>553639310416</v>
      </c>
      <c r="K318" s="11">
        <v>714668914528</v>
      </c>
      <c r="L318" s="11">
        <v>-115542783350</v>
      </c>
      <c r="M318" s="12">
        <v>-16.170000000000002</v>
      </c>
      <c r="N318" s="11">
        <v>1336826748217</v>
      </c>
      <c r="O318" s="12">
        <v>230.55</v>
      </c>
      <c r="P318" s="12">
        <v>241.46</v>
      </c>
      <c r="Q318" s="12">
        <v>3.51</v>
      </c>
      <c r="R318" s="11">
        <v>1329796963900</v>
      </c>
      <c r="S318" s="11">
        <v>51494298724</v>
      </c>
      <c r="T318" s="11">
        <v>38495807177</v>
      </c>
      <c r="U318" s="11">
        <v>10872882687</v>
      </c>
      <c r="V318" s="11">
        <v>2125608860</v>
      </c>
      <c r="W318" s="11">
        <v>1381291262624</v>
      </c>
      <c r="X318" s="11">
        <v>141428193823</v>
      </c>
      <c r="Y318" s="11">
        <v>8520766138</v>
      </c>
      <c r="Z318" s="11">
        <v>1531240222585</v>
      </c>
      <c r="AA318" s="11">
        <v>1306507682823</v>
      </c>
      <c r="AB318" s="12">
        <v>5.72</v>
      </c>
      <c r="AC318" s="11">
        <v>305928624026</v>
      </c>
      <c r="AD318" s="11">
        <v>305928624026</v>
      </c>
      <c r="AE318" s="11">
        <v>0</v>
      </c>
      <c r="AF318" s="11">
        <v>0</v>
      </c>
      <c r="AG318" s="11">
        <v>0</v>
      </c>
      <c r="AH318" s="11">
        <v>0</v>
      </c>
      <c r="AI318" s="11">
        <v>0</v>
      </c>
      <c r="AJ318" s="12">
        <v>0</v>
      </c>
      <c r="AK318" s="11">
        <v>0</v>
      </c>
      <c r="AL318" s="12">
        <v>5</v>
      </c>
      <c r="AM318" s="11">
        <v>11685000000</v>
      </c>
      <c r="AN318" s="12">
        <v>2</v>
      </c>
      <c r="AO318" s="11">
        <v>6035000000</v>
      </c>
      <c r="AP318" s="11">
        <v>51494298724</v>
      </c>
      <c r="AQ318" s="11">
        <v>71957277039</v>
      </c>
      <c r="AR318" s="11">
        <v>-20462978315</v>
      </c>
      <c r="AS318" s="19">
        <v>-28.44</v>
      </c>
      <c r="AT318" s="11">
        <v>435062533891</v>
      </c>
      <c r="AU318" s="11">
        <v>184888212476</v>
      </c>
      <c r="AV318" s="11">
        <v>197865762331</v>
      </c>
      <c r="AW318" s="11">
        <v>53876659525</v>
      </c>
      <c r="AX318" s="11">
        <v>236347750685</v>
      </c>
      <c r="AY318" s="11">
        <v>105280000000</v>
      </c>
      <c r="AZ318" s="11">
        <v>144848837566</v>
      </c>
      <c r="BA318" s="11">
        <v>599126131178</v>
      </c>
      <c r="BB318" s="13">
        <v>4370</v>
      </c>
      <c r="BC318" s="11">
        <v>257498380493</v>
      </c>
      <c r="BD318" s="11">
        <v>236347750685</v>
      </c>
      <c r="BE318" s="11">
        <v>105280000000</v>
      </c>
      <c r="BF318" s="11">
        <v>230979177026</v>
      </c>
      <c r="BG318" s="11">
        <v>74949447000</v>
      </c>
      <c r="BH318" s="11">
        <v>0</v>
      </c>
      <c r="BI318" s="11">
        <v>0</v>
      </c>
      <c r="BJ318" s="11">
        <v>0</v>
      </c>
      <c r="BK318" s="11">
        <v>0</v>
      </c>
      <c r="BL318" s="11">
        <v>0</v>
      </c>
      <c r="BM318" s="11">
        <v>0</v>
      </c>
    </row>
    <row r="319" spans="1:65" x14ac:dyDescent="0.25">
      <c r="A319" s="32"/>
      <c r="B319" s="10">
        <v>2503</v>
      </c>
      <c r="C319" s="10" t="s">
        <v>371</v>
      </c>
      <c r="D319" s="11">
        <v>1096783108335</v>
      </c>
      <c r="E319" s="11">
        <v>10198989276</v>
      </c>
      <c r="F319" s="11">
        <v>0</v>
      </c>
      <c r="G319" s="11">
        <v>0</v>
      </c>
      <c r="H319" s="11">
        <v>1106982097611</v>
      </c>
      <c r="I319" s="11">
        <v>93439577891</v>
      </c>
      <c r="J319" s="11">
        <v>1013542519720</v>
      </c>
      <c r="K319" s="11">
        <v>1633870717996</v>
      </c>
      <c r="L319" s="11">
        <v>-526888620385</v>
      </c>
      <c r="M319" s="12">
        <v>-32.25</v>
      </c>
      <c r="N319" s="11">
        <v>2063405066046</v>
      </c>
      <c r="O319" s="12">
        <v>195.34</v>
      </c>
      <c r="P319" s="12">
        <v>203.58</v>
      </c>
      <c r="Q319" s="12">
        <v>27.55</v>
      </c>
      <c r="R319" s="11">
        <v>1553565157438</v>
      </c>
      <c r="S319" s="11">
        <v>608759108792</v>
      </c>
      <c r="T319" s="11">
        <v>10830227029</v>
      </c>
      <c r="U319" s="11">
        <v>767621585</v>
      </c>
      <c r="V319" s="11">
        <v>597161260178</v>
      </c>
      <c r="W319" s="11">
        <v>2162324266230</v>
      </c>
      <c r="X319" s="11">
        <v>138205516297</v>
      </c>
      <c r="Y319" s="11">
        <v>8927072603</v>
      </c>
      <c r="Z319" s="11">
        <v>2309456855130</v>
      </c>
      <c r="AA319" s="11">
        <v>1413053674901</v>
      </c>
      <c r="AB319" s="12">
        <v>53.02</v>
      </c>
      <c r="AC319" s="11">
        <v>1990295654331</v>
      </c>
      <c r="AD319" s="11">
        <v>1945872092688</v>
      </c>
      <c r="AE319" s="11">
        <v>918627763122</v>
      </c>
      <c r="AF319" s="11">
        <v>0</v>
      </c>
      <c r="AG319" s="11">
        <v>0</v>
      </c>
      <c r="AH319" s="11">
        <v>0</v>
      </c>
      <c r="AI319" s="11">
        <v>0</v>
      </c>
      <c r="AJ319" s="12">
        <v>0</v>
      </c>
      <c r="AK319" s="11">
        <v>0</v>
      </c>
      <c r="AL319" s="12">
        <v>12</v>
      </c>
      <c r="AM319" s="11">
        <v>76486614154</v>
      </c>
      <c r="AN319" s="12">
        <v>5</v>
      </c>
      <c r="AO319" s="11">
        <v>25875800000</v>
      </c>
      <c r="AP319" s="11">
        <v>608759108792</v>
      </c>
      <c r="AQ319" s="11">
        <v>4672308834</v>
      </c>
      <c r="AR319" s="11">
        <v>604086799958</v>
      </c>
      <c r="AS319" s="19">
        <v>12929.09</v>
      </c>
      <c r="AT319" s="11">
        <v>1354457690279</v>
      </c>
      <c r="AU319" s="11">
        <v>302412898978</v>
      </c>
      <c r="AV319" s="11">
        <v>214213687182</v>
      </c>
      <c r="AW319" s="11">
        <v>105383536880</v>
      </c>
      <c r="AX319" s="11">
        <v>436019384273</v>
      </c>
      <c r="AY319" s="11">
        <v>341166500000</v>
      </c>
      <c r="AZ319" s="11">
        <v>112644352429</v>
      </c>
      <c r="BA319" s="11">
        <v>1106982097611</v>
      </c>
      <c r="BB319" s="13">
        <v>65700</v>
      </c>
      <c r="BC319" s="11">
        <v>329796213338</v>
      </c>
      <c r="BD319" s="11">
        <v>435992384273</v>
      </c>
      <c r="BE319" s="11">
        <v>341193500000</v>
      </c>
      <c r="BF319" s="11">
        <v>1499516472700</v>
      </c>
      <c r="BG319" s="11">
        <v>490779181631</v>
      </c>
      <c r="BH319" s="11">
        <v>0</v>
      </c>
      <c r="BI319" s="11">
        <v>596623541629</v>
      </c>
      <c r="BJ319" s="11">
        <v>264142665261</v>
      </c>
      <c r="BK319" s="11">
        <v>0</v>
      </c>
      <c r="BL319" s="11">
        <v>0</v>
      </c>
      <c r="BM319" s="11">
        <v>0</v>
      </c>
    </row>
    <row r="320" spans="1:65" x14ac:dyDescent="0.25">
      <c r="A320" s="32"/>
      <c r="B320" s="10">
        <v>2504</v>
      </c>
      <c r="C320" s="10" t="s">
        <v>372</v>
      </c>
      <c r="D320" s="11">
        <v>1055571710195</v>
      </c>
      <c r="E320" s="11">
        <v>57659280054</v>
      </c>
      <c r="F320" s="11">
        <v>0</v>
      </c>
      <c r="G320" s="11">
        <v>0</v>
      </c>
      <c r="H320" s="11">
        <v>1113230990249</v>
      </c>
      <c r="I320" s="11">
        <v>91086969621</v>
      </c>
      <c r="J320" s="11">
        <v>1022144020628</v>
      </c>
      <c r="K320" s="11">
        <v>1008475847895</v>
      </c>
      <c r="L320" s="11">
        <v>104755142354</v>
      </c>
      <c r="M320" s="12">
        <v>10.39</v>
      </c>
      <c r="N320" s="11">
        <v>1445593590568</v>
      </c>
      <c r="O320" s="12">
        <v>145.38</v>
      </c>
      <c r="P320" s="12">
        <v>141.43</v>
      </c>
      <c r="Q320" s="12">
        <v>1.9</v>
      </c>
      <c r="R320" s="11">
        <v>1585669601474</v>
      </c>
      <c r="S320" s="11">
        <v>32764506396</v>
      </c>
      <c r="T320" s="11">
        <v>27830686337</v>
      </c>
      <c r="U320" s="11">
        <v>3706139468</v>
      </c>
      <c r="V320" s="11">
        <v>1227680591</v>
      </c>
      <c r="W320" s="11">
        <v>1618434107870</v>
      </c>
      <c r="X320" s="11">
        <v>94820014096</v>
      </c>
      <c r="Y320" s="11">
        <v>12100000000</v>
      </c>
      <c r="Z320" s="11">
        <v>1725354121966</v>
      </c>
      <c r="AA320" s="11">
        <v>1273378057245</v>
      </c>
      <c r="AB320" s="12">
        <v>27.1</v>
      </c>
      <c r="AC320" s="11">
        <v>733889236710</v>
      </c>
      <c r="AD320" s="11">
        <v>733889236710</v>
      </c>
      <c r="AE320" s="11">
        <v>14136536900</v>
      </c>
      <c r="AF320" s="11">
        <v>0</v>
      </c>
      <c r="AG320" s="11">
        <v>0</v>
      </c>
      <c r="AH320" s="11">
        <v>0</v>
      </c>
      <c r="AI320" s="11">
        <v>0</v>
      </c>
      <c r="AJ320" s="12">
        <v>14</v>
      </c>
      <c r="AK320" s="11">
        <v>401331259990</v>
      </c>
      <c r="AL320" s="12">
        <v>66</v>
      </c>
      <c r="AM320" s="11">
        <v>99365658585</v>
      </c>
      <c r="AN320" s="12">
        <v>17</v>
      </c>
      <c r="AO320" s="11">
        <v>36616679013</v>
      </c>
      <c r="AP320" s="11">
        <v>32764506396</v>
      </c>
      <c r="AQ320" s="11">
        <v>21559150608</v>
      </c>
      <c r="AR320" s="11">
        <v>11205355788</v>
      </c>
      <c r="AS320" s="12">
        <v>51.97</v>
      </c>
      <c r="AT320" s="11">
        <v>607536388660</v>
      </c>
      <c r="AU320" s="11">
        <v>109215370279</v>
      </c>
      <c r="AV320" s="11">
        <v>208295491841</v>
      </c>
      <c r="AW320" s="11">
        <v>121324644137</v>
      </c>
      <c r="AX320" s="11">
        <v>492930574217</v>
      </c>
      <c r="AY320" s="11">
        <v>233021000000</v>
      </c>
      <c r="AZ320" s="11">
        <v>374336521538</v>
      </c>
      <c r="BA320" s="11">
        <v>1113230990249</v>
      </c>
      <c r="BB320" s="13">
        <v>74797</v>
      </c>
      <c r="BC320" s="11">
        <v>360564785387</v>
      </c>
      <c r="BD320" s="11">
        <v>492930574217</v>
      </c>
      <c r="BE320" s="11">
        <v>259735630645</v>
      </c>
      <c r="BF320" s="11">
        <v>573167274710</v>
      </c>
      <c r="BG320" s="11">
        <v>160721962000</v>
      </c>
      <c r="BH320" s="11">
        <v>0</v>
      </c>
      <c r="BI320" s="11">
        <v>0</v>
      </c>
      <c r="BJ320" s="11">
        <v>14143868547</v>
      </c>
      <c r="BK320" s="11">
        <v>0</v>
      </c>
      <c r="BL320" s="11">
        <v>1227680591</v>
      </c>
      <c r="BM320" s="11">
        <v>0</v>
      </c>
    </row>
    <row r="321" spans="1:65" x14ac:dyDescent="0.25">
      <c r="A321" s="32"/>
      <c r="B321" s="10">
        <v>2505</v>
      </c>
      <c r="C321" s="10" t="s">
        <v>373</v>
      </c>
      <c r="D321" s="11">
        <v>1114977577575</v>
      </c>
      <c r="E321" s="11">
        <v>16308608330</v>
      </c>
      <c r="F321" s="11">
        <v>0</v>
      </c>
      <c r="G321" s="11">
        <v>0</v>
      </c>
      <c r="H321" s="11">
        <v>1131286185905</v>
      </c>
      <c r="I321" s="11">
        <v>77613322241</v>
      </c>
      <c r="J321" s="11">
        <v>1053672863664</v>
      </c>
      <c r="K321" s="11">
        <v>2604402738555</v>
      </c>
      <c r="L321" s="11">
        <v>-1473116552650</v>
      </c>
      <c r="M321" s="12">
        <v>-56.56</v>
      </c>
      <c r="N321" s="11">
        <v>2717021711525</v>
      </c>
      <c r="O321" s="12">
        <v>261.85000000000002</v>
      </c>
      <c r="P321" s="12">
        <v>257.86</v>
      </c>
      <c r="Q321" s="12">
        <v>2.21</v>
      </c>
      <c r="R321" s="11">
        <v>2903550119968</v>
      </c>
      <c r="S321" s="11">
        <v>58770801219</v>
      </c>
      <c r="T321" s="11">
        <v>30839170830</v>
      </c>
      <c r="U321" s="11">
        <v>11540830603</v>
      </c>
      <c r="V321" s="11">
        <v>16390799786</v>
      </c>
      <c r="W321" s="11">
        <v>2962320921187</v>
      </c>
      <c r="X321" s="11">
        <v>150834564685</v>
      </c>
      <c r="Y321" s="11">
        <v>15201600000</v>
      </c>
      <c r="Z321" s="11">
        <v>3128357085872</v>
      </c>
      <c r="AA321" s="11">
        <v>2045359670580</v>
      </c>
      <c r="AB321" s="12">
        <v>44.83</v>
      </c>
      <c r="AC321" s="11">
        <v>2460672342619</v>
      </c>
      <c r="AD321" s="11">
        <v>2460672342619</v>
      </c>
      <c r="AE321" s="11">
        <v>537535187860</v>
      </c>
      <c r="AF321" s="11">
        <v>72000000000</v>
      </c>
      <c r="AG321" s="11">
        <v>0</v>
      </c>
      <c r="AH321" s="11">
        <v>0</v>
      </c>
      <c r="AI321" s="11">
        <v>0</v>
      </c>
      <c r="AJ321" s="12">
        <v>18</v>
      </c>
      <c r="AK321" s="11">
        <v>600070451552</v>
      </c>
      <c r="AL321" s="12">
        <v>13</v>
      </c>
      <c r="AM321" s="11">
        <v>74248668148</v>
      </c>
      <c r="AN321" s="12">
        <v>7</v>
      </c>
      <c r="AO321" s="11">
        <v>126365000000</v>
      </c>
      <c r="AP321" s="11">
        <v>58770801219</v>
      </c>
      <c r="AQ321" s="11">
        <v>38815192790</v>
      </c>
      <c r="AR321" s="11">
        <v>19955608429</v>
      </c>
      <c r="AS321" s="12">
        <v>51.41</v>
      </c>
      <c r="AT321" s="11">
        <v>1835588729465</v>
      </c>
      <c r="AU321" s="11">
        <v>137681488257</v>
      </c>
      <c r="AV321" s="11">
        <v>518158023139</v>
      </c>
      <c r="AW321" s="11">
        <v>143566247499</v>
      </c>
      <c r="AX321" s="11">
        <v>314325806937</v>
      </c>
      <c r="AY321" s="11">
        <v>138927500000</v>
      </c>
      <c r="AZ321" s="11">
        <v>234571281915</v>
      </c>
      <c r="BA321" s="11">
        <v>1131286185905</v>
      </c>
      <c r="BB321" s="13">
        <v>37028</v>
      </c>
      <c r="BC321" s="11">
        <v>678032878968</v>
      </c>
      <c r="BD321" s="11">
        <v>314325806937</v>
      </c>
      <c r="BE321" s="11">
        <v>138927500000</v>
      </c>
      <c r="BF321" s="11">
        <v>1630339326035</v>
      </c>
      <c r="BG321" s="11">
        <v>830333016584</v>
      </c>
      <c r="BH321" s="11">
        <v>0</v>
      </c>
      <c r="BI321" s="11">
        <v>0</v>
      </c>
      <c r="BJ321" s="11">
        <v>542155466316</v>
      </c>
      <c r="BK321" s="11">
        <v>0</v>
      </c>
      <c r="BL321" s="11">
        <v>8485182654</v>
      </c>
      <c r="BM321" s="11">
        <v>0</v>
      </c>
    </row>
    <row r="322" spans="1:65" x14ac:dyDescent="0.25">
      <c r="A322" s="32"/>
      <c r="B322" s="10">
        <v>2506</v>
      </c>
      <c r="C322" s="10" t="s">
        <v>374</v>
      </c>
      <c r="D322" s="11">
        <v>371070340960</v>
      </c>
      <c r="E322" s="11">
        <v>233171073</v>
      </c>
      <c r="F322" s="11">
        <v>0</v>
      </c>
      <c r="G322" s="11">
        <v>0</v>
      </c>
      <c r="H322" s="11">
        <v>371303512033</v>
      </c>
      <c r="I322" s="11">
        <v>28521277383</v>
      </c>
      <c r="J322" s="11">
        <v>342782234650</v>
      </c>
      <c r="K322" s="11">
        <v>158925774732</v>
      </c>
      <c r="L322" s="11">
        <v>212377737301</v>
      </c>
      <c r="M322" s="12">
        <v>133.63</v>
      </c>
      <c r="N322" s="11">
        <v>70465094625</v>
      </c>
      <c r="O322" s="12">
        <v>23.74</v>
      </c>
      <c r="P322" s="12">
        <v>20.56</v>
      </c>
      <c r="Q322" s="12">
        <v>0.1</v>
      </c>
      <c r="R322" s="11">
        <v>88036601169</v>
      </c>
      <c r="S322" s="11">
        <v>115634667</v>
      </c>
      <c r="T322" s="11">
        <v>115634667</v>
      </c>
      <c r="U322" s="11">
        <v>0</v>
      </c>
      <c r="V322" s="11">
        <v>0</v>
      </c>
      <c r="W322" s="11">
        <v>88152235836</v>
      </c>
      <c r="X322" s="11">
        <v>14346298886</v>
      </c>
      <c r="Y322" s="11">
        <v>9699234000</v>
      </c>
      <c r="Z322" s="11">
        <v>112197768722</v>
      </c>
      <c r="AA322" s="11">
        <v>5000000000</v>
      </c>
      <c r="AB322" s="12">
        <v>1663.04</v>
      </c>
      <c r="AC322" s="11">
        <v>69947865330</v>
      </c>
      <c r="AD322" s="11">
        <v>69947865330</v>
      </c>
      <c r="AE322" s="11">
        <v>0</v>
      </c>
      <c r="AF322" s="11">
        <v>0</v>
      </c>
      <c r="AG322" s="11">
        <v>0</v>
      </c>
      <c r="AH322" s="11">
        <v>0</v>
      </c>
      <c r="AI322" s="11">
        <v>0</v>
      </c>
      <c r="AJ322" s="12">
        <v>0</v>
      </c>
      <c r="AK322" s="11">
        <v>0</v>
      </c>
      <c r="AL322" s="12">
        <v>0</v>
      </c>
      <c r="AM322" s="11">
        <v>0</v>
      </c>
      <c r="AN322" s="12">
        <v>0</v>
      </c>
      <c r="AO322" s="11">
        <v>0</v>
      </c>
      <c r="AP322" s="11">
        <v>115634667</v>
      </c>
      <c r="AQ322" s="11">
        <v>0</v>
      </c>
      <c r="AR322" s="11">
        <v>115634667</v>
      </c>
      <c r="AS322" s="12"/>
      <c r="AT322" s="11">
        <v>8907820718</v>
      </c>
      <c r="AU322" s="11">
        <v>20781655</v>
      </c>
      <c r="AV322" s="11">
        <v>9275672030</v>
      </c>
      <c r="AW322" s="11">
        <v>43975316927</v>
      </c>
      <c r="AX322" s="11">
        <v>115054352003</v>
      </c>
      <c r="AY322" s="11">
        <v>202765000000</v>
      </c>
      <c r="AZ322" s="11">
        <v>109769583065</v>
      </c>
      <c r="BA322" s="11">
        <v>371303512033</v>
      </c>
      <c r="BB322" s="12">
        <v>0</v>
      </c>
      <c r="BC322" s="11">
        <v>53484160030</v>
      </c>
      <c r="BD322" s="11">
        <v>115054352003</v>
      </c>
      <c r="BE322" s="11">
        <v>202765000000</v>
      </c>
      <c r="BF322" s="11">
        <v>63208278630</v>
      </c>
      <c r="BG322" s="11">
        <v>6739586700</v>
      </c>
      <c r="BH322" s="11">
        <v>0</v>
      </c>
      <c r="BI322" s="11">
        <v>0</v>
      </c>
      <c r="BJ322" s="11">
        <v>0</v>
      </c>
      <c r="BK322" s="11">
        <v>0</v>
      </c>
      <c r="BL322" s="11">
        <v>0</v>
      </c>
      <c r="BM322" s="11">
        <v>0</v>
      </c>
    </row>
    <row r="323" spans="1:65" x14ac:dyDescent="0.25">
      <c r="A323" s="32"/>
      <c r="B323" s="10">
        <v>2599</v>
      </c>
      <c r="C323" s="10" t="s">
        <v>375</v>
      </c>
      <c r="D323" s="11">
        <v>0</v>
      </c>
      <c r="E323" s="11">
        <v>582492085</v>
      </c>
      <c r="F323" s="11">
        <v>0</v>
      </c>
      <c r="G323" s="11">
        <v>0</v>
      </c>
      <c r="H323" s="11">
        <v>582492085</v>
      </c>
      <c r="I323" s="11">
        <v>47729048</v>
      </c>
      <c r="J323" s="11">
        <v>534763037</v>
      </c>
      <c r="K323" s="11">
        <v>479208722</v>
      </c>
      <c r="L323" s="11">
        <v>103283363</v>
      </c>
      <c r="M323" s="12">
        <v>21.55</v>
      </c>
      <c r="N323" s="11">
        <v>0</v>
      </c>
      <c r="O323" s="12">
        <v>0</v>
      </c>
      <c r="P323" s="12">
        <v>0</v>
      </c>
      <c r="Q323" s="12">
        <v>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11">
        <v>0</v>
      </c>
      <c r="X323" s="11">
        <v>0</v>
      </c>
      <c r="Y323" s="11">
        <v>0</v>
      </c>
      <c r="Z323" s="11">
        <v>0</v>
      </c>
      <c r="AA323" s="11">
        <v>0</v>
      </c>
      <c r="AB323" s="12"/>
      <c r="AC323" s="11">
        <v>0</v>
      </c>
      <c r="AD323" s="11">
        <v>0</v>
      </c>
      <c r="AE323" s="11">
        <v>0</v>
      </c>
      <c r="AF323" s="11">
        <v>0</v>
      </c>
      <c r="AG323" s="11">
        <v>0</v>
      </c>
      <c r="AH323" s="11">
        <v>0</v>
      </c>
      <c r="AI323" s="11">
        <v>0</v>
      </c>
      <c r="AJ323" s="12">
        <v>0</v>
      </c>
      <c r="AK323" s="11">
        <v>0</v>
      </c>
      <c r="AL323" s="12">
        <v>0</v>
      </c>
      <c r="AM323" s="11">
        <v>0</v>
      </c>
      <c r="AN323" s="12">
        <v>0</v>
      </c>
      <c r="AO323" s="11">
        <v>0</v>
      </c>
      <c r="AP323" s="11">
        <v>0</v>
      </c>
      <c r="AQ323" s="11">
        <v>0</v>
      </c>
      <c r="AR323" s="11">
        <v>0</v>
      </c>
      <c r="AS323" s="12"/>
      <c r="AT323" s="11">
        <v>0</v>
      </c>
      <c r="AU323" s="11">
        <v>0</v>
      </c>
      <c r="AV323" s="11">
        <v>0</v>
      </c>
      <c r="AW323" s="11">
        <v>0</v>
      </c>
      <c r="AX323" s="11">
        <v>0</v>
      </c>
      <c r="AY323" s="11">
        <v>0</v>
      </c>
      <c r="AZ323" s="11">
        <v>0</v>
      </c>
      <c r="BA323" s="11">
        <v>582492085</v>
      </c>
      <c r="BB323" s="12">
        <v>0</v>
      </c>
      <c r="BC323" s="11">
        <v>582492085</v>
      </c>
      <c r="BD323" s="11">
        <v>0</v>
      </c>
      <c r="BE323" s="11">
        <v>0</v>
      </c>
      <c r="BF323" s="11">
        <v>0</v>
      </c>
      <c r="BG323" s="11">
        <v>0</v>
      </c>
      <c r="BH323" s="11">
        <v>0</v>
      </c>
      <c r="BI323" s="11">
        <v>0</v>
      </c>
      <c r="BJ323" s="11">
        <v>0</v>
      </c>
      <c r="BK323" s="11">
        <v>0</v>
      </c>
      <c r="BL323" s="11">
        <v>0</v>
      </c>
      <c r="BM323" s="11">
        <v>0</v>
      </c>
    </row>
    <row r="324" spans="1:65" x14ac:dyDescent="0.25">
      <c r="A324" s="14" t="s">
        <v>608</v>
      </c>
      <c r="B324" s="15"/>
      <c r="C324" s="15"/>
      <c r="D324" s="16">
        <v>8617194295689</v>
      </c>
      <c r="E324" s="16">
        <v>288828530144</v>
      </c>
      <c r="F324" s="16">
        <v>0</v>
      </c>
      <c r="G324" s="16">
        <v>14597107843</v>
      </c>
      <c r="H324" s="16">
        <v>8920619933676</v>
      </c>
      <c r="I324" s="16">
        <v>683500547819</v>
      </c>
      <c r="J324" s="16">
        <v>8237119385857</v>
      </c>
      <c r="K324" s="16">
        <v>10328601032249</v>
      </c>
      <c r="L324" s="16">
        <v>-1407981098573</v>
      </c>
      <c r="M324" s="17">
        <v>-13.63</v>
      </c>
      <c r="N324" s="16">
        <v>14673083121218</v>
      </c>
      <c r="O324" s="17">
        <v>189.22</v>
      </c>
      <c r="P324" s="17">
        <v>178.13</v>
      </c>
      <c r="Q324" s="17">
        <v>6.42</v>
      </c>
      <c r="R324" s="16">
        <v>15775194833357</v>
      </c>
      <c r="S324" s="16">
        <v>1104694116602</v>
      </c>
      <c r="T324" s="16">
        <v>297589883124</v>
      </c>
      <c r="U324" s="16">
        <v>59361097195</v>
      </c>
      <c r="V324" s="16">
        <v>747743136283</v>
      </c>
      <c r="W324" s="16">
        <v>16879888949959</v>
      </c>
      <c r="X324" s="16">
        <v>929566711777</v>
      </c>
      <c r="Y324" s="16">
        <v>92639060079</v>
      </c>
      <c r="Z324" s="16">
        <v>17902094721815</v>
      </c>
      <c r="AA324" s="16">
        <v>13406160615409</v>
      </c>
      <c r="AB324" s="17">
        <v>25.91</v>
      </c>
      <c r="AC324" s="16">
        <v>9982169974321</v>
      </c>
      <c r="AD324" s="16">
        <v>9681658930774</v>
      </c>
      <c r="AE324" s="16">
        <v>2523299135258</v>
      </c>
      <c r="AF324" s="16">
        <v>106091574273</v>
      </c>
      <c r="AG324" s="16">
        <v>0</v>
      </c>
      <c r="AH324" s="16">
        <v>0</v>
      </c>
      <c r="AI324" s="16">
        <v>0</v>
      </c>
      <c r="AJ324" s="17">
        <v>44</v>
      </c>
      <c r="AK324" s="16">
        <v>1804523633588</v>
      </c>
      <c r="AL324" s="17">
        <v>375</v>
      </c>
      <c r="AM324" s="16">
        <v>8300907550725</v>
      </c>
      <c r="AN324" s="18">
        <f>SUM(AN316:AN323)</f>
        <v>133</v>
      </c>
      <c r="AO324" s="16">
        <f>SUM(AO316:AO323)</f>
        <v>637984288232</v>
      </c>
      <c r="AP324" s="16">
        <v>1104694116602</v>
      </c>
      <c r="AQ324" s="16">
        <v>227610037263</v>
      </c>
      <c r="AR324" s="16">
        <v>877084079339</v>
      </c>
      <c r="AS324" s="17">
        <v>385.35</v>
      </c>
      <c r="AT324" s="16">
        <v>8015563809968</v>
      </c>
      <c r="AU324" s="16">
        <v>1643927280376</v>
      </c>
      <c r="AV324" s="16">
        <v>2107807717017</v>
      </c>
      <c r="AW324" s="16">
        <v>911339024981</v>
      </c>
      <c r="AX324" s="16">
        <v>2905030553691</v>
      </c>
      <c r="AY324" s="16">
        <v>2693017000000</v>
      </c>
      <c r="AZ324" s="16">
        <v>1684644015316</v>
      </c>
      <c r="BA324" s="16">
        <v>8920619933676</v>
      </c>
      <c r="BB324" s="18">
        <v>250930</v>
      </c>
      <c r="BC324" s="16">
        <v>3262261475481</v>
      </c>
      <c r="BD324" s="16">
        <v>2905003553691</v>
      </c>
      <c r="BE324" s="16">
        <v>2753354904504</v>
      </c>
      <c r="BF324" s="16">
        <v>6810128902515</v>
      </c>
      <c r="BG324" s="16">
        <v>3172041071806</v>
      </c>
      <c r="BH324" s="16">
        <v>18763498579</v>
      </c>
      <c r="BI324" s="16">
        <v>716362815550</v>
      </c>
      <c r="BJ324" s="16">
        <v>1826490059084</v>
      </c>
      <c r="BK324" s="16">
        <v>0</v>
      </c>
      <c r="BL324" s="16">
        <v>9712863245</v>
      </c>
      <c r="BM324" s="16">
        <v>34091574273</v>
      </c>
    </row>
    <row r="325" spans="1:65" x14ac:dyDescent="0.25">
      <c r="A325" s="32" t="s">
        <v>376</v>
      </c>
      <c r="B325" s="10">
        <v>2600</v>
      </c>
      <c r="C325" s="10" t="s">
        <v>376</v>
      </c>
      <c r="D325" s="11">
        <v>2741559805377</v>
      </c>
      <c r="E325" s="11">
        <v>181320672017</v>
      </c>
      <c r="F325" s="11">
        <v>0</v>
      </c>
      <c r="G325" s="11">
        <v>67378190130</v>
      </c>
      <c r="H325" s="11">
        <v>2990258667524</v>
      </c>
      <c r="I325" s="11">
        <v>244100553454</v>
      </c>
      <c r="J325" s="11">
        <v>2746158114070</v>
      </c>
      <c r="K325" s="11">
        <v>2176479891052</v>
      </c>
      <c r="L325" s="11">
        <v>813778776472</v>
      </c>
      <c r="M325" s="12">
        <v>37.39</v>
      </c>
      <c r="N325" s="11">
        <v>3805565005581</v>
      </c>
      <c r="O325" s="12">
        <v>150.53</v>
      </c>
      <c r="P325" s="12">
        <v>138.58000000000001</v>
      </c>
      <c r="Q325" s="12">
        <v>0.14000000000000001</v>
      </c>
      <c r="R325" s="11">
        <v>4495985957379</v>
      </c>
      <c r="S325" s="11">
        <v>5396300850</v>
      </c>
      <c r="T325" s="11">
        <v>3778085554</v>
      </c>
      <c r="U325" s="11">
        <v>0</v>
      </c>
      <c r="V325" s="11">
        <v>1618215296</v>
      </c>
      <c r="W325" s="11">
        <v>4501382258229</v>
      </c>
      <c r="X325" s="11">
        <v>238505668007</v>
      </c>
      <c r="Y325" s="11">
        <v>21447447243</v>
      </c>
      <c r="Z325" s="11">
        <v>4761335373479</v>
      </c>
      <c r="AA325" s="11">
        <v>3041919688793</v>
      </c>
      <c r="AB325" s="12">
        <v>47.98</v>
      </c>
      <c r="AC325" s="11">
        <v>2598700932504</v>
      </c>
      <c r="AD325" s="11">
        <v>2598700932504</v>
      </c>
      <c r="AE325" s="11">
        <v>0</v>
      </c>
      <c r="AF325" s="11">
        <v>0</v>
      </c>
      <c r="AG325" s="11">
        <v>0</v>
      </c>
      <c r="AH325" s="11">
        <v>0</v>
      </c>
      <c r="AI325" s="11">
        <v>0</v>
      </c>
      <c r="AJ325" s="12">
        <v>3</v>
      </c>
      <c r="AK325" s="11">
        <v>125714258970</v>
      </c>
      <c r="AL325" s="12">
        <v>23</v>
      </c>
      <c r="AM325" s="11">
        <v>130073702054</v>
      </c>
      <c r="AN325" s="12">
        <v>4</v>
      </c>
      <c r="AO325" s="11">
        <v>2448800000</v>
      </c>
      <c r="AP325" s="11">
        <v>5396300850</v>
      </c>
      <c r="AQ325" s="11">
        <v>9361168208</v>
      </c>
      <c r="AR325" s="11">
        <v>-3964867358</v>
      </c>
      <c r="AS325" s="12">
        <v>-42.35</v>
      </c>
      <c r="AT325" s="11">
        <v>1626683978853</v>
      </c>
      <c r="AU325" s="11">
        <v>174679974259</v>
      </c>
      <c r="AV325" s="11">
        <v>381972987662</v>
      </c>
      <c r="AW325" s="11">
        <v>201342533495</v>
      </c>
      <c r="AX325" s="11">
        <v>1198631284220</v>
      </c>
      <c r="AY325" s="11">
        <v>959613000000</v>
      </c>
      <c r="AZ325" s="11">
        <v>977899805881</v>
      </c>
      <c r="BA325" s="11">
        <v>2990258667524</v>
      </c>
      <c r="BB325" s="13">
        <v>215581</v>
      </c>
      <c r="BC325" s="11">
        <v>832014383304</v>
      </c>
      <c r="BD325" s="11">
        <v>1198631284220</v>
      </c>
      <c r="BE325" s="11">
        <v>959613000000</v>
      </c>
      <c r="BF325" s="11">
        <v>1922694770642</v>
      </c>
      <c r="BG325" s="11">
        <v>676006161862</v>
      </c>
      <c r="BH325" s="11">
        <v>0</v>
      </c>
      <c r="BI325" s="11">
        <v>0</v>
      </c>
      <c r="BJ325" s="11">
        <v>0</v>
      </c>
      <c r="BK325" s="11">
        <v>0</v>
      </c>
      <c r="BL325" s="11">
        <v>0</v>
      </c>
      <c r="BM325" s="11">
        <v>0</v>
      </c>
    </row>
    <row r="326" spans="1:65" x14ac:dyDescent="0.25">
      <c r="A326" s="32"/>
      <c r="B326" s="10">
        <v>2601</v>
      </c>
      <c r="C326" s="10" t="s">
        <v>377</v>
      </c>
      <c r="D326" s="11">
        <v>1094271125773</v>
      </c>
      <c r="E326" s="11">
        <v>47356426052</v>
      </c>
      <c r="F326" s="11">
        <v>0</v>
      </c>
      <c r="G326" s="11">
        <v>0</v>
      </c>
      <c r="H326" s="11">
        <v>1141627551825</v>
      </c>
      <c r="I326" s="11">
        <v>75404977103</v>
      </c>
      <c r="J326" s="11">
        <v>1066222574722</v>
      </c>
      <c r="K326" s="11">
        <v>1172570816374</v>
      </c>
      <c r="L326" s="11">
        <v>-30943264549</v>
      </c>
      <c r="M326" s="12">
        <v>-2.64</v>
      </c>
      <c r="N326" s="11">
        <v>2078998683294</v>
      </c>
      <c r="O326" s="12">
        <v>199.57</v>
      </c>
      <c r="P326" s="12">
        <v>194.99</v>
      </c>
      <c r="Q326" s="12">
        <v>0.34</v>
      </c>
      <c r="R326" s="11">
        <v>2270588315387</v>
      </c>
      <c r="S326" s="11">
        <v>7789159608</v>
      </c>
      <c r="T326" s="11">
        <v>6601583372</v>
      </c>
      <c r="U326" s="11">
        <v>0</v>
      </c>
      <c r="V326" s="11">
        <v>1187576236</v>
      </c>
      <c r="W326" s="11">
        <v>2278377474995</v>
      </c>
      <c r="X326" s="11">
        <v>186245339947</v>
      </c>
      <c r="Y326" s="11">
        <v>32149999998</v>
      </c>
      <c r="Z326" s="11">
        <v>2496772814940</v>
      </c>
      <c r="AA326" s="11">
        <v>1790751442501</v>
      </c>
      <c r="AB326" s="12">
        <v>27.23</v>
      </c>
      <c r="AC326" s="11">
        <v>1027779015370</v>
      </c>
      <c r="AD326" s="11">
        <v>958924412357</v>
      </c>
      <c r="AE326" s="11">
        <v>96000000000</v>
      </c>
      <c r="AF326" s="11">
        <v>0</v>
      </c>
      <c r="AG326" s="11">
        <v>0</v>
      </c>
      <c r="AH326" s="11">
        <v>0</v>
      </c>
      <c r="AI326" s="11">
        <v>0</v>
      </c>
      <c r="AJ326" s="12">
        <v>2</v>
      </c>
      <c r="AK326" s="11">
        <v>131749428548</v>
      </c>
      <c r="AL326" s="12">
        <v>4</v>
      </c>
      <c r="AM326" s="11">
        <v>6294600000</v>
      </c>
      <c r="AN326" s="12">
        <v>7</v>
      </c>
      <c r="AO326" s="11">
        <v>4877352532</v>
      </c>
      <c r="AP326" s="11">
        <v>7789159608</v>
      </c>
      <c r="AQ326" s="11">
        <v>9633075831</v>
      </c>
      <c r="AR326" s="11">
        <v>-1843916223</v>
      </c>
      <c r="AS326" s="12">
        <v>-19.14</v>
      </c>
      <c r="AT326" s="11">
        <v>609976514079</v>
      </c>
      <c r="AU326" s="11">
        <v>67954804111</v>
      </c>
      <c r="AV326" s="11">
        <v>382621487599</v>
      </c>
      <c r="AW326" s="11">
        <v>151861277669</v>
      </c>
      <c r="AX326" s="11">
        <v>270015560505</v>
      </c>
      <c r="AY326" s="11">
        <v>289772800000</v>
      </c>
      <c r="AZ326" s="11">
        <v>52347579571</v>
      </c>
      <c r="BA326" s="11">
        <v>1141627551825</v>
      </c>
      <c r="BB326" s="13">
        <v>37351</v>
      </c>
      <c r="BC326" s="11">
        <v>556836443927</v>
      </c>
      <c r="BD326" s="11">
        <v>269815560505</v>
      </c>
      <c r="BE326" s="11">
        <v>314975547393</v>
      </c>
      <c r="BF326" s="11">
        <v>759664825343</v>
      </c>
      <c r="BG326" s="11">
        <v>268114190027</v>
      </c>
      <c r="BH326" s="11">
        <v>96000000000</v>
      </c>
      <c r="BI326" s="11">
        <v>0</v>
      </c>
      <c r="BJ326" s="11">
        <v>0</v>
      </c>
      <c r="BK326" s="11">
        <v>0</v>
      </c>
      <c r="BL326" s="11">
        <v>0</v>
      </c>
      <c r="BM326" s="11">
        <v>0</v>
      </c>
    </row>
    <row r="327" spans="1:65" x14ac:dyDescent="0.25">
      <c r="A327" s="32"/>
      <c r="B327" s="10">
        <v>2602</v>
      </c>
      <c r="C327" s="10" t="s">
        <v>378</v>
      </c>
      <c r="D327" s="11">
        <v>1742995976973</v>
      </c>
      <c r="E327" s="11">
        <v>55424905034</v>
      </c>
      <c r="F327" s="11">
        <v>65450296000</v>
      </c>
      <c r="G327" s="11">
        <v>0</v>
      </c>
      <c r="H327" s="11">
        <v>1863871178007</v>
      </c>
      <c r="I327" s="11">
        <v>142033718083</v>
      </c>
      <c r="J327" s="11">
        <v>1721837459924</v>
      </c>
      <c r="K327" s="11">
        <v>1371794469556</v>
      </c>
      <c r="L327" s="11">
        <v>492076708451</v>
      </c>
      <c r="M327" s="12">
        <v>35.869999999999997</v>
      </c>
      <c r="N327" s="11">
        <v>1511348337717</v>
      </c>
      <c r="O327" s="12">
        <v>87.63</v>
      </c>
      <c r="P327" s="12">
        <v>87.78</v>
      </c>
      <c r="Q327" s="12">
        <v>0.43</v>
      </c>
      <c r="R327" s="11">
        <v>1626064352386</v>
      </c>
      <c r="S327" s="11">
        <v>7307934593</v>
      </c>
      <c r="T327" s="11">
        <v>5628542789</v>
      </c>
      <c r="U327" s="11">
        <v>1679391804</v>
      </c>
      <c r="V327" s="11">
        <v>0</v>
      </c>
      <c r="W327" s="11">
        <v>1633372286979</v>
      </c>
      <c r="X327" s="11">
        <v>69726978054</v>
      </c>
      <c r="Y327" s="11">
        <v>15647897557</v>
      </c>
      <c r="Z327" s="11">
        <v>1718747162590</v>
      </c>
      <c r="AA327" s="11">
        <v>1280326386005</v>
      </c>
      <c r="AB327" s="12">
        <v>27.57</v>
      </c>
      <c r="AC327" s="11">
        <v>1303873533005</v>
      </c>
      <c r="AD327" s="11">
        <v>1303873533005</v>
      </c>
      <c r="AE327" s="11">
        <v>141553148721</v>
      </c>
      <c r="AF327" s="11">
        <v>0</v>
      </c>
      <c r="AG327" s="11">
        <v>0</v>
      </c>
      <c r="AH327" s="11">
        <v>0</v>
      </c>
      <c r="AI327" s="11">
        <v>0</v>
      </c>
      <c r="AJ327" s="12">
        <v>10</v>
      </c>
      <c r="AK327" s="11">
        <v>601884481443</v>
      </c>
      <c r="AL327" s="12">
        <v>29</v>
      </c>
      <c r="AM327" s="11">
        <v>94365189609</v>
      </c>
      <c r="AN327" s="12">
        <v>16</v>
      </c>
      <c r="AO327" s="11">
        <v>40263346918</v>
      </c>
      <c r="AP327" s="11">
        <v>7307934593</v>
      </c>
      <c r="AQ327" s="11">
        <v>7525625292</v>
      </c>
      <c r="AR327" s="11">
        <v>-217690699</v>
      </c>
      <c r="AS327" s="12">
        <v>-2.89</v>
      </c>
      <c r="AT327" s="11">
        <v>1054801893608</v>
      </c>
      <c r="AU327" s="11">
        <v>170401371787</v>
      </c>
      <c r="AV327" s="11">
        <v>665927228622</v>
      </c>
      <c r="AW327" s="11">
        <v>237520639930</v>
      </c>
      <c r="AX327" s="11">
        <v>432994508421</v>
      </c>
      <c r="AY327" s="11">
        <v>406553600000</v>
      </c>
      <c r="AZ327" s="11">
        <v>243300899128</v>
      </c>
      <c r="BA327" s="11">
        <v>1863871178007</v>
      </c>
      <c r="BB327" s="13">
        <v>112543</v>
      </c>
      <c r="BC327" s="11">
        <v>954930004700</v>
      </c>
      <c r="BD327" s="11">
        <v>498444804421</v>
      </c>
      <c r="BE327" s="11">
        <v>410496368886</v>
      </c>
      <c r="BF327" s="11">
        <v>663221384284</v>
      </c>
      <c r="BG327" s="11">
        <v>640652148721</v>
      </c>
      <c r="BH327" s="11">
        <v>0</v>
      </c>
      <c r="BI327" s="11">
        <v>0</v>
      </c>
      <c r="BJ327" s="11">
        <v>150129445175</v>
      </c>
      <c r="BK327" s="11">
        <v>0</v>
      </c>
      <c r="BL327" s="11">
        <v>0</v>
      </c>
      <c r="BM327" s="11">
        <v>0</v>
      </c>
    </row>
    <row r="328" spans="1:65" x14ac:dyDescent="0.25">
      <c r="A328" s="32"/>
      <c r="B328" s="10">
        <v>2603</v>
      </c>
      <c r="C328" s="10" t="s">
        <v>379</v>
      </c>
      <c r="D328" s="11">
        <v>920601666582</v>
      </c>
      <c r="E328" s="11">
        <v>46241067210</v>
      </c>
      <c r="F328" s="11">
        <v>0</v>
      </c>
      <c r="G328" s="11">
        <v>0</v>
      </c>
      <c r="H328" s="11">
        <v>966842733792</v>
      </c>
      <c r="I328" s="11">
        <v>66837572191</v>
      </c>
      <c r="J328" s="11">
        <v>900005161601</v>
      </c>
      <c r="K328" s="11">
        <v>840786148131</v>
      </c>
      <c r="L328" s="11">
        <v>126056585661</v>
      </c>
      <c r="M328" s="12">
        <v>14.99</v>
      </c>
      <c r="N328" s="11">
        <v>1675591432575</v>
      </c>
      <c r="O328" s="12">
        <v>180.97</v>
      </c>
      <c r="P328" s="12">
        <v>186.18</v>
      </c>
      <c r="Q328" s="12">
        <v>12.79</v>
      </c>
      <c r="R328" s="11">
        <v>1504731321269</v>
      </c>
      <c r="S328" s="11">
        <v>244964573773</v>
      </c>
      <c r="T328" s="11">
        <v>243247923166</v>
      </c>
      <c r="U328" s="11">
        <v>700168408</v>
      </c>
      <c r="V328" s="11">
        <v>1016482199</v>
      </c>
      <c r="W328" s="11">
        <v>1749695895042</v>
      </c>
      <c r="X328" s="11">
        <v>137512713557</v>
      </c>
      <c r="Y328" s="11">
        <v>34248464000</v>
      </c>
      <c r="Z328" s="11">
        <v>1921457072599</v>
      </c>
      <c r="AA328" s="11">
        <v>1431594614721</v>
      </c>
      <c r="AB328" s="12">
        <v>22.22</v>
      </c>
      <c r="AC328" s="11">
        <v>978037683499</v>
      </c>
      <c r="AD328" s="11">
        <v>978037683499</v>
      </c>
      <c r="AE328" s="11">
        <v>6517500000</v>
      </c>
      <c r="AF328" s="11">
        <v>14760000</v>
      </c>
      <c r="AG328" s="11">
        <v>0</v>
      </c>
      <c r="AH328" s="11">
        <v>0</v>
      </c>
      <c r="AI328" s="11">
        <v>0</v>
      </c>
      <c r="AJ328" s="12">
        <v>3</v>
      </c>
      <c r="AK328" s="11">
        <v>496375000000</v>
      </c>
      <c r="AL328" s="12">
        <v>7</v>
      </c>
      <c r="AM328" s="11">
        <v>160200775000</v>
      </c>
      <c r="AN328" s="12">
        <v>9</v>
      </c>
      <c r="AO328" s="11">
        <v>28395875000</v>
      </c>
      <c r="AP328" s="11">
        <v>244964573773</v>
      </c>
      <c r="AQ328" s="11">
        <v>8948724660</v>
      </c>
      <c r="AR328" s="11">
        <v>236015849113</v>
      </c>
      <c r="AS328" s="19">
        <v>2637.42</v>
      </c>
      <c r="AT328" s="11">
        <v>805284726201</v>
      </c>
      <c r="AU328" s="11">
        <v>106463077877</v>
      </c>
      <c r="AV328" s="11">
        <v>340683877696</v>
      </c>
      <c r="AW328" s="11">
        <v>108395578573</v>
      </c>
      <c r="AX328" s="11">
        <v>191702910313</v>
      </c>
      <c r="AY328" s="11">
        <v>279819300000</v>
      </c>
      <c r="AZ328" s="11">
        <v>125449859690</v>
      </c>
      <c r="BA328" s="11">
        <v>966842733792</v>
      </c>
      <c r="BB328" s="13">
        <v>82479</v>
      </c>
      <c r="BC328" s="11">
        <v>495320523479</v>
      </c>
      <c r="BD328" s="11">
        <v>191702910313</v>
      </c>
      <c r="BE328" s="11">
        <v>279819300000</v>
      </c>
      <c r="BF328" s="11">
        <v>843993181490</v>
      </c>
      <c r="BG328" s="11">
        <v>134044502009</v>
      </c>
      <c r="BH328" s="11">
        <v>0</v>
      </c>
      <c r="BI328" s="11">
        <v>0</v>
      </c>
      <c r="BJ328" s="11">
        <v>6517500000</v>
      </c>
      <c r="BK328" s="11">
        <v>0</v>
      </c>
      <c r="BL328" s="11">
        <v>0</v>
      </c>
      <c r="BM328" s="11">
        <v>14772535</v>
      </c>
    </row>
    <row r="329" spans="1:65" x14ac:dyDescent="0.25">
      <c r="A329" s="32"/>
      <c r="B329" s="10">
        <v>2604</v>
      </c>
      <c r="C329" s="10" t="s">
        <v>380</v>
      </c>
      <c r="D329" s="11">
        <v>260064060029</v>
      </c>
      <c r="E329" s="11">
        <v>4478581590</v>
      </c>
      <c r="F329" s="11">
        <v>0</v>
      </c>
      <c r="G329" s="11">
        <v>0</v>
      </c>
      <c r="H329" s="11">
        <v>264542641619</v>
      </c>
      <c r="I329" s="11">
        <v>19754973342</v>
      </c>
      <c r="J329" s="11">
        <v>244787668277</v>
      </c>
      <c r="K329" s="11">
        <v>167782507778</v>
      </c>
      <c r="L329" s="11">
        <v>96760133841</v>
      </c>
      <c r="M329" s="12">
        <v>57.67</v>
      </c>
      <c r="N329" s="11">
        <v>129547542014</v>
      </c>
      <c r="O329" s="12">
        <v>50.84</v>
      </c>
      <c r="P329" s="12">
        <v>52.92</v>
      </c>
      <c r="Q329" s="12">
        <v>0.14000000000000001</v>
      </c>
      <c r="R329" s="11">
        <v>134291085183</v>
      </c>
      <c r="S329" s="11">
        <v>197690799</v>
      </c>
      <c r="T329" s="11">
        <v>197690799</v>
      </c>
      <c r="U329" s="11">
        <v>0</v>
      </c>
      <c r="V329" s="11">
        <v>0</v>
      </c>
      <c r="W329" s="11">
        <v>134488775982</v>
      </c>
      <c r="X329" s="11">
        <v>9860214933</v>
      </c>
      <c r="Y329" s="11">
        <v>400000000</v>
      </c>
      <c r="Z329" s="11">
        <v>144748990915</v>
      </c>
      <c r="AA329" s="11">
        <v>84813189336</v>
      </c>
      <c r="AB329" s="12">
        <v>58.57</v>
      </c>
      <c r="AC329" s="11">
        <v>74699319000</v>
      </c>
      <c r="AD329" s="11">
        <v>74699319000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2">
        <v>0</v>
      </c>
      <c r="AK329" s="11">
        <v>0</v>
      </c>
      <c r="AL329" s="12">
        <v>4</v>
      </c>
      <c r="AM329" s="11">
        <v>13950000000</v>
      </c>
      <c r="AN329" s="12">
        <v>0</v>
      </c>
      <c r="AO329" s="11">
        <v>0</v>
      </c>
      <c r="AP329" s="11">
        <v>197690799</v>
      </c>
      <c r="AQ329" s="11">
        <v>0</v>
      </c>
      <c r="AR329" s="11">
        <v>197690799</v>
      </c>
      <c r="AS329" s="12"/>
      <c r="AT329" s="11">
        <v>29701454785</v>
      </c>
      <c r="AU329" s="11">
        <v>79526432</v>
      </c>
      <c r="AV329" s="11">
        <v>33399046442</v>
      </c>
      <c r="AW329" s="11">
        <v>34796037844</v>
      </c>
      <c r="AX329" s="11">
        <v>86591975743</v>
      </c>
      <c r="AY329" s="11">
        <v>105277000000</v>
      </c>
      <c r="AZ329" s="11">
        <v>84939589463</v>
      </c>
      <c r="BA329" s="11">
        <v>264542641619</v>
      </c>
      <c r="BB329" s="12">
        <v>0</v>
      </c>
      <c r="BC329" s="11">
        <v>72673665876</v>
      </c>
      <c r="BD329" s="11">
        <v>86591975743</v>
      </c>
      <c r="BE329" s="11">
        <v>105277000000</v>
      </c>
      <c r="BF329" s="11">
        <v>63699319000</v>
      </c>
      <c r="BG329" s="11">
        <v>11000000000</v>
      </c>
      <c r="BH329" s="11">
        <v>0</v>
      </c>
      <c r="BI329" s="11">
        <v>0</v>
      </c>
      <c r="BJ329" s="11">
        <v>0</v>
      </c>
      <c r="BK329" s="11">
        <v>0</v>
      </c>
      <c r="BL329" s="11">
        <v>0</v>
      </c>
      <c r="BM329" s="11">
        <v>0</v>
      </c>
    </row>
    <row r="330" spans="1:65" s="24" customFormat="1" x14ac:dyDescent="0.25">
      <c r="A330" s="32"/>
      <c r="B330" s="20">
        <v>2699</v>
      </c>
      <c r="C330" s="20" t="s">
        <v>381</v>
      </c>
      <c r="D330" s="21">
        <v>0</v>
      </c>
      <c r="E330" s="21">
        <v>1567345674</v>
      </c>
      <c r="F330" s="21">
        <v>0</v>
      </c>
      <c r="G330" s="21">
        <v>0</v>
      </c>
      <c r="H330" s="21">
        <v>1567345674</v>
      </c>
      <c r="I330" s="21">
        <v>128525644</v>
      </c>
      <c r="J330" s="21">
        <v>1438820030</v>
      </c>
      <c r="K330" s="21">
        <v>1861611677</v>
      </c>
      <c r="L330" s="21">
        <v>-294266003</v>
      </c>
      <c r="M330" s="22">
        <v>-15.81</v>
      </c>
      <c r="N330" s="21">
        <v>0</v>
      </c>
      <c r="O330" s="22">
        <v>0</v>
      </c>
      <c r="P330" s="22">
        <v>0</v>
      </c>
      <c r="Q330" s="22">
        <v>0</v>
      </c>
      <c r="R330" s="21">
        <v>0</v>
      </c>
      <c r="S330" s="21">
        <v>0</v>
      </c>
      <c r="T330" s="21">
        <v>0</v>
      </c>
      <c r="U330" s="21">
        <v>0</v>
      </c>
      <c r="V330" s="21">
        <v>0</v>
      </c>
      <c r="W330" s="21">
        <v>0</v>
      </c>
      <c r="X330" s="21">
        <v>0</v>
      </c>
      <c r="Y330" s="21">
        <v>0</v>
      </c>
      <c r="Z330" s="21">
        <v>0</v>
      </c>
      <c r="AA330" s="21">
        <v>0</v>
      </c>
      <c r="AB330" s="22"/>
      <c r="AC330" s="21">
        <v>0</v>
      </c>
      <c r="AD330" s="21">
        <v>0</v>
      </c>
      <c r="AE330" s="21">
        <v>0</v>
      </c>
      <c r="AF330" s="21">
        <v>0</v>
      </c>
      <c r="AG330" s="21">
        <v>0</v>
      </c>
      <c r="AH330" s="21">
        <v>0</v>
      </c>
      <c r="AI330" s="21">
        <v>0</v>
      </c>
      <c r="AJ330" s="22">
        <v>0</v>
      </c>
      <c r="AK330" s="21">
        <v>0</v>
      </c>
      <c r="AL330" s="22">
        <v>0</v>
      </c>
      <c r="AM330" s="21">
        <v>0</v>
      </c>
      <c r="AN330" s="12">
        <v>0</v>
      </c>
      <c r="AO330" s="11">
        <v>0</v>
      </c>
      <c r="AP330" s="21">
        <v>0</v>
      </c>
      <c r="AQ330" s="21">
        <v>0</v>
      </c>
      <c r="AR330" s="21">
        <v>0</v>
      </c>
      <c r="AS330" s="22"/>
      <c r="AT330" s="21">
        <v>0</v>
      </c>
      <c r="AU330" s="21">
        <v>0</v>
      </c>
      <c r="AV330" s="21">
        <v>0</v>
      </c>
      <c r="AW330" s="21">
        <v>0</v>
      </c>
      <c r="AX330" s="21">
        <v>0</v>
      </c>
      <c r="AY330" s="21">
        <v>0</v>
      </c>
      <c r="AZ330" s="21">
        <v>0</v>
      </c>
      <c r="BA330" s="21">
        <v>1567345674</v>
      </c>
      <c r="BB330" s="23">
        <v>0</v>
      </c>
      <c r="BC330" s="21">
        <v>1567345674</v>
      </c>
      <c r="BD330" s="21">
        <v>0</v>
      </c>
      <c r="BE330" s="21">
        <v>0</v>
      </c>
      <c r="BF330" s="21">
        <v>0</v>
      </c>
      <c r="BG330" s="21">
        <v>0</v>
      </c>
      <c r="BH330" s="21">
        <v>0</v>
      </c>
      <c r="BI330" s="21">
        <v>0</v>
      </c>
      <c r="BJ330" s="21">
        <v>0</v>
      </c>
      <c r="BK330" s="21">
        <v>0</v>
      </c>
      <c r="BL330" s="21">
        <v>0</v>
      </c>
      <c r="BM330" s="21">
        <v>0</v>
      </c>
    </row>
    <row r="331" spans="1:65" s="25" customFormat="1" x14ac:dyDescent="0.25">
      <c r="A331" s="14" t="s">
        <v>609</v>
      </c>
      <c r="B331" s="15"/>
      <c r="C331" s="15"/>
      <c r="D331" s="16">
        <v>6759492634734</v>
      </c>
      <c r="E331" s="16">
        <v>336388997577</v>
      </c>
      <c r="F331" s="16">
        <v>65450296000</v>
      </c>
      <c r="G331" s="16">
        <v>67378190130</v>
      </c>
      <c r="H331" s="16">
        <v>7228710118441</v>
      </c>
      <c r="I331" s="16">
        <v>548260319817</v>
      </c>
      <c r="J331" s="16">
        <v>6680449798624</v>
      </c>
      <c r="K331" s="16">
        <v>5731275444568</v>
      </c>
      <c r="L331" s="16">
        <v>1497434673873</v>
      </c>
      <c r="M331" s="17">
        <v>26.13</v>
      </c>
      <c r="N331" s="16">
        <v>9201051001181</v>
      </c>
      <c r="O331" s="17">
        <v>142.44999999999999</v>
      </c>
      <c r="P331" s="17">
        <v>137.72999999999999</v>
      </c>
      <c r="Q331" s="17">
        <v>2.4300000000000002</v>
      </c>
      <c r="R331" s="16">
        <v>10031661031604</v>
      </c>
      <c r="S331" s="16">
        <v>265655659623</v>
      </c>
      <c r="T331" s="16">
        <v>259453825680</v>
      </c>
      <c r="U331" s="16">
        <v>2379560212</v>
      </c>
      <c r="V331" s="16">
        <v>3822273731</v>
      </c>
      <c r="W331" s="16">
        <v>10297316691227</v>
      </c>
      <c r="X331" s="16">
        <v>641850914498</v>
      </c>
      <c r="Y331" s="16">
        <v>103893808798</v>
      </c>
      <c r="Z331" s="16">
        <v>11043061414523</v>
      </c>
      <c r="AA331" s="16">
        <v>7629405321356</v>
      </c>
      <c r="AB331" s="17">
        <v>34.97</v>
      </c>
      <c r="AC331" s="16">
        <v>5983090483378</v>
      </c>
      <c r="AD331" s="16">
        <v>5914235880365</v>
      </c>
      <c r="AE331" s="16">
        <v>244070648721</v>
      </c>
      <c r="AF331" s="16">
        <v>14760000</v>
      </c>
      <c r="AG331" s="16">
        <v>0</v>
      </c>
      <c r="AH331" s="16">
        <v>0</v>
      </c>
      <c r="AI331" s="16">
        <v>0</v>
      </c>
      <c r="AJ331" s="17">
        <v>18</v>
      </c>
      <c r="AK331" s="16">
        <v>1355723168961</v>
      </c>
      <c r="AL331" s="17">
        <v>67</v>
      </c>
      <c r="AM331" s="16">
        <v>404884266663</v>
      </c>
      <c r="AN331" s="18">
        <f>SUM(AN325:AN330)</f>
        <v>36</v>
      </c>
      <c r="AO331" s="16">
        <f>SUM(AO325:AO330)</f>
        <v>75985374450</v>
      </c>
      <c r="AP331" s="16">
        <v>265655659623</v>
      </c>
      <c r="AQ331" s="16">
        <v>35468593991</v>
      </c>
      <c r="AR331" s="16">
        <v>230187065632</v>
      </c>
      <c r="AS331" s="17">
        <v>648.99</v>
      </c>
      <c r="AT331" s="16">
        <v>4126448567526</v>
      </c>
      <c r="AU331" s="16">
        <v>519578754466</v>
      </c>
      <c r="AV331" s="16">
        <v>1804604628021</v>
      </c>
      <c r="AW331" s="16">
        <v>733916067511</v>
      </c>
      <c r="AX331" s="16">
        <v>2179936239202</v>
      </c>
      <c r="AY331" s="16">
        <v>2041035700000</v>
      </c>
      <c r="AZ331" s="16">
        <v>1483937733733</v>
      </c>
      <c r="BA331" s="16">
        <v>7228710118441</v>
      </c>
      <c r="BB331" s="18">
        <v>447954</v>
      </c>
      <c r="BC331" s="16">
        <v>2913342366960</v>
      </c>
      <c r="BD331" s="16">
        <v>2245186535202</v>
      </c>
      <c r="BE331" s="16">
        <v>2070181216279</v>
      </c>
      <c r="BF331" s="16">
        <v>4253273480759</v>
      </c>
      <c r="BG331" s="16">
        <v>1729817002619</v>
      </c>
      <c r="BH331" s="16">
        <v>96000000000</v>
      </c>
      <c r="BI331" s="16">
        <v>0</v>
      </c>
      <c r="BJ331" s="16">
        <v>156646945175</v>
      </c>
      <c r="BK331" s="16">
        <v>0</v>
      </c>
      <c r="BL331" s="16">
        <v>0</v>
      </c>
      <c r="BM331" s="16">
        <v>14772535</v>
      </c>
    </row>
    <row r="332" spans="1:65" x14ac:dyDescent="0.25">
      <c r="A332" s="32" t="s">
        <v>382</v>
      </c>
      <c r="B332" s="10">
        <v>3300</v>
      </c>
      <c r="C332" s="10" t="s">
        <v>383</v>
      </c>
      <c r="D332" s="11">
        <v>2417663532922</v>
      </c>
      <c r="E332" s="11">
        <v>370845952344</v>
      </c>
      <c r="F332" s="11">
        <v>23881042228</v>
      </c>
      <c r="G332" s="11">
        <v>124148800</v>
      </c>
      <c r="H332" s="11">
        <v>2812514676294</v>
      </c>
      <c r="I332" s="11">
        <v>227626043693</v>
      </c>
      <c r="J332" s="11">
        <v>2584888632601</v>
      </c>
      <c r="K332" s="11">
        <v>2522270081013</v>
      </c>
      <c r="L332" s="11">
        <v>290244595281</v>
      </c>
      <c r="M332" s="12">
        <v>11.51</v>
      </c>
      <c r="N332" s="11">
        <v>6962701065387</v>
      </c>
      <c r="O332" s="12">
        <v>301.29000000000002</v>
      </c>
      <c r="P332" s="12">
        <v>269.36</v>
      </c>
      <c r="Q332" s="12">
        <v>1.1399999999999999</v>
      </c>
      <c r="R332" s="11">
        <v>8416572030493</v>
      </c>
      <c r="S332" s="11">
        <v>57204609547</v>
      </c>
      <c r="T332" s="11">
        <v>16539980927</v>
      </c>
      <c r="U332" s="11">
        <v>17324355818</v>
      </c>
      <c r="V332" s="11">
        <v>23340272802</v>
      </c>
      <c r="W332" s="11">
        <v>8473776640040</v>
      </c>
      <c r="X332" s="11">
        <v>942057361765</v>
      </c>
      <c r="Y332" s="11">
        <v>63941355022</v>
      </c>
      <c r="Z332" s="11">
        <v>9479775356827</v>
      </c>
      <c r="AA332" s="11">
        <v>5635541997222</v>
      </c>
      <c r="AB332" s="12">
        <v>50.36</v>
      </c>
      <c r="AC332" s="11">
        <v>2676480757157</v>
      </c>
      <c r="AD332" s="11">
        <v>2199472537980</v>
      </c>
      <c r="AE332" s="11">
        <v>8523643040</v>
      </c>
      <c r="AF332" s="11">
        <v>1550000000</v>
      </c>
      <c r="AG332" s="11">
        <v>0</v>
      </c>
      <c r="AH332" s="11">
        <v>0</v>
      </c>
      <c r="AI332" s="11">
        <v>0</v>
      </c>
      <c r="AJ332" s="12">
        <v>1</v>
      </c>
      <c r="AK332" s="11">
        <v>82235225600</v>
      </c>
      <c r="AL332" s="12">
        <v>211</v>
      </c>
      <c r="AM332" s="11">
        <v>2901551326979</v>
      </c>
      <c r="AN332" s="12">
        <v>140</v>
      </c>
      <c r="AO332" s="11">
        <v>1146095285938</v>
      </c>
      <c r="AP332" s="11">
        <v>57204609547</v>
      </c>
      <c r="AQ332" s="11">
        <v>57089043590</v>
      </c>
      <c r="AR332" s="11">
        <v>115565957</v>
      </c>
      <c r="AS332" s="12">
        <v>0.2</v>
      </c>
      <c r="AT332" s="11">
        <v>1361614216859</v>
      </c>
      <c r="AU332" s="11">
        <v>243529864305</v>
      </c>
      <c r="AV332" s="11">
        <v>333179328911</v>
      </c>
      <c r="AW332" s="11">
        <v>414367342535</v>
      </c>
      <c r="AX332" s="11">
        <v>472138861476</v>
      </c>
      <c r="AY332" s="11">
        <v>1197978000000</v>
      </c>
      <c r="AZ332" s="11">
        <v>384669386731</v>
      </c>
      <c r="BA332" s="11">
        <v>2812514676294</v>
      </c>
      <c r="BB332" s="13">
        <v>98022</v>
      </c>
      <c r="BC332" s="11">
        <v>1039404842254</v>
      </c>
      <c r="BD332" s="11">
        <v>496019903704</v>
      </c>
      <c r="BE332" s="11">
        <v>1277089930336</v>
      </c>
      <c r="BF332" s="11">
        <v>1408713276728</v>
      </c>
      <c r="BG332" s="11">
        <v>1267767480429</v>
      </c>
      <c r="BH332" s="11">
        <v>0</v>
      </c>
      <c r="BI332" s="11">
        <v>0</v>
      </c>
      <c r="BJ332" s="11">
        <v>82032990334</v>
      </c>
      <c r="BK332" s="11">
        <v>0</v>
      </c>
      <c r="BL332" s="11">
        <v>0</v>
      </c>
      <c r="BM332" s="11">
        <v>1555265753</v>
      </c>
    </row>
    <row r="333" spans="1:65" x14ac:dyDescent="0.25">
      <c r="A333" s="32"/>
      <c r="B333" s="10">
        <v>3301</v>
      </c>
      <c r="C333" s="10" t="s">
        <v>384</v>
      </c>
      <c r="D333" s="11">
        <v>1229630609959</v>
      </c>
      <c r="E333" s="11">
        <v>15359200409</v>
      </c>
      <c r="F333" s="11">
        <v>0</v>
      </c>
      <c r="G333" s="11">
        <v>0</v>
      </c>
      <c r="H333" s="11">
        <v>1244989810368</v>
      </c>
      <c r="I333" s="11">
        <v>102741698277</v>
      </c>
      <c r="J333" s="11">
        <v>1142248112091</v>
      </c>
      <c r="K333" s="11">
        <v>1192522760059</v>
      </c>
      <c r="L333" s="11">
        <v>52467050309</v>
      </c>
      <c r="M333" s="12">
        <v>4.4000000000000004</v>
      </c>
      <c r="N333" s="11">
        <v>1486404608586</v>
      </c>
      <c r="O333" s="12">
        <v>127.3</v>
      </c>
      <c r="P333" s="12">
        <v>130.13</v>
      </c>
      <c r="Q333" s="12">
        <v>2.37</v>
      </c>
      <c r="R333" s="11">
        <v>1547392777002</v>
      </c>
      <c r="S333" s="11">
        <v>37478988982</v>
      </c>
      <c r="T333" s="11">
        <v>7786294337</v>
      </c>
      <c r="U333" s="11">
        <v>1950956956</v>
      </c>
      <c r="V333" s="11">
        <v>27741737689</v>
      </c>
      <c r="W333" s="11">
        <v>1584871765984</v>
      </c>
      <c r="X333" s="11">
        <v>164267896890</v>
      </c>
      <c r="Y333" s="11">
        <v>20754535000</v>
      </c>
      <c r="Z333" s="11">
        <v>1769894197874</v>
      </c>
      <c r="AA333" s="11">
        <v>1237547158368</v>
      </c>
      <c r="AB333" s="12">
        <v>28.07</v>
      </c>
      <c r="AC333" s="11">
        <v>655250106513</v>
      </c>
      <c r="AD333" s="11">
        <v>655250106513</v>
      </c>
      <c r="AE333" s="11">
        <v>78995254119</v>
      </c>
      <c r="AF333" s="11">
        <v>0</v>
      </c>
      <c r="AG333" s="11">
        <v>0</v>
      </c>
      <c r="AH333" s="11">
        <v>0</v>
      </c>
      <c r="AI333" s="11">
        <v>0</v>
      </c>
      <c r="AJ333" s="12">
        <v>1</v>
      </c>
      <c r="AK333" s="11">
        <v>100000000000</v>
      </c>
      <c r="AL333" s="12">
        <v>55</v>
      </c>
      <c r="AM333" s="11">
        <v>394856458314</v>
      </c>
      <c r="AN333" s="12">
        <v>13</v>
      </c>
      <c r="AO333" s="11">
        <v>33406702163</v>
      </c>
      <c r="AP333" s="11">
        <v>37478988982</v>
      </c>
      <c r="AQ333" s="11">
        <v>25341027558</v>
      </c>
      <c r="AR333" s="11">
        <v>12137961424</v>
      </c>
      <c r="AS333" s="12">
        <v>47.9</v>
      </c>
      <c r="AT333" s="11">
        <v>463311395981</v>
      </c>
      <c r="AU333" s="11">
        <v>74036747901</v>
      </c>
      <c r="AV333" s="11">
        <v>201375589907</v>
      </c>
      <c r="AW333" s="11">
        <v>148307813591</v>
      </c>
      <c r="AX333" s="11">
        <v>432460706461</v>
      </c>
      <c r="AY333" s="11">
        <v>447486500000</v>
      </c>
      <c r="AZ333" s="11">
        <v>325697989419</v>
      </c>
      <c r="BA333" s="11">
        <v>1244989810368</v>
      </c>
      <c r="BB333" s="13">
        <v>10739</v>
      </c>
      <c r="BC333" s="11">
        <v>365042603907</v>
      </c>
      <c r="BD333" s="11">
        <v>432460706461</v>
      </c>
      <c r="BE333" s="11">
        <v>447486500000</v>
      </c>
      <c r="BF333" s="11">
        <v>543650949253</v>
      </c>
      <c r="BG333" s="11">
        <v>111599157260</v>
      </c>
      <c r="BH333" s="11">
        <v>0</v>
      </c>
      <c r="BI333" s="11">
        <v>0</v>
      </c>
      <c r="BJ333" s="11">
        <v>79026896990</v>
      </c>
      <c r="BK333" s="11">
        <v>0</v>
      </c>
      <c r="BL333" s="11">
        <v>0</v>
      </c>
      <c r="BM333" s="11">
        <v>0</v>
      </c>
    </row>
    <row r="334" spans="1:65" x14ac:dyDescent="0.25">
      <c r="A334" s="32"/>
      <c r="B334" s="10">
        <v>3302</v>
      </c>
      <c r="C334" s="10" t="s">
        <v>385</v>
      </c>
      <c r="D334" s="11">
        <v>759431968203</v>
      </c>
      <c r="E334" s="11">
        <v>16669956686</v>
      </c>
      <c r="F334" s="11">
        <v>0</v>
      </c>
      <c r="G334" s="11">
        <v>0</v>
      </c>
      <c r="H334" s="11">
        <v>776101924889</v>
      </c>
      <c r="I334" s="11">
        <v>66155729657</v>
      </c>
      <c r="J334" s="11">
        <v>709946195232</v>
      </c>
      <c r="K334" s="11">
        <v>908560952681</v>
      </c>
      <c r="L334" s="11">
        <v>-132459027792</v>
      </c>
      <c r="M334" s="12">
        <v>-14.58</v>
      </c>
      <c r="N334" s="11">
        <v>1431689942469</v>
      </c>
      <c r="O334" s="12">
        <v>191.79</v>
      </c>
      <c r="P334" s="12">
        <v>201.66</v>
      </c>
      <c r="Q334" s="12">
        <v>4.88</v>
      </c>
      <c r="R334" s="11">
        <v>1408542680731</v>
      </c>
      <c r="S334" s="11">
        <v>79962761449</v>
      </c>
      <c r="T334" s="11">
        <v>12601185202</v>
      </c>
      <c r="U334" s="11">
        <v>18527114645</v>
      </c>
      <c r="V334" s="11">
        <v>48834461602</v>
      </c>
      <c r="W334" s="11">
        <v>1488505442180</v>
      </c>
      <c r="X334" s="11">
        <v>247707438177</v>
      </c>
      <c r="Y334" s="11">
        <v>21249910000</v>
      </c>
      <c r="Z334" s="11">
        <v>1757462790357</v>
      </c>
      <c r="AA334" s="11">
        <v>1275641919650</v>
      </c>
      <c r="AB334" s="12">
        <v>16.690000000000001</v>
      </c>
      <c r="AC334" s="11">
        <v>499189699727</v>
      </c>
      <c r="AD334" s="11">
        <v>483037740497</v>
      </c>
      <c r="AE334" s="11">
        <v>58158275881</v>
      </c>
      <c r="AF334" s="11">
        <v>0</v>
      </c>
      <c r="AG334" s="11">
        <v>1720000000</v>
      </c>
      <c r="AH334" s="11">
        <v>0</v>
      </c>
      <c r="AI334" s="11">
        <v>0</v>
      </c>
      <c r="AJ334" s="12">
        <v>0</v>
      </c>
      <c r="AK334" s="11">
        <v>0</v>
      </c>
      <c r="AL334" s="12">
        <v>15</v>
      </c>
      <c r="AM334" s="11">
        <v>107826000000</v>
      </c>
      <c r="AN334" s="12">
        <v>5</v>
      </c>
      <c r="AO334" s="11">
        <v>27665000000</v>
      </c>
      <c r="AP334" s="11">
        <v>79962761449</v>
      </c>
      <c r="AQ334" s="11">
        <v>91472780333</v>
      </c>
      <c r="AR334" s="11">
        <v>-11510018884</v>
      </c>
      <c r="AS334" s="12">
        <v>-12.58</v>
      </c>
      <c r="AT334" s="11">
        <v>383509445867</v>
      </c>
      <c r="AU334" s="11">
        <v>157076761757</v>
      </c>
      <c r="AV334" s="11">
        <v>128219236677</v>
      </c>
      <c r="AW334" s="11">
        <v>172624538778</v>
      </c>
      <c r="AX334" s="11">
        <v>182892292748</v>
      </c>
      <c r="AY334" s="11">
        <v>275695900000</v>
      </c>
      <c r="AZ334" s="11">
        <v>82075663763</v>
      </c>
      <c r="BA334" s="11">
        <v>776101924889</v>
      </c>
      <c r="BB334" s="13">
        <v>21941</v>
      </c>
      <c r="BC334" s="11">
        <v>317513732141</v>
      </c>
      <c r="BD334" s="11">
        <v>182892292748</v>
      </c>
      <c r="BE334" s="11">
        <v>275695900000</v>
      </c>
      <c r="BF334" s="11">
        <v>300678701642</v>
      </c>
      <c r="BG334" s="11">
        <v>198510998085</v>
      </c>
      <c r="BH334" s="11">
        <v>0</v>
      </c>
      <c r="BI334" s="11">
        <v>0</v>
      </c>
      <c r="BJ334" s="11">
        <v>59709323457</v>
      </c>
      <c r="BK334" s="11">
        <v>0</v>
      </c>
      <c r="BL334" s="11">
        <v>0</v>
      </c>
      <c r="BM334" s="11">
        <v>0</v>
      </c>
    </row>
    <row r="335" spans="1:65" x14ac:dyDescent="0.25">
      <c r="A335" s="32"/>
      <c r="B335" s="10">
        <v>3303</v>
      </c>
      <c r="C335" s="10" t="s">
        <v>386</v>
      </c>
      <c r="D335" s="11">
        <v>931328240076</v>
      </c>
      <c r="E335" s="11">
        <v>8805441912</v>
      </c>
      <c r="F335" s="11">
        <v>0</v>
      </c>
      <c r="G335" s="11">
        <v>0</v>
      </c>
      <c r="H335" s="11">
        <v>940133681988</v>
      </c>
      <c r="I335" s="11">
        <v>77963075564</v>
      </c>
      <c r="J335" s="11">
        <v>862170606424</v>
      </c>
      <c r="K335" s="11">
        <v>715374624230</v>
      </c>
      <c r="L335" s="11">
        <v>224759057758</v>
      </c>
      <c r="M335" s="12">
        <v>31.42</v>
      </c>
      <c r="N335" s="11">
        <v>1340515165760</v>
      </c>
      <c r="O335" s="12">
        <v>154.44999999999999</v>
      </c>
      <c r="P335" s="12">
        <v>155.47999999999999</v>
      </c>
      <c r="Q335" s="12">
        <v>5.05</v>
      </c>
      <c r="R335" s="11">
        <v>1374504199190</v>
      </c>
      <c r="S335" s="11">
        <v>77525961949</v>
      </c>
      <c r="T335" s="11">
        <v>25799655135</v>
      </c>
      <c r="U335" s="11">
        <v>21138821529</v>
      </c>
      <c r="V335" s="11">
        <v>30587485285</v>
      </c>
      <c r="W335" s="11">
        <v>1452030161139</v>
      </c>
      <c r="X335" s="11">
        <v>145441941929</v>
      </c>
      <c r="Y335" s="11">
        <v>29759750001</v>
      </c>
      <c r="Z335" s="11">
        <v>1627231853069</v>
      </c>
      <c r="AA335" s="11">
        <v>1100643198661</v>
      </c>
      <c r="AB335" s="12">
        <v>31.93</v>
      </c>
      <c r="AC335" s="11">
        <v>649147207512</v>
      </c>
      <c r="AD335" s="11">
        <v>649147207512</v>
      </c>
      <c r="AE335" s="11">
        <v>0</v>
      </c>
      <c r="AF335" s="11">
        <v>0</v>
      </c>
      <c r="AG335" s="11">
        <v>0</v>
      </c>
      <c r="AH335" s="11">
        <v>0</v>
      </c>
      <c r="AI335" s="11">
        <v>0</v>
      </c>
      <c r="AJ335" s="12">
        <v>0</v>
      </c>
      <c r="AK335" s="11">
        <v>0</v>
      </c>
      <c r="AL335" s="12">
        <v>9</v>
      </c>
      <c r="AM335" s="11">
        <v>8634999131</v>
      </c>
      <c r="AN335" s="12">
        <v>5</v>
      </c>
      <c r="AO335" s="11">
        <v>16558500000</v>
      </c>
      <c r="AP335" s="11">
        <v>77525961949</v>
      </c>
      <c r="AQ335" s="11">
        <v>65456244080</v>
      </c>
      <c r="AR335" s="11">
        <v>12069717869</v>
      </c>
      <c r="AS335" s="12">
        <v>18.440000000000001</v>
      </c>
      <c r="AT335" s="11">
        <v>398584218470</v>
      </c>
      <c r="AU335" s="11">
        <v>114780845389</v>
      </c>
      <c r="AV335" s="11">
        <v>205606926165</v>
      </c>
      <c r="AW335" s="11">
        <v>238040044823</v>
      </c>
      <c r="AX335" s="11">
        <v>197429269088</v>
      </c>
      <c r="AY335" s="11">
        <v>290252000000</v>
      </c>
      <c r="AZ335" s="11">
        <v>117432530733</v>
      </c>
      <c r="BA335" s="11">
        <v>940133681988</v>
      </c>
      <c r="BB335" s="13">
        <v>40557</v>
      </c>
      <c r="BC335" s="11">
        <v>452452412900</v>
      </c>
      <c r="BD335" s="11">
        <v>197429269088</v>
      </c>
      <c r="BE335" s="11">
        <v>290252000000</v>
      </c>
      <c r="BF335" s="11">
        <v>346068525926</v>
      </c>
      <c r="BG335" s="11">
        <v>303078681586</v>
      </c>
      <c r="BH335" s="11">
        <v>0</v>
      </c>
      <c r="BI335" s="11">
        <v>0</v>
      </c>
      <c r="BJ335" s="11">
        <v>0</v>
      </c>
      <c r="BK335" s="11">
        <v>0</v>
      </c>
      <c r="BL335" s="11">
        <v>0</v>
      </c>
      <c r="BM335" s="11">
        <v>0</v>
      </c>
    </row>
    <row r="336" spans="1:65" x14ac:dyDescent="0.25">
      <c r="A336" s="32"/>
      <c r="B336" s="10">
        <v>3304</v>
      </c>
      <c r="C336" s="10" t="s">
        <v>387</v>
      </c>
      <c r="D336" s="11">
        <v>1127520156865</v>
      </c>
      <c r="E336" s="11">
        <v>9150792584</v>
      </c>
      <c r="F336" s="11">
        <v>0</v>
      </c>
      <c r="G336" s="11">
        <v>0</v>
      </c>
      <c r="H336" s="11">
        <v>1136670949449</v>
      </c>
      <c r="I336" s="11">
        <v>98899380282</v>
      </c>
      <c r="J336" s="11">
        <v>1037771569167</v>
      </c>
      <c r="K336" s="11">
        <v>994726431962</v>
      </c>
      <c r="L336" s="11">
        <v>141944517487</v>
      </c>
      <c r="M336" s="12">
        <v>14.27</v>
      </c>
      <c r="N336" s="11">
        <v>1270801285922</v>
      </c>
      <c r="O336" s="12">
        <v>120.12</v>
      </c>
      <c r="P336" s="12">
        <v>122.45</v>
      </c>
      <c r="Q336" s="12">
        <v>2.09</v>
      </c>
      <c r="R336" s="11">
        <v>1334363705343</v>
      </c>
      <c r="S336" s="11">
        <v>30998753473</v>
      </c>
      <c r="T336" s="11">
        <v>14049421993</v>
      </c>
      <c r="U336" s="11">
        <v>4787340889</v>
      </c>
      <c r="V336" s="11">
        <v>12161990591</v>
      </c>
      <c r="W336" s="11">
        <v>1365362458816</v>
      </c>
      <c r="X336" s="11">
        <v>120860042345</v>
      </c>
      <c r="Y336" s="11">
        <v>16142652800</v>
      </c>
      <c r="Z336" s="11">
        <v>1502365153961</v>
      </c>
      <c r="AA336" s="11">
        <v>1069115997976</v>
      </c>
      <c r="AB336" s="12">
        <v>27.71</v>
      </c>
      <c r="AC336" s="11">
        <v>522265708538</v>
      </c>
      <c r="AD336" s="11">
        <v>522265708538</v>
      </c>
      <c r="AE336" s="11">
        <v>0</v>
      </c>
      <c r="AF336" s="11">
        <v>0</v>
      </c>
      <c r="AG336" s="11">
        <v>0</v>
      </c>
      <c r="AH336" s="11">
        <v>0</v>
      </c>
      <c r="AI336" s="11">
        <v>0</v>
      </c>
      <c r="AJ336" s="12">
        <v>0</v>
      </c>
      <c r="AK336" s="11">
        <v>0</v>
      </c>
      <c r="AL336" s="12">
        <v>21</v>
      </c>
      <c r="AM336" s="11">
        <v>68205735923</v>
      </c>
      <c r="AN336" s="12">
        <v>24</v>
      </c>
      <c r="AO336" s="11">
        <v>18078787352</v>
      </c>
      <c r="AP336" s="11">
        <v>30998753473</v>
      </c>
      <c r="AQ336" s="11">
        <v>27913897436</v>
      </c>
      <c r="AR336" s="11">
        <v>3084856037</v>
      </c>
      <c r="AS336" s="12">
        <v>11.05</v>
      </c>
      <c r="AT336" s="11">
        <v>316947500703</v>
      </c>
      <c r="AU336" s="11">
        <v>93535646930</v>
      </c>
      <c r="AV336" s="11">
        <v>74572150580</v>
      </c>
      <c r="AW336" s="11">
        <v>171909405519</v>
      </c>
      <c r="AX336" s="11">
        <v>363542200766</v>
      </c>
      <c r="AY336" s="11">
        <v>517496400000</v>
      </c>
      <c r="AZ336" s="11">
        <v>286726636156</v>
      </c>
      <c r="BA336" s="11">
        <v>1136670949449</v>
      </c>
      <c r="BB336" s="13">
        <v>61457</v>
      </c>
      <c r="BC336" s="11">
        <v>255632348683</v>
      </c>
      <c r="BD336" s="11">
        <v>363542200766</v>
      </c>
      <c r="BE336" s="11">
        <v>517496400000</v>
      </c>
      <c r="BF336" s="11">
        <v>452546901628</v>
      </c>
      <c r="BG336" s="11">
        <v>69718806910</v>
      </c>
      <c r="BH336" s="11">
        <v>0</v>
      </c>
      <c r="BI336" s="11">
        <v>0</v>
      </c>
      <c r="BJ336" s="11">
        <v>0</v>
      </c>
      <c r="BK336" s="11">
        <v>0</v>
      </c>
      <c r="BL336" s="11">
        <v>0</v>
      </c>
      <c r="BM336" s="11">
        <v>266990314</v>
      </c>
    </row>
    <row r="337" spans="1:65" x14ac:dyDescent="0.25">
      <c r="A337" s="32"/>
      <c r="B337" s="10">
        <v>3305</v>
      </c>
      <c r="C337" s="10" t="s">
        <v>388</v>
      </c>
      <c r="D337" s="11">
        <v>875144690916</v>
      </c>
      <c r="E337" s="11">
        <v>22220022563</v>
      </c>
      <c r="F337" s="11">
        <v>0</v>
      </c>
      <c r="G337" s="11">
        <v>0</v>
      </c>
      <c r="H337" s="11">
        <v>897364713479</v>
      </c>
      <c r="I337" s="11">
        <v>64461186765</v>
      </c>
      <c r="J337" s="11">
        <v>832903526714</v>
      </c>
      <c r="K337" s="11">
        <v>664556082043</v>
      </c>
      <c r="L337" s="11">
        <v>232808631436</v>
      </c>
      <c r="M337" s="12">
        <v>35.03</v>
      </c>
      <c r="N337" s="11">
        <v>1797100223132</v>
      </c>
      <c r="O337" s="12">
        <v>210.48</v>
      </c>
      <c r="P337" s="12">
        <v>215.76</v>
      </c>
      <c r="Q337" s="12">
        <v>5.1100000000000003</v>
      </c>
      <c r="R337" s="11">
        <v>1798949574561</v>
      </c>
      <c r="S337" s="11">
        <v>89832455520</v>
      </c>
      <c r="T337" s="11">
        <v>19738068901</v>
      </c>
      <c r="U337" s="11">
        <v>11316115506</v>
      </c>
      <c r="V337" s="11">
        <v>58778271113</v>
      </c>
      <c r="W337" s="11">
        <v>1888782030081</v>
      </c>
      <c r="X337" s="11">
        <v>160266332360</v>
      </c>
      <c r="Y337" s="11">
        <v>19797300000</v>
      </c>
      <c r="Z337" s="11">
        <v>2068845662441</v>
      </c>
      <c r="AA337" s="11">
        <v>1418155778364</v>
      </c>
      <c r="AB337" s="12">
        <v>33.19</v>
      </c>
      <c r="AC337" s="11">
        <v>801543322313</v>
      </c>
      <c r="AD337" s="11">
        <v>725063585328</v>
      </c>
      <c r="AE337" s="11">
        <v>0</v>
      </c>
      <c r="AF337" s="11">
        <v>0</v>
      </c>
      <c r="AG337" s="11">
        <v>0</v>
      </c>
      <c r="AH337" s="11">
        <v>0</v>
      </c>
      <c r="AI337" s="11">
        <v>0</v>
      </c>
      <c r="AJ337" s="12">
        <v>0</v>
      </c>
      <c r="AK337" s="11">
        <v>0</v>
      </c>
      <c r="AL337" s="12">
        <v>80</v>
      </c>
      <c r="AM337" s="11">
        <v>167224815065</v>
      </c>
      <c r="AN337" s="12">
        <v>13</v>
      </c>
      <c r="AO337" s="11">
        <v>29287306716</v>
      </c>
      <c r="AP337" s="11">
        <v>89832455520</v>
      </c>
      <c r="AQ337" s="11">
        <v>114106107082</v>
      </c>
      <c r="AR337" s="11">
        <v>-24273651562</v>
      </c>
      <c r="AS337" s="12">
        <v>-21.27</v>
      </c>
      <c r="AT337" s="11">
        <v>386502528707</v>
      </c>
      <c r="AU337" s="11">
        <v>144081762506</v>
      </c>
      <c r="AV337" s="11">
        <v>97937206758</v>
      </c>
      <c r="AW337" s="11">
        <v>210338191399</v>
      </c>
      <c r="AX337" s="11">
        <v>303201792759</v>
      </c>
      <c r="AY337" s="11">
        <v>263667500000</v>
      </c>
      <c r="AZ337" s="11">
        <v>241974351695</v>
      </c>
      <c r="BA337" s="11">
        <v>897364713479</v>
      </c>
      <c r="BB337" s="13">
        <v>53859</v>
      </c>
      <c r="BC337" s="11">
        <v>330467781620</v>
      </c>
      <c r="BD337" s="11">
        <v>303201792759</v>
      </c>
      <c r="BE337" s="11">
        <v>263695139100</v>
      </c>
      <c r="BF337" s="11">
        <v>636112227461</v>
      </c>
      <c r="BG337" s="11">
        <v>165431094852</v>
      </c>
      <c r="BH337" s="11">
        <v>0</v>
      </c>
      <c r="BI337" s="11">
        <v>0</v>
      </c>
      <c r="BJ337" s="11">
        <v>0</v>
      </c>
      <c r="BK337" s="11">
        <v>0</v>
      </c>
      <c r="BL337" s="11">
        <v>0</v>
      </c>
      <c r="BM337" s="11">
        <v>0</v>
      </c>
    </row>
    <row r="338" spans="1:65" x14ac:dyDescent="0.25">
      <c r="A338" s="32"/>
      <c r="B338" s="10">
        <v>3306</v>
      </c>
      <c r="C338" s="10" t="s">
        <v>389</v>
      </c>
      <c r="D338" s="11">
        <v>2468398788426</v>
      </c>
      <c r="E338" s="11">
        <v>305620954934</v>
      </c>
      <c r="F338" s="11">
        <v>0</v>
      </c>
      <c r="G338" s="11">
        <v>0</v>
      </c>
      <c r="H338" s="11">
        <v>2774019743360</v>
      </c>
      <c r="I338" s="11">
        <v>215058554479</v>
      </c>
      <c r="J338" s="11">
        <v>2558961188881</v>
      </c>
      <c r="K338" s="11">
        <v>2189564700851</v>
      </c>
      <c r="L338" s="11">
        <v>584455042509</v>
      </c>
      <c r="M338" s="12">
        <v>26.69</v>
      </c>
      <c r="N338" s="11">
        <v>3498397290940</v>
      </c>
      <c r="O338" s="12">
        <v>141.63</v>
      </c>
      <c r="P338" s="12">
        <v>136.71</v>
      </c>
      <c r="Q338" s="12">
        <v>3.67</v>
      </c>
      <c r="R338" s="11">
        <v>3772456388105</v>
      </c>
      <c r="S338" s="11">
        <v>156449537512</v>
      </c>
      <c r="T338" s="11">
        <v>82153218273</v>
      </c>
      <c r="U338" s="11">
        <v>56257866207</v>
      </c>
      <c r="V338" s="11">
        <v>18038453032</v>
      </c>
      <c r="W338" s="11">
        <v>3928905925617</v>
      </c>
      <c r="X338" s="11">
        <v>329539865363</v>
      </c>
      <c r="Y338" s="11">
        <v>58970333911</v>
      </c>
      <c r="Z338" s="11">
        <v>4317416124891</v>
      </c>
      <c r="AA338" s="11">
        <v>3430866927542</v>
      </c>
      <c r="AB338" s="12">
        <v>14.52</v>
      </c>
      <c r="AC338" s="11">
        <v>1563574451376</v>
      </c>
      <c r="AD338" s="11">
        <v>1411228192746</v>
      </c>
      <c r="AE338" s="11">
        <v>31244682288</v>
      </c>
      <c r="AF338" s="11">
        <v>0</v>
      </c>
      <c r="AG338" s="11">
        <v>0</v>
      </c>
      <c r="AH338" s="11">
        <v>0</v>
      </c>
      <c r="AI338" s="11">
        <v>0</v>
      </c>
      <c r="AJ338" s="12">
        <v>2</v>
      </c>
      <c r="AK338" s="11">
        <v>167683626000</v>
      </c>
      <c r="AL338" s="12">
        <v>241</v>
      </c>
      <c r="AM338" s="11">
        <v>2423461526626</v>
      </c>
      <c r="AN338" s="12">
        <v>315</v>
      </c>
      <c r="AO338" s="11">
        <v>3301679163641</v>
      </c>
      <c r="AP338" s="11">
        <v>156449537512</v>
      </c>
      <c r="AQ338" s="11">
        <v>111294454279</v>
      </c>
      <c r="AR338" s="11">
        <v>45155083233</v>
      </c>
      <c r="AS338" s="12">
        <v>40.57</v>
      </c>
      <c r="AT338" s="11">
        <v>1288375723958</v>
      </c>
      <c r="AU338" s="11">
        <v>388021857085</v>
      </c>
      <c r="AV338" s="11">
        <v>448133350698</v>
      </c>
      <c r="AW338" s="11">
        <v>336602331242</v>
      </c>
      <c r="AX338" s="11">
        <v>897997006486</v>
      </c>
      <c r="AY338" s="11">
        <v>785666100000</v>
      </c>
      <c r="AZ338" s="11">
        <v>649594791616</v>
      </c>
      <c r="BA338" s="11">
        <v>2774019743360</v>
      </c>
      <c r="BB338" s="13">
        <v>72650</v>
      </c>
      <c r="BC338" s="11">
        <v>1031319137208</v>
      </c>
      <c r="BD338" s="11">
        <v>897997006486</v>
      </c>
      <c r="BE338" s="11">
        <v>844703599666</v>
      </c>
      <c r="BF338" s="11">
        <v>1180895577298</v>
      </c>
      <c r="BG338" s="11">
        <v>382678874078</v>
      </c>
      <c r="BH338" s="11">
        <v>0</v>
      </c>
      <c r="BI338" s="11">
        <v>0</v>
      </c>
      <c r="BJ338" s="11">
        <v>32280681115</v>
      </c>
      <c r="BK338" s="11">
        <v>0</v>
      </c>
      <c r="BL338" s="11">
        <v>0</v>
      </c>
      <c r="BM338" s="11">
        <v>0</v>
      </c>
    </row>
    <row r="339" spans="1:65" x14ac:dyDescent="0.25">
      <c r="A339" s="32"/>
      <c r="B339" s="10">
        <v>3307</v>
      </c>
      <c r="C339" s="10" t="s">
        <v>390</v>
      </c>
      <c r="D339" s="11">
        <v>1278194756633</v>
      </c>
      <c r="E339" s="11">
        <v>50875976355</v>
      </c>
      <c r="F339" s="11">
        <v>0</v>
      </c>
      <c r="G339" s="11">
        <v>0</v>
      </c>
      <c r="H339" s="11">
        <v>1329070732988</v>
      </c>
      <c r="I339" s="11">
        <v>109998135164</v>
      </c>
      <c r="J339" s="11">
        <v>1219072597824</v>
      </c>
      <c r="K339" s="11">
        <v>1362192455246</v>
      </c>
      <c r="L339" s="11">
        <v>-33121722258</v>
      </c>
      <c r="M339" s="12">
        <v>-2.4300000000000002</v>
      </c>
      <c r="N339" s="11">
        <v>1073969598823</v>
      </c>
      <c r="O339" s="12">
        <v>91.44</v>
      </c>
      <c r="P339" s="12">
        <v>88.1</v>
      </c>
      <c r="Q339" s="12">
        <v>5.03</v>
      </c>
      <c r="R339" s="11">
        <v>1150481842080</v>
      </c>
      <c r="S339" s="11">
        <v>64841314919</v>
      </c>
      <c r="T339" s="11">
        <v>30631177771</v>
      </c>
      <c r="U339" s="11">
        <v>29621286892</v>
      </c>
      <c r="V339" s="11">
        <v>4588850256</v>
      </c>
      <c r="W339" s="11">
        <v>1215323156999</v>
      </c>
      <c r="X339" s="11">
        <v>81824367951</v>
      </c>
      <c r="Y339" s="11">
        <v>14175000000</v>
      </c>
      <c r="Z339" s="11">
        <v>1311322524950</v>
      </c>
      <c r="AA339" s="11">
        <v>864112506778</v>
      </c>
      <c r="AB339" s="12">
        <v>40.64</v>
      </c>
      <c r="AC339" s="11">
        <v>549296425172</v>
      </c>
      <c r="AD339" s="11">
        <v>503463494676</v>
      </c>
      <c r="AE339" s="11">
        <v>0</v>
      </c>
      <c r="AF339" s="11">
        <v>0</v>
      </c>
      <c r="AG339" s="11">
        <v>0</v>
      </c>
      <c r="AH339" s="11">
        <v>0</v>
      </c>
      <c r="AI339" s="11">
        <v>0</v>
      </c>
      <c r="AJ339" s="12">
        <v>0</v>
      </c>
      <c r="AK339" s="11">
        <v>0</v>
      </c>
      <c r="AL339" s="12">
        <v>27</v>
      </c>
      <c r="AM339" s="11">
        <v>510404973243</v>
      </c>
      <c r="AN339" s="12">
        <v>8</v>
      </c>
      <c r="AO339" s="11">
        <v>43699966363</v>
      </c>
      <c r="AP339" s="11">
        <v>64841314919</v>
      </c>
      <c r="AQ339" s="11">
        <v>59654261913</v>
      </c>
      <c r="AR339" s="11">
        <v>5187053006</v>
      </c>
      <c r="AS339" s="12">
        <v>8.6999999999999993</v>
      </c>
      <c r="AT339" s="11">
        <v>310915065103</v>
      </c>
      <c r="AU339" s="11">
        <v>113139605717</v>
      </c>
      <c r="AV339" s="11">
        <v>152964997214</v>
      </c>
      <c r="AW339" s="11">
        <v>394658242551</v>
      </c>
      <c r="AX339" s="11">
        <v>122442816868</v>
      </c>
      <c r="AY339" s="11">
        <v>608128700000</v>
      </c>
      <c r="AZ339" s="11">
        <v>25898438251</v>
      </c>
      <c r="BA339" s="11">
        <v>1329070732988</v>
      </c>
      <c r="BB339" s="13">
        <v>10088</v>
      </c>
      <c r="BC339" s="11">
        <v>598499216120</v>
      </c>
      <c r="BD339" s="11">
        <v>122442816868</v>
      </c>
      <c r="BE339" s="11">
        <v>608128700000</v>
      </c>
      <c r="BF339" s="11">
        <v>366771073082</v>
      </c>
      <c r="BG339" s="11">
        <v>182525352090</v>
      </c>
      <c r="BH339" s="11">
        <v>0</v>
      </c>
      <c r="BI339" s="11">
        <v>0</v>
      </c>
      <c r="BJ339" s="11">
        <v>0</v>
      </c>
      <c r="BK339" s="11">
        <v>0</v>
      </c>
      <c r="BL339" s="11">
        <v>0</v>
      </c>
      <c r="BM339" s="11">
        <v>0</v>
      </c>
    </row>
    <row r="340" spans="1:65" x14ac:dyDescent="0.25">
      <c r="A340" s="32"/>
      <c r="B340" s="10">
        <v>3308</v>
      </c>
      <c r="C340" s="10" t="s">
        <v>391</v>
      </c>
      <c r="D340" s="11">
        <v>843344880901</v>
      </c>
      <c r="E340" s="11">
        <v>30281370053</v>
      </c>
      <c r="F340" s="11">
        <v>0</v>
      </c>
      <c r="G340" s="11">
        <v>0</v>
      </c>
      <c r="H340" s="11">
        <v>873626250954</v>
      </c>
      <c r="I340" s="11">
        <v>72708525296</v>
      </c>
      <c r="J340" s="11">
        <v>800917725658</v>
      </c>
      <c r="K340" s="11">
        <v>756354144694</v>
      </c>
      <c r="L340" s="11">
        <v>117272106260</v>
      </c>
      <c r="M340" s="12">
        <v>15.5</v>
      </c>
      <c r="N340" s="11">
        <v>1365298646981</v>
      </c>
      <c r="O340" s="12">
        <v>171.77</v>
      </c>
      <c r="P340" s="12">
        <v>170.47</v>
      </c>
      <c r="Q340" s="12">
        <v>3.27</v>
      </c>
      <c r="R340" s="11">
        <v>1451122813706</v>
      </c>
      <c r="S340" s="11">
        <v>49506293735</v>
      </c>
      <c r="T340" s="11">
        <v>16090883602</v>
      </c>
      <c r="U340" s="11">
        <v>5750593251</v>
      </c>
      <c r="V340" s="11">
        <v>27664816882</v>
      </c>
      <c r="W340" s="11">
        <v>1500629107441</v>
      </c>
      <c r="X340" s="11">
        <v>107803770612</v>
      </c>
      <c r="Y340" s="11">
        <v>22567304929</v>
      </c>
      <c r="Z340" s="11">
        <v>1631000182982</v>
      </c>
      <c r="AA340" s="11">
        <v>1184592118435</v>
      </c>
      <c r="AB340" s="12">
        <v>26.68</v>
      </c>
      <c r="AC340" s="11">
        <v>548792929334</v>
      </c>
      <c r="AD340" s="11">
        <v>548792929334</v>
      </c>
      <c r="AE340" s="11">
        <v>0</v>
      </c>
      <c r="AF340" s="11">
        <v>0</v>
      </c>
      <c r="AG340" s="11">
        <v>0</v>
      </c>
      <c r="AH340" s="11">
        <v>0</v>
      </c>
      <c r="AI340" s="11">
        <v>0</v>
      </c>
      <c r="AJ340" s="12">
        <v>0</v>
      </c>
      <c r="AK340" s="11">
        <v>0</v>
      </c>
      <c r="AL340" s="12">
        <v>27</v>
      </c>
      <c r="AM340" s="11">
        <v>317910956184</v>
      </c>
      <c r="AN340" s="12">
        <v>12</v>
      </c>
      <c r="AO340" s="11">
        <v>55540592428</v>
      </c>
      <c r="AP340" s="11">
        <v>49506293735</v>
      </c>
      <c r="AQ340" s="11">
        <v>51009900963</v>
      </c>
      <c r="AR340" s="11">
        <v>-1503607228</v>
      </c>
      <c r="AS340" s="12">
        <v>-2.95</v>
      </c>
      <c r="AT340" s="11">
        <v>377690115992</v>
      </c>
      <c r="AU340" s="11">
        <v>99834151247</v>
      </c>
      <c r="AV340" s="11">
        <v>71654437822</v>
      </c>
      <c r="AW340" s="11">
        <v>297943219606</v>
      </c>
      <c r="AX340" s="11">
        <v>176641323473</v>
      </c>
      <c r="AY340" s="11">
        <v>297105900000</v>
      </c>
      <c r="AZ340" s="11">
        <v>96050605332</v>
      </c>
      <c r="BA340" s="11">
        <v>873626250954</v>
      </c>
      <c r="BB340" s="13">
        <v>31196</v>
      </c>
      <c r="BC340" s="11">
        <v>399840989693</v>
      </c>
      <c r="BD340" s="11">
        <v>176641323473</v>
      </c>
      <c r="BE340" s="11">
        <v>297143937788</v>
      </c>
      <c r="BF340" s="11">
        <v>409260159516</v>
      </c>
      <c r="BG340" s="11">
        <v>139532769818</v>
      </c>
      <c r="BH340" s="11">
        <v>0</v>
      </c>
      <c r="BI340" s="11">
        <v>0</v>
      </c>
      <c r="BJ340" s="11">
        <v>0</v>
      </c>
      <c r="BK340" s="11">
        <v>0</v>
      </c>
      <c r="BL340" s="11">
        <v>0</v>
      </c>
      <c r="BM340" s="11">
        <v>0</v>
      </c>
    </row>
    <row r="341" spans="1:65" x14ac:dyDescent="0.25">
      <c r="A341" s="32"/>
      <c r="B341" s="10">
        <v>3309</v>
      </c>
      <c r="C341" s="10" t="s">
        <v>392</v>
      </c>
      <c r="D341" s="11">
        <v>938452145578</v>
      </c>
      <c r="E341" s="11">
        <v>24049679682</v>
      </c>
      <c r="F341" s="11">
        <v>0</v>
      </c>
      <c r="G341" s="11">
        <v>0</v>
      </c>
      <c r="H341" s="11">
        <v>962501825260</v>
      </c>
      <c r="I341" s="11">
        <v>73879399183</v>
      </c>
      <c r="J341" s="11">
        <v>888622426077</v>
      </c>
      <c r="K341" s="11">
        <v>922634879689</v>
      </c>
      <c r="L341" s="11">
        <v>39866945571</v>
      </c>
      <c r="M341" s="12">
        <v>4.32</v>
      </c>
      <c r="N341" s="11">
        <v>1255955410228</v>
      </c>
      <c r="O341" s="12">
        <v>143.08000000000001</v>
      </c>
      <c r="P341" s="12">
        <v>141.34</v>
      </c>
      <c r="Q341" s="12">
        <v>3.32</v>
      </c>
      <c r="R341" s="11">
        <v>1326522301040</v>
      </c>
      <c r="S341" s="11">
        <v>50598547701</v>
      </c>
      <c r="T341" s="11">
        <v>30367931915</v>
      </c>
      <c r="U341" s="11">
        <v>6625340991</v>
      </c>
      <c r="V341" s="11">
        <v>13605274795</v>
      </c>
      <c r="W341" s="11">
        <v>1377120848741</v>
      </c>
      <c r="X341" s="11">
        <v>136787738676</v>
      </c>
      <c r="Y341" s="11">
        <v>31829496177</v>
      </c>
      <c r="Z341" s="11">
        <v>1545738083594</v>
      </c>
      <c r="AA341" s="11">
        <v>1079837079211</v>
      </c>
      <c r="AB341" s="12">
        <v>27.53</v>
      </c>
      <c r="AC341" s="11">
        <v>575494331503</v>
      </c>
      <c r="AD341" s="11">
        <v>575494331503</v>
      </c>
      <c r="AE341" s="11">
        <v>0</v>
      </c>
      <c r="AF341" s="11">
        <v>2060000000</v>
      </c>
      <c r="AG341" s="11">
        <v>0</v>
      </c>
      <c r="AH341" s="11">
        <v>0</v>
      </c>
      <c r="AI341" s="11">
        <v>0</v>
      </c>
      <c r="AJ341" s="12">
        <v>0</v>
      </c>
      <c r="AK341" s="11">
        <v>0</v>
      </c>
      <c r="AL341" s="12">
        <v>38</v>
      </c>
      <c r="AM341" s="11">
        <v>304766014390</v>
      </c>
      <c r="AN341" s="12">
        <v>13</v>
      </c>
      <c r="AO341" s="11">
        <v>43457013763</v>
      </c>
      <c r="AP341" s="11">
        <v>50598547701</v>
      </c>
      <c r="AQ341" s="11">
        <v>39270958753</v>
      </c>
      <c r="AR341" s="11">
        <v>11327588948</v>
      </c>
      <c r="AS341" s="12">
        <v>28.84</v>
      </c>
      <c r="AT341" s="11">
        <v>419863789235</v>
      </c>
      <c r="AU341" s="11">
        <v>135743704944</v>
      </c>
      <c r="AV341" s="11">
        <v>144958132484</v>
      </c>
      <c r="AW341" s="11">
        <v>137381309774</v>
      </c>
      <c r="AX341" s="11">
        <v>279232703320</v>
      </c>
      <c r="AY341" s="11">
        <v>376880000000</v>
      </c>
      <c r="AZ341" s="11">
        <v>206153730199</v>
      </c>
      <c r="BA341" s="11">
        <v>962501825260</v>
      </c>
      <c r="BB341" s="13">
        <v>9030</v>
      </c>
      <c r="BC341" s="11">
        <v>306378091196</v>
      </c>
      <c r="BD341" s="11">
        <v>279232703320</v>
      </c>
      <c r="BE341" s="11">
        <v>376891030744</v>
      </c>
      <c r="BF341" s="11">
        <v>493163380204</v>
      </c>
      <c r="BG341" s="11">
        <v>82330951299</v>
      </c>
      <c r="BH341" s="11">
        <v>0</v>
      </c>
      <c r="BI341" s="11">
        <v>0</v>
      </c>
      <c r="BJ341" s="11">
        <v>0</v>
      </c>
      <c r="BK341" s="11">
        <v>0</v>
      </c>
      <c r="BL341" s="11">
        <v>0</v>
      </c>
      <c r="BM341" s="11">
        <v>2079807628</v>
      </c>
    </row>
    <row r="342" spans="1:65" s="24" customFormat="1" x14ac:dyDescent="0.25">
      <c r="A342" s="32"/>
      <c r="B342" s="20">
        <v>3399</v>
      </c>
      <c r="C342" s="20" t="s">
        <v>393</v>
      </c>
      <c r="D342" s="21">
        <v>0</v>
      </c>
      <c r="E342" s="21">
        <v>380124040</v>
      </c>
      <c r="F342" s="21">
        <v>0</v>
      </c>
      <c r="G342" s="21">
        <v>0</v>
      </c>
      <c r="H342" s="21">
        <v>380124040</v>
      </c>
      <c r="I342" s="21">
        <v>31170971</v>
      </c>
      <c r="J342" s="21">
        <v>348953069</v>
      </c>
      <c r="K342" s="21">
        <v>25020000</v>
      </c>
      <c r="L342" s="21">
        <v>355104040</v>
      </c>
      <c r="M342" s="22">
        <v>1419.28</v>
      </c>
      <c r="N342" s="21">
        <v>0</v>
      </c>
      <c r="O342" s="22">
        <v>0</v>
      </c>
      <c r="P342" s="22">
        <v>0</v>
      </c>
      <c r="Q342" s="22">
        <v>0</v>
      </c>
      <c r="R342" s="21">
        <v>0</v>
      </c>
      <c r="S342" s="21">
        <v>0</v>
      </c>
      <c r="T342" s="21">
        <v>0</v>
      </c>
      <c r="U342" s="21">
        <v>0</v>
      </c>
      <c r="V342" s="21">
        <v>0</v>
      </c>
      <c r="W342" s="21">
        <v>0</v>
      </c>
      <c r="X342" s="21">
        <v>0</v>
      </c>
      <c r="Y342" s="21">
        <v>0</v>
      </c>
      <c r="Z342" s="21">
        <v>0</v>
      </c>
      <c r="AA342" s="21">
        <v>0</v>
      </c>
      <c r="AB342" s="22"/>
      <c r="AC342" s="21">
        <v>0</v>
      </c>
      <c r="AD342" s="21">
        <v>0</v>
      </c>
      <c r="AE342" s="21">
        <v>0</v>
      </c>
      <c r="AF342" s="21">
        <v>0</v>
      </c>
      <c r="AG342" s="21">
        <v>0</v>
      </c>
      <c r="AH342" s="21">
        <v>0</v>
      </c>
      <c r="AI342" s="21">
        <v>0</v>
      </c>
      <c r="AJ342" s="22">
        <v>0</v>
      </c>
      <c r="AK342" s="21">
        <v>0</v>
      </c>
      <c r="AL342" s="22">
        <v>0</v>
      </c>
      <c r="AM342" s="21">
        <v>0</v>
      </c>
      <c r="AN342" s="12">
        <v>0</v>
      </c>
      <c r="AO342" s="11">
        <v>0</v>
      </c>
      <c r="AP342" s="21">
        <v>0</v>
      </c>
      <c r="AQ342" s="21">
        <v>0</v>
      </c>
      <c r="AR342" s="21">
        <v>0</v>
      </c>
      <c r="AS342" s="22"/>
      <c r="AT342" s="21">
        <v>0</v>
      </c>
      <c r="AU342" s="21">
        <v>0</v>
      </c>
      <c r="AV342" s="21">
        <v>0</v>
      </c>
      <c r="AW342" s="21">
        <v>0</v>
      </c>
      <c r="AX342" s="21">
        <v>0</v>
      </c>
      <c r="AY342" s="21">
        <v>0</v>
      </c>
      <c r="AZ342" s="21">
        <v>0</v>
      </c>
      <c r="BA342" s="21">
        <v>380124040</v>
      </c>
      <c r="BB342" s="23">
        <v>0</v>
      </c>
      <c r="BC342" s="21">
        <v>380124040</v>
      </c>
      <c r="BD342" s="21">
        <v>0</v>
      </c>
      <c r="BE342" s="21">
        <v>0</v>
      </c>
      <c r="BF342" s="21">
        <v>0</v>
      </c>
      <c r="BG342" s="21">
        <v>0</v>
      </c>
      <c r="BH342" s="21">
        <v>0</v>
      </c>
      <c r="BI342" s="21">
        <v>0</v>
      </c>
      <c r="BJ342" s="21">
        <v>0</v>
      </c>
      <c r="BK342" s="21">
        <v>0</v>
      </c>
      <c r="BL342" s="21">
        <v>0</v>
      </c>
      <c r="BM342" s="21">
        <v>0</v>
      </c>
    </row>
    <row r="343" spans="1:65" s="25" customFormat="1" x14ac:dyDescent="0.25">
      <c r="A343" s="14" t="s">
        <v>610</v>
      </c>
      <c r="B343" s="15"/>
      <c r="C343" s="15"/>
      <c r="D343" s="16">
        <v>12869109770479</v>
      </c>
      <c r="E343" s="16">
        <v>854259471562</v>
      </c>
      <c r="F343" s="16">
        <v>23881042228</v>
      </c>
      <c r="G343" s="16">
        <v>124148800</v>
      </c>
      <c r="H343" s="16">
        <v>13747374433069</v>
      </c>
      <c r="I343" s="16">
        <v>1109522899331</v>
      </c>
      <c r="J343" s="16">
        <v>12637851533738</v>
      </c>
      <c r="K343" s="16">
        <v>12228782132468</v>
      </c>
      <c r="L343" s="16">
        <v>1518592300601</v>
      </c>
      <c r="M343" s="17">
        <v>12.42</v>
      </c>
      <c r="N343" s="16">
        <v>21482833238228</v>
      </c>
      <c r="O343" s="17">
        <v>176.58</v>
      </c>
      <c r="P343" s="17">
        <v>169.99</v>
      </c>
      <c r="Q343" s="17">
        <v>2.9</v>
      </c>
      <c r="R343" s="16">
        <v>23580908312251</v>
      </c>
      <c r="S343" s="16">
        <v>694399224787</v>
      </c>
      <c r="T343" s="16">
        <v>255757818056</v>
      </c>
      <c r="U343" s="16">
        <v>173299792684</v>
      </c>
      <c r="V343" s="16">
        <v>265341614047</v>
      </c>
      <c r="W343" s="16">
        <v>24275307537038</v>
      </c>
      <c r="X343" s="16">
        <v>2436556756068</v>
      </c>
      <c r="Y343" s="16">
        <v>299187637840</v>
      </c>
      <c r="Z343" s="16">
        <v>27011051930946</v>
      </c>
      <c r="AA343" s="16">
        <v>18296054682207</v>
      </c>
      <c r="AB343" s="17">
        <v>32.68</v>
      </c>
      <c r="AC343" s="16">
        <v>9041034939145</v>
      </c>
      <c r="AD343" s="16">
        <v>8273215834627</v>
      </c>
      <c r="AE343" s="16">
        <v>176921855328</v>
      </c>
      <c r="AF343" s="16">
        <v>3610000000</v>
      </c>
      <c r="AG343" s="16">
        <v>1720000000</v>
      </c>
      <c r="AH343" s="16">
        <v>0</v>
      </c>
      <c r="AI343" s="16">
        <v>0</v>
      </c>
      <c r="AJ343" s="17">
        <v>4</v>
      </c>
      <c r="AK343" s="16">
        <v>349918851600</v>
      </c>
      <c r="AL343" s="17">
        <v>724</v>
      </c>
      <c r="AM343" s="16">
        <v>7204842805855</v>
      </c>
      <c r="AN343" s="18">
        <f>SUM(AN332:AN342)</f>
        <v>548</v>
      </c>
      <c r="AO343" s="16">
        <f>SUM(AO332:AO342)</f>
        <v>4715468318364</v>
      </c>
      <c r="AP343" s="16">
        <v>694399224787</v>
      </c>
      <c r="AQ343" s="16">
        <v>642608675987</v>
      </c>
      <c r="AR343" s="16">
        <v>51790548800</v>
      </c>
      <c r="AS343" s="17">
        <v>8.06</v>
      </c>
      <c r="AT343" s="16">
        <v>5707314000875</v>
      </c>
      <c r="AU343" s="16">
        <v>1563780947781</v>
      </c>
      <c r="AV343" s="16">
        <v>1858601357216</v>
      </c>
      <c r="AW343" s="16">
        <v>2522172439818</v>
      </c>
      <c r="AX343" s="16">
        <v>3427978973445</v>
      </c>
      <c r="AY343" s="16">
        <v>5060357000000</v>
      </c>
      <c r="AZ343" s="16">
        <v>2416274123895</v>
      </c>
      <c r="BA343" s="16">
        <v>13747374433069</v>
      </c>
      <c r="BB343" s="18">
        <v>409539</v>
      </c>
      <c r="BC343" s="16">
        <v>5096931279762</v>
      </c>
      <c r="BD343" s="16">
        <v>3451860015673</v>
      </c>
      <c r="BE343" s="16">
        <v>5198583137634</v>
      </c>
      <c r="BF343" s="16">
        <v>6137860772738</v>
      </c>
      <c r="BG343" s="16">
        <v>2903174166407</v>
      </c>
      <c r="BH343" s="16">
        <v>0</v>
      </c>
      <c r="BI343" s="16">
        <v>0</v>
      </c>
      <c r="BJ343" s="16">
        <v>253049891896</v>
      </c>
      <c r="BK343" s="16">
        <v>0</v>
      </c>
      <c r="BL343" s="16">
        <v>0</v>
      </c>
      <c r="BM343" s="16">
        <v>3902063695</v>
      </c>
    </row>
    <row r="344" spans="1:65" x14ac:dyDescent="0.25">
      <c r="A344" s="32" t="s">
        <v>394</v>
      </c>
      <c r="B344" s="10">
        <v>3400</v>
      </c>
      <c r="C344" s="10" t="s">
        <v>395</v>
      </c>
      <c r="D344" s="11">
        <v>2015962335515</v>
      </c>
      <c r="E344" s="11">
        <v>275213571667</v>
      </c>
      <c r="F344" s="11">
        <v>73950000000</v>
      </c>
      <c r="G344" s="11">
        <v>230871592</v>
      </c>
      <c r="H344" s="11">
        <v>2365356778774</v>
      </c>
      <c r="I344" s="11">
        <v>180759174709</v>
      </c>
      <c r="J344" s="11">
        <v>2184597604065</v>
      </c>
      <c r="K344" s="11">
        <v>2145421947667</v>
      </c>
      <c r="L344" s="11">
        <v>219934831107</v>
      </c>
      <c r="M344" s="12">
        <v>10.25</v>
      </c>
      <c r="N344" s="11">
        <v>7798525382539</v>
      </c>
      <c r="O344" s="12">
        <v>451.24</v>
      </c>
      <c r="P344" s="12">
        <v>356.98</v>
      </c>
      <c r="Q344" s="12">
        <v>3.59</v>
      </c>
      <c r="R344" s="11">
        <v>10331730504789</v>
      </c>
      <c r="S344" s="11">
        <v>341806253727</v>
      </c>
      <c r="T344" s="11">
        <v>92435717420</v>
      </c>
      <c r="U344" s="11">
        <v>20301119428</v>
      </c>
      <c r="V344" s="11">
        <v>229069416879</v>
      </c>
      <c r="W344" s="11">
        <v>10673536758516</v>
      </c>
      <c r="X344" s="11">
        <v>500351188569</v>
      </c>
      <c r="Y344" s="11">
        <v>25365138617</v>
      </c>
      <c r="Z344" s="11">
        <v>11199253085702</v>
      </c>
      <c r="AA344" s="11">
        <v>9384828630324</v>
      </c>
      <c r="AB344" s="12">
        <v>13.73</v>
      </c>
      <c r="AC344" s="11">
        <v>3533583859546</v>
      </c>
      <c r="AD344" s="11">
        <v>3524828666122</v>
      </c>
      <c r="AE344" s="11">
        <v>637922822460</v>
      </c>
      <c r="AF344" s="11">
        <v>12595104000</v>
      </c>
      <c r="AG344" s="11">
        <v>156461806764</v>
      </c>
      <c r="AH344" s="11">
        <v>0</v>
      </c>
      <c r="AI344" s="11">
        <v>0</v>
      </c>
      <c r="AJ344" s="12">
        <v>8</v>
      </c>
      <c r="AK344" s="11">
        <v>392100000000</v>
      </c>
      <c r="AL344" s="12">
        <v>105</v>
      </c>
      <c r="AM344" s="11">
        <v>855145647341</v>
      </c>
      <c r="AN344" s="12">
        <v>60</v>
      </c>
      <c r="AO344" s="11">
        <v>652228475974</v>
      </c>
      <c r="AP344" s="11">
        <v>341806253727</v>
      </c>
      <c r="AQ344" s="11">
        <v>239052970654</v>
      </c>
      <c r="AR344" s="11">
        <v>102753283073</v>
      </c>
      <c r="AS344" s="12">
        <v>42.98</v>
      </c>
      <c r="AT344" s="11">
        <v>3628649091607</v>
      </c>
      <c r="AU344" s="11">
        <v>1260806841461</v>
      </c>
      <c r="AV344" s="11">
        <v>555042353668</v>
      </c>
      <c r="AW344" s="11">
        <v>206851047111</v>
      </c>
      <c r="AX344" s="11">
        <v>871532934736</v>
      </c>
      <c r="AY344" s="11">
        <v>382536000000</v>
      </c>
      <c r="AZ344" s="11">
        <v>539637877742</v>
      </c>
      <c r="BA344" s="11">
        <v>2365356778774</v>
      </c>
      <c r="BB344" s="13">
        <v>174572</v>
      </c>
      <c r="BC344" s="11">
        <v>874971712299</v>
      </c>
      <c r="BD344" s="11">
        <v>945482934736</v>
      </c>
      <c r="BE344" s="11">
        <v>544902131739</v>
      </c>
      <c r="BF344" s="11">
        <v>2246927761763</v>
      </c>
      <c r="BG344" s="11">
        <v>1286656097783</v>
      </c>
      <c r="BH344" s="11">
        <v>134812782784</v>
      </c>
      <c r="BI344" s="11">
        <v>62284507865</v>
      </c>
      <c r="BJ344" s="11">
        <v>469298120542</v>
      </c>
      <c r="BK344" s="11">
        <v>0</v>
      </c>
      <c r="BL344" s="11">
        <v>3514950000</v>
      </c>
      <c r="BM344" s="11">
        <v>9080154000</v>
      </c>
    </row>
    <row r="345" spans="1:65" x14ac:dyDescent="0.25">
      <c r="A345" s="32"/>
      <c r="B345" s="10">
        <v>3401</v>
      </c>
      <c r="C345" s="10" t="s">
        <v>396</v>
      </c>
      <c r="D345" s="11">
        <v>1254235763711</v>
      </c>
      <c r="E345" s="11">
        <v>164813141046</v>
      </c>
      <c r="F345" s="11">
        <v>0</v>
      </c>
      <c r="G345" s="11">
        <v>0</v>
      </c>
      <c r="H345" s="11">
        <v>1419048904757</v>
      </c>
      <c r="I345" s="11">
        <v>101879214767</v>
      </c>
      <c r="J345" s="11">
        <v>1317169689990</v>
      </c>
      <c r="K345" s="11">
        <v>1041649287967</v>
      </c>
      <c r="L345" s="11">
        <v>377399616790</v>
      </c>
      <c r="M345" s="12">
        <v>36.229999999999997</v>
      </c>
      <c r="N345" s="11">
        <v>1955845030116</v>
      </c>
      <c r="O345" s="12">
        <v>154.31</v>
      </c>
      <c r="P345" s="12">
        <v>148.49</v>
      </c>
      <c r="Q345" s="12">
        <v>2.86</v>
      </c>
      <c r="R345" s="11">
        <v>2125856394227</v>
      </c>
      <c r="S345" s="11">
        <v>63885180153</v>
      </c>
      <c r="T345" s="11">
        <v>28350194312</v>
      </c>
      <c r="U345" s="11">
        <v>27273240637</v>
      </c>
      <c r="V345" s="11">
        <v>8261745204</v>
      </c>
      <c r="W345" s="11">
        <v>2189741574380</v>
      </c>
      <c r="X345" s="11">
        <v>144732763998</v>
      </c>
      <c r="Y345" s="11">
        <v>26440000000</v>
      </c>
      <c r="Z345" s="11">
        <v>2360914338378</v>
      </c>
      <c r="AA345" s="11">
        <v>1799529892076</v>
      </c>
      <c r="AB345" s="12">
        <v>21.68</v>
      </c>
      <c r="AC345" s="11">
        <v>1252729245033</v>
      </c>
      <c r="AD345" s="11">
        <v>1238243136267</v>
      </c>
      <c r="AE345" s="11">
        <v>504961118213</v>
      </c>
      <c r="AF345" s="11">
        <v>0</v>
      </c>
      <c r="AG345" s="11">
        <v>62179932652</v>
      </c>
      <c r="AH345" s="11">
        <v>0</v>
      </c>
      <c r="AI345" s="11">
        <v>0</v>
      </c>
      <c r="AJ345" s="12">
        <v>14</v>
      </c>
      <c r="AK345" s="11">
        <v>603729427204</v>
      </c>
      <c r="AL345" s="12">
        <v>42</v>
      </c>
      <c r="AM345" s="11">
        <v>1241971187152</v>
      </c>
      <c r="AN345" s="12">
        <v>10</v>
      </c>
      <c r="AO345" s="11">
        <v>27465000000</v>
      </c>
      <c r="AP345" s="11">
        <v>63885180153</v>
      </c>
      <c r="AQ345" s="11">
        <v>19339967585</v>
      </c>
      <c r="AR345" s="11">
        <v>44545212568</v>
      </c>
      <c r="AS345" s="19">
        <v>230.33</v>
      </c>
      <c r="AT345" s="11">
        <v>951133597014</v>
      </c>
      <c r="AU345" s="11">
        <v>233497590955</v>
      </c>
      <c r="AV345" s="11">
        <v>491813587035</v>
      </c>
      <c r="AW345" s="11">
        <v>98501439758</v>
      </c>
      <c r="AX345" s="11">
        <v>327244236918</v>
      </c>
      <c r="AY345" s="11">
        <v>336676500000</v>
      </c>
      <c r="AZ345" s="11">
        <v>257371675432</v>
      </c>
      <c r="BA345" s="11">
        <v>1419048904757</v>
      </c>
      <c r="BB345" s="13">
        <v>69724</v>
      </c>
      <c r="BC345" s="11">
        <v>755128167839</v>
      </c>
      <c r="BD345" s="11">
        <v>327244236918</v>
      </c>
      <c r="BE345" s="11">
        <v>336676500000</v>
      </c>
      <c r="BF345" s="11">
        <v>966832114233</v>
      </c>
      <c r="BG345" s="11">
        <v>285897130800</v>
      </c>
      <c r="BH345" s="11">
        <v>82480735178</v>
      </c>
      <c r="BI345" s="11">
        <v>0</v>
      </c>
      <c r="BJ345" s="11">
        <v>461527823448</v>
      </c>
      <c r="BK345" s="11">
        <v>0</v>
      </c>
      <c r="BL345" s="11">
        <v>0</v>
      </c>
      <c r="BM345" s="11">
        <v>0</v>
      </c>
    </row>
    <row r="346" spans="1:65" x14ac:dyDescent="0.25">
      <c r="A346" s="32"/>
      <c r="B346" s="10">
        <v>3402</v>
      </c>
      <c r="C346" s="10" t="s">
        <v>397</v>
      </c>
      <c r="D346" s="11">
        <v>1500691802523</v>
      </c>
      <c r="E346" s="11">
        <v>17031810103</v>
      </c>
      <c r="F346" s="11">
        <v>0</v>
      </c>
      <c r="G346" s="11">
        <v>0</v>
      </c>
      <c r="H346" s="11">
        <v>1517723612626</v>
      </c>
      <c r="I346" s="11">
        <v>124449060373</v>
      </c>
      <c r="J346" s="11">
        <v>1393274552253</v>
      </c>
      <c r="K346" s="11">
        <v>1653937502229</v>
      </c>
      <c r="L346" s="11">
        <v>-136213889603</v>
      </c>
      <c r="M346" s="12">
        <v>-8.24</v>
      </c>
      <c r="N346" s="11">
        <v>1844162658891</v>
      </c>
      <c r="O346" s="12">
        <v>137.81</v>
      </c>
      <c r="P346" s="12">
        <v>132.36000000000001</v>
      </c>
      <c r="Q346" s="12">
        <v>11.45</v>
      </c>
      <c r="R346" s="11">
        <v>1850425400273</v>
      </c>
      <c r="S346" s="11">
        <v>241124922342</v>
      </c>
      <c r="T346" s="11">
        <v>51584168106</v>
      </c>
      <c r="U346" s="11">
        <v>27808619579</v>
      </c>
      <c r="V346" s="11">
        <v>161732134657</v>
      </c>
      <c r="W346" s="11">
        <v>2091550322615</v>
      </c>
      <c r="X346" s="11">
        <v>114182990462</v>
      </c>
      <c r="Y346" s="11">
        <v>11891538685</v>
      </c>
      <c r="Z346" s="11">
        <v>2217624851762</v>
      </c>
      <c r="AA346" s="11">
        <v>1921919782381</v>
      </c>
      <c r="AB346" s="12">
        <v>8.83</v>
      </c>
      <c r="AC346" s="11">
        <v>956875887825</v>
      </c>
      <c r="AD346" s="11">
        <v>851385887825</v>
      </c>
      <c r="AE346" s="11">
        <v>325306703168</v>
      </c>
      <c r="AF346" s="11">
        <v>932639336</v>
      </c>
      <c r="AG346" s="11">
        <v>17520000000</v>
      </c>
      <c r="AH346" s="11">
        <v>0</v>
      </c>
      <c r="AI346" s="11">
        <v>0</v>
      </c>
      <c r="AJ346" s="12">
        <v>2</v>
      </c>
      <c r="AK346" s="11">
        <v>254000000000</v>
      </c>
      <c r="AL346" s="12">
        <v>15</v>
      </c>
      <c r="AM346" s="11">
        <v>87004617600</v>
      </c>
      <c r="AN346" s="12">
        <v>10</v>
      </c>
      <c r="AO346" s="11">
        <v>30514056909</v>
      </c>
      <c r="AP346" s="11">
        <v>241124922342</v>
      </c>
      <c r="AQ346" s="11">
        <v>10262002422</v>
      </c>
      <c r="AR346" s="11">
        <v>230862919920</v>
      </c>
      <c r="AS346" s="19">
        <v>2249.69</v>
      </c>
      <c r="AT346" s="11">
        <v>880571507706</v>
      </c>
      <c r="AU346" s="11">
        <v>267586857083</v>
      </c>
      <c r="AV346" s="11">
        <v>356328320815</v>
      </c>
      <c r="AW346" s="11">
        <v>205116373907</v>
      </c>
      <c r="AX346" s="11">
        <v>244896807801</v>
      </c>
      <c r="AY346" s="11">
        <v>694350300000</v>
      </c>
      <c r="AZ346" s="11">
        <v>83177731042</v>
      </c>
      <c r="BA346" s="11">
        <v>1517723612626</v>
      </c>
      <c r="BB346" s="13">
        <v>67611</v>
      </c>
      <c r="BC346" s="11">
        <v>578436644159</v>
      </c>
      <c r="BD346" s="11">
        <v>244896807801</v>
      </c>
      <c r="BE346" s="11">
        <v>694390160666</v>
      </c>
      <c r="BF346" s="11">
        <v>618575611661</v>
      </c>
      <c r="BG346" s="11">
        <v>338300276164</v>
      </c>
      <c r="BH346" s="11">
        <v>0</v>
      </c>
      <c r="BI346" s="11">
        <v>159022859552</v>
      </c>
      <c r="BJ346" s="11">
        <v>166401314231</v>
      </c>
      <c r="BK346" s="11">
        <v>0</v>
      </c>
      <c r="BL346" s="11">
        <v>0</v>
      </c>
      <c r="BM346" s="11">
        <v>7837657799</v>
      </c>
    </row>
    <row r="347" spans="1:65" x14ac:dyDescent="0.25">
      <c r="A347" s="32"/>
      <c r="B347" s="10">
        <v>3403</v>
      </c>
      <c r="C347" s="10" t="s">
        <v>398</v>
      </c>
      <c r="D347" s="11">
        <v>1277432186877</v>
      </c>
      <c r="E347" s="11">
        <v>8581764716</v>
      </c>
      <c r="F347" s="11">
        <v>0</v>
      </c>
      <c r="G347" s="11">
        <v>0</v>
      </c>
      <c r="H347" s="11">
        <v>1286013951593</v>
      </c>
      <c r="I347" s="11">
        <v>105071180593</v>
      </c>
      <c r="J347" s="11">
        <v>1180942771000</v>
      </c>
      <c r="K347" s="11">
        <v>1516814836207</v>
      </c>
      <c r="L347" s="11">
        <v>-230800884614</v>
      </c>
      <c r="M347" s="12">
        <v>-15.22</v>
      </c>
      <c r="N347" s="11">
        <v>755265992953</v>
      </c>
      <c r="O347" s="12">
        <v>65.510000000000005</v>
      </c>
      <c r="P347" s="12">
        <v>63.95</v>
      </c>
      <c r="Q347" s="12">
        <v>1.41</v>
      </c>
      <c r="R347" s="11">
        <v>832923769851</v>
      </c>
      <c r="S347" s="11">
        <v>9598639492</v>
      </c>
      <c r="T347" s="11">
        <v>7688496301</v>
      </c>
      <c r="U347" s="11">
        <v>1716301248</v>
      </c>
      <c r="V347" s="11">
        <v>193841943</v>
      </c>
      <c r="W347" s="11">
        <v>842522409343</v>
      </c>
      <c r="X347" s="11">
        <v>45757469693</v>
      </c>
      <c r="Y347" s="11">
        <v>3100000000</v>
      </c>
      <c r="Z347" s="11">
        <v>891379879036</v>
      </c>
      <c r="AA347" s="11">
        <v>702617134891</v>
      </c>
      <c r="AB347" s="12">
        <v>19.91</v>
      </c>
      <c r="AC347" s="11">
        <v>358796205004</v>
      </c>
      <c r="AD347" s="11">
        <v>358796205004</v>
      </c>
      <c r="AE347" s="11">
        <v>25850053152</v>
      </c>
      <c r="AF347" s="11">
        <v>0</v>
      </c>
      <c r="AG347" s="11">
        <v>17295671232</v>
      </c>
      <c r="AH347" s="11">
        <v>0</v>
      </c>
      <c r="AI347" s="11">
        <v>0</v>
      </c>
      <c r="AJ347" s="12">
        <v>0</v>
      </c>
      <c r="AK347" s="11">
        <v>0</v>
      </c>
      <c r="AL347" s="12">
        <v>1</v>
      </c>
      <c r="AM347" s="11">
        <v>7000000000</v>
      </c>
      <c r="AN347" s="12">
        <v>3</v>
      </c>
      <c r="AO347" s="11">
        <v>2800000000</v>
      </c>
      <c r="AP347" s="11">
        <v>9598639492</v>
      </c>
      <c r="AQ347" s="11">
        <v>9808365664</v>
      </c>
      <c r="AR347" s="11">
        <v>-209726172</v>
      </c>
      <c r="AS347" s="12">
        <v>-2.14</v>
      </c>
      <c r="AT347" s="11">
        <v>275073102852</v>
      </c>
      <c r="AU347" s="11">
        <v>69471498675</v>
      </c>
      <c r="AV347" s="11">
        <v>194593864486</v>
      </c>
      <c r="AW347" s="11">
        <v>111735981153</v>
      </c>
      <c r="AX347" s="11">
        <v>253984141238</v>
      </c>
      <c r="AY347" s="11">
        <v>717118200000</v>
      </c>
      <c r="AZ347" s="11">
        <v>155193991373</v>
      </c>
      <c r="BA347" s="11">
        <v>1286013951593</v>
      </c>
      <c r="BB347" s="13">
        <v>100001</v>
      </c>
      <c r="BC347" s="11">
        <v>314911610355</v>
      </c>
      <c r="BD347" s="11">
        <v>253914141238</v>
      </c>
      <c r="BE347" s="11">
        <v>717188200000</v>
      </c>
      <c r="BF347" s="11">
        <v>240449093102</v>
      </c>
      <c r="BG347" s="11">
        <v>118347111902</v>
      </c>
      <c r="BH347" s="11">
        <v>0</v>
      </c>
      <c r="BI347" s="11">
        <v>0</v>
      </c>
      <c r="BJ347" s="11">
        <v>27185049047</v>
      </c>
      <c r="BK347" s="11">
        <v>0</v>
      </c>
      <c r="BL347" s="11">
        <v>0</v>
      </c>
      <c r="BM347" s="11">
        <v>0</v>
      </c>
    </row>
    <row r="348" spans="1:65" x14ac:dyDescent="0.25">
      <c r="A348" s="32"/>
      <c r="B348" s="10">
        <v>3404</v>
      </c>
      <c r="C348" s="10" t="s">
        <v>399</v>
      </c>
      <c r="D348" s="11">
        <v>1473053370494</v>
      </c>
      <c r="E348" s="11">
        <v>710869766585</v>
      </c>
      <c r="F348" s="11">
        <v>0</v>
      </c>
      <c r="G348" s="11">
        <v>0</v>
      </c>
      <c r="H348" s="11">
        <v>2183923137079</v>
      </c>
      <c r="I348" s="11">
        <v>170360692879</v>
      </c>
      <c r="J348" s="11">
        <v>2013562444200</v>
      </c>
      <c r="K348" s="11">
        <v>1670973192351</v>
      </c>
      <c r="L348" s="11">
        <v>512949944728</v>
      </c>
      <c r="M348" s="12">
        <v>30.7</v>
      </c>
      <c r="N348" s="11">
        <v>2357507172718</v>
      </c>
      <c r="O348" s="12">
        <v>116.92</v>
      </c>
      <c r="P348" s="12">
        <v>117.08</v>
      </c>
      <c r="Q348" s="12">
        <v>0.61</v>
      </c>
      <c r="R348" s="11">
        <v>2541543846506</v>
      </c>
      <c r="S348" s="11">
        <v>11860391969</v>
      </c>
      <c r="T348" s="11">
        <v>6340072059</v>
      </c>
      <c r="U348" s="11">
        <v>4581220080</v>
      </c>
      <c r="V348" s="11">
        <v>939099830</v>
      </c>
      <c r="W348" s="11">
        <v>2553404238475</v>
      </c>
      <c r="X348" s="11">
        <v>132713102203</v>
      </c>
      <c r="Y348" s="11">
        <v>13078402750</v>
      </c>
      <c r="Z348" s="11">
        <v>2699195743428</v>
      </c>
      <c r="AA348" s="11">
        <v>2613799321901</v>
      </c>
      <c r="AB348" s="12">
        <v>-2.31</v>
      </c>
      <c r="AC348" s="11">
        <v>5133313487537</v>
      </c>
      <c r="AD348" s="11">
        <v>5127183487537</v>
      </c>
      <c r="AE348" s="11">
        <v>4379935240914</v>
      </c>
      <c r="AF348" s="11">
        <v>0</v>
      </c>
      <c r="AG348" s="11">
        <v>4654556987</v>
      </c>
      <c r="AH348" s="11">
        <v>0</v>
      </c>
      <c r="AI348" s="11">
        <v>0</v>
      </c>
      <c r="AJ348" s="12">
        <v>18</v>
      </c>
      <c r="AK348" s="11">
        <v>7836506200336</v>
      </c>
      <c r="AL348" s="12">
        <v>17</v>
      </c>
      <c r="AM348" s="11">
        <v>1553953546792</v>
      </c>
      <c r="AN348" s="12">
        <v>22</v>
      </c>
      <c r="AO348" s="11">
        <v>71065549378</v>
      </c>
      <c r="AP348" s="11">
        <v>11860391969</v>
      </c>
      <c r="AQ348" s="11">
        <v>10574491828</v>
      </c>
      <c r="AR348" s="11">
        <v>1285900141</v>
      </c>
      <c r="AS348" s="12">
        <v>12.16</v>
      </c>
      <c r="AT348" s="11">
        <v>5363879206349</v>
      </c>
      <c r="AU348" s="11">
        <v>144657225862</v>
      </c>
      <c r="AV348" s="11">
        <v>405595839028</v>
      </c>
      <c r="AW348" s="11">
        <v>156802178244</v>
      </c>
      <c r="AX348" s="11">
        <v>498751453222</v>
      </c>
      <c r="AY348" s="11">
        <v>411903900000</v>
      </c>
      <c r="AZ348" s="11">
        <v>192108296441</v>
      </c>
      <c r="BA348" s="11">
        <v>2183923137079</v>
      </c>
      <c r="BB348" s="13">
        <v>15585</v>
      </c>
      <c r="BC348" s="11">
        <v>1273267783857</v>
      </c>
      <c r="BD348" s="11">
        <v>498751453222</v>
      </c>
      <c r="BE348" s="11">
        <v>411903900000</v>
      </c>
      <c r="BF348" s="11">
        <v>4851237624840</v>
      </c>
      <c r="BG348" s="11">
        <v>282075862697</v>
      </c>
      <c r="BH348" s="11">
        <v>0</v>
      </c>
      <c r="BI348" s="11">
        <v>0</v>
      </c>
      <c r="BJ348" s="11">
        <v>4414845277675</v>
      </c>
      <c r="BK348" s="11">
        <v>0</v>
      </c>
      <c r="BL348" s="11">
        <v>0</v>
      </c>
      <c r="BM348" s="11">
        <v>0</v>
      </c>
    </row>
    <row r="349" spans="1:65" x14ac:dyDescent="0.25">
      <c r="A349" s="32"/>
      <c r="B349" s="10">
        <v>3405</v>
      </c>
      <c r="C349" s="10" t="s">
        <v>400</v>
      </c>
      <c r="D349" s="11">
        <v>654643889892</v>
      </c>
      <c r="E349" s="11">
        <v>9155191055</v>
      </c>
      <c r="F349" s="11">
        <v>0</v>
      </c>
      <c r="G349" s="11">
        <v>0</v>
      </c>
      <c r="H349" s="11">
        <v>663799080947</v>
      </c>
      <c r="I349" s="11">
        <v>56434203741</v>
      </c>
      <c r="J349" s="11">
        <v>607364877206</v>
      </c>
      <c r="K349" s="11">
        <v>831906113797</v>
      </c>
      <c r="L349" s="11">
        <v>-168107032850</v>
      </c>
      <c r="M349" s="12">
        <v>-20.21</v>
      </c>
      <c r="N349" s="11">
        <v>1358399226359</v>
      </c>
      <c r="O349" s="12">
        <v>206.24</v>
      </c>
      <c r="P349" s="12">
        <v>223.65</v>
      </c>
      <c r="Q349" s="12">
        <v>0.99</v>
      </c>
      <c r="R349" s="11">
        <v>1354467285393</v>
      </c>
      <c r="S349" s="11">
        <v>14549557306</v>
      </c>
      <c r="T349" s="11">
        <v>8981105744</v>
      </c>
      <c r="U349" s="11">
        <v>4762799424</v>
      </c>
      <c r="V349" s="11">
        <v>805652138</v>
      </c>
      <c r="W349" s="11">
        <v>1369016842699</v>
      </c>
      <c r="X349" s="11">
        <v>120011414613</v>
      </c>
      <c r="Y349" s="11">
        <v>5344941500</v>
      </c>
      <c r="Z349" s="11">
        <v>1494373198812</v>
      </c>
      <c r="AA349" s="11">
        <v>934284001991</v>
      </c>
      <c r="AB349" s="12">
        <v>46.53</v>
      </c>
      <c r="AC349" s="11">
        <v>1209580240920</v>
      </c>
      <c r="AD349" s="11">
        <v>1205094572046</v>
      </c>
      <c r="AE349" s="11">
        <v>173409993016</v>
      </c>
      <c r="AF349" s="11">
        <v>517027178400</v>
      </c>
      <c r="AG349" s="11">
        <v>12937770855</v>
      </c>
      <c r="AH349" s="11">
        <v>0</v>
      </c>
      <c r="AI349" s="11">
        <v>0</v>
      </c>
      <c r="AJ349" s="12">
        <v>3</v>
      </c>
      <c r="AK349" s="11">
        <v>231110000000</v>
      </c>
      <c r="AL349" s="12">
        <v>35</v>
      </c>
      <c r="AM349" s="11">
        <v>186767961789</v>
      </c>
      <c r="AN349" s="12">
        <v>50</v>
      </c>
      <c r="AO349" s="11">
        <v>5231164550000</v>
      </c>
      <c r="AP349" s="11">
        <v>14549557306</v>
      </c>
      <c r="AQ349" s="11">
        <v>12790353413</v>
      </c>
      <c r="AR349" s="11">
        <v>1759203893</v>
      </c>
      <c r="AS349" s="12">
        <v>13.75</v>
      </c>
      <c r="AT349" s="11">
        <v>884959736678</v>
      </c>
      <c r="AU349" s="11">
        <v>384398081815</v>
      </c>
      <c r="AV349" s="11">
        <v>150833032686</v>
      </c>
      <c r="AW349" s="11">
        <v>131542551619</v>
      </c>
      <c r="AX349" s="11">
        <v>138900105587</v>
      </c>
      <c r="AY349" s="11">
        <v>233368200000</v>
      </c>
      <c r="AZ349" s="11">
        <v>89742789276</v>
      </c>
      <c r="BA349" s="11">
        <v>663799080947</v>
      </c>
      <c r="BB349" s="13">
        <v>97810</v>
      </c>
      <c r="BC349" s="11">
        <v>291530775360</v>
      </c>
      <c r="BD349" s="11">
        <v>138900105587</v>
      </c>
      <c r="BE349" s="11">
        <v>233368200000</v>
      </c>
      <c r="BF349" s="11">
        <v>823089511293</v>
      </c>
      <c r="BG349" s="11">
        <v>386490729627</v>
      </c>
      <c r="BH349" s="11">
        <v>0</v>
      </c>
      <c r="BI349" s="11">
        <v>0</v>
      </c>
      <c r="BJ349" s="11">
        <v>181271476526</v>
      </c>
      <c r="BK349" s="11">
        <v>191054400000</v>
      </c>
      <c r="BL349" s="11">
        <v>0</v>
      </c>
      <c r="BM349" s="11">
        <v>344748194967</v>
      </c>
    </row>
    <row r="350" spans="1:65" x14ac:dyDescent="0.25">
      <c r="A350" s="32"/>
      <c r="B350" s="10">
        <v>3406</v>
      </c>
      <c r="C350" s="10" t="s">
        <v>401</v>
      </c>
      <c r="D350" s="11">
        <v>946279113775</v>
      </c>
      <c r="E350" s="11">
        <v>2412375596</v>
      </c>
      <c r="F350" s="11">
        <v>0</v>
      </c>
      <c r="G350" s="11">
        <v>0</v>
      </c>
      <c r="H350" s="11">
        <v>948691489371</v>
      </c>
      <c r="I350" s="11">
        <v>75389932902</v>
      </c>
      <c r="J350" s="11">
        <v>873301556469</v>
      </c>
      <c r="K350" s="11">
        <v>1051562771200</v>
      </c>
      <c r="L350" s="11">
        <v>-102871281829</v>
      </c>
      <c r="M350" s="12">
        <v>-9.7799999999999994</v>
      </c>
      <c r="N350" s="11">
        <v>678303484618</v>
      </c>
      <c r="O350" s="12">
        <v>80.47</v>
      </c>
      <c r="P350" s="12">
        <v>77.67</v>
      </c>
      <c r="Q350" s="12">
        <v>3.14</v>
      </c>
      <c r="R350" s="11">
        <v>741920504870</v>
      </c>
      <c r="S350" s="11">
        <v>21492117344</v>
      </c>
      <c r="T350" s="11">
        <v>12892426963</v>
      </c>
      <c r="U350" s="11">
        <v>3406703374</v>
      </c>
      <c r="V350" s="11">
        <v>5192987007</v>
      </c>
      <c r="W350" s="11">
        <v>763412622214</v>
      </c>
      <c r="X350" s="11">
        <v>44569354054</v>
      </c>
      <c r="Y350" s="11">
        <v>3191000000</v>
      </c>
      <c r="Z350" s="11">
        <v>811172976268</v>
      </c>
      <c r="AA350" s="11">
        <v>630375552844</v>
      </c>
      <c r="AB350" s="12">
        <v>21.1</v>
      </c>
      <c r="AC350" s="11">
        <v>267723419691</v>
      </c>
      <c r="AD350" s="11">
        <v>267723419691</v>
      </c>
      <c r="AE350" s="11">
        <v>0</v>
      </c>
      <c r="AF350" s="11">
        <v>0</v>
      </c>
      <c r="AG350" s="11">
        <v>5557000000</v>
      </c>
      <c r="AH350" s="11">
        <v>0</v>
      </c>
      <c r="AI350" s="11">
        <v>0</v>
      </c>
      <c r="AJ350" s="12">
        <v>0</v>
      </c>
      <c r="AK350" s="11">
        <v>0</v>
      </c>
      <c r="AL350" s="12">
        <v>0</v>
      </c>
      <c r="AM350" s="11">
        <v>0</v>
      </c>
      <c r="AN350" s="12">
        <v>3</v>
      </c>
      <c r="AO350" s="11">
        <v>1693150800</v>
      </c>
      <c r="AP350" s="11">
        <v>21492117344</v>
      </c>
      <c r="AQ350" s="11">
        <v>19643459427</v>
      </c>
      <c r="AR350" s="11">
        <v>1848657917</v>
      </c>
      <c r="AS350" s="19">
        <v>9.41</v>
      </c>
      <c r="AT350" s="11">
        <v>223219511611</v>
      </c>
      <c r="AU350" s="11">
        <v>60839578713</v>
      </c>
      <c r="AV350" s="11">
        <v>124723088098</v>
      </c>
      <c r="AW350" s="11">
        <v>98426023818</v>
      </c>
      <c r="AX350" s="11">
        <v>180068001859</v>
      </c>
      <c r="AY350" s="11">
        <v>543062000000</v>
      </c>
      <c r="AZ350" s="11">
        <v>86654583020</v>
      </c>
      <c r="BA350" s="11">
        <v>948691489371</v>
      </c>
      <c r="BB350" s="13">
        <v>133232</v>
      </c>
      <c r="BC350" s="11">
        <v>225561487512</v>
      </c>
      <c r="BD350" s="11">
        <v>180068001859</v>
      </c>
      <c r="BE350" s="11">
        <v>543062000000</v>
      </c>
      <c r="BF350" s="11">
        <v>170973689691</v>
      </c>
      <c r="BG350" s="11">
        <v>96749730000</v>
      </c>
      <c r="BH350" s="11">
        <v>0</v>
      </c>
      <c r="BI350" s="11">
        <v>0</v>
      </c>
      <c r="BJ350" s="11">
        <v>0</v>
      </c>
      <c r="BK350" s="11">
        <v>0</v>
      </c>
      <c r="BL350" s="11">
        <v>0</v>
      </c>
      <c r="BM350" s="11">
        <v>0</v>
      </c>
    </row>
    <row r="351" spans="1:65" x14ac:dyDescent="0.25">
      <c r="A351" s="32"/>
      <c r="B351" s="10">
        <v>3407</v>
      </c>
      <c r="C351" s="10" t="s">
        <v>402</v>
      </c>
      <c r="D351" s="11">
        <v>948458814346</v>
      </c>
      <c r="E351" s="11">
        <v>104730962859</v>
      </c>
      <c r="F351" s="11">
        <v>0</v>
      </c>
      <c r="G351" s="11">
        <v>0</v>
      </c>
      <c r="H351" s="11">
        <v>1053189777205</v>
      </c>
      <c r="I351" s="11">
        <v>87785221569</v>
      </c>
      <c r="J351" s="11">
        <v>965404555636</v>
      </c>
      <c r="K351" s="11">
        <v>1040327030725</v>
      </c>
      <c r="L351" s="11">
        <v>12862746480</v>
      </c>
      <c r="M351" s="12">
        <v>1.24</v>
      </c>
      <c r="N351" s="11">
        <v>3137318916960</v>
      </c>
      <c r="O351" s="12">
        <v>377.97</v>
      </c>
      <c r="P351" s="12">
        <v>324.97000000000003</v>
      </c>
      <c r="Q351" s="12">
        <v>2.64</v>
      </c>
      <c r="R351" s="11">
        <v>3873973893983</v>
      </c>
      <c r="S351" s="11">
        <v>106750692126</v>
      </c>
      <c r="T351" s="11">
        <v>1995832263</v>
      </c>
      <c r="U351" s="11">
        <v>0</v>
      </c>
      <c r="V351" s="11">
        <v>104754859863</v>
      </c>
      <c r="W351" s="11">
        <v>3980724586109</v>
      </c>
      <c r="X351" s="11">
        <v>104054502930</v>
      </c>
      <c r="Y351" s="11">
        <v>4000000000</v>
      </c>
      <c r="Z351" s="11">
        <v>4088779089039</v>
      </c>
      <c r="AA351" s="11">
        <v>2801823498943</v>
      </c>
      <c r="AB351" s="12">
        <v>42.08</v>
      </c>
      <c r="AC351" s="11">
        <v>1844184492487</v>
      </c>
      <c r="AD351" s="11">
        <v>1139924341982</v>
      </c>
      <c r="AE351" s="11">
        <v>315168538854</v>
      </c>
      <c r="AF351" s="11">
        <v>0</v>
      </c>
      <c r="AG351" s="11">
        <v>0</v>
      </c>
      <c r="AH351" s="11">
        <v>0</v>
      </c>
      <c r="AI351" s="11">
        <v>0</v>
      </c>
      <c r="AJ351" s="12">
        <v>2</v>
      </c>
      <c r="AK351" s="11">
        <v>601124488566</v>
      </c>
      <c r="AL351" s="12">
        <v>7</v>
      </c>
      <c r="AM351" s="11">
        <v>280982200000</v>
      </c>
      <c r="AN351" s="12">
        <v>3</v>
      </c>
      <c r="AO351" s="11">
        <v>98536000000</v>
      </c>
      <c r="AP351" s="11">
        <v>106750692126</v>
      </c>
      <c r="AQ351" s="11">
        <v>3279058348</v>
      </c>
      <c r="AR351" s="11">
        <v>103471633778</v>
      </c>
      <c r="AS351" s="19">
        <v>3155.53</v>
      </c>
      <c r="AT351" s="11">
        <v>836087978237</v>
      </c>
      <c r="AU351" s="11">
        <v>158778600133</v>
      </c>
      <c r="AV351" s="11">
        <v>202644454635</v>
      </c>
      <c r="AW351" s="11">
        <v>84818653811</v>
      </c>
      <c r="AX351" s="11">
        <v>131032705900</v>
      </c>
      <c r="AY351" s="11">
        <v>529963000000</v>
      </c>
      <c r="AZ351" s="11">
        <v>62677472228</v>
      </c>
      <c r="BA351" s="11">
        <v>1053189777205</v>
      </c>
      <c r="BB351" s="13">
        <v>65377</v>
      </c>
      <c r="BC351" s="11">
        <v>392194071305</v>
      </c>
      <c r="BD351" s="11">
        <v>131032705900</v>
      </c>
      <c r="BE351" s="11">
        <v>529963000000</v>
      </c>
      <c r="BF351" s="11">
        <v>1565636015775</v>
      </c>
      <c r="BG351" s="11">
        <v>278548476712</v>
      </c>
      <c r="BH351" s="11">
        <v>40954372044</v>
      </c>
      <c r="BI351" s="11">
        <v>104754859863</v>
      </c>
      <c r="BJ351" s="11">
        <v>162177295257</v>
      </c>
      <c r="BK351" s="11">
        <v>0</v>
      </c>
      <c r="BL351" s="11">
        <v>0</v>
      </c>
      <c r="BM351" s="11">
        <v>0</v>
      </c>
    </row>
    <row r="352" spans="1:65" x14ac:dyDescent="0.25">
      <c r="A352" s="32"/>
      <c r="B352" s="10">
        <v>3408</v>
      </c>
      <c r="C352" s="10" t="s">
        <v>403</v>
      </c>
      <c r="D352" s="11">
        <v>735277452727</v>
      </c>
      <c r="E352" s="11">
        <v>4681967878</v>
      </c>
      <c r="F352" s="11">
        <v>0</v>
      </c>
      <c r="G352" s="11">
        <v>0</v>
      </c>
      <c r="H352" s="11">
        <v>739959420605</v>
      </c>
      <c r="I352" s="11">
        <v>51484476077</v>
      </c>
      <c r="J352" s="11">
        <v>688474944528</v>
      </c>
      <c r="K352" s="11">
        <v>479392003197</v>
      </c>
      <c r="L352" s="11">
        <v>260567417408</v>
      </c>
      <c r="M352" s="12">
        <v>54.35</v>
      </c>
      <c r="N352" s="11">
        <v>648690382000</v>
      </c>
      <c r="O352" s="12">
        <v>101.36</v>
      </c>
      <c r="P352" s="12">
        <v>94.22</v>
      </c>
      <c r="Q352" s="12">
        <v>7.84</v>
      </c>
      <c r="R352" s="11">
        <v>690223247174</v>
      </c>
      <c r="S352" s="11">
        <v>59791972167</v>
      </c>
      <c r="T352" s="11">
        <v>58359508458</v>
      </c>
      <c r="U352" s="11">
        <v>617587739</v>
      </c>
      <c r="V352" s="11">
        <v>814875970</v>
      </c>
      <c r="W352" s="11">
        <v>750015219341</v>
      </c>
      <c r="X352" s="11">
        <v>36555903952</v>
      </c>
      <c r="Y352" s="11">
        <v>1500000000</v>
      </c>
      <c r="Z352" s="11">
        <v>788071123293</v>
      </c>
      <c r="AA352" s="11">
        <v>583994359003</v>
      </c>
      <c r="AB352" s="12">
        <v>28.43</v>
      </c>
      <c r="AC352" s="11">
        <v>258492440218</v>
      </c>
      <c r="AD352" s="11">
        <v>256132440218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2">
        <v>0</v>
      </c>
      <c r="AK352" s="11">
        <v>0</v>
      </c>
      <c r="AL352" s="12">
        <v>0</v>
      </c>
      <c r="AM352" s="11">
        <v>0</v>
      </c>
      <c r="AN352" s="12">
        <v>2</v>
      </c>
      <c r="AO352" s="11">
        <v>1465000000</v>
      </c>
      <c r="AP352" s="11">
        <v>59791972167</v>
      </c>
      <c r="AQ352" s="11">
        <v>4537318260</v>
      </c>
      <c r="AR352" s="11">
        <v>55254653907</v>
      </c>
      <c r="AS352" s="12">
        <v>1217.78</v>
      </c>
      <c r="AT352" s="11">
        <v>135590844658</v>
      </c>
      <c r="AU352" s="11">
        <v>42912016138</v>
      </c>
      <c r="AV352" s="11">
        <v>99446467313</v>
      </c>
      <c r="AW352" s="11">
        <v>107356868740</v>
      </c>
      <c r="AX352" s="11">
        <v>184233116674</v>
      </c>
      <c r="AY352" s="11">
        <v>344241000000</v>
      </c>
      <c r="AZ352" s="11">
        <v>69848402221</v>
      </c>
      <c r="BA352" s="11">
        <v>739959420605</v>
      </c>
      <c r="BB352" s="13">
        <v>109924</v>
      </c>
      <c r="BC352" s="11">
        <v>210762570855</v>
      </c>
      <c r="BD352" s="11">
        <v>184233116674</v>
      </c>
      <c r="BE352" s="11">
        <v>344963733076</v>
      </c>
      <c r="BF352" s="11">
        <v>129187998825</v>
      </c>
      <c r="BG352" s="11">
        <v>129304441393</v>
      </c>
      <c r="BH352" s="11">
        <v>0</v>
      </c>
      <c r="BI352" s="11">
        <v>0</v>
      </c>
      <c r="BJ352" s="11">
        <v>0</v>
      </c>
      <c r="BK352" s="11">
        <v>0</v>
      </c>
      <c r="BL352" s="11">
        <v>0</v>
      </c>
      <c r="BM352" s="11">
        <v>0</v>
      </c>
    </row>
    <row r="353" spans="1:65" x14ac:dyDescent="0.25">
      <c r="A353" s="32"/>
      <c r="B353" s="10">
        <v>3409</v>
      </c>
      <c r="C353" s="10" t="s">
        <v>404</v>
      </c>
      <c r="D353" s="11">
        <v>911496476532</v>
      </c>
      <c r="E353" s="11">
        <v>8584079247</v>
      </c>
      <c r="F353" s="11">
        <v>0</v>
      </c>
      <c r="G353" s="11">
        <v>0</v>
      </c>
      <c r="H353" s="11">
        <v>920080555779</v>
      </c>
      <c r="I353" s="11">
        <v>70132573679</v>
      </c>
      <c r="J353" s="11">
        <v>849947982100</v>
      </c>
      <c r="K353" s="11">
        <v>913571044977</v>
      </c>
      <c r="L353" s="11">
        <v>6509510802</v>
      </c>
      <c r="M353" s="12">
        <v>0.71</v>
      </c>
      <c r="N353" s="11">
        <v>718229082822</v>
      </c>
      <c r="O353" s="12">
        <v>93.2</v>
      </c>
      <c r="P353" s="12">
        <v>84.5</v>
      </c>
      <c r="Q353" s="12">
        <v>2.21</v>
      </c>
      <c r="R353" s="11">
        <v>838683688029</v>
      </c>
      <c r="S353" s="11">
        <v>18844704435</v>
      </c>
      <c r="T353" s="11">
        <v>16378253568</v>
      </c>
      <c r="U353" s="11">
        <v>2466450867</v>
      </c>
      <c r="V353" s="11">
        <v>0</v>
      </c>
      <c r="W353" s="11">
        <v>857528392464</v>
      </c>
      <c r="X353" s="11">
        <v>52432123298</v>
      </c>
      <c r="Y353" s="11">
        <v>12700000000</v>
      </c>
      <c r="Z353" s="11">
        <v>922660515762</v>
      </c>
      <c r="AA353" s="11">
        <v>578125856831</v>
      </c>
      <c r="AB353" s="12">
        <v>48.33</v>
      </c>
      <c r="AC353" s="11">
        <v>399396275167</v>
      </c>
      <c r="AD353" s="11">
        <v>399396275167</v>
      </c>
      <c r="AE353" s="11">
        <v>25612036385</v>
      </c>
      <c r="AF353" s="11">
        <v>0</v>
      </c>
      <c r="AG353" s="11">
        <v>26454940409</v>
      </c>
      <c r="AH353" s="11">
        <v>0</v>
      </c>
      <c r="AI353" s="11">
        <v>0</v>
      </c>
      <c r="AJ353" s="12">
        <v>2</v>
      </c>
      <c r="AK353" s="11">
        <v>60984142806</v>
      </c>
      <c r="AL353" s="12">
        <v>0</v>
      </c>
      <c r="AM353" s="11">
        <v>0</v>
      </c>
      <c r="AN353" s="12">
        <v>2</v>
      </c>
      <c r="AO353" s="11">
        <v>763863864</v>
      </c>
      <c r="AP353" s="11">
        <v>18844704435</v>
      </c>
      <c r="AQ353" s="11">
        <v>36474310216</v>
      </c>
      <c r="AR353" s="11">
        <v>-17629605781</v>
      </c>
      <c r="AS353" s="12">
        <v>-48.33</v>
      </c>
      <c r="AT353" s="11">
        <v>249815234698</v>
      </c>
      <c r="AU353" s="11">
        <v>75040040686</v>
      </c>
      <c r="AV353" s="11">
        <v>145792887254</v>
      </c>
      <c r="AW353" s="11">
        <v>193413846941</v>
      </c>
      <c r="AX353" s="11">
        <v>176304742337</v>
      </c>
      <c r="AY353" s="11">
        <v>395985000000</v>
      </c>
      <c r="AZ353" s="11">
        <v>139428880857</v>
      </c>
      <c r="BA353" s="11">
        <v>920080555779</v>
      </c>
      <c r="BB353" s="13">
        <v>32613</v>
      </c>
      <c r="BC353" s="11">
        <v>347790813442</v>
      </c>
      <c r="BD353" s="11">
        <v>176304742337</v>
      </c>
      <c r="BE353" s="11">
        <v>395985000000</v>
      </c>
      <c r="BF353" s="11">
        <v>363897245167</v>
      </c>
      <c r="BG353" s="11">
        <v>35499030000</v>
      </c>
      <c r="BH353" s="11">
        <v>0</v>
      </c>
      <c r="BI353" s="11">
        <v>0</v>
      </c>
      <c r="BJ353" s="11">
        <v>25706999734</v>
      </c>
      <c r="BK353" s="11">
        <v>0</v>
      </c>
      <c r="BL353" s="11">
        <v>0</v>
      </c>
      <c r="BM353" s="11">
        <v>0</v>
      </c>
    </row>
    <row r="354" spans="1:65" x14ac:dyDescent="0.25">
      <c r="A354" s="32"/>
      <c r="B354" s="10">
        <v>3410</v>
      </c>
      <c r="C354" s="10" t="s">
        <v>405</v>
      </c>
      <c r="D354" s="11">
        <v>668081749483</v>
      </c>
      <c r="E354" s="11">
        <v>5543550038</v>
      </c>
      <c r="F354" s="11">
        <v>0</v>
      </c>
      <c r="G354" s="11">
        <v>0</v>
      </c>
      <c r="H354" s="11">
        <v>673625299521</v>
      </c>
      <c r="I354" s="11">
        <v>56841106028</v>
      </c>
      <c r="J354" s="11">
        <v>616784193493</v>
      </c>
      <c r="K354" s="11">
        <v>815057038210</v>
      </c>
      <c r="L354" s="11">
        <v>-141431738689</v>
      </c>
      <c r="M354" s="12">
        <v>-17.350000000000001</v>
      </c>
      <c r="N354" s="11">
        <v>442308619192</v>
      </c>
      <c r="O354" s="12">
        <v>71.78</v>
      </c>
      <c r="P354" s="12">
        <v>71.709999999999994</v>
      </c>
      <c r="Q354" s="12">
        <v>2.1</v>
      </c>
      <c r="R354" s="11">
        <v>473235687919</v>
      </c>
      <c r="S354" s="11">
        <v>10305190916</v>
      </c>
      <c r="T354" s="11">
        <v>7256175906</v>
      </c>
      <c r="U354" s="11">
        <v>3049015010</v>
      </c>
      <c r="V354" s="11">
        <v>0</v>
      </c>
      <c r="W354" s="11">
        <v>483540878835</v>
      </c>
      <c r="X354" s="11">
        <v>31643027528</v>
      </c>
      <c r="Y354" s="11">
        <v>2500000000</v>
      </c>
      <c r="Z354" s="11">
        <v>517683906363</v>
      </c>
      <c r="AA354" s="11">
        <v>457648145975</v>
      </c>
      <c r="AB354" s="12">
        <v>5.66</v>
      </c>
      <c r="AC354" s="11">
        <v>182889559273</v>
      </c>
      <c r="AD354" s="11">
        <v>182889559273</v>
      </c>
      <c r="AE354" s="11">
        <v>0</v>
      </c>
      <c r="AF354" s="11">
        <v>0</v>
      </c>
      <c r="AG354" s="11">
        <v>4782661426</v>
      </c>
      <c r="AH354" s="11">
        <v>0</v>
      </c>
      <c r="AI354" s="11">
        <v>0</v>
      </c>
      <c r="AJ354" s="12">
        <v>0</v>
      </c>
      <c r="AK354" s="11">
        <v>0</v>
      </c>
      <c r="AL354" s="12">
        <v>19</v>
      </c>
      <c r="AM354" s="11">
        <v>120784479450</v>
      </c>
      <c r="AN354" s="12">
        <v>2</v>
      </c>
      <c r="AO354" s="11">
        <v>131666000</v>
      </c>
      <c r="AP354" s="11">
        <v>10305190916</v>
      </c>
      <c r="AQ354" s="11">
        <v>9865194836</v>
      </c>
      <c r="AR354" s="11">
        <v>439996080</v>
      </c>
      <c r="AS354" s="12">
        <v>4.46</v>
      </c>
      <c r="AT354" s="11">
        <v>214960956247</v>
      </c>
      <c r="AU354" s="11">
        <v>46500351934</v>
      </c>
      <c r="AV354" s="11">
        <v>52059228742</v>
      </c>
      <c r="AW354" s="11">
        <v>144783002992</v>
      </c>
      <c r="AX354" s="11">
        <v>84426517749</v>
      </c>
      <c r="AY354" s="11">
        <v>386813000000</v>
      </c>
      <c r="AZ354" s="11">
        <v>27235917284</v>
      </c>
      <c r="BA354" s="11">
        <v>673625299521</v>
      </c>
      <c r="BB354" s="13">
        <v>70555</v>
      </c>
      <c r="BC354" s="11">
        <v>202385781772</v>
      </c>
      <c r="BD354" s="11">
        <v>84426517749</v>
      </c>
      <c r="BE354" s="11">
        <v>386813000000</v>
      </c>
      <c r="BF354" s="11">
        <v>125191704273</v>
      </c>
      <c r="BG354" s="11">
        <v>57697855000</v>
      </c>
      <c r="BH354" s="11">
        <v>0</v>
      </c>
      <c r="BI354" s="11">
        <v>0</v>
      </c>
      <c r="BJ354" s="11">
        <v>0</v>
      </c>
      <c r="BK354" s="11">
        <v>0</v>
      </c>
      <c r="BL354" s="11">
        <v>0</v>
      </c>
      <c r="BM354" s="11">
        <v>0</v>
      </c>
    </row>
    <row r="355" spans="1:65" x14ac:dyDescent="0.25">
      <c r="A355" s="32"/>
      <c r="B355" s="10">
        <v>3411</v>
      </c>
      <c r="C355" s="10" t="s">
        <v>406</v>
      </c>
      <c r="D355" s="11">
        <v>962974852858</v>
      </c>
      <c r="E355" s="11">
        <v>25513240835</v>
      </c>
      <c r="F355" s="11">
        <v>0</v>
      </c>
      <c r="G355" s="11">
        <v>0</v>
      </c>
      <c r="H355" s="11">
        <v>988488093693</v>
      </c>
      <c r="I355" s="11">
        <v>78952410333</v>
      </c>
      <c r="J355" s="11">
        <v>909535683360</v>
      </c>
      <c r="K355" s="11">
        <v>1007825290953</v>
      </c>
      <c r="L355" s="11">
        <v>-19337197260</v>
      </c>
      <c r="M355" s="12">
        <v>-1.92</v>
      </c>
      <c r="N355" s="11">
        <v>680345528648</v>
      </c>
      <c r="O355" s="12">
        <v>76.05</v>
      </c>
      <c r="P355" s="12">
        <v>74.8</v>
      </c>
      <c r="Q355" s="12">
        <v>1.79</v>
      </c>
      <c r="R355" s="11">
        <v>737738451292</v>
      </c>
      <c r="S355" s="11">
        <v>14010355863</v>
      </c>
      <c r="T355" s="11">
        <v>11761241354</v>
      </c>
      <c r="U355" s="11">
        <v>1908778921</v>
      </c>
      <c r="V355" s="11">
        <v>340335588</v>
      </c>
      <c r="W355" s="11">
        <v>751748807155</v>
      </c>
      <c r="X355" s="11">
        <v>34504700479</v>
      </c>
      <c r="Y355" s="11">
        <v>1999999658</v>
      </c>
      <c r="Z355" s="11">
        <v>788253507292</v>
      </c>
      <c r="AA355" s="11">
        <v>587167867707</v>
      </c>
      <c r="AB355" s="12">
        <v>28.03</v>
      </c>
      <c r="AC355" s="11">
        <v>399042687127</v>
      </c>
      <c r="AD355" s="11">
        <v>399042687127</v>
      </c>
      <c r="AE355" s="11">
        <v>32045526045</v>
      </c>
      <c r="AF355" s="11">
        <v>0</v>
      </c>
      <c r="AG355" s="11">
        <v>0</v>
      </c>
      <c r="AH355" s="11">
        <v>0</v>
      </c>
      <c r="AI355" s="11">
        <v>0</v>
      </c>
      <c r="AJ355" s="12">
        <v>1</v>
      </c>
      <c r="AK355" s="11">
        <v>58448125780</v>
      </c>
      <c r="AL355" s="12">
        <v>5</v>
      </c>
      <c r="AM355" s="11">
        <v>65459007059</v>
      </c>
      <c r="AN355" s="12">
        <v>3</v>
      </c>
      <c r="AO355" s="11">
        <v>1327600000</v>
      </c>
      <c r="AP355" s="11">
        <v>14010355863</v>
      </c>
      <c r="AQ355" s="11">
        <v>16935879944</v>
      </c>
      <c r="AR355" s="11">
        <v>-2925524081</v>
      </c>
      <c r="AS355" s="12">
        <v>-17.27</v>
      </c>
      <c r="AT355" s="11">
        <v>354714950840</v>
      </c>
      <c r="AU355" s="11">
        <v>132909630431</v>
      </c>
      <c r="AV355" s="11">
        <v>59075813296</v>
      </c>
      <c r="AW355" s="11">
        <v>139018351064</v>
      </c>
      <c r="AX355" s="11">
        <v>120525688498</v>
      </c>
      <c r="AY355" s="11">
        <v>644355000000</v>
      </c>
      <c r="AZ355" s="11">
        <v>49766231924</v>
      </c>
      <c r="BA355" s="11">
        <v>988488093693</v>
      </c>
      <c r="BB355" s="13">
        <v>80918</v>
      </c>
      <c r="BC355" s="11">
        <v>223171419749</v>
      </c>
      <c r="BD355" s="11">
        <v>120475688498</v>
      </c>
      <c r="BE355" s="11">
        <v>644840985446</v>
      </c>
      <c r="BF355" s="11">
        <v>349653898379</v>
      </c>
      <c r="BG355" s="11">
        <v>49388788748</v>
      </c>
      <c r="BH355" s="11">
        <v>0</v>
      </c>
      <c r="BI355" s="11">
        <v>0</v>
      </c>
      <c r="BJ355" s="11">
        <v>32104162737</v>
      </c>
      <c r="BK355" s="11">
        <v>0</v>
      </c>
      <c r="BL355" s="11">
        <v>0</v>
      </c>
      <c r="BM355" s="11">
        <v>0</v>
      </c>
    </row>
    <row r="356" spans="1:65" x14ac:dyDescent="0.25">
      <c r="A356" s="32"/>
      <c r="B356" s="10">
        <v>3412</v>
      </c>
      <c r="C356" s="10" t="s">
        <v>407</v>
      </c>
      <c r="D356" s="11">
        <v>503173570204</v>
      </c>
      <c r="E356" s="11">
        <v>17482533087</v>
      </c>
      <c r="F356" s="11">
        <v>0</v>
      </c>
      <c r="G356" s="11">
        <v>0</v>
      </c>
      <c r="H356" s="11">
        <v>520656103291</v>
      </c>
      <c r="I356" s="11">
        <v>36656664147</v>
      </c>
      <c r="J356" s="11">
        <v>483999439144</v>
      </c>
      <c r="K356" s="11">
        <v>563217424234</v>
      </c>
      <c r="L356" s="11">
        <v>-42561320943</v>
      </c>
      <c r="M356" s="12">
        <v>-7.56</v>
      </c>
      <c r="N356" s="11">
        <v>1016400193680</v>
      </c>
      <c r="O356" s="12">
        <v>214.73</v>
      </c>
      <c r="P356" s="12">
        <v>210</v>
      </c>
      <c r="Q356" s="12">
        <v>12.12</v>
      </c>
      <c r="R356" s="11">
        <v>988893356352</v>
      </c>
      <c r="S356" s="11">
        <v>129094783576</v>
      </c>
      <c r="T356" s="11">
        <v>120111065781</v>
      </c>
      <c r="U356" s="11">
        <v>8162095410</v>
      </c>
      <c r="V356" s="11">
        <v>821622385</v>
      </c>
      <c r="W356" s="11">
        <v>1117988139928</v>
      </c>
      <c r="X356" s="11">
        <v>70879022047</v>
      </c>
      <c r="Y356" s="11">
        <v>9000000000</v>
      </c>
      <c r="Z356" s="11">
        <v>1197867161975</v>
      </c>
      <c r="AA356" s="11">
        <v>1086895192203</v>
      </c>
      <c r="AB356" s="12">
        <v>2.86</v>
      </c>
      <c r="AC356" s="11">
        <v>248977604801</v>
      </c>
      <c r="AD356" s="11">
        <v>228522996584</v>
      </c>
      <c r="AE356" s="11">
        <v>0</v>
      </c>
      <c r="AF356" s="11">
        <v>881100000</v>
      </c>
      <c r="AG356" s="11">
        <v>2785272450</v>
      </c>
      <c r="AH356" s="11">
        <v>0</v>
      </c>
      <c r="AI356" s="11">
        <v>0</v>
      </c>
      <c r="AJ356" s="12">
        <v>0</v>
      </c>
      <c r="AK356" s="11">
        <v>0</v>
      </c>
      <c r="AL356" s="12">
        <v>38</v>
      </c>
      <c r="AM356" s="11">
        <v>212177898829</v>
      </c>
      <c r="AN356" s="12">
        <v>38</v>
      </c>
      <c r="AO356" s="11">
        <v>25306512866</v>
      </c>
      <c r="AP356" s="11">
        <v>129094783576</v>
      </c>
      <c r="AQ356" s="11">
        <v>17292853129</v>
      </c>
      <c r="AR356" s="11">
        <v>111801930447</v>
      </c>
      <c r="AS356" s="12">
        <v>646.52</v>
      </c>
      <c r="AT356" s="11">
        <v>312009683718</v>
      </c>
      <c r="AU356" s="11">
        <v>119399842215</v>
      </c>
      <c r="AV356" s="11">
        <v>142730625808</v>
      </c>
      <c r="AW356" s="11">
        <v>85974857639</v>
      </c>
      <c r="AX356" s="11">
        <v>134524086757</v>
      </c>
      <c r="AY356" s="11">
        <v>139944000000</v>
      </c>
      <c r="AZ356" s="11">
        <v>97731877151</v>
      </c>
      <c r="BA356" s="11">
        <v>520656103291</v>
      </c>
      <c r="BB356" s="13">
        <v>53533</v>
      </c>
      <c r="BC356" s="11">
        <v>246188016534</v>
      </c>
      <c r="BD356" s="11">
        <v>134524086757</v>
      </c>
      <c r="BE356" s="11">
        <v>139944000000</v>
      </c>
      <c r="BF356" s="11">
        <v>162729852801</v>
      </c>
      <c r="BG356" s="11">
        <v>86247752000</v>
      </c>
      <c r="BH356" s="11">
        <v>0</v>
      </c>
      <c r="BI356" s="11">
        <v>0</v>
      </c>
      <c r="BJ356" s="11">
        <v>27178066393</v>
      </c>
      <c r="BK356" s="11">
        <v>0</v>
      </c>
      <c r="BL356" s="11">
        <v>0</v>
      </c>
      <c r="BM356" s="11">
        <v>889331646</v>
      </c>
    </row>
    <row r="357" spans="1:65" x14ac:dyDescent="0.25">
      <c r="A357" s="32"/>
      <c r="B357" s="10">
        <v>3413</v>
      </c>
      <c r="C357" s="10" t="s">
        <v>408</v>
      </c>
      <c r="D357" s="11">
        <v>842471605044</v>
      </c>
      <c r="E357" s="11">
        <v>1326195794</v>
      </c>
      <c r="F357" s="11">
        <v>0</v>
      </c>
      <c r="G357" s="11">
        <v>0</v>
      </c>
      <c r="H357" s="11">
        <v>843797800838</v>
      </c>
      <c r="I357" s="11">
        <v>74447193229</v>
      </c>
      <c r="J357" s="11">
        <v>769350607609</v>
      </c>
      <c r="K357" s="11">
        <v>900432945928</v>
      </c>
      <c r="L357" s="11">
        <v>-56635145090</v>
      </c>
      <c r="M357" s="12">
        <v>-6.29</v>
      </c>
      <c r="N357" s="11">
        <v>527357724699</v>
      </c>
      <c r="O357" s="12">
        <v>70.06</v>
      </c>
      <c r="P357" s="12">
        <v>68.55</v>
      </c>
      <c r="Q357" s="12">
        <v>5.03</v>
      </c>
      <c r="R357" s="11">
        <v>559935645434</v>
      </c>
      <c r="S357" s="11">
        <v>31220288937</v>
      </c>
      <c r="T357" s="11">
        <v>27915967597</v>
      </c>
      <c r="U357" s="11">
        <v>3108979815</v>
      </c>
      <c r="V357" s="11">
        <v>195341525</v>
      </c>
      <c r="W357" s="11">
        <v>591155934371</v>
      </c>
      <c r="X357" s="11">
        <v>32873555032</v>
      </c>
      <c r="Y357" s="11">
        <v>6850080183</v>
      </c>
      <c r="Z357" s="11">
        <v>630879569586</v>
      </c>
      <c r="AA357" s="11">
        <v>580000966411</v>
      </c>
      <c r="AB357" s="12">
        <v>1.92</v>
      </c>
      <c r="AC357" s="11">
        <v>231784146998</v>
      </c>
      <c r="AD357" s="11">
        <v>231784146998</v>
      </c>
      <c r="AE357" s="11">
        <v>42088069103</v>
      </c>
      <c r="AF357" s="11">
        <v>0</v>
      </c>
      <c r="AG357" s="11">
        <v>2567514259</v>
      </c>
      <c r="AH357" s="11">
        <v>0</v>
      </c>
      <c r="AI357" s="11">
        <v>0</v>
      </c>
      <c r="AJ357" s="12">
        <v>0</v>
      </c>
      <c r="AK357" s="11">
        <v>0</v>
      </c>
      <c r="AL357" s="12">
        <v>1</v>
      </c>
      <c r="AM357" s="11">
        <v>12000000000</v>
      </c>
      <c r="AN357" s="12">
        <v>0</v>
      </c>
      <c r="AO357" s="11">
        <v>0</v>
      </c>
      <c r="AP357" s="11">
        <v>31220288937</v>
      </c>
      <c r="AQ357" s="11">
        <v>7006810745</v>
      </c>
      <c r="AR357" s="11">
        <v>24213478192</v>
      </c>
      <c r="AS357" s="12">
        <v>345.57</v>
      </c>
      <c r="AT357" s="11">
        <v>268733495053</v>
      </c>
      <c r="AU357" s="11">
        <v>101599654498</v>
      </c>
      <c r="AV357" s="11">
        <v>106257939122</v>
      </c>
      <c r="AW357" s="11">
        <v>68140622500</v>
      </c>
      <c r="AX357" s="11">
        <v>203213043422</v>
      </c>
      <c r="AY357" s="11">
        <v>464860000000</v>
      </c>
      <c r="AZ357" s="11">
        <v>89197836594</v>
      </c>
      <c r="BA357" s="11">
        <v>843797800838</v>
      </c>
      <c r="BB357" s="13">
        <v>204104</v>
      </c>
      <c r="BC357" s="11">
        <v>175722659814</v>
      </c>
      <c r="BD357" s="11">
        <v>203213043422</v>
      </c>
      <c r="BE357" s="11">
        <v>464862097602</v>
      </c>
      <c r="BF357" s="11">
        <v>164696077895</v>
      </c>
      <c r="BG357" s="11">
        <v>67088069103</v>
      </c>
      <c r="BH357" s="11">
        <v>0</v>
      </c>
      <c r="BI357" s="11">
        <v>0</v>
      </c>
      <c r="BJ357" s="11">
        <v>44295098260</v>
      </c>
      <c r="BK357" s="11">
        <v>0</v>
      </c>
      <c r="BL357" s="11">
        <v>0</v>
      </c>
      <c r="BM357" s="11">
        <v>0</v>
      </c>
    </row>
    <row r="358" spans="1:65" x14ac:dyDescent="0.25">
      <c r="A358" s="32"/>
      <c r="B358" s="10">
        <v>3414</v>
      </c>
      <c r="C358" s="10" t="s">
        <v>409</v>
      </c>
      <c r="D358" s="11">
        <v>758583135619</v>
      </c>
      <c r="E358" s="11">
        <v>128114628916</v>
      </c>
      <c r="F358" s="11">
        <v>0</v>
      </c>
      <c r="G358" s="11">
        <v>0</v>
      </c>
      <c r="H358" s="11">
        <v>886697764535</v>
      </c>
      <c r="I358" s="11">
        <v>70910732525</v>
      </c>
      <c r="J358" s="11">
        <v>815787032010</v>
      </c>
      <c r="K358" s="11">
        <v>747760861904</v>
      </c>
      <c r="L358" s="11">
        <v>138936902631</v>
      </c>
      <c r="M358" s="12">
        <v>18.579999999999998</v>
      </c>
      <c r="N358" s="11">
        <v>1062253559554</v>
      </c>
      <c r="O358" s="12">
        <v>132.51</v>
      </c>
      <c r="P358" s="12">
        <v>130.21</v>
      </c>
      <c r="Q358" s="12">
        <v>2.14</v>
      </c>
      <c r="R358" s="11">
        <v>1152718088161</v>
      </c>
      <c r="S358" s="11">
        <v>22219315423</v>
      </c>
      <c r="T358" s="11">
        <v>14326342674</v>
      </c>
      <c r="U358" s="11">
        <v>4608651632</v>
      </c>
      <c r="V358" s="11">
        <v>3284321117</v>
      </c>
      <c r="W358" s="11">
        <v>1174937403584</v>
      </c>
      <c r="X358" s="11">
        <v>66776435396</v>
      </c>
      <c r="Y358" s="11">
        <v>1800000000</v>
      </c>
      <c r="Z358" s="11">
        <v>1243513838980</v>
      </c>
      <c r="AA358" s="11">
        <v>713303759701</v>
      </c>
      <c r="AB358" s="12">
        <v>64.72</v>
      </c>
      <c r="AC358" s="11">
        <v>1576045985137</v>
      </c>
      <c r="AD358" s="11">
        <v>1504881794280</v>
      </c>
      <c r="AE358" s="11">
        <v>897109551747</v>
      </c>
      <c r="AF358" s="11">
        <v>0</v>
      </c>
      <c r="AG358" s="11">
        <v>19158628585</v>
      </c>
      <c r="AH358" s="11">
        <v>0</v>
      </c>
      <c r="AI358" s="11">
        <v>0</v>
      </c>
      <c r="AJ358" s="12">
        <v>23</v>
      </c>
      <c r="AK358" s="11">
        <v>1945033535064</v>
      </c>
      <c r="AL358" s="12">
        <v>0</v>
      </c>
      <c r="AM358" s="11">
        <v>0</v>
      </c>
      <c r="AN358" s="12">
        <v>1</v>
      </c>
      <c r="AO358" s="11">
        <v>5000000000</v>
      </c>
      <c r="AP358" s="11">
        <v>22219315423</v>
      </c>
      <c r="AQ358" s="11">
        <v>14206609815</v>
      </c>
      <c r="AR358" s="11">
        <v>8012705608</v>
      </c>
      <c r="AS358" s="12">
        <v>56.4</v>
      </c>
      <c r="AT358" s="11">
        <v>1156278590297</v>
      </c>
      <c r="AU358" s="11">
        <v>77482013144</v>
      </c>
      <c r="AV358" s="11">
        <v>138771803669</v>
      </c>
      <c r="AW358" s="11">
        <v>159762801193</v>
      </c>
      <c r="AX358" s="11">
        <v>190582530757</v>
      </c>
      <c r="AY358" s="11">
        <v>269466000000</v>
      </c>
      <c r="AZ358" s="11">
        <v>97548697301</v>
      </c>
      <c r="BA358" s="11">
        <v>886697764535</v>
      </c>
      <c r="BB358" s="13">
        <v>85933</v>
      </c>
      <c r="BC358" s="11">
        <v>426297061834</v>
      </c>
      <c r="BD358" s="11">
        <v>190582530757</v>
      </c>
      <c r="BE358" s="11">
        <v>269818171944</v>
      </c>
      <c r="BF358" s="11">
        <v>761942661270</v>
      </c>
      <c r="BG358" s="11">
        <v>814103323867</v>
      </c>
      <c r="BH358" s="11">
        <v>9172453584</v>
      </c>
      <c r="BI358" s="11">
        <v>0</v>
      </c>
      <c r="BJ358" s="11">
        <v>899002354624</v>
      </c>
      <c r="BK358" s="11">
        <v>0</v>
      </c>
      <c r="BL358" s="11">
        <v>0</v>
      </c>
      <c r="BM358" s="11">
        <v>0</v>
      </c>
    </row>
    <row r="359" spans="1:65" x14ac:dyDescent="0.25">
      <c r="A359" s="32"/>
      <c r="B359" s="10">
        <v>3415</v>
      </c>
      <c r="C359" s="10" t="s">
        <v>410</v>
      </c>
      <c r="D359" s="11">
        <v>733871851667</v>
      </c>
      <c r="E359" s="11">
        <v>122428429900</v>
      </c>
      <c r="F359" s="11">
        <v>0</v>
      </c>
      <c r="G359" s="11">
        <v>0</v>
      </c>
      <c r="H359" s="11">
        <v>856300281567</v>
      </c>
      <c r="I359" s="11">
        <v>69539475086</v>
      </c>
      <c r="J359" s="11">
        <v>786760806481</v>
      </c>
      <c r="K359" s="11">
        <v>961013687782</v>
      </c>
      <c r="L359" s="11">
        <v>-104713406215</v>
      </c>
      <c r="M359" s="12">
        <v>-10.9</v>
      </c>
      <c r="N359" s="11">
        <v>706317686477</v>
      </c>
      <c r="O359" s="12">
        <v>90.33</v>
      </c>
      <c r="P359" s="12">
        <v>89.78</v>
      </c>
      <c r="Q359" s="12">
        <v>5.95</v>
      </c>
      <c r="R359" s="11">
        <v>724472411140</v>
      </c>
      <c r="S359" s="11">
        <v>49033145045</v>
      </c>
      <c r="T359" s="11">
        <v>8565545045</v>
      </c>
      <c r="U359" s="11">
        <v>0</v>
      </c>
      <c r="V359" s="11">
        <v>40467600000</v>
      </c>
      <c r="W359" s="11">
        <v>773505556185</v>
      </c>
      <c r="X359" s="11">
        <v>44241507333</v>
      </c>
      <c r="Y359" s="11">
        <v>11302665000</v>
      </c>
      <c r="Z359" s="11">
        <v>829049728518</v>
      </c>
      <c r="AA359" s="11">
        <v>914649388261</v>
      </c>
      <c r="AB359" s="12">
        <v>-15.43</v>
      </c>
      <c r="AC359" s="11">
        <v>318707706747</v>
      </c>
      <c r="AD359" s="11">
        <v>318707706747</v>
      </c>
      <c r="AE359" s="11">
        <v>40467600000</v>
      </c>
      <c r="AF359" s="11">
        <v>0</v>
      </c>
      <c r="AG359" s="11">
        <v>6152940313</v>
      </c>
      <c r="AH359" s="11">
        <v>0</v>
      </c>
      <c r="AI359" s="11">
        <v>0</v>
      </c>
      <c r="AJ359" s="12">
        <v>1</v>
      </c>
      <c r="AK359" s="11">
        <v>50000000000</v>
      </c>
      <c r="AL359" s="12">
        <v>15</v>
      </c>
      <c r="AM359" s="11">
        <v>614283320000</v>
      </c>
      <c r="AN359" s="12">
        <v>4</v>
      </c>
      <c r="AO359" s="11">
        <v>5730000000</v>
      </c>
      <c r="AP359" s="11">
        <v>49033145045</v>
      </c>
      <c r="AQ359" s="11">
        <v>0</v>
      </c>
      <c r="AR359" s="11">
        <v>49033145045</v>
      </c>
      <c r="AS359" s="12"/>
      <c r="AT359" s="11">
        <v>540188687312</v>
      </c>
      <c r="AU359" s="11">
        <v>195879126125</v>
      </c>
      <c r="AV359" s="11">
        <v>104563796125</v>
      </c>
      <c r="AW359" s="11">
        <v>49067086788</v>
      </c>
      <c r="AX359" s="11">
        <v>181140968754</v>
      </c>
      <c r="AY359" s="11">
        <v>399100000000</v>
      </c>
      <c r="AZ359" s="11">
        <v>94743130870</v>
      </c>
      <c r="BA359" s="11">
        <v>856300281567</v>
      </c>
      <c r="BB359" s="13">
        <v>211244</v>
      </c>
      <c r="BC359" s="11">
        <v>275680184610</v>
      </c>
      <c r="BD359" s="11">
        <v>181140968754</v>
      </c>
      <c r="BE359" s="11">
        <v>399479128203</v>
      </c>
      <c r="BF359" s="11">
        <v>269366693294</v>
      </c>
      <c r="BG359" s="11">
        <v>49341013453</v>
      </c>
      <c r="BH359" s="11">
        <v>0</v>
      </c>
      <c r="BI359" s="11">
        <v>40467600000</v>
      </c>
      <c r="BJ359" s="11">
        <v>0</v>
      </c>
      <c r="BK359" s="11">
        <v>0</v>
      </c>
      <c r="BL359" s="11">
        <v>0</v>
      </c>
      <c r="BM359" s="11">
        <v>0</v>
      </c>
    </row>
    <row r="360" spans="1:65" x14ac:dyDescent="0.25">
      <c r="A360" s="32"/>
      <c r="B360" s="10">
        <v>3416</v>
      </c>
      <c r="C360" s="10" t="s">
        <v>411</v>
      </c>
      <c r="D360" s="11">
        <v>2451435568064</v>
      </c>
      <c r="E360" s="11">
        <v>253516364781</v>
      </c>
      <c r="F360" s="11">
        <v>0</v>
      </c>
      <c r="G360" s="11">
        <v>0</v>
      </c>
      <c r="H360" s="11">
        <v>2704951932845</v>
      </c>
      <c r="I360" s="11">
        <v>184118607815</v>
      </c>
      <c r="J360" s="11">
        <v>2520833325030</v>
      </c>
      <c r="K360" s="11">
        <v>2252780435300</v>
      </c>
      <c r="L360" s="11">
        <v>452171497545</v>
      </c>
      <c r="M360" s="12">
        <v>20.07</v>
      </c>
      <c r="N360" s="11">
        <v>4122129498381</v>
      </c>
      <c r="O360" s="12">
        <v>162.97999999999999</v>
      </c>
      <c r="P360" s="12">
        <v>163.52000000000001</v>
      </c>
      <c r="Q360" s="12">
        <v>9.2100000000000009</v>
      </c>
      <c r="R360" s="11">
        <v>3982391468125</v>
      </c>
      <c r="S360" s="11">
        <v>426211599288</v>
      </c>
      <c r="T360" s="11">
        <v>57149566884</v>
      </c>
      <c r="U360" s="11">
        <v>17644075017</v>
      </c>
      <c r="V360" s="11">
        <v>351417957387</v>
      </c>
      <c r="W360" s="11">
        <v>4408603067413</v>
      </c>
      <c r="X360" s="11">
        <v>283401535928</v>
      </c>
      <c r="Y360" s="11">
        <v>23566088615</v>
      </c>
      <c r="Z360" s="11">
        <v>4715570691956</v>
      </c>
      <c r="AA360" s="11">
        <v>2803599718625</v>
      </c>
      <c r="AB360" s="12">
        <v>57.25</v>
      </c>
      <c r="AC360" s="11">
        <v>4374386922787</v>
      </c>
      <c r="AD360" s="11">
        <v>4374386922787</v>
      </c>
      <c r="AE360" s="11">
        <v>2679214035007</v>
      </c>
      <c r="AF360" s="11">
        <v>180000000000</v>
      </c>
      <c r="AG360" s="11">
        <v>69925000000</v>
      </c>
      <c r="AH360" s="11">
        <v>0</v>
      </c>
      <c r="AI360" s="11">
        <v>0</v>
      </c>
      <c r="AJ360" s="12">
        <v>26</v>
      </c>
      <c r="AK360" s="11">
        <v>3812982946774</v>
      </c>
      <c r="AL360" s="12">
        <v>148</v>
      </c>
      <c r="AM360" s="11">
        <v>1060869360250</v>
      </c>
      <c r="AN360" s="12">
        <v>47</v>
      </c>
      <c r="AO360" s="11">
        <v>590473171121</v>
      </c>
      <c r="AP360" s="11">
        <v>426211599288</v>
      </c>
      <c r="AQ360" s="11">
        <v>36390048771</v>
      </c>
      <c r="AR360" s="11">
        <v>389821550517</v>
      </c>
      <c r="AS360" s="19">
        <v>1071.23</v>
      </c>
      <c r="AT360" s="11">
        <v>3227599231232</v>
      </c>
      <c r="AU360" s="11">
        <v>1656990646497</v>
      </c>
      <c r="AV360" s="11">
        <v>890475242984</v>
      </c>
      <c r="AW360" s="11">
        <v>392117415833</v>
      </c>
      <c r="AX360" s="11">
        <v>481195009247</v>
      </c>
      <c r="AY360" s="11">
        <v>687647900000</v>
      </c>
      <c r="AZ360" s="11">
        <v>239353305090</v>
      </c>
      <c r="BA360" s="11">
        <v>2704951932845</v>
      </c>
      <c r="BB360" s="13">
        <v>29164</v>
      </c>
      <c r="BC360" s="11">
        <v>1516851346399</v>
      </c>
      <c r="BD360" s="11">
        <v>481195009247</v>
      </c>
      <c r="BE360" s="11">
        <v>706905577199</v>
      </c>
      <c r="BF360" s="11">
        <v>488714104913</v>
      </c>
      <c r="BG360" s="11">
        <v>3885672817874</v>
      </c>
      <c r="BH360" s="11">
        <v>574239442009</v>
      </c>
      <c r="BI360" s="11">
        <v>350736791478</v>
      </c>
      <c r="BJ360" s="11">
        <v>2156102293906</v>
      </c>
      <c r="BK360" s="11">
        <v>180000000000</v>
      </c>
      <c r="BL360" s="11">
        <v>0</v>
      </c>
      <c r="BM360" s="11">
        <v>30419120976</v>
      </c>
    </row>
    <row r="361" spans="1:65" x14ac:dyDescent="0.25">
      <c r="A361" s="32"/>
      <c r="B361" s="10">
        <v>3417</v>
      </c>
      <c r="C361" s="10" t="s">
        <v>412</v>
      </c>
      <c r="D361" s="11">
        <v>935588640635</v>
      </c>
      <c r="E361" s="11">
        <v>874322643046</v>
      </c>
      <c r="F361" s="11">
        <v>0</v>
      </c>
      <c r="G361" s="11">
        <v>0</v>
      </c>
      <c r="H361" s="11">
        <v>1809911283681</v>
      </c>
      <c r="I361" s="11">
        <v>147755369450</v>
      </c>
      <c r="J361" s="11">
        <v>1662155914231</v>
      </c>
      <c r="K361" s="11">
        <v>4040803446798</v>
      </c>
      <c r="L361" s="11">
        <v>-2230892163117</v>
      </c>
      <c r="M361" s="12">
        <v>-55.21</v>
      </c>
      <c r="N361" s="11">
        <v>5436071156740</v>
      </c>
      <c r="O361" s="12">
        <v>304.68</v>
      </c>
      <c r="P361" s="12">
        <v>327.05</v>
      </c>
      <c r="Q361" s="12">
        <v>19.48</v>
      </c>
      <c r="R361" s="11">
        <v>4380653409807</v>
      </c>
      <c r="S361" s="11">
        <v>1133711632064</v>
      </c>
      <c r="T361" s="11">
        <v>338111006714</v>
      </c>
      <c r="U361" s="11">
        <v>723121490175</v>
      </c>
      <c r="V361" s="11">
        <v>72479135175</v>
      </c>
      <c r="W361" s="11">
        <v>5514365041871</v>
      </c>
      <c r="X361" s="11">
        <v>358642072450</v>
      </c>
      <c r="Y361" s="11">
        <v>21994384797</v>
      </c>
      <c r="Z361" s="11">
        <v>5895001499118</v>
      </c>
      <c r="AA361" s="11">
        <v>4648785081835</v>
      </c>
      <c r="AB361" s="12">
        <v>18.62</v>
      </c>
      <c r="AC361" s="11">
        <v>4539484414585</v>
      </c>
      <c r="AD361" s="11">
        <v>4539484414585</v>
      </c>
      <c r="AE361" s="11">
        <v>2260948173307</v>
      </c>
      <c r="AF361" s="11">
        <v>7952054</v>
      </c>
      <c r="AG361" s="11">
        <v>0</v>
      </c>
      <c r="AH361" s="11">
        <v>0</v>
      </c>
      <c r="AI361" s="11">
        <v>0</v>
      </c>
      <c r="AJ361" s="12">
        <v>21</v>
      </c>
      <c r="AK361" s="11">
        <v>6508998787787</v>
      </c>
      <c r="AL361" s="12">
        <v>33</v>
      </c>
      <c r="AM361" s="11">
        <v>291144845770</v>
      </c>
      <c r="AN361" s="12">
        <v>26</v>
      </c>
      <c r="AO361" s="11">
        <v>120215029600</v>
      </c>
      <c r="AP361" s="11">
        <v>1133711632064</v>
      </c>
      <c r="AQ361" s="11">
        <v>137299071224</v>
      </c>
      <c r="AR361" s="11">
        <v>996412560840</v>
      </c>
      <c r="AS361" s="12">
        <v>725.72</v>
      </c>
      <c r="AT361" s="11">
        <v>4004042677812</v>
      </c>
      <c r="AU361" s="11">
        <v>410040656414</v>
      </c>
      <c r="AV361" s="11">
        <v>286457369839</v>
      </c>
      <c r="AW361" s="11">
        <v>114396070305</v>
      </c>
      <c r="AX361" s="11">
        <v>339066200491</v>
      </c>
      <c r="AY361" s="11">
        <v>195669000000</v>
      </c>
      <c r="AZ361" s="11">
        <v>148006159829</v>
      </c>
      <c r="BA361" s="11">
        <v>1809911283681</v>
      </c>
      <c r="BB361" s="13">
        <v>51574</v>
      </c>
      <c r="BC361" s="11">
        <v>1275176083190</v>
      </c>
      <c r="BD361" s="11">
        <v>339066200491</v>
      </c>
      <c r="BE361" s="11">
        <v>195669000000</v>
      </c>
      <c r="BF361" s="11">
        <v>3950784659694</v>
      </c>
      <c r="BG361" s="11">
        <v>588699754891</v>
      </c>
      <c r="BH361" s="11">
        <v>447148133975</v>
      </c>
      <c r="BI361" s="11">
        <v>10362240000</v>
      </c>
      <c r="BJ361" s="11">
        <v>1827933283618</v>
      </c>
      <c r="BK361" s="11">
        <v>0</v>
      </c>
      <c r="BL361" s="11">
        <v>0</v>
      </c>
      <c r="BM361" s="11">
        <v>7958807</v>
      </c>
    </row>
    <row r="362" spans="1:65" x14ac:dyDescent="0.25">
      <c r="A362" s="32"/>
      <c r="B362" s="10">
        <v>3418</v>
      </c>
      <c r="C362" s="10" t="s">
        <v>413</v>
      </c>
      <c r="D362" s="11">
        <v>1105557221207</v>
      </c>
      <c r="E362" s="11">
        <v>712616779824</v>
      </c>
      <c r="F362" s="11">
        <v>0</v>
      </c>
      <c r="G362" s="11">
        <v>0</v>
      </c>
      <c r="H362" s="11">
        <v>1818174001031</v>
      </c>
      <c r="I362" s="11">
        <v>151748839937</v>
      </c>
      <c r="J362" s="11">
        <v>1666425161094</v>
      </c>
      <c r="K362" s="11">
        <v>1881975804440</v>
      </c>
      <c r="L362" s="11">
        <v>-63801803409</v>
      </c>
      <c r="M362" s="12">
        <v>-3.39</v>
      </c>
      <c r="N362" s="11">
        <v>2683728037495</v>
      </c>
      <c r="O362" s="12">
        <v>164.4</v>
      </c>
      <c r="P362" s="12">
        <v>161.05000000000001</v>
      </c>
      <c r="Q362" s="12">
        <v>0.45</v>
      </c>
      <c r="R362" s="11">
        <v>2975031814085</v>
      </c>
      <c r="S362" s="11">
        <v>14065269072</v>
      </c>
      <c r="T362" s="11">
        <v>7971798506</v>
      </c>
      <c r="U362" s="11">
        <v>5878568867</v>
      </c>
      <c r="V362" s="11">
        <v>214901699</v>
      </c>
      <c r="W362" s="11">
        <v>2989097083157</v>
      </c>
      <c r="X362" s="11">
        <v>150887542393</v>
      </c>
      <c r="Y362" s="11">
        <v>23399907000</v>
      </c>
      <c r="Z362" s="11">
        <v>3163384532550</v>
      </c>
      <c r="AA362" s="11">
        <v>1391608726303</v>
      </c>
      <c r="AB362" s="12">
        <v>114.79</v>
      </c>
      <c r="AC362" s="11">
        <v>5925092646949</v>
      </c>
      <c r="AD362" s="11">
        <v>5864124422419</v>
      </c>
      <c r="AE362" s="11">
        <v>1933084607509</v>
      </c>
      <c r="AF362" s="11">
        <v>2587438080000</v>
      </c>
      <c r="AG362" s="11">
        <v>17600000000</v>
      </c>
      <c r="AH362" s="11">
        <v>0</v>
      </c>
      <c r="AI362" s="11">
        <v>0</v>
      </c>
      <c r="AJ362" s="12">
        <v>25</v>
      </c>
      <c r="AK362" s="11">
        <v>4603229430890</v>
      </c>
      <c r="AL362" s="12">
        <v>25</v>
      </c>
      <c r="AM362" s="11">
        <v>1912356026005</v>
      </c>
      <c r="AN362" s="12">
        <v>18</v>
      </c>
      <c r="AO362" s="11">
        <v>4872745647600</v>
      </c>
      <c r="AP362" s="11">
        <v>14065269072</v>
      </c>
      <c r="AQ362" s="11">
        <v>8748388468</v>
      </c>
      <c r="AR362" s="11">
        <v>5316880604</v>
      </c>
      <c r="AS362" s="12">
        <v>60.78</v>
      </c>
      <c r="AT362" s="11">
        <v>4809732090528</v>
      </c>
      <c r="AU362" s="11">
        <v>672007411642</v>
      </c>
      <c r="AV362" s="11">
        <v>94146079444</v>
      </c>
      <c r="AW362" s="11">
        <v>111983941479</v>
      </c>
      <c r="AX362" s="11">
        <v>397611200284</v>
      </c>
      <c r="AY362" s="11">
        <v>501816000000</v>
      </c>
      <c r="AZ362" s="11">
        <v>302916740520</v>
      </c>
      <c r="BA362" s="11">
        <v>1818174001031</v>
      </c>
      <c r="BB362" s="13">
        <v>124290</v>
      </c>
      <c r="BC362" s="11">
        <v>918746800747</v>
      </c>
      <c r="BD362" s="11">
        <v>397611200284</v>
      </c>
      <c r="BE362" s="11">
        <v>501816000000</v>
      </c>
      <c r="BF362" s="11">
        <v>5589325439440</v>
      </c>
      <c r="BG362" s="11">
        <v>335767207509</v>
      </c>
      <c r="BH362" s="11">
        <v>196383330726</v>
      </c>
      <c r="BI362" s="11">
        <v>0</v>
      </c>
      <c r="BJ362" s="11">
        <v>1748796138620</v>
      </c>
      <c r="BK362" s="11">
        <v>426476609968</v>
      </c>
      <c r="BL362" s="11">
        <v>0</v>
      </c>
      <c r="BM362" s="11">
        <v>2420080130341</v>
      </c>
    </row>
    <row r="363" spans="1:65" x14ac:dyDescent="0.25">
      <c r="A363" s="32"/>
      <c r="B363" s="10">
        <v>3419</v>
      </c>
      <c r="C363" s="10" t="s">
        <v>414</v>
      </c>
      <c r="D363" s="11">
        <v>465640144120</v>
      </c>
      <c r="E363" s="11">
        <v>58180202460</v>
      </c>
      <c r="F363" s="11">
        <v>0</v>
      </c>
      <c r="G363" s="11">
        <v>0</v>
      </c>
      <c r="H363" s="11">
        <v>523820346580</v>
      </c>
      <c r="I363" s="11">
        <v>41293354443</v>
      </c>
      <c r="J363" s="11">
        <v>482526992137</v>
      </c>
      <c r="K363" s="11">
        <v>691669621584</v>
      </c>
      <c r="L363" s="11">
        <v>-167849275004</v>
      </c>
      <c r="M363" s="12">
        <v>-24.27</v>
      </c>
      <c r="N363" s="11">
        <v>844648455378</v>
      </c>
      <c r="O363" s="12">
        <v>166.9</v>
      </c>
      <c r="P363" s="12">
        <v>175.05</v>
      </c>
      <c r="Q363" s="12">
        <v>1.31</v>
      </c>
      <c r="R363" s="11">
        <v>862833442413</v>
      </c>
      <c r="S363" s="11">
        <v>11433367267</v>
      </c>
      <c r="T363" s="11">
        <v>6747094410</v>
      </c>
      <c r="U363" s="11">
        <v>3652745779</v>
      </c>
      <c r="V363" s="11">
        <v>1033527078</v>
      </c>
      <c r="W363" s="11">
        <v>874266809680</v>
      </c>
      <c r="X363" s="11">
        <v>69992159224</v>
      </c>
      <c r="Y363" s="11">
        <v>4788994277</v>
      </c>
      <c r="Z363" s="11">
        <v>949047963181</v>
      </c>
      <c r="AA363" s="11">
        <v>667221600939</v>
      </c>
      <c r="AB363" s="12">
        <v>31.03</v>
      </c>
      <c r="AC363" s="11">
        <v>405053143859</v>
      </c>
      <c r="AD363" s="11">
        <v>405053143859</v>
      </c>
      <c r="AE363" s="11">
        <v>9542926366</v>
      </c>
      <c r="AF363" s="11">
        <v>0</v>
      </c>
      <c r="AG363" s="11">
        <v>4429871132</v>
      </c>
      <c r="AH363" s="11">
        <v>0</v>
      </c>
      <c r="AI363" s="11">
        <v>0</v>
      </c>
      <c r="AJ363" s="12">
        <v>0</v>
      </c>
      <c r="AK363" s="11">
        <v>0</v>
      </c>
      <c r="AL363" s="12">
        <v>10</v>
      </c>
      <c r="AM363" s="11">
        <v>288230878985</v>
      </c>
      <c r="AN363" s="12">
        <v>5</v>
      </c>
      <c r="AO363" s="11">
        <v>8153577269</v>
      </c>
      <c r="AP363" s="11">
        <v>11433367267</v>
      </c>
      <c r="AQ363" s="11">
        <v>8022158436</v>
      </c>
      <c r="AR363" s="11">
        <v>3411208831</v>
      </c>
      <c r="AS363" s="12">
        <v>42.52</v>
      </c>
      <c r="AT363" s="11">
        <v>346328169636</v>
      </c>
      <c r="AU363" s="11">
        <v>38897332430</v>
      </c>
      <c r="AV363" s="11">
        <v>147029650464</v>
      </c>
      <c r="AW363" s="11">
        <v>50805117350</v>
      </c>
      <c r="AX363" s="11">
        <v>91069776306</v>
      </c>
      <c r="AY363" s="11">
        <v>176735600000</v>
      </c>
      <c r="AZ363" s="11">
        <v>45927137795</v>
      </c>
      <c r="BA363" s="11">
        <v>523820346580</v>
      </c>
      <c r="BB363" s="13">
        <v>132969</v>
      </c>
      <c r="BC363" s="11">
        <v>256014970274</v>
      </c>
      <c r="BD363" s="11">
        <v>90069776306</v>
      </c>
      <c r="BE363" s="11">
        <v>177735600000</v>
      </c>
      <c r="BF363" s="11">
        <v>372060217495</v>
      </c>
      <c r="BG363" s="11">
        <v>32992926364</v>
      </c>
      <c r="BH363" s="11">
        <v>0</v>
      </c>
      <c r="BI363" s="11">
        <v>0</v>
      </c>
      <c r="BJ363" s="11">
        <v>10020595584</v>
      </c>
      <c r="BK363" s="11">
        <v>0</v>
      </c>
      <c r="BL363" s="11">
        <v>0</v>
      </c>
      <c r="BM363" s="11">
        <v>0</v>
      </c>
    </row>
    <row r="364" spans="1:65" x14ac:dyDescent="0.25">
      <c r="A364" s="32"/>
      <c r="B364" s="10">
        <v>3420</v>
      </c>
      <c r="C364" s="10" t="s">
        <v>415</v>
      </c>
      <c r="D364" s="11">
        <v>1234624164149</v>
      </c>
      <c r="E364" s="11">
        <v>472937548127</v>
      </c>
      <c r="F364" s="11">
        <v>0</v>
      </c>
      <c r="G364" s="11">
        <v>0</v>
      </c>
      <c r="H364" s="11">
        <v>1707561712276</v>
      </c>
      <c r="I364" s="11">
        <v>136659611207</v>
      </c>
      <c r="J364" s="11">
        <v>1570902101069</v>
      </c>
      <c r="K364" s="11">
        <v>1479980404486</v>
      </c>
      <c r="L364" s="11">
        <v>227581307790</v>
      </c>
      <c r="M364" s="12">
        <v>15.38</v>
      </c>
      <c r="N364" s="11">
        <v>2449654375384</v>
      </c>
      <c r="O364" s="12">
        <v>149.29</v>
      </c>
      <c r="P364" s="12">
        <v>155.94</v>
      </c>
      <c r="Q364" s="12">
        <v>1.3</v>
      </c>
      <c r="R364" s="11">
        <v>2516064648866</v>
      </c>
      <c r="S364" s="11">
        <v>33125324095</v>
      </c>
      <c r="T364" s="11">
        <v>15699885388</v>
      </c>
      <c r="U364" s="11">
        <v>13655852558</v>
      </c>
      <c r="V364" s="11">
        <v>3769586149</v>
      </c>
      <c r="W364" s="11">
        <v>2549189972961</v>
      </c>
      <c r="X364" s="11">
        <v>182850106150</v>
      </c>
      <c r="Y364" s="11">
        <v>13246546750</v>
      </c>
      <c r="Z364" s="11">
        <v>2745286625861</v>
      </c>
      <c r="AA364" s="11">
        <v>1925503830076</v>
      </c>
      <c r="AB364" s="12">
        <v>32.39</v>
      </c>
      <c r="AC364" s="11">
        <v>1811755870580</v>
      </c>
      <c r="AD364" s="11">
        <v>1811755870580</v>
      </c>
      <c r="AE364" s="11">
        <v>1121366422607</v>
      </c>
      <c r="AF364" s="11">
        <v>0</v>
      </c>
      <c r="AG364" s="11">
        <v>0</v>
      </c>
      <c r="AH364" s="11">
        <v>0</v>
      </c>
      <c r="AI364" s="11">
        <v>0</v>
      </c>
      <c r="AJ364" s="12">
        <v>13</v>
      </c>
      <c r="AK364" s="11">
        <v>2960022832188</v>
      </c>
      <c r="AL364" s="12">
        <v>28</v>
      </c>
      <c r="AM364" s="11">
        <v>1409265339470</v>
      </c>
      <c r="AN364" s="12">
        <v>32</v>
      </c>
      <c r="AO364" s="11">
        <v>70865436850</v>
      </c>
      <c r="AP364" s="11">
        <v>33125324095</v>
      </c>
      <c r="AQ364" s="11">
        <v>26218233410</v>
      </c>
      <c r="AR364" s="11">
        <v>6907090685</v>
      </c>
      <c r="AS364" s="12">
        <v>26.34</v>
      </c>
      <c r="AT364" s="11">
        <v>1480676388582</v>
      </c>
      <c r="AU364" s="11">
        <v>778348659769</v>
      </c>
      <c r="AV364" s="11">
        <v>322321783439</v>
      </c>
      <c r="AW364" s="11">
        <v>115135566552</v>
      </c>
      <c r="AX364" s="11">
        <v>288674814158</v>
      </c>
      <c r="AY364" s="11">
        <v>508492000000</v>
      </c>
      <c r="AZ364" s="11">
        <v>155443582934</v>
      </c>
      <c r="BA364" s="11">
        <v>1707561712276</v>
      </c>
      <c r="BB364" s="13">
        <v>68477</v>
      </c>
      <c r="BC364" s="11">
        <v>910394898118</v>
      </c>
      <c r="BD364" s="11">
        <v>288674814158</v>
      </c>
      <c r="BE364" s="11">
        <v>508492000000</v>
      </c>
      <c r="BF364" s="11">
        <v>630377936471</v>
      </c>
      <c r="BG364" s="11">
        <v>1181377934109</v>
      </c>
      <c r="BH364" s="11">
        <v>359850840148</v>
      </c>
      <c r="BI364" s="11">
        <v>0</v>
      </c>
      <c r="BJ364" s="11">
        <v>992970062745</v>
      </c>
      <c r="BK364" s="11">
        <v>0</v>
      </c>
      <c r="BL364" s="11">
        <v>0</v>
      </c>
      <c r="BM364" s="11">
        <v>0</v>
      </c>
    </row>
    <row r="365" spans="1:65" x14ac:dyDescent="0.25">
      <c r="A365" s="32"/>
      <c r="B365" s="10">
        <v>3421</v>
      </c>
      <c r="C365" s="10" t="s">
        <v>416</v>
      </c>
      <c r="D365" s="11">
        <v>395283864783</v>
      </c>
      <c r="E365" s="11">
        <v>168271195493</v>
      </c>
      <c r="F365" s="11">
        <v>0</v>
      </c>
      <c r="G365" s="11">
        <v>0</v>
      </c>
      <c r="H365" s="11">
        <v>563555060276</v>
      </c>
      <c r="I365" s="11">
        <v>50641979043</v>
      </c>
      <c r="J365" s="11">
        <v>512913081233</v>
      </c>
      <c r="K365" s="11">
        <v>519619735168</v>
      </c>
      <c r="L365" s="11">
        <v>43935325108</v>
      </c>
      <c r="M365" s="12">
        <v>8.4600000000000009</v>
      </c>
      <c r="N365" s="11">
        <v>739778884288</v>
      </c>
      <c r="O365" s="12">
        <v>146.4</v>
      </c>
      <c r="P365" s="12">
        <v>144.22999999999999</v>
      </c>
      <c r="Q365" s="12">
        <v>5.0599999999999996</v>
      </c>
      <c r="R365" s="11">
        <v>783039504978</v>
      </c>
      <c r="S365" s="11">
        <v>42022704863</v>
      </c>
      <c r="T365" s="11">
        <v>33767565521</v>
      </c>
      <c r="U365" s="11">
        <v>3095225395</v>
      </c>
      <c r="V365" s="11">
        <v>5159913947</v>
      </c>
      <c r="W365" s="11">
        <v>825062209841</v>
      </c>
      <c r="X365" s="11">
        <v>36872758173</v>
      </c>
      <c r="Y365" s="11">
        <v>6000000000</v>
      </c>
      <c r="Z365" s="11">
        <v>867934968014</v>
      </c>
      <c r="AA365" s="11">
        <v>739642662975</v>
      </c>
      <c r="AB365" s="12">
        <v>11.55</v>
      </c>
      <c r="AC365" s="11">
        <v>1086436337372</v>
      </c>
      <c r="AD365" s="11">
        <v>1086436337372</v>
      </c>
      <c r="AE365" s="11">
        <v>833951014274</v>
      </c>
      <c r="AF365" s="11">
        <v>0</v>
      </c>
      <c r="AG365" s="11">
        <v>4483072530</v>
      </c>
      <c r="AH365" s="11">
        <v>0</v>
      </c>
      <c r="AI365" s="11">
        <v>0</v>
      </c>
      <c r="AJ365" s="12">
        <v>4</v>
      </c>
      <c r="AK365" s="11">
        <v>1713700000000</v>
      </c>
      <c r="AL365" s="12">
        <v>0</v>
      </c>
      <c r="AM365" s="11">
        <v>0</v>
      </c>
      <c r="AN365" s="12">
        <v>0</v>
      </c>
      <c r="AO365" s="11">
        <v>0</v>
      </c>
      <c r="AP365" s="11">
        <v>42022704863</v>
      </c>
      <c r="AQ365" s="11">
        <v>17047620830</v>
      </c>
      <c r="AR365" s="11">
        <v>24975084033</v>
      </c>
      <c r="AS365" s="12">
        <v>146.5</v>
      </c>
      <c r="AT365" s="11">
        <v>1123165980314</v>
      </c>
      <c r="AU365" s="11">
        <v>494487245847</v>
      </c>
      <c r="AV365" s="11">
        <v>51679608699</v>
      </c>
      <c r="AW365" s="11">
        <v>55719053457</v>
      </c>
      <c r="AX365" s="11">
        <v>71511202627</v>
      </c>
      <c r="AY365" s="11">
        <v>216374000000</v>
      </c>
      <c r="AZ365" s="11">
        <v>63345260745</v>
      </c>
      <c r="BA365" s="11">
        <v>563555060276</v>
      </c>
      <c r="BB365" s="13">
        <v>38112</v>
      </c>
      <c r="BC365" s="11">
        <v>275669857649</v>
      </c>
      <c r="BD365" s="11">
        <v>71511202627</v>
      </c>
      <c r="BE365" s="11">
        <v>216374000000</v>
      </c>
      <c r="BF365" s="11">
        <v>1071836367372</v>
      </c>
      <c r="BG365" s="11">
        <v>14599970000</v>
      </c>
      <c r="BH365" s="11">
        <v>123034350779</v>
      </c>
      <c r="BI365" s="11">
        <v>3759302166</v>
      </c>
      <c r="BJ365" s="11">
        <v>933930264594</v>
      </c>
      <c r="BK365" s="11">
        <v>0</v>
      </c>
      <c r="BL365" s="11">
        <v>0</v>
      </c>
      <c r="BM365" s="11">
        <v>0</v>
      </c>
    </row>
    <row r="366" spans="1:65" s="24" customFormat="1" x14ac:dyDescent="0.25">
      <c r="A366" s="32"/>
      <c r="B366" s="20">
        <v>3499</v>
      </c>
      <c r="C366" s="20" t="s">
        <v>417</v>
      </c>
      <c r="D366" s="21">
        <v>0</v>
      </c>
      <c r="E366" s="21">
        <v>4186355014</v>
      </c>
      <c r="F366" s="21">
        <v>0</v>
      </c>
      <c r="G366" s="21">
        <v>0</v>
      </c>
      <c r="H366" s="21">
        <v>4186355014</v>
      </c>
      <c r="I366" s="21">
        <v>367636443</v>
      </c>
      <c r="J366" s="21">
        <v>3818718571</v>
      </c>
      <c r="K366" s="21">
        <v>4730173014</v>
      </c>
      <c r="L366" s="21">
        <v>-543818000</v>
      </c>
      <c r="M366" s="22">
        <v>-11.5</v>
      </c>
      <c r="N366" s="21">
        <v>0</v>
      </c>
      <c r="O366" s="22">
        <v>0</v>
      </c>
      <c r="P366" s="22">
        <v>0</v>
      </c>
      <c r="Q366" s="22">
        <v>0</v>
      </c>
      <c r="R366" s="21">
        <v>0</v>
      </c>
      <c r="S366" s="21">
        <v>0</v>
      </c>
      <c r="T366" s="21">
        <v>0</v>
      </c>
      <c r="U366" s="21">
        <v>0</v>
      </c>
      <c r="V366" s="21">
        <v>0</v>
      </c>
      <c r="W366" s="21">
        <v>0</v>
      </c>
      <c r="X366" s="21">
        <v>0</v>
      </c>
      <c r="Y366" s="21">
        <v>0</v>
      </c>
      <c r="Z366" s="21">
        <v>0</v>
      </c>
      <c r="AA366" s="21">
        <v>0</v>
      </c>
      <c r="AB366" s="22"/>
      <c r="AC366" s="21">
        <v>0</v>
      </c>
      <c r="AD366" s="21">
        <v>0</v>
      </c>
      <c r="AE366" s="21">
        <v>0</v>
      </c>
      <c r="AF366" s="21">
        <v>0</v>
      </c>
      <c r="AG366" s="21">
        <v>0</v>
      </c>
      <c r="AH366" s="21">
        <v>0</v>
      </c>
      <c r="AI366" s="21">
        <v>0</v>
      </c>
      <c r="AJ366" s="22">
        <v>0</v>
      </c>
      <c r="AK366" s="21">
        <v>0</v>
      </c>
      <c r="AL366" s="22">
        <v>0</v>
      </c>
      <c r="AM366" s="21">
        <v>0</v>
      </c>
      <c r="AN366" s="12">
        <v>0</v>
      </c>
      <c r="AO366" s="11">
        <v>0</v>
      </c>
      <c r="AP366" s="21">
        <v>0</v>
      </c>
      <c r="AQ366" s="21">
        <v>0</v>
      </c>
      <c r="AR366" s="21">
        <v>0</v>
      </c>
      <c r="AS366" s="22"/>
      <c r="AT366" s="21">
        <v>0</v>
      </c>
      <c r="AU366" s="21">
        <v>0</v>
      </c>
      <c r="AV366" s="21">
        <v>0</v>
      </c>
      <c r="AW366" s="21">
        <v>0</v>
      </c>
      <c r="AX366" s="21">
        <v>0</v>
      </c>
      <c r="AY366" s="21">
        <v>0</v>
      </c>
      <c r="AZ366" s="21">
        <v>0</v>
      </c>
      <c r="BA366" s="21">
        <v>4186355014</v>
      </c>
      <c r="BB366" s="23">
        <v>0</v>
      </c>
      <c r="BC366" s="21">
        <v>4186355014</v>
      </c>
      <c r="BD366" s="21">
        <v>0</v>
      </c>
      <c r="BE366" s="21">
        <v>0</v>
      </c>
      <c r="BF366" s="21">
        <v>0</v>
      </c>
      <c r="BG366" s="21">
        <v>0</v>
      </c>
      <c r="BH366" s="21">
        <v>0</v>
      </c>
      <c r="BI366" s="21">
        <v>0</v>
      </c>
      <c r="BJ366" s="21">
        <v>0</v>
      </c>
      <c r="BK366" s="21">
        <v>0</v>
      </c>
      <c r="BL366" s="21">
        <v>0</v>
      </c>
      <c r="BM366" s="21">
        <v>0</v>
      </c>
    </row>
    <row r="367" spans="1:65" s="25" customFormat="1" x14ac:dyDescent="0.25">
      <c r="A367" s="14" t="s">
        <v>611</v>
      </c>
      <c r="B367" s="15"/>
      <c r="C367" s="15"/>
      <c r="D367" s="16">
        <v>22774817574225</v>
      </c>
      <c r="E367" s="16">
        <v>4150514298067</v>
      </c>
      <c r="F367" s="16">
        <v>73950000000</v>
      </c>
      <c r="G367" s="16">
        <v>230871592</v>
      </c>
      <c r="H367" s="16">
        <v>26999512743884</v>
      </c>
      <c r="I367" s="16">
        <v>2123678710975</v>
      </c>
      <c r="J367" s="16">
        <v>24875834032909</v>
      </c>
      <c r="K367" s="16">
        <v>28212422600118</v>
      </c>
      <c r="L367" s="16">
        <v>-1212909856234</v>
      </c>
      <c r="M367" s="17">
        <v>-4.3</v>
      </c>
      <c r="N367" s="16">
        <v>41963241049892</v>
      </c>
      <c r="O367" s="17">
        <v>178.24</v>
      </c>
      <c r="P367" s="17">
        <v>168.69</v>
      </c>
      <c r="Q367" s="17">
        <v>5.78</v>
      </c>
      <c r="R367" s="16">
        <v>45318756463667</v>
      </c>
      <c r="S367" s="16">
        <v>2806157407470</v>
      </c>
      <c r="T367" s="16">
        <v>934389030974</v>
      </c>
      <c r="U367" s="16">
        <v>880819520955</v>
      </c>
      <c r="V367" s="16">
        <v>990948855541</v>
      </c>
      <c r="W367" s="16">
        <v>48124913871137</v>
      </c>
      <c r="X367" s="16">
        <v>2658925235905</v>
      </c>
      <c r="Y367" s="16">
        <v>233059687832</v>
      </c>
      <c r="Z367" s="16">
        <v>51016898794874</v>
      </c>
      <c r="AA367" s="16">
        <v>38467324972196</v>
      </c>
      <c r="AB367" s="17">
        <v>25.11</v>
      </c>
      <c r="AC367" s="16">
        <v>36314332579643</v>
      </c>
      <c r="AD367" s="16">
        <v>35315778434470</v>
      </c>
      <c r="AE367" s="16">
        <v>16237984432127</v>
      </c>
      <c r="AF367" s="16">
        <v>3298882053790</v>
      </c>
      <c r="AG367" s="16">
        <v>434946639594</v>
      </c>
      <c r="AH367" s="16">
        <v>0</v>
      </c>
      <c r="AI367" s="16">
        <v>0</v>
      </c>
      <c r="AJ367" s="17">
        <v>163</v>
      </c>
      <c r="AK367" s="16">
        <v>31631969917395</v>
      </c>
      <c r="AL367" s="17">
        <v>544</v>
      </c>
      <c r="AM367" s="16">
        <v>10199396316492</v>
      </c>
      <c r="AN367" s="18">
        <f>SUM(AN344:AN366)</f>
        <v>341</v>
      </c>
      <c r="AO367" s="16">
        <f>SUM(AO344:AO366)</f>
        <v>11817644288231</v>
      </c>
      <c r="AP367" s="16">
        <v>2806157407470</v>
      </c>
      <c r="AQ367" s="16">
        <v>664795167425</v>
      </c>
      <c r="AR367" s="16">
        <v>2141362240045</v>
      </c>
      <c r="AS367" s="17">
        <v>322.11</v>
      </c>
      <c r="AT367" s="16">
        <v>31267410712981</v>
      </c>
      <c r="AU367" s="16">
        <v>7422530902467</v>
      </c>
      <c r="AV367" s="16">
        <v>5122382836649</v>
      </c>
      <c r="AW367" s="16">
        <v>2881468852254</v>
      </c>
      <c r="AX367" s="16">
        <v>5590489285322</v>
      </c>
      <c r="AY367" s="16">
        <v>9180476600000</v>
      </c>
      <c r="AZ367" s="16">
        <v>3087057577669</v>
      </c>
      <c r="BA367" s="16">
        <v>26999512743884</v>
      </c>
      <c r="BB367" s="18">
        <v>2017322</v>
      </c>
      <c r="BC367" s="16">
        <v>11971041072687</v>
      </c>
      <c r="BD367" s="16">
        <v>5663319285322</v>
      </c>
      <c r="BE367" s="16">
        <v>9365152385875</v>
      </c>
      <c r="BF367" s="16">
        <v>25913486279647</v>
      </c>
      <c r="BG367" s="16">
        <v>10400846299996</v>
      </c>
      <c r="BH367" s="16">
        <v>1968076441227</v>
      </c>
      <c r="BI367" s="16">
        <v>731388160924</v>
      </c>
      <c r="BJ367" s="16">
        <v>14580745677541</v>
      </c>
      <c r="BK367" s="16">
        <v>797531009968</v>
      </c>
      <c r="BL367" s="16">
        <v>3514950000</v>
      </c>
      <c r="BM367" s="16">
        <v>2813062548536</v>
      </c>
    </row>
    <row r="368" spans="1:65" x14ac:dyDescent="0.25">
      <c r="A368" s="32" t="s">
        <v>418</v>
      </c>
      <c r="B368" s="10">
        <v>3500</v>
      </c>
      <c r="C368" s="10" t="s">
        <v>419</v>
      </c>
      <c r="D368" s="11">
        <v>2274759134441</v>
      </c>
      <c r="E368" s="11">
        <v>631703523311</v>
      </c>
      <c r="F368" s="11">
        <v>63440000000</v>
      </c>
      <c r="G368" s="11">
        <v>453687940</v>
      </c>
      <c r="H368" s="11">
        <v>2970356345692</v>
      </c>
      <c r="I368" s="11">
        <v>271121548078</v>
      </c>
      <c r="J368" s="11">
        <v>2699234797614</v>
      </c>
      <c r="K368" s="11">
        <v>4033966315527</v>
      </c>
      <c r="L368" s="11">
        <v>-1063609969835</v>
      </c>
      <c r="M368" s="12">
        <v>-26.37</v>
      </c>
      <c r="N368" s="11">
        <v>6624249520032</v>
      </c>
      <c r="O368" s="12">
        <v>276.32</v>
      </c>
      <c r="P368" s="12">
        <v>245.41</v>
      </c>
      <c r="Q368" s="12">
        <v>2.34</v>
      </c>
      <c r="R368" s="11">
        <v>8020576525200</v>
      </c>
      <c r="S368" s="11">
        <v>187145575707</v>
      </c>
      <c r="T368" s="11">
        <v>97700615108</v>
      </c>
      <c r="U368" s="11">
        <v>42802621738</v>
      </c>
      <c r="V368" s="11">
        <v>46642338861</v>
      </c>
      <c r="W368" s="11">
        <v>8207722100907</v>
      </c>
      <c r="X368" s="11">
        <v>380131563715</v>
      </c>
      <c r="Y368" s="11">
        <v>20065412271</v>
      </c>
      <c r="Z368" s="11">
        <v>8607919076893</v>
      </c>
      <c r="AA368" s="11">
        <v>6942381834330</v>
      </c>
      <c r="AB368" s="12">
        <v>18.23</v>
      </c>
      <c r="AC368" s="11">
        <v>8785802890180</v>
      </c>
      <c r="AD368" s="11">
        <v>8644781382057</v>
      </c>
      <c r="AE368" s="11">
        <v>5618264154400</v>
      </c>
      <c r="AF368" s="11">
        <v>0</v>
      </c>
      <c r="AG368" s="11">
        <v>0</v>
      </c>
      <c r="AH368" s="11">
        <v>0</v>
      </c>
      <c r="AI368" s="11">
        <v>0</v>
      </c>
      <c r="AJ368" s="12">
        <v>114</v>
      </c>
      <c r="AK368" s="11">
        <v>11436851806574</v>
      </c>
      <c r="AL368" s="12">
        <v>211</v>
      </c>
      <c r="AM368" s="11">
        <v>3290746200325</v>
      </c>
      <c r="AN368" s="12">
        <v>57</v>
      </c>
      <c r="AO368" s="11">
        <v>1584637148386</v>
      </c>
      <c r="AP368" s="11">
        <v>187145575707</v>
      </c>
      <c r="AQ368" s="11">
        <v>66799040425</v>
      </c>
      <c r="AR368" s="11">
        <v>120346535282</v>
      </c>
      <c r="AS368" s="12">
        <v>180.16</v>
      </c>
      <c r="AT368" s="11">
        <v>8570747041925</v>
      </c>
      <c r="AU368" s="11">
        <v>1037807438588</v>
      </c>
      <c r="AV368" s="11">
        <v>666488865752</v>
      </c>
      <c r="AW368" s="11">
        <v>245504995120</v>
      </c>
      <c r="AX368" s="11">
        <v>672231473569</v>
      </c>
      <c r="AY368" s="11">
        <v>690533800000</v>
      </c>
      <c r="AZ368" s="11">
        <v>369342700829</v>
      </c>
      <c r="BA368" s="11">
        <v>2970356345692</v>
      </c>
      <c r="BB368" s="13">
        <v>248758</v>
      </c>
      <c r="BC368" s="11">
        <v>1514144872636</v>
      </c>
      <c r="BD368" s="11">
        <v>735671473569</v>
      </c>
      <c r="BE368" s="11">
        <v>720539999487</v>
      </c>
      <c r="BF368" s="11">
        <v>4053772870267</v>
      </c>
      <c r="BG368" s="11">
        <v>4732030019913</v>
      </c>
      <c r="BH368" s="11">
        <v>544955880948</v>
      </c>
      <c r="BI368" s="11">
        <v>0</v>
      </c>
      <c r="BJ368" s="11">
        <v>5257068147431</v>
      </c>
      <c r="BK368" s="11">
        <v>0</v>
      </c>
      <c r="BL368" s="11">
        <v>0</v>
      </c>
      <c r="BM368" s="11">
        <v>0</v>
      </c>
    </row>
    <row r="369" spans="1:65" x14ac:dyDescent="0.25">
      <c r="A369" s="32"/>
      <c r="B369" s="10">
        <v>3501</v>
      </c>
      <c r="C369" s="10" t="s">
        <v>420</v>
      </c>
      <c r="D369" s="11">
        <v>1513636742241</v>
      </c>
      <c r="E369" s="11">
        <v>133472525771</v>
      </c>
      <c r="F369" s="11">
        <v>0</v>
      </c>
      <c r="G369" s="11">
        <v>0</v>
      </c>
      <c r="H369" s="11">
        <v>1647109268012</v>
      </c>
      <c r="I369" s="11">
        <v>124938036737</v>
      </c>
      <c r="J369" s="11">
        <v>1522171231275</v>
      </c>
      <c r="K369" s="11">
        <v>1718981623785</v>
      </c>
      <c r="L369" s="11">
        <v>-71872355773</v>
      </c>
      <c r="M369" s="12">
        <v>-4.18</v>
      </c>
      <c r="N369" s="11">
        <v>2557312811763</v>
      </c>
      <c r="O369" s="12">
        <v>169.2</v>
      </c>
      <c r="P369" s="12">
        <v>168</v>
      </c>
      <c r="Q369" s="12">
        <v>11.27</v>
      </c>
      <c r="R369" s="11">
        <v>2535331966669</v>
      </c>
      <c r="S369" s="11">
        <v>251550246261</v>
      </c>
      <c r="T369" s="11">
        <v>15700162148</v>
      </c>
      <c r="U369" s="11">
        <v>0</v>
      </c>
      <c r="V369" s="11">
        <v>235850084113</v>
      </c>
      <c r="W369" s="11">
        <v>2786882212930</v>
      </c>
      <c r="X369" s="11">
        <v>210422011685</v>
      </c>
      <c r="Y369" s="11">
        <v>11134909100</v>
      </c>
      <c r="Z369" s="11">
        <v>3008439133715</v>
      </c>
      <c r="AA369" s="11">
        <v>2255557515204</v>
      </c>
      <c r="AB369" s="12">
        <v>23.56</v>
      </c>
      <c r="AC369" s="11">
        <v>2117006445767</v>
      </c>
      <c r="AD369" s="11">
        <v>1963676445767</v>
      </c>
      <c r="AE369" s="11">
        <v>107438449871</v>
      </c>
      <c r="AF369" s="11">
        <v>0</v>
      </c>
      <c r="AG369" s="11">
        <v>0</v>
      </c>
      <c r="AH369" s="11">
        <v>0</v>
      </c>
      <c r="AI369" s="11">
        <v>0</v>
      </c>
      <c r="AJ369" s="12">
        <v>5</v>
      </c>
      <c r="AK369" s="11">
        <v>197429601873</v>
      </c>
      <c r="AL369" s="12">
        <v>63</v>
      </c>
      <c r="AM369" s="11">
        <v>517999928236</v>
      </c>
      <c r="AN369" s="12">
        <v>50</v>
      </c>
      <c r="AO369" s="11">
        <v>674371832693</v>
      </c>
      <c r="AP369" s="11">
        <v>251550246261</v>
      </c>
      <c r="AQ369" s="11">
        <v>238044863950</v>
      </c>
      <c r="AR369" s="11">
        <v>13505382311</v>
      </c>
      <c r="AS369" s="12">
        <v>5.67</v>
      </c>
      <c r="AT369" s="11">
        <v>1847916518441</v>
      </c>
      <c r="AU369" s="11">
        <v>64739484897</v>
      </c>
      <c r="AV369" s="11">
        <v>666830775045</v>
      </c>
      <c r="AW369" s="11">
        <v>106322362985</v>
      </c>
      <c r="AX369" s="11">
        <v>385493304211</v>
      </c>
      <c r="AY369" s="11">
        <v>354990300000</v>
      </c>
      <c r="AZ369" s="11">
        <v>291935021793</v>
      </c>
      <c r="BA369" s="11">
        <v>1647109268012</v>
      </c>
      <c r="BB369" s="13">
        <v>32243</v>
      </c>
      <c r="BC369" s="11">
        <v>906625663801</v>
      </c>
      <c r="BD369" s="11">
        <v>385493304211</v>
      </c>
      <c r="BE369" s="11">
        <v>354990300000</v>
      </c>
      <c r="BF369" s="11">
        <v>1593223646874</v>
      </c>
      <c r="BG369" s="11">
        <v>523782798893</v>
      </c>
      <c r="BH369" s="11">
        <v>0</v>
      </c>
      <c r="BI369" s="11">
        <v>231507748960</v>
      </c>
      <c r="BJ369" s="11">
        <v>107491083011</v>
      </c>
      <c r="BK369" s="11">
        <v>0</v>
      </c>
      <c r="BL369" s="11">
        <v>0</v>
      </c>
      <c r="BM369" s="11">
        <v>0</v>
      </c>
    </row>
    <row r="370" spans="1:65" x14ac:dyDescent="0.25">
      <c r="A370" s="32"/>
      <c r="B370" s="10">
        <v>3502</v>
      </c>
      <c r="C370" s="10" t="s">
        <v>421</v>
      </c>
      <c r="D370" s="11">
        <v>802475412079</v>
      </c>
      <c r="E370" s="11">
        <v>41846956573</v>
      </c>
      <c r="F370" s="11">
        <v>0</v>
      </c>
      <c r="G370" s="11">
        <v>0</v>
      </c>
      <c r="H370" s="11">
        <v>844322368652</v>
      </c>
      <c r="I370" s="11">
        <v>71930627839</v>
      </c>
      <c r="J370" s="11">
        <v>772391740813</v>
      </c>
      <c r="K370" s="11">
        <v>781365122466</v>
      </c>
      <c r="L370" s="11">
        <v>62957246186</v>
      </c>
      <c r="M370" s="12">
        <v>8.06</v>
      </c>
      <c r="N370" s="11">
        <v>720087660308</v>
      </c>
      <c r="O370" s="12">
        <v>89.6</v>
      </c>
      <c r="P370" s="12">
        <v>93.23</v>
      </c>
      <c r="Q370" s="12">
        <v>9.1199999999999992</v>
      </c>
      <c r="R370" s="11">
        <v>680392324314</v>
      </c>
      <c r="S370" s="11">
        <v>76137209232</v>
      </c>
      <c r="T370" s="11">
        <v>67935106613</v>
      </c>
      <c r="U370" s="11">
        <v>0</v>
      </c>
      <c r="V370" s="11">
        <v>8202102619</v>
      </c>
      <c r="W370" s="11">
        <v>756529533546</v>
      </c>
      <c r="X370" s="11">
        <v>79509855196</v>
      </c>
      <c r="Y370" s="11">
        <v>10780563043</v>
      </c>
      <c r="Z370" s="11">
        <v>846819951785</v>
      </c>
      <c r="AA370" s="11">
        <v>637318393077</v>
      </c>
      <c r="AB370" s="12">
        <v>18.71</v>
      </c>
      <c r="AC370" s="11">
        <v>286084536000</v>
      </c>
      <c r="AD370" s="11">
        <v>286084536000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2">
        <v>0</v>
      </c>
      <c r="AK370" s="11">
        <v>0</v>
      </c>
      <c r="AL370" s="12">
        <v>4</v>
      </c>
      <c r="AM370" s="11">
        <v>6797000000</v>
      </c>
      <c r="AN370" s="12">
        <v>3</v>
      </c>
      <c r="AO370" s="11">
        <v>5174000000</v>
      </c>
      <c r="AP370" s="11">
        <v>76137209232</v>
      </c>
      <c r="AQ370" s="11">
        <v>19082767463</v>
      </c>
      <c r="AR370" s="11">
        <v>57054441769</v>
      </c>
      <c r="AS370" s="12">
        <v>298.98</v>
      </c>
      <c r="AT370" s="11">
        <v>313097990410</v>
      </c>
      <c r="AU370" s="11">
        <v>79999604383</v>
      </c>
      <c r="AV370" s="11">
        <v>126317739532</v>
      </c>
      <c r="AW370" s="11">
        <v>44116436960</v>
      </c>
      <c r="AX370" s="11">
        <v>180476835587</v>
      </c>
      <c r="AY370" s="11">
        <v>451564400000</v>
      </c>
      <c r="AZ370" s="11">
        <v>103840168010</v>
      </c>
      <c r="BA370" s="11">
        <v>844322368652</v>
      </c>
      <c r="BB370" s="13">
        <v>252447</v>
      </c>
      <c r="BC370" s="11">
        <v>212281133065</v>
      </c>
      <c r="BD370" s="11">
        <v>180476835587</v>
      </c>
      <c r="BE370" s="11">
        <v>451564400000</v>
      </c>
      <c r="BF370" s="11">
        <v>260084536000</v>
      </c>
      <c r="BG370" s="11">
        <v>26000000000</v>
      </c>
      <c r="BH370" s="11">
        <v>0</v>
      </c>
      <c r="BI370" s="11">
        <v>0</v>
      </c>
      <c r="BJ370" s="11">
        <v>0</v>
      </c>
      <c r="BK370" s="11">
        <v>0</v>
      </c>
      <c r="BL370" s="11">
        <v>0</v>
      </c>
      <c r="BM370" s="11">
        <v>0</v>
      </c>
    </row>
    <row r="371" spans="1:65" x14ac:dyDescent="0.25">
      <c r="A371" s="32"/>
      <c r="B371" s="10">
        <v>3503</v>
      </c>
      <c r="C371" s="10" t="s">
        <v>422</v>
      </c>
      <c r="D371" s="11">
        <v>918264536067</v>
      </c>
      <c r="E371" s="11">
        <v>25706740183</v>
      </c>
      <c r="F371" s="11">
        <v>0</v>
      </c>
      <c r="G371" s="11">
        <v>0</v>
      </c>
      <c r="H371" s="11">
        <v>943971276250</v>
      </c>
      <c r="I371" s="11">
        <v>73580352962</v>
      </c>
      <c r="J371" s="11">
        <v>870390923288</v>
      </c>
      <c r="K371" s="11">
        <v>879790880686</v>
      </c>
      <c r="L371" s="11">
        <v>64180395564</v>
      </c>
      <c r="M371" s="12">
        <v>7.29</v>
      </c>
      <c r="N371" s="11">
        <v>1029671867135</v>
      </c>
      <c r="O371" s="12">
        <v>116.34</v>
      </c>
      <c r="P371" s="12">
        <v>118.3</v>
      </c>
      <c r="Q371" s="12">
        <v>2.27</v>
      </c>
      <c r="R371" s="11">
        <v>1070295378709</v>
      </c>
      <c r="S371" s="11">
        <v>27916903313</v>
      </c>
      <c r="T371" s="11">
        <v>6391509046</v>
      </c>
      <c r="U371" s="11">
        <v>21440112629</v>
      </c>
      <c r="V371" s="11">
        <v>85281638</v>
      </c>
      <c r="W371" s="11">
        <v>1098212282022</v>
      </c>
      <c r="X371" s="11">
        <v>116592463014</v>
      </c>
      <c r="Y371" s="11">
        <v>15311810000</v>
      </c>
      <c r="Z371" s="11">
        <v>1230116555036</v>
      </c>
      <c r="AA371" s="11">
        <v>898756529103</v>
      </c>
      <c r="AB371" s="12">
        <v>22.19</v>
      </c>
      <c r="AC371" s="11">
        <v>412093211059</v>
      </c>
      <c r="AD371" s="11">
        <v>412093211059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2">
        <v>1</v>
      </c>
      <c r="AK371" s="11">
        <v>84700000000</v>
      </c>
      <c r="AL371" s="12">
        <v>117</v>
      </c>
      <c r="AM371" s="11">
        <v>84499710880</v>
      </c>
      <c r="AN371" s="12">
        <v>9</v>
      </c>
      <c r="AO371" s="11">
        <v>46246225503</v>
      </c>
      <c r="AP371" s="11">
        <v>27916903313</v>
      </c>
      <c r="AQ371" s="11">
        <v>5548716045</v>
      </c>
      <c r="AR371" s="11">
        <v>22368187268</v>
      </c>
      <c r="AS371" s="12">
        <v>403.12</v>
      </c>
      <c r="AT371" s="11">
        <v>294355495314</v>
      </c>
      <c r="AU371" s="11">
        <v>45693781174</v>
      </c>
      <c r="AV371" s="11">
        <v>171448658967</v>
      </c>
      <c r="AW371" s="11">
        <v>71785675566</v>
      </c>
      <c r="AX371" s="11">
        <v>354503401534</v>
      </c>
      <c r="AY371" s="11">
        <v>320526800000</v>
      </c>
      <c r="AZ371" s="11">
        <v>303803300522</v>
      </c>
      <c r="BA371" s="11">
        <v>943971276250</v>
      </c>
      <c r="BB371" s="13">
        <v>31047</v>
      </c>
      <c r="BC371" s="11">
        <v>268941074716</v>
      </c>
      <c r="BD371" s="11">
        <v>354503401534</v>
      </c>
      <c r="BE371" s="11">
        <v>320526800000</v>
      </c>
      <c r="BF371" s="11">
        <v>389550160100</v>
      </c>
      <c r="BG371" s="11">
        <v>22543050959</v>
      </c>
      <c r="BH371" s="11">
        <v>0</v>
      </c>
      <c r="BI371" s="11">
        <v>0</v>
      </c>
      <c r="BJ371" s="11">
        <v>0</v>
      </c>
      <c r="BK371" s="11">
        <v>0</v>
      </c>
      <c r="BL371" s="11">
        <v>0</v>
      </c>
      <c r="BM371" s="11">
        <v>0</v>
      </c>
    </row>
    <row r="372" spans="1:65" x14ac:dyDescent="0.25">
      <c r="A372" s="32"/>
      <c r="B372" s="10">
        <v>3504</v>
      </c>
      <c r="C372" s="10" t="s">
        <v>423</v>
      </c>
      <c r="D372" s="11">
        <v>1273042459401</v>
      </c>
      <c r="E372" s="11">
        <v>8151761442</v>
      </c>
      <c r="F372" s="11">
        <v>0</v>
      </c>
      <c r="G372" s="11">
        <v>0</v>
      </c>
      <c r="H372" s="11">
        <v>1281194220843</v>
      </c>
      <c r="I372" s="11">
        <v>99434256619</v>
      </c>
      <c r="J372" s="11">
        <v>1181759964224</v>
      </c>
      <c r="K372" s="11">
        <v>1090532088689</v>
      </c>
      <c r="L372" s="11">
        <v>190662132154</v>
      </c>
      <c r="M372" s="12">
        <v>17.48</v>
      </c>
      <c r="N372" s="11">
        <v>1585099619805</v>
      </c>
      <c r="O372" s="12">
        <v>141.44999999999999</v>
      </c>
      <c r="P372" s="12">
        <v>134.13</v>
      </c>
      <c r="Q372" s="12">
        <v>1.62</v>
      </c>
      <c r="R372" s="11">
        <v>1780917800710</v>
      </c>
      <c r="S372" s="11">
        <v>31274634232</v>
      </c>
      <c r="T372" s="11">
        <v>19560207118</v>
      </c>
      <c r="U372" s="11">
        <v>11530219114</v>
      </c>
      <c r="V372" s="11">
        <v>184208000</v>
      </c>
      <c r="W372" s="11">
        <v>1812192434942</v>
      </c>
      <c r="X372" s="11">
        <v>121521275359</v>
      </c>
      <c r="Y372" s="11">
        <v>18958050000</v>
      </c>
      <c r="Z372" s="11">
        <v>1952671760301</v>
      </c>
      <c r="AA372" s="11">
        <v>1257135348890</v>
      </c>
      <c r="AB372" s="12">
        <v>44.15</v>
      </c>
      <c r="AC372" s="11">
        <v>883012531245</v>
      </c>
      <c r="AD372" s="11">
        <v>757900670978</v>
      </c>
      <c r="AE372" s="11">
        <v>0</v>
      </c>
      <c r="AF372" s="11">
        <v>10298539</v>
      </c>
      <c r="AG372" s="11">
        <v>0</v>
      </c>
      <c r="AH372" s="11">
        <v>0</v>
      </c>
      <c r="AI372" s="11">
        <v>0</v>
      </c>
      <c r="AJ372" s="12">
        <v>0</v>
      </c>
      <c r="AK372" s="11">
        <v>0</v>
      </c>
      <c r="AL372" s="12">
        <v>14</v>
      </c>
      <c r="AM372" s="11">
        <v>45115683861</v>
      </c>
      <c r="AN372" s="12">
        <v>16</v>
      </c>
      <c r="AO372" s="11">
        <v>28122650889</v>
      </c>
      <c r="AP372" s="11">
        <v>31274634232</v>
      </c>
      <c r="AQ372" s="11">
        <v>19769939711</v>
      </c>
      <c r="AR372" s="11">
        <v>11504694521</v>
      </c>
      <c r="AS372" s="12">
        <v>58.19</v>
      </c>
      <c r="AT372" s="11">
        <v>357686291664</v>
      </c>
      <c r="AU372" s="11">
        <v>107651554214</v>
      </c>
      <c r="AV372" s="11">
        <v>272101216101</v>
      </c>
      <c r="AW372" s="11">
        <v>163542195062</v>
      </c>
      <c r="AX372" s="11">
        <v>322407148238</v>
      </c>
      <c r="AY372" s="11">
        <v>514991900000</v>
      </c>
      <c r="AZ372" s="11">
        <v>196375269627</v>
      </c>
      <c r="BA372" s="11">
        <v>1281194220843</v>
      </c>
      <c r="BB372" s="13">
        <v>74042</v>
      </c>
      <c r="BC372" s="11">
        <v>443795172605</v>
      </c>
      <c r="BD372" s="11">
        <v>322407148238</v>
      </c>
      <c r="BE372" s="11">
        <v>514991900000</v>
      </c>
      <c r="BF372" s="11">
        <v>638952624272</v>
      </c>
      <c r="BG372" s="11">
        <v>244059906973</v>
      </c>
      <c r="BH372" s="11">
        <v>0</v>
      </c>
      <c r="BI372" s="11">
        <v>0</v>
      </c>
      <c r="BJ372" s="11">
        <v>0</v>
      </c>
      <c r="BK372" s="11">
        <v>0</v>
      </c>
      <c r="BL372" s="11">
        <v>0</v>
      </c>
      <c r="BM372" s="11">
        <v>10307285</v>
      </c>
    </row>
    <row r="373" spans="1:65" x14ac:dyDescent="0.25">
      <c r="A373" s="32"/>
      <c r="B373" s="10">
        <v>3505</v>
      </c>
      <c r="C373" s="10" t="s">
        <v>424</v>
      </c>
      <c r="D373" s="11">
        <v>1106167525215</v>
      </c>
      <c r="E373" s="11">
        <v>45157306781</v>
      </c>
      <c r="F373" s="11">
        <v>0</v>
      </c>
      <c r="G373" s="11">
        <v>0</v>
      </c>
      <c r="H373" s="11">
        <v>1151324831996</v>
      </c>
      <c r="I373" s="11">
        <v>96737595103</v>
      </c>
      <c r="J373" s="11">
        <v>1054587236893</v>
      </c>
      <c r="K373" s="11">
        <v>1249413910218</v>
      </c>
      <c r="L373" s="11">
        <v>-98089078222</v>
      </c>
      <c r="M373" s="12">
        <v>-7.85</v>
      </c>
      <c r="N373" s="11">
        <v>767377951496</v>
      </c>
      <c r="O373" s="12">
        <v>72.64</v>
      </c>
      <c r="P373" s="12">
        <v>72.77</v>
      </c>
      <c r="Q373" s="12">
        <v>1.36</v>
      </c>
      <c r="R373" s="11">
        <v>823958925076</v>
      </c>
      <c r="S373" s="11">
        <v>12363682087</v>
      </c>
      <c r="T373" s="11">
        <v>8886023642</v>
      </c>
      <c r="U373" s="11">
        <v>3287707151</v>
      </c>
      <c r="V373" s="11">
        <v>189951294</v>
      </c>
      <c r="W373" s="11">
        <v>836322607163</v>
      </c>
      <c r="X373" s="11">
        <v>73724330732</v>
      </c>
      <c r="Y373" s="11">
        <v>6093900000</v>
      </c>
      <c r="Z373" s="11">
        <v>916140837895</v>
      </c>
      <c r="AA373" s="11">
        <v>632901906858</v>
      </c>
      <c r="AB373" s="12">
        <v>32.14</v>
      </c>
      <c r="AC373" s="11">
        <v>1111932783724</v>
      </c>
      <c r="AD373" s="11">
        <v>1111932783724</v>
      </c>
      <c r="AE373" s="11">
        <v>612512482684</v>
      </c>
      <c r="AF373" s="11">
        <v>0</v>
      </c>
      <c r="AG373" s="11">
        <v>0</v>
      </c>
      <c r="AH373" s="11">
        <v>0</v>
      </c>
      <c r="AI373" s="11">
        <v>0</v>
      </c>
      <c r="AJ373" s="12">
        <v>16</v>
      </c>
      <c r="AK373" s="11">
        <v>436795414976</v>
      </c>
      <c r="AL373" s="12">
        <v>6</v>
      </c>
      <c r="AM373" s="11">
        <v>55917498190</v>
      </c>
      <c r="AN373" s="12">
        <v>1</v>
      </c>
      <c r="AO373" s="11">
        <v>375000000</v>
      </c>
      <c r="AP373" s="11">
        <v>12363682087</v>
      </c>
      <c r="AQ373" s="11">
        <v>19222154137</v>
      </c>
      <c r="AR373" s="11">
        <v>-6858472050</v>
      </c>
      <c r="AS373" s="12">
        <v>-35.68</v>
      </c>
      <c r="AT373" s="11">
        <v>1048285139748</v>
      </c>
      <c r="AU373" s="11">
        <v>152548349888</v>
      </c>
      <c r="AV373" s="11">
        <v>146947551344</v>
      </c>
      <c r="AW373" s="11">
        <v>57779628720</v>
      </c>
      <c r="AX373" s="11">
        <v>283433145151</v>
      </c>
      <c r="AY373" s="11">
        <v>618007200000</v>
      </c>
      <c r="AZ373" s="11">
        <v>169554571725</v>
      </c>
      <c r="BA373" s="11">
        <v>1151324831996</v>
      </c>
      <c r="BB373" s="13">
        <v>224241</v>
      </c>
      <c r="BC373" s="11">
        <v>249855866438</v>
      </c>
      <c r="BD373" s="11">
        <v>283433145151</v>
      </c>
      <c r="BE373" s="11">
        <v>618035820407</v>
      </c>
      <c r="BF373" s="11">
        <v>1066200152630</v>
      </c>
      <c r="BG373" s="11">
        <v>45732631094</v>
      </c>
      <c r="BH373" s="11">
        <v>48729290409</v>
      </c>
      <c r="BI373" s="11">
        <v>0</v>
      </c>
      <c r="BJ373" s="11">
        <v>573220556016</v>
      </c>
      <c r="BK373" s="11">
        <v>0</v>
      </c>
      <c r="BL373" s="11">
        <v>0</v>
      </c>
      <c r="BM373" s="11">
        <v>0</v>
      </c>
    </row>
    <row r="374" spans="1:65" x14ac:dyDescent="0.25">
      <c r="A374" s="32"/>
      <c r="B374" s="10">
        <v>3506</v>
      </c>
      <c r="C374" s="10" t="s">
        <v>425</v>
      </c>
      <c r="D374" s="11">
        <v>784918389411</v>
      </c>
      <c r="E374" s="11">
        <v>122423595221</v>
      </c>
      <c r="F374" s="11">
        <v>0</v>
      </c>
      <c r="G374" s="11">
        <v>0</v>
      </c>
      <c r="H374" s="11">
        <v>907341984632</v>
      </c>
      <c r="I374" s="11">
        <v>72827761853</v>
      </c>
      <c r="J374" s="11">
        <v>834514222779</v>
      </c>
      <c r="K374" s="11">
        <v>1166528702690</v>
      </c>
      <c r="L374" s="11">
        <v>-259186718058</v>
      </c>
      <c r="M374" s="12">
        <v>-22.22</v>
      </c>
      <c r="N374" s="11">
        <v>1158741288206</v>
      </c>
      <c r="O374" s="12">
        <v>134.25</v>
      </c>
      <c r="P374" s="12">
        <v>138.85</v>
      </c>
      <c r="Q374" s="12">
        <v>2.93</v>
      </c>
      <c r="R374" s="11">
        <v>1180016975716</v>
      </c>
      <c r="S374" s="11">
        <v>38074406709</v>
      </c>
      <c r="T374" s="11">
        <v>30362810130</v>
      </c>
      <c r="U374" s="11">
        <v>2913442194</v>
      </c>
      <c r="V374" s="11">
        <v>4798154385</v>
      </c>
      <c r="W374" s="11">
        <v>1218091382425</v>
      </c>
      <c r="X374" s="11">
        <v>79405316294</v>
      </c>
      <c r="Y374" s="11">
        <v>3590000000</v>
      </c>
      <c r="Z374" s="11">
        <v>1301086698719</v>
      </c>
      <c r="AA374" s="11">
        <v>1039338102395</v>
      </c>
      <c r="AB374" s="12">
        <v>17.2</v>
      </c>
      <c r="AC374" s="11">
        <v>687502151729</v>
      </c>
      <c r="AD374" s="11">
        <v>685349658579</v>
      </c>
      <c r="AE374" s="11">
        <v>123582560615</v>
      </c>
      <c r="AF374" s="11">
        <v>1753279171</v>
      </c>
      <c r="AG374" s="11">
        <v>28491881765</v>
      </c>
      <c r="AH374" s="11">
        <v>81000000000</v>
      </c>
      <c r="AI374" s="11">
        <v>0</v>
      </c>
      <c r="AJ374" s="12">
        <v>2</v>
      </c>
      <c r="AK374" s="11">
        <v>64300000000</v>
      </c>
      <c r="AL374" s="12">
        <v>88</v>
      </c>
      <c r="AM374" s="11">
        <v>1241328383690</v>
      </c>
      <c r="AN374" s="12">
        <v>37</v>
      </c>
      <c r="AO374" s="11">
        <v>405298096069</v>
      </c>
      <c r="AP374" s="11">
        <v>38074406709</v>
      </c>
      <c r="AQ374" s="11">
        <v>12097430857</v>
      </c>
      <c r="AR374" s="11">
        <v>25976975852</v>
      </c>
      <c r="AS374" s="12">
        <v>214.73</v>
      </c>
      <c r="AT374" s="11">
        <v>657551898852</v>
      </c>
      <c r="AU374" s="11">
        <v>99209022805</v>
      </c>
      <c r="AV374" s="11">
        <v>292360887604</v>
      </c>
      <c r="AW374" s="11">
        <v>65708742376</v>
      </c>
      <c r="AX374" s="11">
        <v>192773759431</v>
      </c>
      <c r="AY374" s="11">
        <v>234075000000</v>
      </c>
      <c r="AZ374" s="11">
        <v>139604874135</v>
      </c>
      <c r="BA374" s="11">
        <v>907341984632</v>
      </c>
      <c r="BB374" s="13">
        <v>9496</v>
      </c>
      <c r="BC374" s="11">
        <v>480493225201</v>
      </c>
      <c r="BD374" s="11">
        <v>192773759431</v>
      </c>
      <c r="BE374" s="11">
        <v>234075000000</v>
      </c>
      <c r="BF374" s="11">
        <v>635787022529</v>
      </c>
      <c r="BG374" s="11">
        <v>51715129200</v>
      </c>
      <c r="BH374" s="11">
        <v>0</v>
      </c>
      <c r="BI374" s="11">
        <v>0</v>
      </c>
      <c r="BJ374" s="11">
        <v>133564362608</v>
      </c>
      <c r="BK374" s="11">
        <v>1753279171</v>
      </c>
      <c r="BL374" s="11">
        <v>4798154385</v>
      </c>
      <c r="BM374" s="11">
        <v>0</v>
      </c>
    </row>
    <row r="375" spans="1:65" x14ac:dyDescent="0.25">
      <c r="A375" s="32"/>
      <c r="B375" s="10">
        <v>3507</v>
      </c>
      <c r="C375" s="10" t="s">
        <v>426</v>
      </c>
      <c r="D375" s="11">
        <v>1859950294910</v>
      </c>
      <c r="E375" s="11">
        <v>386061258767</v>
      </c>
      <c r="F375" s="11">
        <v>0</v>
      </c>
      <c r="G375" s="11">
        <v>0</v>
      </c>
      <c r="H375" s="11">
        <v>2246011553677</v>
      </c>
      <c r="I375" s="11">
        <v>179120167025</v>
      </c>
      <c r="J375" s="11">
        <v>2066891386652</v>
      </c>
      <c r="K375" s="11">
        <v>1935963879354</v>
      </c>
      <c r="L375" s="11">
        <v>310047674323</v>
      </c>
      <c r="M375" s="12">
        <v>16.02</v>
      </c>
      <c r="N375" s="11">
        <v>1248682062509</v>
      </c>
      <c r="O375" s="12">
        <v>63.81</v>
      </c>
      <c r="P375" s="12">
        <v>60.41</v>
      </c>
      <c r="Q375" s="12">
        <v>0.85</v>
      </c>
      <c r="R375" s="11">
        <v>1420275778981</v>
      </c>
      <c r="S375" s="11">
        <v>12935520952</v>
      </c>
      <c r="T375" s="11">
        <v>11236120438</v>
      </c>
      <c r="U375" s="11">
        <v>1249654656</v>
      </c>
      <c r="V375" s="11">
        <v>449745858</v>
      </c>
      <c r="W375" s="11">
        <v>1433211299933</v>
      </c>
      <c r="X375" s="11">
        <v>96708465159</v>
      </c>
      <c r="Y375" s="11">
        <v>5244941722</v>
      </c>
      <c r="Z375" s="11">
        <v>1535164706814</v>
      </c>
      <c r="AA375" s="11">
        <v>1289442549569</v>
      </c>
      <c r="AB375" s="12">
        <v>11.15</v>
      </c>
      <c r="AC375" s="11">
        <v>1999837220326</v>
      </c>
      <c r="AD375" s="11">
        <v>1996318368272</v>
      </c>
      <c r="AE375" s="11">
        <v>1249368257767</v>
      </c>
      <c r="AF375" s="11">
        <v>0</v>
      </c>
      <c r="AG375" s="11">
        <v>0</v>
      </c>
      <c r="AH375" s="11">
        <v>0</v>
      </c>
      <c r="AI375" s="11">
        <v>0</v>
      </c>
      <c r="AJ375" s="12">
        <v>12</v>
      </c>
      <c r="AK375" s="11">
        <v>3099415628011</v>
      </c>
      <c r="AL375" s="12">
        <v>125</v>
      </c>
      <c r="AM375" s="11">
        <v>3765102040363</v>
      </c>
      <c r="AN375" s="12">
        <v>50</v>
      </c>
      <c r="AO375" s="11">
        <v>136735622573</v>
      </c>
      <c r="AP375" s="11">
        <v>12935520952</v>
      </c>
      <c r="AQ375" s="11">
        <v>10555922765</v>
      </c>
      <c r="AR375" s="11">
        <v>2379598187</v>
      </c>
      <c r="AS375" s="12">
        <v>22.54</v>
      </c>
      <c r="AT375" s="11">
        <v>1925907392123</v>
      </c>
      <c r="AU375" s="11">
        <v>75054132103</v>
      </c>
      <c r="AV375" s="11">
        <v>475537774291</v>
      </c>
      <c r="AW375" s="11">
        <v>50461143396</v>
      </c>
      <c r="AX375" s="11">
        <v>335954377223</v>
      </c>
      <c r="AY375" s="11">
        <v>997997000000</v>
      </c>
      <c r="AZ375" s="11">
        <v>233746361491</v>
      </c>
      <c r="BA375" s="11">
        <v>2246011553677</v>
      </c>
      <c r="BB375" s="13">
        <v>157866</v>
      </c>
      <c r="BC375" s="11">
        <v>868088501014</v>
      </c>
      <c r="BD375" s="11">
        <v>335954377223</v>
      </c>
      <c r="BE375" s="11">
        <v>1041968675440</v>
      </c>
      <c r="BF375" s="11">
        <v>1858185158783</v>
      </c>
      <c r="BG375" s="11">
        <v>141652061543</v>
      </c>
      <c r="BH375" s="11">
        <v>0</v>
      </c>
      <c r="BI375" s="11">
        <v>130568580</v>
      </c>
      <c r="BJ375" s="11">
        <v>1271113908963</v>
      </c>
      <c r="BK375" s="11">
        <v>0</v>
      </c>
      <c r="BL375" s="11">
        <v>0</v>
      </c>
      <c r="BM375" s="11">
        <v>0</v>
      </c>
    </row>
    <row r="376" spans="1:65" x14ac:dyDescent="0.25">
      <c r="A376" s="32"/>
      <c r="B376" s="10">
        <v>3508</v>
      </c>
      <c r="C376" s="10" t="s">
        <v>427</v>
      </c>
      <c r="D376" s="11">
        <v>885987822953</v>
      </c>
      <c r="E376" s="11">
        <v>22670937142</v>
      </c>
      <c r="F376" s="11">
        <v>0</v>
      </c>
      <c r="G376" s="11">
        <v>0</v>
      </c>
      <c r="H376" s="11">
        <v>908658760095</v>
      </c>
      <c r="I376" s="11">
        <v>76149644471</v>
      </c>
      <c r="J376" s="11">
        <v>832509115624</v>
      </c>
      <c r="K376" s="11">
        <v>1009224202094</v>
      </c>
      <c r="L376" s="11">
        <v>-100565441999</v>
      </c>
      <c r="M376" s="12">
        <v>-9.9600000000000009</v>
      </c>
      <c r="N376" s="11">
        <v>1060975278923</v>
      </c>
      <c r="O376" s="12">
        <v>121.8</v>
      </c>
      <c r="P376" s="12">
        <v>127.44</v>
      </c>
      <c r="Q376" s="12">
        <v>4.3</v>
      </c>
      <c r="R376" s="11">
        <v>1078304667455</v>
      </c>
      <c r="S376" s="11">
        <v>28404959152</v>
      </c>
      <c r="T376" s="11">
        <v>6178840132</v>
      </c>
      <c r="U376" s="11">
        <v>2568465049</v>
      </c>
      <c r="V376" s="11">
        <v>19657653971</v>
      </c>
      <c r="W376" s="11">
        <v>1106709626607</v>
      </c>
      <c r="X376" s="11">
        <v>118480870053</v>
      </c>
      <c r="Y376" s="11">
        <v>12363195000</v>
      </c>
      <c r="Z376" s="11">
        <v>1237553691660</v>
      </c>
      <c r="AA376" s="11">
        <v>854024736871</v>
      </c>
      <c r="AB376" s="12">
        <v>29.59</v>
      </c>
      <c r="AC376" s="11">
        <v>581432437530</v>
      </c>
      <c r="AD376" s="11">
        <v>581432437530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2">
        <v>0</v>
      </c>
      <c r="AK376" s="11">
        <v>0</v>
      </c>
      <c r="AL376" s="12">
        <v>45</v>
      </c>
      <c r="AM376" s="11">
        <v>58043709397</v>
      </c>
      <c r="AN376" s="12">
        <v>4</v>
      </c>
      <c r="AO376" s="11">
        <v>3658000000</v>
      </c>
      <c r="AP376" s="11">
        <v>28404959152</v>
      </c>
      <c r="AQ376" s="11">
        <v>58284603605</v>
      </c>
      <c r="AR376" s="11">
        <v>-29879644453</v>
      </c>
      <c r="AS376" s="12">
        <v>-51.27</v>
      </c>
      <c r="AT376" s="11">
        <v>310568999248</v>
      </c>
      <c r="AU376" s="11">
        <v>79631379391</v>
      </c>
      <c r="AV376" s="11">
        <v>191872237737</v>
      </c>
      <c r="AW376" s="11">
        <v>57920062756</v>
      </c>
      <c r="AX376" s="11">
        <v>263888522460</v>
      </c>
      <c r="AY376" s="11">
        <v>372307000000</v>
      </c>
      <c r="AZ376" s="11">
        <v>174305791174</v>
      </c>
      <c r="BA376" s="11">
        <v>908658760095</v>
      </c>
      <c r="BB376" s="13">
        <v>7608</v>
      </c>
      <c r="BC376" s="11">
        <v>272463237635</v>
      </c>
      <c r="BD376" s="11">
        <v>263888522460</v>
      </c>
      <c r="BE376" s="11">
        <v>372307000000</v>
      </c>
      <c r="BF376" s="11">
        <v>532445518623</v>
      </c>
      <c r="BG376" s="11">
        <v>48986918907</v>
      </c>
      <c r="BH376" s="11">
        <v>0</v>
      </c>
      <c r="BI376" s="11">
        <v>0</v>
      </c>
      <c r="BJ376" s="11">
        <v>0</v>
      </c>
      <c r="BK376" s="11">
        <v>0</v>
      </c>
      <c r="BL376" s="11">
        <v>0</v>
      </c>
      <c r="BM376" s="11">
        <v>0</v>
      </c>
    </row>
    <row r="377" spans="1:65" x14ac:dyDescent="0.25">
      <c r="A377" s="32"/>
      <c r="B377" s="10">
        <v>3509</v>
      </c>
      <c r="C377" s="10" t="s">
        <v>428</v>
      </c>
      <c r="D377" s="11">
        <v>1441100115543</v>
      </c>
      <c r="E377" s="11">
        <v>5085975718</v>
      </c>
      <c r="F377" s="11">
        <v>0</v>
      </c>
      <c r="G377" s="11">
        <v>0</v>
      </c>
      <c r="H377" s="11">
        <v>1446186091261</v>
      </c>
      <c r="I377" s="11">
        <v>117326544124</v>
      </c>
      <c r="J377" s="11">
        <v>1328859547137</v>
      </c>
      <c r="K377" s="11">
        <v>1213931101819</v>
      </c>
      <c r="L377" s="11">
        <v>232254989442</v>
      </c>
      <c r="M377" s="12">
        <v>19.13</v>
      </c>
      <c r="N377" s="11">
        <v>717520714249</v>
      </c>
      <c r="O377" s="12">
        <v>51.66</v>
      </c>
      <c r="P377" s="12">
        <v>54</v>
      </c>
      <c r="Q377" s="12">
        <v>8.6199999999999992</v>
      </c>
      <c r="R377" s="11">
        <v>673141405315</v>
      </c>
      <c r="S377" s="11">
        <v>73937707139</v>
      </c>
      <c r="T377" s="11">
        <v>70344889456</v>
      </c>
      <c r="U377" s="11">
        <v>2551522338</v>
      </c>
      <c r="V377" s="11">
        <v>1041295345</v>
      </c>
      <c r="W377" s="11">
        <v>747079112454</v>
      </c>
      <c r="X377" s="11">
        <v>104623126505</v>
      </c>
      <c r="Y377" s="11">
        <v>7035717590</v>
      </c>
      <c r="Z377" s="11">
        <v>858737956549</v>
      </c>
      <c r="AA377" s="11">
        <v>649631160765</v>
      </c>
      <c r="AB377" s="12">
        <v>15</v>
      </c>
      <c r="AC377" s="11">
        <v>224002064920</v>
      </c>
      <c r="AD377" s="11">
        <v>224002064920</v>
      </c>
      <c r="AE377" s="11">
        <v>0</v>
      </c>
      <c r="AF377" s="11">
        <v>0</v>
      </c>
      <c r="AG377" s="11">
        <v>0</v>
      </c>
      <c r="AH377" s="11">
        <v>0</v>
      </c>
      <c r="AI377" s="11">
        <v>0</v>
      </c>
      <c r="AJ377" s="12">
        <v>0</v>
      </c>
      <c r="AK377" s="11">
        <v>0</v>
      </c>
      <c r="AL377" s="12">
        <v>20</v>
      </c>
      <c r="AM377" s="11">
        <v>25642480030</v>
      </c>
      <c r="AN377" s="12">
        <v>4</v>
      </c>
      <c r="AO377" s="11">
        <v>3932500000</v>
      </c>
      <c r="AP377" s="11">
        <v>73937707139</v>
      </c>
      <c r="AQ377" s="11">
        <v>8948662141</v>
      </c>
      <c r="AR377" s="11">
        <v>64989044998</v>
      </c>
      <c r="AS377" s="19">
        <v>726.24</v>
      </c>
      <c r="AT377" s="11">
        <v>177769801864</v>
      </c>
      <c r="AU377" s="11">
        <v>49042739356</v>
      </c>
      <c r="AV377" s="11">
        <v>62533154787</v>
      </c>
      <c r="AW377" s="11">
        <v>129231862228</v>
      </c>
      <c r="AX377" s="11">
        <v>268342598528</v>
      </c>
      <c r="AY377" s="11">
        <v>980992500000</v>
      </c>
      <c r="AZ377" s="11">
        <v>137335178426</v>
      </c>
      <c r="BA377" s="11">
        <v>1446186091261</v>
      </c>
      <c r="BB377" s="13">
        <v>461301</v>
      </c>
      <c r="BC377" s="11">
        <v>195380153612</v>
      </c>
      <c r="BD377" s="11">
        <v>268342598528</v>
      </c>
      <c r="BE377" s="11">
        <v>982463339121</v>
      </c>
      <c r="BF377" s="11">
        <v>207452614920</v>
      </c>
      <c r="BG377" s="11">
        <v>16549450000</v>
      </c>
      <c r="BH377" s="11">
        <v>0</v>
      </c>
      <c r="BI377" s="11">
        <v>0</v>
      </c>
      <c r="BJ377" s="11">
        <v>0</v>
      </c>
      <c r="BK377" s="11">
        <v>0</v>
      </c>
      <c r="BL377" s="11">
        <v>0</v>
      </c>
      <c r="BM377" s="11">
        <v>0</v>
      </c>
    </row>
    <row r="378" spans="1:65" x14ac:dyDescent="0.25">
      <c r="A378" s="32"/>
      <c r="B378" s="10">
        <v>3510</v>
      </c>
      <c r="C378" s="10" t="s">
        <v>429</v>
      </c>
      <c r="D378" s="11">
        <v>1106813633347</v>
      </c>
      <c r="E378" s="11">
        <v>222005500106</v>
      </c>
      <c r="F378" s="11">
        <v>0</v>
      </c>
      <c r="G378" s="11">
        <v>0</v>
      </c>
      <c r="H378" s="11">
        <v>1328819133453</v>
      </c>
      <c r="I378" s="11">
        <v>103782108955</v>
      </c>
      <c r="J378" s="11">
        <v>1225037024498</v>
      </c>
      <c r="K378" s="11">
        <v>1513054065998</v>
      </c>
      <c r="L378" s="11">
        <v>-184234932545</v>
      </c>
      <c r="M378" s="12">
        <v>-12.18</v>
      </c>
      <c r="N378" s="11">
        <v>2119086494849</v>
      </c>
      <c r="O378" s="12">
        <v>155.56</v>
      </c>
      <c r="P378" s="12">
        <v>172.98</v>
      </c>
      <c r="Q378" s="12">
        <v>20.53</v>
      </c>
      <c r="R378" s="11">
        <v>1600738113567</v>
      </c>
      <c r="S378" s="11">
        <v>466423683674</v>
      </c>
      <c r="T378" s="11">
        <v>107125933608</v>
      </c>
      <c r="U378" s="11">
        <v>232207614</v>
      </c>
      <c r="V378" s="11">
        <v>359065542452</v>
      </c>
      <c r="W378" s="11">
        <v>2067161797241</v>
      </c>
      <c r="X378" s="11">
        <v>250694634674</v>
      </c>
      <c r="Y378" s="11">
        <v>7879139698</v>
      </c>
      <c r="Z378" s="11">
        <v>2325735571613</v>
      </c>
      <c r="AA378" s="11">
        <v>1831080495335</v>
      </c>
      <c r="AB378" s="12">
        <v>12.89</v>
      </c>
      <c r="AC378" s="11">
        <v>917987267960</v>
      </c>
      <c r="AD378" s="11">
        <v>843017038827</v>
      </c>
      <c r="AE378" s="11">
        <v>437359614381</v>
      </c>
      <c r="AF378" s="11">
        <v>6755595999</v>
      </c>
      <c r="AG378" s="11">
        <v>0</v>
      </c>
      <c r="AH378" s="11">
        <v>0</v>
      </c>
      <c r="AI378" s="11">
        <v>0</v>
      </c>
      <c r="AJ378" s="12">
        <v>12</v>
      </c>
      <c r="AK378" s="11">
        <v>1200382655564</v>
      </c>
      <c r="AL378" s="12">
        <v>44</v>
      </c>
      <c r="AM378" s="11">
        <v>1320924107899</v>
      </c>
      <c r="AN378" s="12">
        <v>1</v>
      </c>
      <c r="AO378" s="11">
        <v>1350000000</v>
      </c>
      <c r="AP378" s="11">
        <v>466423683674</v>
      </c>
      <c r="AQ378" s="11">
        <v>2757966606</v>
      </c>
      <c r="AR378" s="11">
        <v>463665717068</v>
      </c>
      <c r="AS378" s="19">
        <v>16811.87</v>
      </c>
      <c r="AT378" s="11">
        <v>750772521513</v>
      </c>
      <c r="AU378" s="11">
        <v>127963714756</v>
      </c>
      <c r="AV378" s="11">
        <v>227172653857</v>
      </c>
      <c r="AW378" s="11">
        <v>27397790039</v>
      </c>
      <c r="AX378" s="11">
        <v>394911189451</v>
      </c>
      <c r="AY378" s="11">
        <v>457332000000</v>
      </c>
      <c r="AZ378" s="11">
        <v>309498229705</v>
      </c>
      <c r="BA378" s="11">
        <v>1328819133453</v>
      </c>
      <c r="BB378" s="13">
        <v>24264</v>
      </c>
      <c r="BC378" s="11">
        <v>476575944002</v>
      </c>
      <c r="BD378" s="11">
        <v>394911189451</v>
      </c>
      <c r="BE378" s="11">
        <v>457332000000</v>
      </c>
      <c r="BF378" s="11">
        <v>763113644247</v>
      </c>
      <c r="BG378" s="11">
        <v>154873623713</v>
      </c>
      <c r="BH378" s="11">
        <v>0</v>
      </c>
      <c r="BI378" s="11">
        <v>358136718263</v>
      </c>
      <c r="BJ378" s="11">
        <v>46486115702</v>
      </c>
      <c r="BK378" s="11">
        <v>0</v>
      </c>
      <c r="BL378" s="11">
        <v>0</v>
      </c>
      <c r="BM378" s="11">
        <v>6755595999</v>
      </c>
    </row>
    <row r="379" spans="1:65" x14ac:dyDescent="0.25">
      <c r="A379" s="32"/>
      <c r="B379" s="10">
        <v>3511</v>
      </c>
      <c r="C379" s="10" t="s">
        <v>430</v>
      </c>
      <c r="D379" s="11">
        <v>1197119572363</v>
      </c>
      <c r="E379" s="11">
        <v>3988591042</v>
      </c>
      <c r="F379" s="11">
        <v>0</v>
      </c>
      <c r="G379" s="11">
        <v>0</v>
      </c>
      <c r="H379" s="11">
        <v>1201108163405</v>
      </c>
      <c r="I379" s="11">
        <v>92450491218</v>
      </c>
      <c r="J379" s="11">
        <v>1108657672187</v>
      </c>
      <c r="K379" s="11">
        <v>1304043146720</v>
      </c>
      <c r="L379" s="11">
        <v>-102934983315</v>
      </c>
      <c r="M379" s="12">
        <v>-7.89</v>
      </c>
      <c r="N379" s="11">
        <v>391794421603</v>
      </c>
      <c r="O379" s="12">
        <v>35.76</v>
      </c>
      <c r="P379" s="12">
        <v>35.340000000000003</v>
      </c>
      <c r="Q379" s="12">
        <v>0.66</v>
      </c>
      <c r="R379" s="11">
        <v>426386719913</v>
      </c>
      <c r="S379" s="11">
        <v>3111342292</v>
      </c>
      <c r="T379" s="11">
        <v>2317117287</v>
      </c>
      <c r="U379" s="11">
        <v>794225005</v>
      </c>
      <c r="V379" s="11">
        <v>0</v>
      </c>
      <c r="W379" s="11">
        <v>429498062205</v>
      </c>
      <c r="X379" s="11">
        <v>35736524125</v>
      </c>
      <c r="Y379" s="11">
        <v>7025650000</v>
      </c>
      <c r="Z379" s="11">
        <v>472260236330</v>
      </c>
      <c r="AA379" s="11">
        <v>356970723883</v>
      </c>
      <c r="AB379" s="12">
        <v>20.32</v>
      </c>
      <c r="AC379" s="11">
        <v>202991264635</v>
      </c>
      <c r="AD379" s="11">
        <v>202991264635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2">
        <v>0</v>
      </c>
      <c r="AK379" s="11">
        <v>0</v>
      </c>
      <c r="AL379" s="12">
        <v>26</v>
      </c>
      <c r="AM379" s="11">
        <v>73726075067</v>
      </c>
      <c r="AN379" s="12">
        <v>7</v>
      </c>
      <c r="AO379" s="11">
        <v>3336400500</v>
      </c>
      <c r="AP379" s="11">
        <v>3111342292</v>
      </c>
      <c r="AQ379" s="11">
        <v>1797656874</v>
      </c>
      <c r="AR379" s="11">
        <v>1313685418</v>
      </c>
      <c r="AS379" s="12">
        <v>73.08</v>
      </c>
      <c r="AT379" s="11">
        <v>174302347396</v>
      </c>
      <c r="AU379" s="11">
        <v>12156782825</v>
      </c>
      <c r="AV379" s="11">
        <v>69633498894</v>
      </c>
      <c r="AW379" s="11">
        <v>153235114028</v>
      </c>
      <c r="AX379" s="11">
        <v>141376959441</v>
      </c>
      <c r="AY379" s="11">
        <v>832874000000</v>
      </c>
      <c r="AZ379" s="11">
        <v>72213657126</v>
      </c>
      <c r="BA379" s="11">
        <v>1201108163405</v>
      </c>
      <c r="BB379" s="12">
        <v>173</v>
      </c>
      <c r="BC379" s="11">
        <v>226857203964</v>
      </c>
      <c r="BD379" s="11">
        <v>141376959441</v>
      </c>
      <c r="BE379" s="11">
        <v>832874000000</v>
      </c>
      <c r="BF379" s="11">
        <v>166172113328</v>
      </c>
      <c r="BG379" s="11">
        <v>36819151307</v>
      </c>
      <c r="BH379" s="11">
        <v>0</v>
      </c>
      <c r="BI379" s="11">
        <v>0</v>
      </c>
      <c r="BJ379" s="11">
        <v>0</v>
      </c>
      <c r="BK379" s="11">
        <v>0</v>
      </c>
      <c r="BL379" s="11">
        <v>0</v>
      </c>
      <c r="BM379" s="11">
        <v>0</v>
      </c>
    </row>
    <row r="380" spans="1:65" x14ac:dyDescent="0.25">
      <c r="A380" s="32"/>
      <c r="B380" s="10">
        <v>3512</v>
      </c>
      <c r="C380" s="10" t="s">
        <v>431</v>
      </c>
      <c r="D380" s="11">
        <v>670901321919</v>
      </c>
      <c r="E380" s="11">
        <v>6067525664</v>
      </c>
      <c r="F380" s="11">
        <v>0</v>
      </c>
      <c r="G380" s="11">
        <v>0</v>
      </c>
      <c r="H380" s="11">
        <v>676968847583</v>
      </c>
      <c r="I380" s="11">
        <v>52837101910</v>
      </c>
      <c r="J380" s="11">
        <v>624131745673</v>
      </c>
      <c r="K380" s="11">
        <v>552501453853</v>
      </c>
      <c r="L380" s="11">
        <v>124467393730</v>
      </c>
      <c r="M380" s="12">
        <v>22.53</v>
      </c>
      <c r="N380" s="11">
        <v>273071621526</v>
      </c>
      <c r="O380" s="12">
        <v>44.99</v>
      </c>
      <c r="P380" s="12">
        <v>43.75</v>
      </c>
      <c r="Q380" s="12">
        <v>0.52</v>
      </c>
      <c r="R380" s="11">
        <v>302783124846</v>
      </c>
      <c r="S380" s="11">
        <v>1786940983</v>
      </c>
      <c r="T380" s="11">
        <v>1786940983</v>
      </c>
      <c r="U380" s="11">
        <v>0</v>
      </c>
      <c r="V380" s="11">
        <v>0</v>
      </c>
      <c r="W380" s="11">
        <v>304570065829</v>
      </c>
      <c r="X380" s="11">
        <v>27273049452</v>
      </c>
      <c r="Y380" s="11">
        <v>10499260000</v>
      </c>
      <c r="Z380" s="11">
        <v>342342375281</v>
      </c>
      <c r="AA380" s="11">
        <v>73697333544</v>
      </c>
      <c r="AB380" s="12">
        <v>313.27</v>
      </c>
      <c r="AC380" s="11">
        <v>230187967669</v>
      </c>
      <c r="AD380" s="11">
        <v>230187967669</v>
      </c>
      <c r="AE380" s="11">
        <v>0</v>
      </c>
      <c r="AF380" s="11">
        <v>0</v>
      </c>
      <c r="AG380" s="11">
        <v>0</v>
      </c>
      <c r="AH380" s="11">
        <v>0</v>
      </c>
      <c r="AI380" s="11">
        <v>0</v>
      </c>
      <c r="AJ380" s="12">
        <v>0</v>
      </c>
      <c r="AK380" s="11">
        <v>0</v>
      </c>
      <c r="AL380" s="12">
        <v>8</v>
      </c>
      <c r="AM380" s="11">
        <v>47351290837</v>
      </c>
      <c r="AN380" s="12">
        <v>1</v>
      </c>
      <c r="AO380" s="11">
        <v>2299470000</v>
      </c>
      <c r="AP380" s="11">
        <v>1786940983</v>
      </c>
      <c r="AQ380" s="11">
        <v>0</v>
      </c>
      <c r="AR380" s="11">
        <v>1786940983</v>
      </c>
      <c r="AS380" s="12"/>
      <c r="AT380" s="11">
        <v>37632022330</v>
      </c>
      <c r="AU380" s="11">
        <v>1238648466</v>
      </c>
      <c r="AV380" s="11">
        <v>99930781633</v>
      </c>
      <c r="AW380" s="11">
        <v>81560719694</v>
      </c>
      <c r="AX380" s="11">
        <v>228633820592</v>
      </c>
      <c r="AY380" s="11">
        <v>260776000000</v>
      </c>
      <c r="AZ380" s="11">
        <v>224101595939</v>
      </c>
      <c r="BA380" s="11">
        <v>676968847583</v>
      </c>
      <c r="BB380" s="13">
        <v>0</v>
      </c>
      <c r="BC380" s="11">
        <v>187559026991</v>
      </c>
      <c r="BD380" s="11">
        <v>228633820592</v>
      </c>
      <c r="BE380" s="11">
        <v>260776000000</v>
      </c>
      <c r="BF380" s="11">
        <v>178767967669</v>
      </c>
      <c r="BG380" s="11">
        <v>51420000000</v>
      </c>
      <c r="BH380" s="11">
        <v>0</v>
      </c>
      <c r="BI380" s="11">
        <v>0</v>
      </c>
      <c r="BJ380" s="11">
        <v>0</v>
      </c>
      <c r="BK380" s="11">
        <v>0</v>
      </c>
      <c r="BL380" s="11">
        <v>0</v>
      </c>
      <c r="BM380" s="11">
        <v>0</v>
      </c>
    </row>
    <row r="381" spans="1:65" x14ac:dyDescent="0.25">
      <c r="A381" s="32"/>
      <c r="B381" s="10">
        <v>3513</v>
      </c>
      <c r="C381" s="10" t="s">
        <v>432</v>
      </c>
      <c r="D381" s="11">
        <v>401872192285</v>
      </c>
      <c r="E381" s="11">
        <v>2185594705</v>
      </c>
      <c r="F381" s="11">
        <v>0</v>
      </c>
      <c r="G381" s="11">
        <v>0</v>
      </c>
      <c r="H381" s="11">
        <v>404057786990</v>
      </c>
      <c r="I381" s="11">
        <v>32892744552</v>
      </c>
      <c r="J381" s="11">
        <v>371165042438</v>
      </c>
      <c r="K381" s="11">
        <v>295485461787</v>
      </c>
      <c r="L381" s="11">
        <v>108572325203</v>
      </c>
      <c r="M381" s="12">
        <v>36.74</v>
      </c>
      <c r="N381" s="11">
        <v>94802203900</v>
      </c>
      <c r="O381" s="12">
        <v>25.01</v>
      </c>
      <c r="P381" s="12">
        <v>25.54</v>
      </c>
      <c r="Q381" s="12">
        <v>0</v>
      </c>
      <c r="R381" s="11">
        <v>101059870921</v>
      </c>
      <c r="S381" s="11">
        <v>0</v>
      </c>
      <c r="T381" s="11">
        <v>0</v>
      </c>
      <c r="U381" s="11">
        <v>0</v>
      </c>
      <c r="V381" s="11">
        <v>0</v>
      </c>
      <c r="W381" s="11">
        <v>101059870921</v>
      </c>
      <c r="X381" s="11">
        <v>16300684847</v>
      </c>
      <c r="Y381" s="11">
        <v>6950000000</v>
      </c>
      <c r="Z381" s="11">
        <v>124310555768</v>
      </c>
      <c r="AA381" s="11">
        <v>16420567855</v>
      </c>
      <c r="AB381" s="12">
        <v>515.45000000000005</v>
      </c>
      <c r="AC381" s="11">
        <v>87431042621</v>
      </c>
      <c r="AD381" s="11">
        <v>87431042621</v>
      </c>
      <c r="AE381" s="11">
        <v>0</v>
      </c>
      <c r="AF381" s="11">
        <v>0</v>
      </c>
      <c r="AG381" s="11">
        <v>0</v>
      </c>
      <c r="AH381" s="11">
        <v>0</v>
      </c>
      <c r="AI381" s="11">
        <v>0</v>
      </c>
      <c r="AJ381" s="12">
        <v>0</v>
      </c>
      <c r="AK381" s="11">
        <v>0</v>
      </c>
      <c r="AL381" s="12">
        <v>10</v>
      </c>
      <c r="AM381" s="11">
        <v>18344075000</v>
      </c>
      <c r="AN381" s="12">
        <v>0</v>
      </c>
      <c r="AO381" s="11">
        <v>0</v>
      </c>
      <c r="AP381" s="11">
        <v>0</v>
      </c>
      <c r="AQ381" s="11">
        <v>0</v>
      </c>
      <c r="AR381" s="11">
        <v>0</v>
      </c>
      <c r="AS381" s="12"/>
      <c r="AT381" s="11">
        <v>11924079677</v>
      </c>
      <c r="AU381" s="11">
        <v>553834419</v>
      </c>
      <c r="AV381" s="11">
        <v>21171293435</v>
      </c>
      <c r="AW381" s="11">
        <v>30495731777</v>
      </c>
      <c r="AX381" s="11">
        <v>46483167073</v>
      </c>
      <c r="AY381" s="11">
        <v>303722000000</v>
      </c>
      <c r="AZ381" s="11">
        <v>46361231843</v>
      </c>
      <c r="BA381" s="11">
        <v>404057786990</v>
      </c>
      <c r="BB381" s="13">
        <v>4096</v>
      </c>
      <c r="BC381" s="11">
        <v>53852619917</v>
      </c>
      <c r="BD381" s="11">
        <v>46483167073</v>
      </c>
      <c r="BE381" s="11">
        <v>303722000000</v>
      </c>
      <c r="BF381" s="11">
        <v>77741042621</v>
      </c>
      <c r="BG381" s="11">
        <v>9690000000</v>
      </c>
      <c r="BH381" s="11">
        <v>0</v>
      </c>
      <c r="BI381" s="11">
        <v>0</v>
      </c>
      <c r="BJ381" s="11">
        <v>0</v>
      </c>
      <c r="BK381" s="11">
        <v>0</v>
      </c>
      <c r="BL381" s="11">
        <v>0</v>
      </c>
      <c r="BM381" s="11">
        <v>0</v>
      </c>
    </row>
    <row r="382" spans="1:65" s="24" customFormat="1" x14ac:dyDescent="0.25">
      <c r="A382" s="32"/>
      <c r="B382" s="20">
        <v>3599</v>
      </c>
      <c r="C382" s="20" t="s">
        <v>433</v>
      </c>
      <c r="D382" s="21">
        <v>0</v>
      </c>
      <c r="E382" s="21">
        <v>7528111138</v>
      </c>
      <c r="F382" s="21">
        <v>0</v>
      </c>
      <c r="G382" s="21">
        <v>0</v>
      </c>
      <c r="H382" s="21">
        <v>7528111138</v>
      </c>
      <c r="I382" s="21">
        <v>447303326</v>
      </c>
      <c r="J382" s="21">
        <v>7080807812</v>
      </c>
      <c r="K382" s="21">
        <v>4311245186</v>
      </c>
      <c r="L382" s="21">
        <v>3216865952</v>
      </c>
      <c r="M382" s="22">
        <v>74.62</v>
      </c>
      <c r="N382" s="21">
        <v>0</v>
      </c>
      <c r="O382" s="22">
        <v>0</v>
      </c>
      <c r="P382" s="22">
        <v>0</v>
      </c>
      <c r="Q382" s="22">
        <v>0</v>
      </c>
      <c r="R382" s="21">
        <v>0</v>
      </c>
      <c r="S382" s="21">
        <v>0</v>
      </c>
      <c r="T382" s="21">
        <v>0</v>
      </c>
      <c r="U382" s="21">
        <v>0</v>
      </c>
      <c r="V382" s="21">
        <v>0</v>
      </c>
      <c r="W382" s="21">
        <v>0</v>
      </c>
      <c r="X382" s="21">
        <v>0</v>
      </c>
      <c r="Y382" s="21">
        <v>0</v>
      </c>
      <c r="Z382" s="21">
        <v>0</v>
      </c>
      <c r="AA382" s="21">
        <v>0</v>
      </c>
      <c r="AB382" s="22"/>
      <c r="AC382" s="21">
        <v>0</v>
      </c>
      <c r="AD382" s="21">
        <v>0</v>
      </c>
      <c r="AE382" s="21">
        <v>0</v>
      </c>
      <c r="AF382" s="21">
        <v>0</v>
      </c>
      <c r="AG382" s="21">
        <v>0</v>
      </c>
      <c r="AH382" s="21">
        <v>0</v>
      </c>
      <c r="AI382" s="21">
        <v>0</v>
      </c>
      <c r="AJ382" s="22">
        <v>0</v>
      </c>
      <c r="AK382" s="21">
        <v>0</v>
      </c>
      <c r="AL382" s="22">
        <v>0</v>
      </c>
      <c r="AM382" s="21">
        <v>0</v>
      </c>
      <c r="AN382" s="12">
        <v>0</v>
      </c>
      <c r="AO382" s="11">
        <v>0</v>
      </c>
      <c r="AP382" s="21">
        <v>0</v>
      </c>
      <c r="AQ382" s="21">
        <v>0</v>
      </c>
      <c r="AR382" s="21">
        <v>0</v>
      </c>
      <c r="AS382" s="22"/>
      <c r="AT382" s="21">
        <v>0</v>
      </c>
      <c r="AU382" s="21">
        <v>0</v>
      </c>
      <c r="AV382" s="21">
        <v>0</v>
      </c>
      <c r="AW382" s="21">
        <v>0</v>
      </c>
      <c r="AX382" s="21">
        <v>0</v>
      </c>
      <c r="AY382" s="21">
        <v>0</v>
      </c>
      <c r="AZ382" s="21">
        <v>0</v>
      </c>
      <c r="BA382" s="21">
        <v>7528111138</v>
      </c>
      <c r="BB382" s="23">
        <v>0</v>
      </c>
      <c r="BC382" s="21">
        <v>7528111138</v>
      </c>
      <c r="BD382" s="21">
        <v>0</v>
      </c>
      <c r="BE382" s="21">
        <v>0</v>
      </c>
      <c r="BF382" s="21">
        <v>0</v>
      </c>
      <c r="BG382" s="21">
        <v>0</v>
      </c>
      <c r="BH382" s="21">
        <v>0</v>
      </c>
      <c r="BI382" s="21">
        <v>0</v>
      </c>
      <c r="BJ382" s="21">
        <v>0</v>
      </c>
      <c r="BK382" s="21">
        <v>0</v>
      </c>
      <c r="BL382" s="21">
        <v>0</v>
      </c>
      <c r="BM382" s="21">
        <v>0</v>
      </c>
    </row>
    <row r="383" spans="1:65" s="25" customFormat="1" x14ac:dyDescent="0.25">
      <c r="A383" s="14" t="s">
        <v>612</v>
      </c>
      <c r="B383" s="15"/>
      <c r="C383" s="15"/>
      <c r="D383" s="16">
        <v>16237009152175</v>
      </c>
      <c r="E383" s="16">
        <v>1664055903564</v>
      </c>
      <c r="F383" s="16">
        <v>63440000000</v>
      </c>
      <c r="G383" s="16">
        <v>453687940</v>
      </c>
      <c r="H383" s="16">
        <v>17964958743679</v>
      </c>
      <c r="I383" s="16">
        <v>1465576284772</v>
      </c>
      <c r="J383" s="16">
        <v>16499382458907</v>
      </c>
      <c r="K383" s="16">
        <v>18749093200872</v>
      </c>
      <c r="L383" s="16">
        <v>-784134457193</v>
      </c>
      <c r="M383" s="17">
        <v>-4.18</v>
      </c>
      <c r="N383" s="16">
        <v>20348473516304</v>
      </c>
      <c r="O383" s="17">
        <v>127.5</v>
      </c>
      <c r="P383" s="17">
        <v>123.33</v>
      </c>
      <c r="Q383" s="17">
        <v>5.45</v>
      </c>
      <c r="R383" s="16">
        <v>21694179577392</v>
      </c>
      <c r="S383" s="16">
        <v>1211062811733</v>
      </c>
      <c r="T383" s="16">
        <v>445526275709</v>
      </c>
      <c r="U383" s="16">
        <v>89370177488</v>
      </c>
      <c r="V383" s="16">
        <v>676166358536</v>
      </c>
      <c r="W383" s="16">
        <v>22905242389125</v>
      </c>
      <c r="X383" s="16">
        <v>1711124170810</v>
      </c>
      <c r="Y383" s="16">
        <v>142932548424</v>
      </c>
      <c r="Z383" s="16">
        <v>24759299108359</v>
      </c>
      <c r="AA383" s="16">
        <v>18734657197679</v>
      </c>
      <c r="AB383" s="17">
        <v>22.26</v>
      </c>
      <c r="AC383" s="16">
        <v>18527303815365</v>
      </c>
      <c r="AD383" s="16">
        <v>18027198872638</v>
      </c>
      <c r="AE383" s="16">
        <v>8148525519718</v>
      </c>
      <c r="AF383" s="16">
        <v>8519173709</v>
      </c>
      <c r="AG383" s="16">
        <v>28491881765</v>
      </c>
      <c r="AH383" s="16">
        <v>81000000000</v>
      </c>
      <c r="AI383" s="16">
        <v>0</v>
      </c>
      <c r="AJ383" s="17">
        <v>162</v>
      </c>
      <c r="AK383" s="16">
        <v>16519875106998</v>
      </c>
      <c r="AL383" s="17">
        <v>781</v>
      </c>
      <c r="AM383" s="16">
        <v>10551538183775</v>
      </c>
      <c r="AN383" s="18">
        <f>SUM(AN368:AN382)</f>
        <v>240</v>
      </c>
      <c r="AO383" s="16">
        <f>SUM(AO368:AO382)</f>
        <v>2895536946613</v>
      </c>
      <c r="AP383" s="16">
        <v>1211062811733</v>
      </c>
      <c r="AQ383" s="16">
        <v>462909724579</v>
      </c>
      <c r="AR383" s="16">
        <v>748153087154</v>
      </c>
      <c r="AS383" s="17">
        <v>161.62</v>
      </c>
      <c r="AT383" s="16">
        <v>16478517540505</v>
      </c>
      <c r="AU383" s="16">
        <v>1933290467265</v>
      </c>
      <c r="AV383" s="16">
        <v>3490347088979</v>
      </c>
      <c r="AW383" s="16">
        <v>1285062460707</v>
      </c>
      <c r="AX383" s="16">
        <v>4070909702489</v>
      </c>
      <c r="AY383" s="16">
        <v>7390689900000</v>
      </c>
      <c r="AZ383" s="16">
        <v>2772017952345</v>
      </c>
      <c r="BA383" s="16">
        <v>17964958743679</v>
      </c>
      <c r="BB383" s="18">
        <v>1527582</v>
      </c>
      <c r="BC383" s="16">
        <v>6364441806735</v>
      </c>
      <c r="BD383" s="16">
        <v>4134349702489</v>
      </c>
      <c r="BE383" s="16">
        <v>7466167234455</v>
      </c>
      <c r="BF383" s="16">
        <v>12421449072863</v>
      </c>
      <c r="BG383" s="16">
        <v>6105854742502</v>
      </c>
      <c r="BH383" s="16">
        <v>593685171357</v>
      </c>
      <c r="BI383" s="16">
        <v>589775035803</v>
      </c>
      <c r="BJ383" s="16">
        <v>7388944173731</v>
      </c>
      <c r="BK383" s="16">
        <v>1753279171</v>
      </c>
      <c r="BL383" s="16">
        <v>4798154385</v>
      </c>
      <c r="BM383" s="16">
        <v>6765903284</v>
      </c>
    </row>
    <row r="384" spans="1:65" x14ac:dyDescent="0.25">
      <c r="A384" s="32" t="s">
        <v>434</v>
      </c>
      <c r="B384" s="10">
        <v>3600</v>
      </c>
      <c r="C384" s="10" t="s">
        <v>435</v>
      </c>
      <c r="D384" s="11">
        <v>1786740850713</v>
      </c>
      <c r="E384" s="11">
        <v>98011058014</v>
      </c>
      <c r="F384" s="11">
        <v>0</v>
      </c>
      <c r="G384" s="11">
        <v>42664767316</v>
      </c>
      <c r="H384" s="11">
        <v>1927416676043</v>
      </c>
      <c r="I384" s="11">
        <v>144893374298</v>
      </c>
      <c r="J384" s="11">
        <v>1782523301745</v>
      </c>
      <c r="K384" s="11">
        <v>1502049486769</v>
      </c>
      <c r="L384" s="11">
        <v>425367189274</v>
      </c>
      <c r="M384" s="12">
        <v>28.32</v>
      </c>
      <c r="N384" s="11">
        <v>3051678673223</v>
      </c>
      <c r="O384" s="12">
        <v>211.83</v>
      </c>
      <c r="P384" s="12">
        <v>171.2</v>
      </c>
      <c r="Q384" s="12">
        <v>3.08</v>
      </c>
      <c r="R384" s="11">
        <v>3980804771248</v>
      </c>
      <c r="S384" s="11">
        <v>101946118611</v>
      </c>
      <c r="T384" s="11">
        <v>7557424918</v>
      </c>
      <c r="U384" s="11">
        <v>72349826039</v>
      </c>
      <c r="V384" s="11">
        <v>22038867654</v>
      </c>
      <c r="W384" s="11">
        <v>4082750889859</v>
      </c>
      <c r="X384" s="11">
        <v>180090685439</v>
      </c>
      <c r="Y384" s="11">
        <v>13093804000</v>
      </c>
      <c r="Z384" s="11">
        <v>4275935379298</v>
      </c>
      <c r="AA384" s="11">
        <v>2972975511365</v>
      </c>
      <c r="AB384" s="12">
        <v>37.33</v>
      </c>
      <c r="AC384" s="11">
        <v>1565932838207</v>
      </c>
      <c r="AD384" s="11">
        <v>1565932838207</v>
      </c>
      <c r="AE384" s="11">
        <v>0</v>
      </c>
      <c r="AF384" s="11">
        <v>0</v>
      </c>
      <c r="AG384" s="11">
        <v>0</v>
      </c>
      <c r="AH384" s="11">
        <v>0</v>
      </c>
      <c r="AI384" s="11">
        <v>0</v>
      </c>
      <c r="AJ384" s="12">
        <v>0</v>
      </c>
      <c r="AK384" s="11">
        <v>0</v>
      </c>
      <c r="AL384" s="12">
        <v>103</v>
      </c>
      <c r="AM384" s="11">
        <v>1041388224258</v>
      </c>
      <c r="AN384" s="12">
        <v>21</v>
      </c>
      <c r="AO384" s="11">
        <v>557232241632</v>
      </c>
      <c r="AP384" s="11">
        <v>101946118611</v>
      </c>
      <c r="AQ384" s="11">
        <v>196488767858</v>
      </c>
      <c r="AR384" s="11">
        <v>-94542649247</v>
      </c>
      <c r="AS384" s="12">
        <v>-48.12</v>
      </c>
      <c r="AT384" s="11">
        <v>759754107825</v>
      </c>
      <c r="AU384" s="11">
        <v>161207909549</v>
      </c>
      <c r="AV384" s="11">
        <v>415400633338</v>
      </c>
      <c r="AW384" s="11">
        <v>610913242265</v>
      </c>
      <c r="AX384" s="11">
        <v>446406975110</v>
      </c>
      <c r="AY384" s="11">
        <v>314020000000</v>
      </c>
      <c r="AZ384" s="11">
        <v>237891035584</v>
      </c>
      <c r="BA384" s="11">
        <v>1927416676043</v>
      </c>
      <c r="BB384" s="13">
        <v>33046</v>
      </c>
      <c r="BC384" s="11">
        <v>1126501776674</v>
      </c>
      <c r="BD384" s="11">
        <v>446406975110</v>
      </c>
      <c r="BE384" s="11">
        <v>354507924259</v>
      </c>
      <c r="BF384" s="11">
        <v>904176088207</v>
      </c>
      <c r="BG384" s="11">
        <v>661756750000</v>
      </c>
      <c r="BH384" s="11">
        <v>0</v>
      </c>
      <c r="BI384" s="11">
        <v>0</v>
      </c>
      <c r="BJ384" s="11">
        <v>0</v>
      </c>
      <c r="BK384" s="11">
        <v>0</v>
      </c>
      <c r="BL384" s="11">
        <v>9555721492</v>
      </c>
      <c r="BM384" s="11">
        <v>0</v>
      </c>
    </row>
    <row r="385" spans="1:65" x14ac:dyDescent="0.25">
      <c r="A385" s="32"/>
      <c r="B385" s="10">
        <v>3601</v>
      </c>
      <c r="C385" s="10" t="s">
        <v>436</v>
      </c>
      <c r="D385" s="11">
        <v>589395082559</v>
      </c>
      <c r="E385" s="11">
        <v>24150631776</v>
      </c>
      <c r="F385" s="11">
        <v>0</v>
      </c>
      <c r="G385" s="11">
        <v>0</v>
      </c>
      <c r="H385" s="11">
        <v>613545714335</v>
      </c>
      <c r="I385" s="11">
        <v>48081615541</v>
      </c>
      <c r="J385" s="11">
        <v>565464098794</v>
      </c>
      <c r="K385" s="11">
        <v>698440567721</v>
      </c>
      <c r="L385" s="11">
        <v>-84894853386</v>
      </c>
      <c r="M385" s="12">
        <v>-12.15</v>
      </c>
      <c r="N385" s="11">
        <v>1404573867819</v>
      </c>
      <c r="O385" s="12">
        <v>233.64</v>
      </c>
      <c r="P385" s="12">
        <v>248.39</v>
      </c>
      <c r="Q385" s="12">
        <v>2.04</v>
      </c>
      <c r="R385" s="11">
        <v>1414327078467</v>
      </c>
      <c r="S385" s="11">
        <v>19147678044</v>
      </c>
      <c r="T385" s="11">
        <v>13362751510</v>
      </c>
      <c r="U385" s="11">
        <v>3012866221</v>
      </c>
      <c r="V385" s="11">
        <v>2772060313</v>
      </c>
      <c r="W385" s="11">
        <v>1433474756511</v>
      </c>
      <c r="X385" s="11">
        <v>48999716235</v>
      </c>
      <c r="Y385" s="11">
        <v>0</v>
      </c>
      <c r="Z385" s="11">
        <v>1482474472746</v>
      </c>
      <c r="AA385" s="11">
        <v>1043574267010</v>
      </c>
      <c r="AB385" s="12">
        <v>37.36</v>
      </c>
      <c r="AC385" s="11">
        <v>579854224252</v>
      </c>
      <c r="AD385" s="11">
        <v>579854224252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2">
        <v>0</v>
      </c>
      <c r="AK385" s="11">
        <v>0</v>
      </c>
      <c r="AL385" s="12">
        <v>52</v>
      </c>
      <c r="AM385" s="11">
        <v>173121833648</v>
      </c>
      <c r="AN385" s="12">
        <v>15</v>
      </c>
      <c r="AO385" s="11">
        <v>38558679203</v>
      </c>
      <c r="AP385" s="11">
        <v>19147678044</v>
      </c>
      <c r="AQ385" s="11">
        <v>15089700784</v>
      </c>
      <c r="AR385" s="11">
        <v>4057977260</v>
      </c>
      <c r="AS385" s="12">
        <v>26.89</v>
      </c>
      <c r="AT385" s="11">
        <v>257426197931</v>
      </c>
      <c r="AU385" s="11">
        <v>74212055441</v>
      </c>
      <c r="AV385" s="11">
        <v>29645410150</v>
      </c>
      <c r="AW385" s="11">
        <v>152872603732</v>
      </c>
      <c r="AX385" s="11">
        <v>193825568677</v>
      </c>
      <c r="AY385" s="11">
        <v>213051500000</v>
      </c>
      <c r="AZ385" s="11">
        <v>133801270794</v>
      </c>
      <c r="BA385" s="11">
        <v>613545714335</v>
      </c>
      <c r="BB385" s="13">
        <v>3597</v>
      </c>
      <c r="BC385" s="11">
        <v>206668645658</v>
      </c>
      <c r="BD385" s="11">
        <v>193825568677</v>
      </c>
      <c r="BE385" s="11">
        <v>213051500000</v>
      </c>
      <c r="BF385" s="11">
        <v>532254224252</v>
      </c>
      <c r="BG385" s="11">
        <v>47600000000</v>
      </c>
      <c r="BH385" s="11">
        <v>0</v>
      </c>
      <c r="BI385" s="11">
        <v>0</v>
      </c>
      <c r="BJ385" s="11">
        <v>0</v>
      </c>
      <c r="BK385" s="11">
        <v>0</v>
      </c>
      <c r="BL385" s="11">
        <v>0</v>
      </c>
      <c r="BM385" s="11">
        <v>0</v>
      </c>
    </row>
    <row r="386" spans="1:65" x14ac:dyDescent="0.25">
      <c r="A386" s="32"/>
      <c r="B386" s="10">
        <v>3602</v>
      </c>
      <c r="C386" s="10" t="s">
        <v>437</v>
      </c>
      <c r="D386" s="11">
        <v>741942620818</v>
      </c>
      <c r="E386" s="11">
        <v>20406190496</v>
      </c>
      <c r="F386" s="11">
        <v>0</v>
      </c>
      <c r="G386" s="11">
        <v>0</v>
      </c>
      <c r="H386" s="11">
        <v>762348811314</v>
      </c>
      <c r="I386" s="11">
        <v>55441974585</v>
      </c>
      <c r="J386" s="11">
        <v>706906836729</v>
      </c>
      <c r="K386" s="11">
        <v>643379372360</v>
      </c>
      <c r="L386" s="11">
        <v>118969438954</v>
      </c>
      <c r="M386" s="12">
        <v>18.489999999999998</v>
      </c>
      <c r="N386" s="11">
        <v>906122220813</v>
      </c>
      <c r="O386" s="12">
        <v>121.81</v>
      </c>
      <c r="P386" s="12">
        <v>128.18</v>
      </c>
      <c r="Q386" s="12">
        <v>1.61</v>
      </c>
      <c r="R386" s="11">
        <v>910527963031</v>
      </c>
      <c r="S386" s="11">
        <v>18100087022</v>
      </c>
      <c r="T386" s="11">
        <v>13586337867</v>
      </c>
      <c r="U386" s="11">
        <v>4513749155</v>
      </c>
      <c r="V386" s="11">
        <v>0</v>
      </c>
      <c r="W386" s="11">
        <v>928628050053</v>
      </c>
      <c r="X386" s="11">
        <v>184286196940</v>
      </c>
      <c r="Y386" s="11">
        <v>9210000000</v>
      </c>
      <c r="Z386" s="11">
        <v>1122124246993</v>
      </c>
      <c r="AA386" s="11">
        <v>856995947227</v>
      </c>
      <c r="AB386" s="12">
        <v>8.36</v>
      </c>
      <c r="AC386" s="11">
        <v>389050538698</v>
      </c>
      <c r="AD386" s="11">
        <v>261374760994</v>
      </c>
      <c r="AE386" s="11">
        <v>0</v>
      </c>
      <c r="AF386" s="11">
        <v>0</v>
      </c>
      <c r="AG386" s="11">
        <v>0</v>
      </c>
      <c r="AH386" s="11">
        <v>0</v>
      </c>
      <c r="AI386" s="11">
        <v>0</v>
      </c>
      <c r="AJ386" s="12">
        <v>0</v>
      </c>
      <c r="AK386" s="11">
        <v>0</v>
      </c>
      <c r="AL386" s="12">
        <v>8</v>
      </c>
      <c r="AM386" s="11">
        <v>97394980540</v>
      </c>
      <c r="AN386" s="12">
        <v>4</v>
      </c>
      <c r="AO386" s="11">
        <v>45289628000</v>
      </c>
      <c r="AP386" s="11">
        <v>18100087022</v>
      </c>
      <c r="AQ386" s="11">
        <v>7851948476</v>
      </c>
      <c r="AR386" s="11">
        <v>10248138546</v>
      </c>
      <c r="AS386" s="12">
        <v>130.52000000000001</v>
      </c>
      <c r="AT386" s="11">
        <v>298092646325</v>
      </c>
      <c r="AU386" s="11">
        <v>53531247689</v>
      </c>
      <c r="AV386" s="11">
        <v>197544916729</v>
      </c>
      <c r="AW386" s="11">
        <v>137624843983</v>
      </c>
      <c r="AX386" s="11">
        <v>244730860106</v>
      </c>
      <c r="AY386" s="11">
        <v>162042000000</v>
      </c>
      <c r="AZ386" s="11">
        <v>158365096700</v>
      </c>
      <c r="BA386" s="11">
        <v>762348811314</v>
      </c>
      <c r="BB386" s="13">
        <v>71100</v>
      </c>
      <c r="BC386" s="11">
        <v>355575951208</v>
      </c>
      <c r="BD386" s="11">
        <v>244730860106</v>
      </c>
      <c r="BE386" s="11">
        <v>162042000000</v>
      </c>
      <c r="BF386" s="11">
        <v>356990538698</v>
      </c>
      <c r="BG386" s="11">
        <v>32060000000</v>
      </c>
      <c r="BH386" s="11">
        <v>0</v>
      </c>
      <c r="BI386" s="11">
        <v>0</v>
      </c>
      <c r="BJ386" s="11">
        <v>0</v>
      </c>
      <c r="BK386" s="11">
        <v>0</v>
      </c>
      <c r="BL386" s="11">
        <v>0</v>
      </c>
      <c r="BM386" s="11">
        <v>0</v>
      </c>
    </row>
    <row r="387" spans="1:65" x14ac:dyDescent="0.25">
      <c r="A387" s="32"/>
      <c r="B387" s="10">
        <v>3603</v>
      </c>
      <c r="C387" s="10" t="s">
        <v>438</v>
      </c>
      <c r="D387" s="11">
        <v>624276682649</v>
      </c>
      <c r="E387" s="11">
        <v>26846905137</v>
      </c>
      <c r="F387" s="11">
        <v>0</v>
      </c>
      <c r="G387" s="11">
        <v>0</v>
      </c>
      <c r="H387" s="11">
        <v>651123587786</v>
      </c>
      <c r="I387" s="11">
        <v>50854514279</v>
      </c>
      <c r="J387" s="11">
        <v>600269073507</v>
      </c>
      <c r="K387" s="11">
        <v>790861082684</v>
      </c>
      <c r="L387" s="11">
        <v>-139737494898</v>
      </c>
      <c r="M387" s="12">
        <v>-17.670000000000002</v>
      </c>
      <c r="N387" s="11">
        <v>1466991785687</v>
      </c>
      <c r="O387" s="12">
        <v>232.84</v>
      </c>
      <c r="P387" s="12">
        <v>244.39</v>
      </c>
      <c r="Q387" s="12">
        <v>7.06</v>
      </c>
      <c r="R387" s="11">
        <v>1411151247506</v>
      </c>
      <c r="S387" s="11">
        <v>104957166116</v>
      </c>
      <c r="T387" s="11">
        <v>28207487921</v>
      </c>
      <c r="U387" s="11">
        <v>10456001053</v>
      </c>
      <c r="V387" s="11">
        <v>66293677142</v>
      </c>
      <c r="W387" s="11">
        <v>1516108413622</v>
      </c>
      <c r="X387" s="11">
        <v>74844131217</v>
      </c>
      <c r="Y387" s="11">
        <v>0</v>
      </c>
      <c r="Z387" s="11">
        <v>1590952544839</v>
      </c>
      <c r="AA387" s="11">
        <v>1241180309904</v>
      </c>
      <c r="AB387" s="12">
        <v>22.15</v>
      </c>
      <c r="AC387" s="11">
        <v>537827304917</v>
      </c>
      <c r="AD387" s="11">
        <v>516749078907</v>
      </c>
      <c r="AE387" s="11">
        <v>0</v>
      </c>
      <c r="AF387" s="11">
        <v>2997388800</v>
      </c>
      <c r="AG387" s="11">
        <v>0</v>
      </c>
      <c r="AH387" s="11">
        <v>0</v>
      </c>
      <c r="AI387" s="11">
        <v>0</v>
      </c>
      <c r="AJ387" s="12">
        <v>0</v>
      </c>
      <c r="AK387" s="11">
        <v>0</v>
      </c>
      <c r="AL387" s="12">
        <v>102</v>
      </c>
      <c r="AM387" s="11">
        <v>317828434779</v>
      </c>
      <c r="AN387" s="12">
        <v>11</v>
      </c>
      <c r="AO387" s="11">
        <v>46902000000</v>
      </c>
      <c r="AP387" s="11">
        <v>104957166116</v>
      </c>
      <c r="AQ387" s="11">
        <v>99759032033</v>
      </c>
      <c r="AR387" s="11">
        <v>5198134083</v>
      </c>
      <c r="AS387" s="12">
        <v>5.21</v>
      </c>
      <c r="AT387" s="11">
        <v>287011922678</v>
      </c>
      <c r="AU387" s="11">
        <v>87779656261</v>
      </c>
      <c r="AV387" s="11">
        <v>68871256174</v>
      </c>
      <c r="AW387" s="11">
        <v>195173251351</v>
      </c>
      <c r="AX387" s="11">
        <v>218271875124</v>
      </c>
      <c r="AY387" s="11">
        <v>141960300000</v>
      </c>
      <c r="AZ387" s="11">
        <v>163260113540</v>
      </c>
      <c r="BA387" s="11">
        <v>651123587786</v>
      </c>
      <c r="BB387" s="13">
        <v>11907</v>
      </c>
      <c r="BC387" s="11">
        <v>290891412662</v>
      </c>
      <c r="BD387" s="11">
        <v>218271875124</v>
      </c>
      <c r="BE387" s="11">
        <v>141960300000</v>
      </c>
      <c r="BF387" s="11">
        <v>453377304917</v>
      </c>
      <c r="BG387" s="11">
        <v>84450000000</v>
      </c>
      <c r="BH387" s="11">
        <v>0</v>
      </c>
      <c r="BI387" s="11">
        <v>0</v>
      </c>
      <c r="BJ387" s="11">
        <v>0</v>
      </c>
      <c r="BK387" s="11">
        <v>0</v>
      </c>
      <c r="BL387" s="11">
        <v>0</v>
      </c>
      <c r="BM387" s="11">
        <v>2997388800</v>
      </c>
    </row>
    <row r="388" spans="1:65" x14ac:dyDescent="0.25">
      <c r="A388" s="32"/>
      <c r="B388" s="10">
        <v>3604</v>
      </c>
      <c r="C388" s="10" t="s">
        <v>439</v>
      </c>
      <c r="D388" s="11">
        <v>1378943944323</v>
      </c>
      <c r="E388" s="11">
        <v>131922005366</v>
      </c>
      <c r="F388" s="11">
        <v>0</v>
      </c>
      <c r="G388" s="11">
        <v>5189840495</v>
      </c>
      <c r="H388" s="11">
        <v>1516055790184</v>
      </c>
      <c r="I388" s="11">
        <v>121663367472</v>
      </c>
      <c r="J388" s="11">
        <v>1394392422712</v>
      </c>
      <c r="K388" s="11">
        <v>1712985661367</v>
      </c>
      <c r="L388" s="11">
        <v>-196929871183</v>
      </c>
      <c r="M388" s="12">
        <v>-11.5</v>
      </c>
      <c r="N388" s="11">
        <v>1100414324784</v>
      </c>
      <c r="O388" s="12">
        <v>75.599999999999994</v>
      </c>
      <c r="P388" s="12">
        <v>78.92</v>
      </c>
      <c r="Q388" s="12">
        <v>1.39</v>
      </c>
      <c r="R388" s="11">
        <v>1129588251073</v>
      </c>
      <c r="S388" s="11">
        <v>16546303622</v>
      </c>
      <c r="T388" s="11">
        <v>16452369006</v>
      </c>
      <c r="U388" s="11">
        <v>0</v>
      </c>
      <c r="V388" s="11">
        <v>93934616</v>
      </c>
      <c r="W388" s="11">
        <v>1146134554695</v>
      </c>
      <c r="X388" s="11">
        <v>56189476579</v>
      </c>
      <c r="Y388" s="11">
        <v>2980000000</v>
      </c>
      <c r="Z388" s="11">
        <v>1205304031274</v>
      </c>
      <c r="AA388" s="11">
        <v>786891147870</v>
      </c>
      <c r="AB388" s="12">
        <v>45.65</v>
      </c>
      <c r="AC388" s="11">
        <v>871015091067</v>
      </c>
      <c r="AD388" s="11">
        <v>820595365041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2">
        <v>0</v>
      </c>
      <c r="AK388" s="11">
        <v>0</v>
      </c>
      <c r="AL388" s="12">
        <v>40</v>
      </c>
      <c r="AM388" s="11">
        <v>590777943958</v>
      </c>
      <c r="AN388" s="12">
        <v>25</v>
      </c>
      <c r="AO388" s="11">
        <v>729893172511</v>
      </c>
      <c r="AP388" s="11">
        <v>16546303622</v>
      </c>
      <c r="AQ388" s="11">
        <v>25845544505</v>
      </c>
      <c r="AR388" s="11">
        <v>-9299240883</v>
      </c>
      <c r="AS388" s="12">
        <v>-35.979999999999997</v>
      </c>
      <c r="AT388" s="11">
        <v>574128931619</v>
      </c>
      <c r="AU388" s="11">
        <v>129414724927</v>
      </c>
      <c r="AV388" s="11">
        <v>439647218109</v>
      </c>
      <c r="AW388" s="11">
        <v>525205653751</v>
      </c>
      <c r="AX388" s="11">
        <v>205937172463</v>
      </c>
      <c r="AY388" s="11">
        <v>208153900000</v>
      </c>
      <c r="AZ388" s="11">
        <v>144722392164</v>
      </c>
      <c r="BA388" s="11">
        <v>1516055790184</v>
      </c>
      <c r="BB388" s="13">
        <v>22052</v>
      </c>
      <c r="BC388" s="11">
        <v>1101964717721</v>
      </c>
      <c r="BD388" s="11">
        <v>205937172463</v>
      </c>
      <c r="BE388" s="11">
        <v>208153900000</v>
      </c>
      <c r="BF388" s="11">
        <v>726315091067</v>
      </c>
      <c r="BG388" s="11">
        <v>144700000000</v>
      </c>
      <c r="BH388" s="11">
        <v>0</v>
      </c>
      <c r="BI388" s="11">
        <v>0</v>
      </c>
      <c r="BJ388" s="11">
        <v>0</v>
      </c>
      <c r="BK388" s="11">
        <v>0</v>
      </c>
      <c r="BL388" s="11">
        <v>0</v>
      </c>
      <c r="BM388" s="11">
        <v>0</v>
      </c>
    </row>
    <row r="389" spans="1:65" x14ac:dyDescent="0.25">
      <c r="A389" s="32"/>
      <c r="B389" s="10">
        <v>3605</v>
      </c>
      <c r="C389" s="10" t="s">
        <v>440</v>
      </c>
      <c r="D389" s="11">
        <v>868190915094</v>
      </c>
      <c r="E389" s="11">
        <v>469240038131</v>
      </c>
      <c r="F389" s="11">
        <v>0</v>
      </c>
      <c r="G389" s="11">
        <v>0</v>
      </c>
      <c r="H389" s="11">
        <v>1337430953225</v>
      </c>
      <c r="I389" s="11">
        <v>116571182964</v>
      </c>
      <c r="J389" s="11">
        <v>1220859770261</v>
      </c>
      <c r="K389" s="11">
        <v>988005394466</v>
      </c>
      <c r="L389" s="11">
        <v>349425558759</v>
      </c>
      <c r="M389" s="12">
        <v>35.369999999999997</v>
      </c>
      <c r="N389" s="11">
        <v>2043186540758</v>
      </c>
      <c r="O389" s="12">
        <v>157.93</v>
      </c>
      <c r="P389" s="12">
        <v>167.36</v>
      </c>
      <c r="Q389" s="12">
        <v>1.37</v>
      </c>
      <c r="R389" s="11">
        <v>2083114655759</v>
      </c>
      <c r="S389" s="11">
        <v>29080204530</v>
      </c>
      <c r="T389" s="11">
        <v>12110703977</v>
      </c>
      <c r="U389" s="11">
        <v>16327729805</v>
      </c>
      <c r="V389" s="11">
        <v>641770748</v>
      </c>
      <c r="W389" s="11">
        <v>2112194860289</v>
      </c>
      <c r="X389" s="11">
        <v>73586771173</v>
      </c>
      <c r="Y389" s="11">
        <v>3500000000</v>
      </c>
      <c r="Z389" s="11">
        <v>2189281631462</v>
      </c>
      <c r="AA389" s="11">
        <v>316343777760</v>
      </c>
      <c r="AB389" s="12">
        <v>567.69000000000005</v>
      </c>
      <c r="AC389" s="11">
        <v>4993382897203</v>
      </c>
      <c r="AD389" s="11">
        <v>4993382897203</v>
      </c>
      <c r="AE389" s="11">
        <v>3348011253486</v>
      </c>
      <c r="AF389" s="11">
        <v>850500000000</v>
      </c>
      <c r="AG389" s="11">
        <v>0</v>
      </c>
      <c r="AH389" s="11">
        <v>0</v>
      </c>
      <c r="AI389" s="11">
        <v>0</v>
      </c>
      <c r="AJ389" s="12">
        <v>35</v>
      </c>
      <c r="AK389" s="11">
        <v>6606230052207</v>
      </c>
      <c r="AL389" s="12">
        <v>18</v>
      </c>
      <c r="AM389" s="11">
        <v>2544212247883</v>
      </c>
      <c r="AN389" s="12">
        <v>10</v>
      </c>
      <c r="AO389" s="11">
        <v>321923066679</v>
      </c>
      <c r="AP389" s="11">
        <v>29080204530</v>
      </c>
      <c r="AQ389" s="11">
        <v>4947784872</v>
      </c>
      <c r="AR389" s="11">
        <v>24132419658</v>
      </c>
      <c r="AS389" s="12">
        <v>487.74</v>
      </c>
      <c r="AT389" s="11">
        <v>3430638568765</v>
      </c>
      <c r="AU389" s="11">
        <v>155552595927</v>
      </c>
      <c r="AV389" s="11">
        <v>85152008291</v>
      </c>
      <c r="AW389" s="11">
        <v>368535134800</v>
      </c>
      <c r="AX389" s="11">
        <v>385439772003</v>
      </c>
      <c r="AY389" s="11">
        <v>29064000000</v>
      </c>
      <c r="AZ389" s="11">
        <v>337239912923</v>
      </c>
      <c r="BA389" s="11">
        <v>1337430953225</v>
      </c>
      <c r="BB389" s="13">
        <v>0</v>
      </c>
      <c r="BC389" s="11">
        <v>922927181222</v>
      </c>
      <c r="BD389" s="11">
        <v>385439772003</v>
      </c>
      <c r="BE389" s="11">
        <v>29064000000</v>
      </c>
      <c r="BF389" s="11">
        <v>1354029570227</v>
      </c>
      <c r="BG389" s="11">
        <v>3639353326976</v>
      </c>
      <c r="BH389" s="11">
        <v>715730189668</v>
      </c>
      <c r="BI389" s="11">
        <v>0</v>
      </c>
      <c r="BJ389" s="11">
        <v>2771407621791</v>
      </c>
      <c r="BK389" s="11">
        <v>382500000000</v>
      </c>
      <c r="BL389" s="11">
        <v>0</v>
      </c>
      <c r="BM389" s="11">
        <v>474189014503</v>
      </c>
    </row>
    <row r="390" spans="1:65" x14ac:dyDescent="0.25">
      <c r="A390" s="32"/>
      <c r="B390" s="10">
        <v>3606</v>
      </c>
      <c r="C390" s="10" t="s">
        <v>441</v>
      </c>
      <c r="D390" s="11">
        <v>2349232611606</v>
      </c>
      <c r="E390" s="11">
        <v>731348223740</v>
      </c>
      <c r="F390" s="11">
        <v>50001000000</v>
      </c>
      <c r="G390" s="11">
        <v>0</v>
      </c>
      <c r="H390" s="11">
        <v>3130581835346</v>
      </c>
      <c r="I390" s="11">
        <v>255470014475</v>
      </c>
      <c r="J390" s="11">
        <v>2875111820871</v>
      </c>
      <c r="K390" s="11">
        <v>2745328925797</v>
      </c>
      <c r="L390" s="11">
        <v>385252909549</v>
      </c>
      <c r="M390" s="12">
        <v>14.03</v>
      </c>
      <c r="N390" s="11">
        <v>2798690240439</v>
      </c>
      <c r="O390" s="12">
        <v>96.83</v>
      </c>
      <c r="P390" s="12">
        <v>97.34</v>
      </c>
      <c r="Q390" s="12">
        <v>8.0399999999999991</v>
      </c>
      <c r="R390" s="11">
        <v>2797168479355</v>
      </c>
      <c r="S390" s="11">
        <v>234068323565</v>
      </c>
      <c r="T390" s="11">
        <v>32213690870</v>
      </c>
      <c r="U390" s="11">
        <v>101505264780</v>
      </c>
      <c r="V390" s="11">
        <v>100349367915</v>
      </c>
      <c r="W390" s="11">
        <v>3031236802920</v>
      </c>
      <c r="X390" s="11">
        <v>311515038432</v>
      </c>
      <c r="Y390" s="11">
        <v>18063698647</v>
      </c>
      <c r="Z390" s="11">
        <v>3360815539999</v>
      </c>
      <c r="AA390" s="11">
        <v>3440622377981</v>
      </c>
      <c r="AB390" s="12">
        <v>-11.9</v>
      </c>
      <c r="AC390" s="11">
        <v>1418859400023</v>
      </c>
      <c r="AD390" s="11">
        <v>1376623673997</v>
      </c>
      <c r="AE390" s="11">
        <v>81675000000</v>
      </c>
      <c r="AF390" s="11">
        <v>573019520</v>
      </c>
      <c r="AG390" s="11">
        <v>0</v>
      </c>
      <c r="AH390" s="11">
        <v>0</v>
      </c>
      <c r="AI390" s="11">
        <v>0</v>
      </c>
      <c r="AJ390" s="12">
        <v>3</v>
      </c>
      <c r="AK390" s="11">
        <v>2009788842600</v>
      </c>
      <c r="AL390" s="12">
        <v>300</v>
      </c>
      <c r="AM390" s="11">
        <v>4867409922521</v>
      </c>
      <c r="AN390" s="12">
        <v>154</v>
      </c>
      <c r="AO390" s="11">
        <v>1279409894721</v>
      </c>
      <c r="AP390" s="11">
        <v>234068323565</v>
      </c>
      <c r="AQ390" s="11">
        <v>165911461234</v>
      </c>
      <c r="AR390" s="11">
        <v>68156862331</v>
      </c>
      <c r="AS390" s="12">
        <v>41.08</v>
      </c>
      <c r="AT390" s="11">
        <v>2034382611154</v>
      </c>
      <c r="AU390" s="11">
        <v>977092967342</v>
      </c>
      <c r="AV390" s="11">
        <v>379750114103</v>
      </c>
      <c r="AW390" s="11">
        <v>509704212957</v>
      </c>
      <c r="AX390" s="11">
        <v>943581484546</v>
      </c>
      <c r="AY390" s="11">
        <v>516196800000</v>
      </c>
      <c r="AZ390" s="11">
        <v>655557582511</v>
      </c>
      <c r="BA390" s="11">
        <v>3130581835346</v>
      </c>
      <c r="BB390" s="13">
        <v>111779</v>
      </c>
      <c r="BC390" s="11">
        <v>1620802550800</v>
      </c>
      <c r="BD390" s="11">
        <v>993582484546</v>
      </c>
      <c r="BE390" s="11">
        <v>516196800000</v>
      </c>
      <c r="BF390" s="11">
        <v>1161122401794</v>
      </c>
      <c r="BG390" s="11">
        <v>257736998229</v>
      </c>
      <c r="BH390" s="11">
        <v>0</v>
      </c>
      <c r="BI390" s="11">
        <v>78528807470</v>
      </c>
      <c r="BJ390" s="11">
        <v>863677826638</v>
      </c>
      <c r="BK390" s="11">
        <v>0</v>
      </c>
      <c r="BL390" s="11">
        <v>0</v>
      </c>
      <c r="BM390" s="11">
        <v>573506194</v>
      </c>
    </row>
    <row r="391" spans="1:65" x14ac:dyDescent="0.25">
      <c r="A391" s="32"/>
      <c r="B391" s="10">
        <v>3607</v>
      </c>
      <c r="C391" s="10" t="s">
        <v>442</v>
      </c>
      <c r="D391" s="11">
        <v>1279568043364</v>
      </c>
      <c r="E391" s="11">
        <v>10123336820</v>
      </c>
      <c r="F391" s="11">
        <v>0</v>
      </c>
      <c r="G391" s="11">
        <v>0</v>
      </c>
      <c r="H391" s="11">
        <v>1289691380184</v>
      </c>
      <c r="I391" s="11">
        <v>101924274061</v>
      </c>
      <c r="J391" s="11">
        <v>1187767106123</v>
      </c>
      <c r="K391" s="11">
        <v>1026755115892</v>
      </c>
      <c r="L391" s="11">
        <v>262936264292</v>
      </c>
      <c r="M391" s="12">
        <v>25.61</v>
      </c>
      <c r="N391" s="11">
        <v>1096212283726</v>
      </c>
      <c r="O391" s="12">
        <v>90.86</v>
      </c>
      <c r="P391" s="12">
        <v>92.29</v>
      </c>
      <c r="Q391" s="12">
        <v>1.76</v>
      </c>
      <c r="R391" s="11">
        <v>1148756588266</v>
      </c>
      <c r="S391" s="11">
        <v>23091241479</v>
      </c>
      <c r="T391" s="11">
        <v>21694365497</v>
      </c>
      <c r="U391" s="11">
        <v>1396875982</v>
      </c>
      <c r="V391" s="11">
        <v>0</v>
      </c>
      <c r="W391" s="11">
        <v>1171847829745</v>
      </c>
      <c r="X391" s="11">
        <v>117050788601</v>
      </c>
      <c r="Y391" s="11">
        <v>21349805000</v>
      </c>
      <c r="Z391" s="11">
        <v>1310248423346</v>
      </c>
      <c r="AA391" s="11">
        <v>786146724332</v>
      </c>
      <c r="AB391" s="12">
        <v>49.06</v>
      </c>
      <c r="AC391" s="11">
        <v>554501624966</v>
      </c>
      <c r="AD391" s="11">
        <v>554501624966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2">
        <v>0</v>
      </c>
      <c r="AK391" s="11">
        <v>0</v>
      </c>
      <c r="AL391" s="12">
        <v>10</v>
      </c>
      <c r="AM391" s="11">
        <v>22877674818</v>
      </c>
      <c r="AN391" s="12">
        <v>12</v>
      </c>
      <c r="AO391" s="11">
        <v>26256266172</v>
      </c>
      <c r="AP391" s="11">
        <v>23091241479</v>
      </c>
      <c r="AQ391" s="11">
        <v>16224742705</v>
      </c>
      <c r="AR391" s="11">
        <v>6866498774</v>
      </c>
      <c r="AS391" s="12">
        <v>42.32</v>
      </c>
      <c r="AT391" s="11">
        <v>276584141865</v>
      </c>
      <c r="AU391" s="11">
        <v>60840355137</v>
      </c>
      <c r="AV391" s="11">
        <v>368291599788</v>
      </c>
      <c r="AW391" s="11">
        <v>259159842852</v>
      </c>
      <c r="AX391" s="11">
        <v>299115400724</v>
      </c>
      <c r="AY391" s="11">
        <v>353001200000</v>
      </c>
      <c r="AZ391" s="11">
        <v>145156727720</v>
      </c>
      <c r="BA391" s="11">
        <v>1289691380184</v>
      </c>
      <c r="BB391" s="13">
        <v>227641</v>
      </c>
      <c r="BC391" s="11">
        <v>637574779460</v>
      </c>
      <c r="BD391" s="11">
        <v>299115400724</v>
      </c>
      <c r="BE391" s="11">
        <v>353001200000</v>
      </c>
      <c r="BF391" s="11">
        <v>509259930993</v>
      </c>
      <c r="BG391" s="11">
        <v>45241693973</v>
      </c>
      <c r="BH391" s="11">
        <v>0</v>
      </c>
      <c r="BI391" s="11">
        <v>0</v>
      </c>
      <c r="BJ391" s="11">
        <v>0</v>
      </c>
      <c r="BK391" s="11">
        <v>0</v>
      </c>
      <c r="BL391" s="11">
        <v>0</v>
      </c>
      <c r="BM391" s="11">
        <v>0</v>
      </c>
    </row>
    <row r="392" spans="1:65" x14ac:dyDescent="0.25">
      <c r="A392" s="32"/>
      <c r="B392" s="10">
        <v>3608</v>
      </c>
      <c r="C392" s="10" t="s">
        <v>443</v>
      </c>
      <c r="D392" s="11">
        <v>1661122686274</v>
      </c>
      <c r="E392" s="11">
        <v>242911064043</v>
      </c>
      <c r="F392" s="11">
        <v>0</v>
      </c>
      <c r="G392" s="11">
        <v>0</v>
      </c>
      <c r="H392" s="11">
        <v>1904033750317</v>
      </c>
      <c r="I392" s="11">
        <v>140186382525</v>
      </c>
      <c r="J392" s="11">
        <v>1763847367792</v>
      </c>
      <c r="K392" s="11">
        <v>1395159820607</v>
      </c>
      <c r="L392" s="11">
        <v>508873929710</v>
      </c>
      <c r="M392" s="12">
        <v>36.47</v>
      </c>
      <c r="N392" s="11">
        <v>1522912751469</v>
      </c>
      <c r="O392" s="12">
        <v>85.9</v>
      </c>
      <c r="P392" s="12">
        <v>86.34</v>
      </c>
      <c r="Q392" s="12">
        <v>6.92</v>
      </c>
      <c r="R392" s="11">
        <v>1516062513507</v>
      </c>
      <c r="S392" s="11">
        <v>119444022075</v>
      </c>
      <c r="T392" s="11">
        <v>24796523987</v>
      </c>
      <c r="U392" s="11">
        <v>86891775026</v>
      </c>
      <c r="V392" s="11">
        <v>7755723062</v>
      </c>
      <c r="W392" s="11">
        <v>1635506535582</v>
      </c>
      <c r="X392" s="11">
        <v>90194745029</v>
      </c>
      <c r="Y392" s="11">
        <v>6100000000</v>
      </c>
      <c r="Z392" s="11">
        <v>1731801280611</v>
      </c>
      <c r="AA392" s="11">
        <v>1352546045765</v>
      </c>
      <c r="AB392" s="12">
        <v>20.92</v>
      </c>
      <c r="AC392" s="11">
        <v>578659401542</v>
      </c>
      <c r="AD392" s="11">
        <v>578659401542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2">
        <v>0</v>
      </c>
      <c r="AK392" s="11">
        <v>0</v>
      </c>
      <c r="AL392" s="12">
        <v>460</v>
      </c>
      <c r="AM392" s="11">
        <v>2249249553257</v>
      </c>
      <c r="AN392" s="12">
        <v>179</v>
      </c>
      <c r="AO392" s="11">
        <v>548665950587</v>
      </c>
      <c r="AP392" s="11">
        <v>119444022075</v>
      </c>
      <c r="AQ392" s="11">
        <v>129217644155</v>
      </c>
      <c r="AR392" s="11">
        <v>-9773622080</v>
      </c>
      <c r="AS392" s="12">
        <v>-7.56</v>
      </c>
      <c r="AT392" s="11">
        <v>446681713017</v>
      </c>
      <c r="AU392" s="11">
        <v>133459760365</v>
      </c>
      <c r="AV392" s="11">
        <v>195048569375</v>
      </c>
      <c r="AW392" s="11">
        <v>559917407647</v>
      </c>
      <c r="AX392" s="11">
        <v>485375709252</v>
      </c>
      <c r="AY392" s="11">
        <v>420781000000</v>
      </c>
      <c r="AZ392" s="11">
        <v>434595604299</v>
      </c>
      <c r="BA392" s="11">
        <v>1904033750317</v>
      </c>
      <c r="BB392" s="13">
        <v>49069</v>
      </c>
      <c r="BC392" s="11">
        <v>947292575385</v>
      </c>
      <c r="BD392" s="11">
        <v>485375709252</v>
      </c>
      <c r="BE392" s="11">
        <v>471365465680</v>
      </c>
      <c r="BF392" s="11">
        <v>523009401542</v>
      </c>
      <c r="BG392" s="11">
        <v>55650000000</v>
      </c>
      <c r="BH392" s="11">
        <v>0</v>
      </c>
      <c r="BI392" s="11">
        <v>0</v>
      </c>
      <c r="BJ392" s="11">
        <v>0</v>
      </c>
      <c r="BK392" s="11">
        <v>0</v>
      </c>
      <c r="BL392" s="11">
        <v>0</v>
      </c>
      <c r="BM392" s="11">
        <v>402535059</v>
      </c>
    </row>
    <row r="393" spans="1:65" x14ac:dyDescent="0.25">
      <c r="A393" s="32"/>
      <c r="B393" s="10">
        <v>3609</v>
      </c>
      <c r="C393" s="10" t="s">
        <v>444</v>
      </c>
      <c r="D393" s="11">
        <v>814048688693</v>
      </c>
      <c r="E393" s="11">
        <v>111194063854</v>
      </c>
      <c r="F393" s="11">
        <v>0</v>
      </c>
      <c r="G393" s="11">
        <v>7193797008</v>
      </c>
      <c r="H393" s="11">
        <v>932436549555</v>
      </c>
      <c r="I393" s="11">
        <v>72006069831</v>
      </c>
      <c r="J393" s="11">
        <v>860430479724</v>
      </c>
      <c r="K393" s="11">
        <v>806347244107</v>
      </c>
      <c r="L393" s="11">
        <v>126089305448</v>
      </c>
      <c r="M393" s="12">
        <v>15.64</v>
      </c>
      <c r="N393" s="11">
        <v>778723498772</v>
      </c>
      <c r="O393" s="12">
        <v>89.43</v>
      </c>
      <c r="P393" s="12">
        <v>90.5</v>
      </c>
      <c r="Q393" s="12">
        <v>7</v>
      </c>
      <c r="R393" s="11">
        <v>805571692035</v>
      </c>
      <c r="S393" s="11">
        <v>28262364648</v>
      </c>
      <c r="T393" s="11">
        <v>2381253419</v>
      </c>
      <c r="U393" s="11">
        <v>48175380</v>
      </c>
      <c r="V393" s="11">
        <v>25832935849</v>
      </c>
      <c r="W393" s="11">
        <v>833834056683</v>
      </c>
      <c r="X393" s="11">
        <v>108795888624</v>
      </c>
      <c r="Y393" s="11">
        <v>7150000000</v>
      </c>
      <c r="Z393" s="11">
        <v>949779945307</v>
      </c>
      <c r="AA393" s="11">
        <v>776551005914</v>
      </c>
      <c r="AB393" s="12">
        <v>7.38</v>
      </c>
      <c r="AC393" s="11">
        <v>797358499901</v>
      </c>
      <c r="AD393" s="11">
        <v>797358499901</v>
      </c>
      <c r="AE393" s="11">
        <v>171123791437</v>
      </c>
      <c r="AF393" s="11">
        <v>0</v>
      </c>
      <c r="AG393" s="11">
        <v>0</v>
      </c>
      <c r="AH393" s="11">
        <v>0</v>
      </c>
      <c r="AI393" s="11">
        <v>0</v>
      </c>
      <c r="AJ393" s="12">
        <v>8</v>
      </c>
      <c r="AK393" s="11">
        <v>778312059087</v>
      </c>
      <c r="AL393" s="12">
        <v>13</v>
      </c>
      <c r="AM393" s="11">
        <v>324164550000</v>
      </c>
      <c r="AN393" s="12">
        <v>12</v>
      </c>
      <c r="AO393" s="11">
        <v>66181338145</v>
      </c>
      <c r="AP393" s="11">
        <v>28262364648</v>
      </c>
      <c r="AQ393" s="11">
        <v>28114347846</v>
      </c>
      <c r="AR393" s="11">
        <v>148016802</v>
      </c>
      <c r="AS393" s="12">
        <v>0.53</v>
      </c>
      <c r="AT393" s="11">
        <v>878268058069</v>
      </c>
      <c r="AU393" s="11">
        <v>20760460093</v>
      </c>
      <c r="AV393" s="11">
        <v>297174659253</v>
      </c>
      <c r="AW393" s="11">
        <v>142855419746</v>
      </c>
      <c r="AX393" s="11">
        <v>250717609694</v>
      </c>
      <c r="AY393" s="11">
        <v>123301000000</v>
      </c>
      <c r="AZ393" s="11">
        <v>76575574778</v>
      </c>
      <c r="BA393" s="11">
        <v>932436549555</v>
      </c>
      <c r="BB393" s="13">
        <v>15123</v>
      </c>
      <c r="BC393" s="11">
        <v>558417939861</v>
      </c>
      <c r="BD393" s="11">
        <v>250717609694</v>
      </c>
      <c r="BE393" s="11">
        <v>123301000000</v>
      </c>
      <c r="BF393" s="11">
        <v>780758499901</v>
      </c>
      <c r="BG393" s="11">
        <v>16600000000</v>
      </c>
      <c r="BH393" s="11">
        <v>0</v>
      </c>
      <c r="BI393" s="11">
        <v>25540200000</v>
      </c>
      <c r="BJ393" s="11">
        <v>211632835696</v>
      </c>
      <c r="BK393" s="11">
        <v>0</v>
      </c>
      <c r="BL393" s="11">
        <v>0</v>
      </c>
      <c r="BM393" s="11">
        <v>0</v>
      </c>
    </row>
    <row r="394" spans="1:65" x14ac:dyDescent="0.25">
      <c r="A394" s="32"/>
      <c r="B394" s="10">
        <v>3610</v>
      </c>
      <c r="C394" s="10" t="s">
        <v>445</v>
      </c>
      <c r="D394" s="11">
        <v>759989334330</v>
      </c>
      <c r="E394" s="11">
        <v>32162076837</v>
      </c>
      <c r="F394" s="11">
        <v>0</v>
      </c>
      <c r="G394" s="11">
        <v>0</v>
      </c>
      <c r="H394" s="11">
        <v>792151411167</v>
      </c>
      <c r="I394" s="11">
        <v>68991081300</v>
      </c>
      <c r="J394" s="11">
        <v>723160329867</v>
      </c>
      <c r="K394" s="11">
        <v>806049216560</v>
      </c>
      <c r="L394" s="11">
        <v>-13897805393</v>
      </c>
      <c r="M394" s="12">
        <v>-1.72</v>
      </c>
      <c r="N394" s="11">
        <v>920036675799</v>
      </c>
      <c r="O394" s="12">
        <v>122.58</v>
      </c>
      <c r="P394" s="12">
        <v>127.22</v>
      </c>
      <c r="Q394" s="12">
        <v>1.56</v>
      </c>
      <c r="R394" s="11">
        <v>954384692669</v>
      </c>
      <c r="S394" s="11">
        <v>16664485876</v>
      </c>
      <c r="T394" s="11">
        <v>15498657678</v>
      </c>
      <c r="U394" s="11">
        <v>1165828198</v>
      </c>
      <c r="V394" s="11">
        <v>0</v>
      </c>
      <c r="W394" s="11">
        <v>971049178545</v>
      </c>
      <c r="X394" s="11">
        <v>96201975312</v>
      </c>
      <c r="Y394" s="11">
        <v>3500000000</v>
      </c>
      <c r="Z394" s="11">
        <v>1070751153857</v>
      </c>
      <c r="AA394" s="11">
        <v>807708040274</v>
      </c>
      <c r="AB394" s="12">
        <v>20.22</v>
      </c>
      <c r="AC394" s="11">
        <v>492355522244</v>
      </c>
      <c r="AD394" s="11">
        <v>481272657039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2">
        <v>0</v>
      </c>
      <c r="AK394" s="11">
        <v>0</v>
      </c>
      <c r="AL394" s="12">
        <v>90</v>
      </c>
      <c r="AM394" s="11">
        <v>424070664792</v>
      </c>
      <c r="AN394" s="12">
        <v>16</v>
      </c>
      <c r="AO394" s="11">
        <v>154790900744</v>
      </c>
      <c r="AP394" s="11">
        <v>16664485876</v>
      </c>
      <c r="AQ394" s="11">
        <v>7841897836</v>
      </c>
      <c r="AR394" s="11">
        <v>8822588040</v>
      </c>
      <c r="AS394" s="12">
        <v>112.51</v>
      </c>
      <c r="AT394" s="11">
        <v>351943323821</v>
      </c>
      <c r="AU394" s="11">
        <v>80374246094</v>
      </c>
      <c r="AV394" s="11">
        <v>171396878670</v>
      </c>
      <c r="AW394" s="11">
        <v>164437597073</v>
      </c>
      <c r="AX394" s="11">
        <v>281246858587</v>
      </c>
      <c r="AY394" s="11">
        <v>142908000000</v>
      </c>
      <c r="AZ394" s="11">
        <v>225971187154</v>
      </c>
      <c r="BA394" s="11">
        <v>792151411167</v>
      </c>
      <c r="BB394" s="13">
        <v>76186</v>
      </c>
      <c r="BC394" s="11">
        <v>367996552580</v>
      </c>
      <c r="BD394" s="11">
        <v>281246858587</v>
      </c>
      <c r="BE394" s="11">
        <v>142908000000</v>
      </c>
      <c r="BF394" s="11">
        <v>346305522244</v>
      </c>
      <c r="BG394" s="11">
        <v>146050000000</v>
      </c>
      <c r="BH394" s="11">
        <v>0</v>
      </c>
      <c r="BI394" s="11">
        <v>0</v>
      </c>
      <c r="BJ394" s="11">
        <v>0</v>
      </c>
      <c r="BK394" s="11">
        <v>0</v>
      </c>
      <c r="BL394" s="11">
        <v>0</v>
      </c>
      <c r="BM394" s="11">
        <v>0</v>
      </c>
    </row>
    <row r="395" spans="1:65" s="24" customFormat="1" x14ac:dyDescent="0.25">
      <c r="A395" s="32"/>
      <c r="B395" s="20">
        <v>3611</v>
      </c>
      <c r="C395" s="20" t="s">
        <v>446</v>
      </c>
      <c r="D395" s="21">
        <v>0</v>
      </c>
      <c r="E395" s="21">
        <v>0</v>
      </c>
      <c r="F395" s="21">
        <v>0</v>
      </c>
      <c r="G395" s="21">
        <v>0</v>
      </c>
      <c r="H395" s="21">
        <v>0</v>
      </c>
      <c r="I395" s="21">
        <v>0</v>
      </c>
      <c r="J395" s="21">
        <v>0</v>
      </c>
      <c r="K395" s="21">
        <v>0</v>
      </c>
      <c r="L395" s="21">
        <v>0</v>
      </c>
      <c r="M395" s="22">
        <v>0</v>
      </c>
      <c r="N395" s="21">
        <v>0</v>
      </c>
      <c r="O395" s="22">
        <v>0</v>
      </c>
      <c r="P395" s="22"/>
      <c r="Q395" s="22">
        <v>0</v>
      </c>
      <c r="R395" s="21">
        <v>0</v>
      </c>
      <c r="S395" s="21">
        <v>0</v>
      </c>
      <c r="T395" s="21">
        <v>0</v>
      </c>
      <c r="U395" s="21">
        <v>0</v>
      </c>
      <c r="V395" s="21">
        <v>0</v>
      </c>
      <c r="W395" s="21">
        <v>0</v>
      </c>
      <c r="X395" s="21">
        <v>0</v>
      </c>
      <c r="Y395" s="21">
        <v>0</v>
      </c>
      <c r="Z395" s="21">
        <v>0</v>
      </c>
      <c r="AA395" s="21">
        <v>0</v>
      </c>
      <c r="AB395" s="22"/>
      <c r="AC395" s="21">
        <v>0</v>
      </c>
      <c r="AD395" s="21">
        <v>0</v>
      </c>
      <c r="AE395" s="21">
        <v>0</v>
      </c>
      <c r="AF395" s="21">
        <v>0</v>
      </c>
      <c r="AG395" s="21">
        <v>0</v>
      </c>
      <c r="AH395" s="21">
        <v>0</v>
      </c>
      <c r="AI395" s="21">
        <v>0</v>
      </c>
      <c r="AJ395" s="22">
        <v>0</v>
      </c>
      <c r="AK395" s="21">
        <v>0</v>
      </c>
      <c r="AL395" s="23">
        <v>0</v>
      </c>
      <c r="AM395" s="21">
        <v>0</v>
      </c>
      <c r="AN395" s="12">
        <v>0</v>
      </c>
      <c r="AO395" s="11">
        <v>0</v>
      </c>
      <c r="AP395" s="21">
        <v>0</v>
      </c>
      <c r="AQ395" s="21">
        <v>0</v>
      </c>
      <c r="AR395" s="21">
        <v>0</v>
      </c>
      <c r="AS395" s="22"/>
      <c r="AT395" s="21">
        <v>0</v>
      </c>
      <c r="AU395" s="21">
        <v>0</v>
      </c>
      <c r="AV395" s="21">
        <v>0</v>
      </c>
      <c r="AW395" s="21">
        <v>0</v>
      </c>
      <c r="AX395" s="21">
        <v>0</v>
      </c>
      <c r="AY395" s="21">
        <v>0</v>
      </c>
      <c r="AZ395" s="21">
        <v>0</v>
      </c>
      <c r="BA395" s="21">
        <v>0</v>
      </c>
      <c r="BB395" s="23">
        <v>0</v>
      </c>
      <c r="BC395" s="21">
        <v>0</v>
      </c>
      <c r="BD395" s="21">
        <v>0</v>
      </c>
      <c r="BE395" s="21">
        <v>0</v>
      </c>
      <c r="BF395" s="21">
        <v>0</v>
      </c>
      <c r="BG395" s="21">
        <v>0</v>
      </c>
      <c r="BH395" s="21">
        <v>0</v>
      </c>
      <c r="BI395" s="21">
        <v>0</v>
      </c>
      <c r="BJ395" s="21">
        <v>0</v>
      </c>
      <c r="BK395" s="21">
        <v>0</v>
      </c>
      <c r="BL395" s="21">
        <v>0</v>
      </c>
      <c r="BM395" s="21">
        <v>0</v>
      </c>
    </row>
    <row r="396" spans="1:65" x14ac:dyDescent="0.25">
      <c r="A396" s="32"/>
      <c r="B396" s="10">
        <v>3699</v>
      </c>
      <c r="C396" s="10" t="s">
        <v>447</v>
      </c>
      <c r="D396" s="11">
        <v>1532866873</v>
      </c>
      <c r="E396" s="11">
        <v>4569316036</v>
      </c>
      <c r="F396" s="11">
        <v>0</v>
      </c>
      <c r="G396" s="11">
        <v>0</v>
      </c>
      <c r="H396" s="11">
        <v>6102182909</v>
      </c>
      <c r="I396" s="11">
        <v>542429753</v>
      </c>
      <c r="J396" s="11">
        <v>5559753156</v>
      </c>
      <c r="K396" s="11">
        <v>2111193453</v>
      </c>
      <c r="L396" s="11">
        <v>3990989456</v>
      </c>
      <c r="M396" s="12">
        <v>189.04</v>
      </c>
      <c r="N396" s="11">
        <v>0</v>
      </c>
      <c r="O396" s="12">
        <v>0</v>
      </c>
      <c r="P396" s="12">
        <v>0</v>
      </c>
      <c r="Q396" s="12">
        <v>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11">
        <v>0</v>
      </c>
      <c r="X396" s="11">
        <v>0</v>
      </c>
      <c r="Y396" s="11">
        <v>0</v>
      </c>
      <c r="Z396" s="11">
        <v>0</v>
      </c>
      <c r="AA396" s="11">
        <v>0</v>
      </c>
      <c r="AB396" s="12"/>
      <c r="AC396" s="11">
        <v>0</v>
      </c>
      <c r="AD396" s="11">
        <v>0</v>
      </c>
      <c r="AE396" s="11">
        <v>0</v>
      </c>
      <c r="AF396" s="11">
        <v>0</v>
      </c>
      <c r="AG396" s="11">
        <v>0</v>
      </c>
      <c r="AH396" s="11">
        <v>0</v>
      </c>
      <c r="AI396" s="11">
        <v>0</v>
      </c>
      <c r="AJ396" s="12">
        <v>0</v>
      </c>
      <c r="AK396" s="11">
        <v>0</v>
      </c>
      <c r="AL396" s="12">
        <v>0</v>
      </c>
      <c r="AM396" s="11">
        <v>0</v>
      </c>
      <c r="AN396" s="12">
        <v>0</v>
      </c>
      <c r="AO396" s="11">
        <v>0</v>
      </c>
      <c r="AP396" s="11">
        <v>0</v>
      </c>
      <c r="AQ396" s="11">
        <v>0</v>
      </c>
      <c r="AR396" s="11">
        <v>0</v>
      </c>
      <c r="AS396" s="12"/>
      <c r="AT396" s="11">
        <v>0</v>
      </c>
      <c r="AU396" s="11">
        <v>0</v>
      </c>
      <c r="AV396" s="11">
        <v>1532866873</v>
      </c>
      <c r="AW396" s="11">
        <v>0</v>
      </c>
      <c r="AX396" s="11">
        <v>0</v>
      </c>
      <c r="AY396" s="11">
        <v>0</v>
      </c>
      <c r="AZ396" s="11">
        <v>0</v>
      </c>
      <c r="BA396" s="11">
        <v>6102182909</v>
      </c>
      <c r="BB396" s="13">
        <v>0</v>
      </c>
      <c r="BC396" s="11">
        <v>6102182909</v>
      </c>
      <c r="BD396" s="11">
        <v>0</v>
      </c>
      <c r="BE396" s="11">
        <v>0</v>
      </c>
      <c r="BF396" s="11">
        <v>0</v>
      </c>
      <c r="BG396" s="11">
        <v>0</v>
      </c>
      <c r="BH396" s="11">
        <v>0</v>
      </c>
      <c r="BI396" s="11">
        <v>0</v>
      </c>
      <c r="BJ396" s="11">
        <v>0</v>
      </c>
      <c r="BK396" s="11">
        <v>0</v>
      </c>
      <c r="BL396" s="11">
        <v>0</v>
      </c>
      <c r="BM396" s="11">
        <v>0</v>
      </c>
    </row>
    <row r="397" spans="1:65" s="25" customFormat="1" x14ac:dyDescent="0.25">
      <c r="A397" s="14" t="s">
        <v>613</v>
      </c>
      <c r="B397" s="15"/>
      <c r="C397" s="15"/>
      <c r="D397" s="16">
        <v>12854984327296</v>
      </c>
      <c r="E397" s="16">
        <v>1902884910250</v>
      </c>
      <c r="F397" s="16">
        <v>50001000000</v>
      </c>
      <c r="G397" s="16">
        <v>55048404819</v>
      </c>
      <c r="H397" s="16">
        <v>14862918642365</v>
      </c>
      <c r="I397" s="16">
        <v>1176626281084</v>
      </c>
      <c r="J397" s="16">
        <v>13686292361281</v>
      </c>
      <c r="K397" s="16">
        <v>13117473081783</v>
      </c>
      <c r="L397" s="16">
        <v>1745445560582</v>
      </c>
      <c r="M397" s="17">
        <v>13.31</v>
      </c>
      <c r="N397" s="16">
        <v>17089542863289</v>
      </c>
      <c r="O397" s="17">
        <v>126.91</v>
      </c>
      <c r="P397" s="17">
        <v>124.87</v>
      </c>
      <c r="Q397" s="17">
        <v>4.12</v>
      </c>
      <c r="R397" s="16">
        <v>18151457932916</v>
      </c>
      <c r="S397" s="16">
        <v>711307995588</v>
      </c>
      <c r="T397" s="16">
        <v>187861566650</v>
      </c>
      <c r="U397" s="16">
        <v>297668091639</v>
      </c>
      <c r="V397" s="16">
        <v>225778337299</v>
      </c>
      <c r="W397" s="16">
        <v>18862765928504</v>
      </c>
      <c r="X397" s="16">
        <v>1341755413581</v>
      </c>
      <c r="Y397" s="16">
        <v>84947307647</v>
      </c>
      <c r="Z397" s="16">
        <v>20289468649732</v>
      </c>
      <c r="AA397" s="16">
        <v>14381535155402</v>
      </c>
      <c r="AB397" s="17">
        <v>31.16</v>
      </c>
      <c r="AC397" s="16">
        <v>12778797343020</v>
      </c>
      <c r="AD397" s="16">
        <v>12526305022049</v>
      </c>
      <c r="AE397" s="16">
        <v>3600810044923</v>
      </c>
      <c r="AF397" s="16">
        <v>854070408320</v>
      </c>
      <c r="AG397" s="16">
        <v>0</v>
      </c>
      <c r="AH397" s="16">
        <v>0</v>
      </c>
      <c r="AI397" s="16">
        <v>0</v>
      </c>
      <c r="AJ397" s="17">
        <v>46</v>
      </c>
      <c r="AK397" s="16">
        <v>9394330953894</v>
      </c>
      <c r="AL397" s="18">
        <v>1196</v>
      </c>
      <c r="AM397" s="16">
        <v>12652496030454</v>
      </c>
      <c r="AN397" s="18">
        <f>SUM(AN384:AN396)</f>
        <v>459</v>
      </c>
      <c r="AO397" s="16">
        <f>SUM(AO384:AO396)</f>
        <v>3815103138394</v>
      </c>
      <c r="AP397" s="16">
        <v>711307995588</v>
      </c>
      <c r="AQ397" s="16">
        <v>697292872304</v>
      </c>
      <c r="AR397" s="16">
        <v>14015123284</v>
      </c>
      <c r="AS397" s="17">
        <v>2.0099999999999998</v>
      </c>
      <c r="AT397" s="16">
        <v>9594912223069</v>
      </c>
      <c r="AU397" s="16">
        <v>1934225978825</v>
      </c>
      <c r="AV397" s="16">
        <v>2649456130853</v>
      </c>
      <c r="AW397" s="16">
        <v>3626399210157</v>
      </c>
      <c r="AX397" s="16">
        <v>3954649286286</v>
      </c>
      <c r="AY397" s="16">
        <v>2624479700000</v>
      </c>
      <c r="AZ397" s="16">
        <v>2713136498167</v>
      </c>
      <c r="BA397" s="16">
        <v>14862918642365</v>
      </c>
      <c r="BB397" s="18">
        <v>621500</v>
      </c>
      <c r="BC397" s="16">
        <v>8142716266140</v>
      </c>
      <c r="BD397" s="16">
        <v>4004650286286</v>
      </c>
      <c r="BE397" s="16">
        <v>2715552089939</v>
      </c>
      <c r="BF397" s="16">
        <v>7647598573842</v>
      </c>
      <c r="BG397" s="16">
        <v>5131198769178</v>
      </c>
      <c r="BH397" s="16">
        <v>715730189668</v>
      </c>
      <c r="BI397" s="16">
        <v>104069007470</v>
      </c>
      <c r="BJ397" s="16">
        <v>3846718284125</v>
      </c>
      <c r="BK397" s="16">
        <v>382500000000</v>
      </c>
      <c r="BL397" s="16">
        <v>9555721492</v>
      </c>
      <c r="BM397" s="16">
        <v>478162444556</v>
      </c>
    </row>
    <row r="398" spans="1:65" x14ac:dyDescent="0.25">
      <c r="A398" s="32" t="s">
        <v>448</v>
      </c>
      <c r="B398" s="10">
        <v>3700</v>
      </c>
      <c r="C398" s="10" t="s">
        <v>449</v>
      </c>
      <c r="D398" s="11">
        <v>4147395989406</v>
      </c>
      <c r="E398" s="11">
        <v>316304287709</v>
      </c>
      <c r="F398" s="11">
        <v>24249500000</v>
      </c>
      <c r="G398" s="11">
        <v>12200247396</v>
      </c>
      <c r="H398" s="11">
        <v>4500150024511</v>
      </c>
      <c r="I398" s="11">
        <v>359934657248</v>
      </c>
      <c r="J398" s="11">
        <v>4140215367263</v>
      </c>
      <c r="K398" s="11">
        <v>3306240468744</v>
      </c>
      <c r="L398" s="11">
        <v>1193909555767</v>
      </c>
      <c r="M398" s="12">
        <v>36.11</v>
      </c>
      <c r="N398" s="11">
        <v>4308116986164</v>
      </c>
      <c r="O398" s="12">
        <v>130.6</v>
      </c>
      <c r="P398" s="12">
        <v>104.06</v>
      </c>
      <c r="Q398" s="12">
        <v>1.53</v>
      </c>
      <c r="R398" s="11">
        <v>5784786551923</v>
      </c>
      <c r="S398" s="11">
        <v>92277812455</v>
      </c>
      <c r="T398" s="11">
        <v>44957880099</v>
      </c>
      <c r="U398" s="11">
        <v>19292607030</v>
      </c>
      <c r="V398" s="11">
        <v>28027325326</v>
      </c>
      <c r="W398" s="11">
        <v>5877064364378</v>
      </c>
      <c r="X398" s="11">
        <v>283662467911</v>
      </c>
      <c r="Y398" s="11">
        <v>30331712272</v>
      </c>
      <c r="Z398" s="11">
        <v>6191058544561</v>
      </c>
      <c r="AA398" s="11">
        <v>4769214043489</v>
      </c>
      <c r="AB398" s="12">
        <v>23.23</v>
      </c>
      <c r="AC398" s="11">
        <v>2328332334695</v>
      </c>
      <c r="AD398" s="11">
        <v>2173711171136</v>
      </c>
      <c r="AE398" s="11">
        <v>7806394708</v>
      </c>
      <c r="AF398" s="11">
        <v>0</v>
      </c>
      <c r="AG398" s="11">
        <v>0</v>
      </c>
      <c r="AH398" s="11">
        <v>0</v>
      </c>
      <c r="AI398" s="11">
        <v>0</v>
      </c>
      <c r="AJ398" s="12">
        <v>3</v>
      </c>
      <c r="AK398" s="11">
        <v>55662984950</v>
      </c>
      <c r="AL398" s="12">
        <v>320</v>
      </c>
      <c r="AM398" s="11">
        <v>1336176559128</v>
      </c>
      <c r="AN398" s="12">
        <v>198</v>
      </c>
      <c r="AO398" s="11">
        <v>769509534647</v>
      </c>
      <c r="AP398" s="11">
        <v>92277812455</v>
      </c>
      <c r="AQ398" s="11">
        <v>71781403212</v>
      </c>
      <c r="AR398" s="11">
        <v>20496409243</v>
      </c>
      <c r="AS398" s="12">
        <v>28.55</v>
      </c>
      <c r="AT398" s="11">
        <v>1894610050929</v>
      </c>
      <c r="AU398" s="11">
        <v>274081652818</v>
      </c>
      <c r="AV398" s="11">
        <v>368050709440</v>
      </c>
      <c r="AW398" s="11">
        <v>589925724226</v>
      </c>
      <c r="AX398" s="11">
        <v>819915955740</v>
      </c>
      <c r="AY398" s="11">
        <v>2369503600000</v>
      </c>
      <c r="AZ398" s="11">
        <v>399437222431</v>
      </c>
      <c r="BA398" s="11">
        <v>4500150024511</v>
      </c>
      <c r="BB398" s="13">
        <v>979687</v>
      </c>
      <c r="BC398" s="11">
        <v>1155507196979</v>
      </c>
      <c r="BD398" s="11">
        <v>844165455740</v>
      </c>
      <c r="BE398" s="11">
        <v>2500477371792</v>
      </c>
      <c r="BF398" s="11">
        <v>1495340809833</v>
      </c>
      <c r="BG398" s="11">
        <v>832991524862</v>
      </c>
      <c r="BH398" s="11">
        <v>0</v>
      </c>
      <c r="BI398" s="11">
        <v>0</v>
      </c>
      <c r="BJ398" s="11">
        <v>7806394708</v>
      </c>
      <c r="BK398" s="11">
        <v>0</v>
      </c>
      <c r="BL398" s="11">
        <v>21653831433</v>
      </c>
      <c r="BM398" s="11">
        <v>0</v>
      </c>
    </row>
    <row r="399" spans="1:65" x14ac:dyDescent="0.25">
      <c r="A399" s="32"/>
      <c r="B399" s="10">
        <v>3701</v>
      </c>
      <c r="C399" s="10" t="s">
        <v>450</v>
      </c>
      <c r="D399" s="11">
        <v>1559549788899</v>
      </c>
      <c r="E399" s="11">
        <v>60362458515</v>
      </c>
      <c r="F399" s="11">
        <v>0</v>
      </c>
      <c r="G399" s="11">
        <v>0</v>
      </c>
      <c r="H399" s="11">
        <v>1619912247414</v>
      </c>
      <c r="I399" s="11">
        <v>126138484903</v>
      </c>
      <c r="J399" s="11">
        <v>1493773762511</v>
      </c>
      <c r="K399" s="11">
        <v>1225575836210</v>
      </c>
      <c r="L399" s="11">
        <v>394336411204</v>
      </c>
      <c r="M399" s="12">
        <v>32.18</v>
      </c>
      <c r="N399" s="11">
        <v>1511198450035</v>
      </c>
      <c r="O399" s="12">
        <v>102.64</v>
      </c>
      <c r="P399" s="12">
        <v>101.17</v>
      </c>
      <c r="Q399" s="12">
        <v>1.67</v>
      </c>
      <c r="R399" s="11">
        <v>1632766883627</v>
      </c>
      <c r="S399" s="11">
        <v>29852160386</v>
      </c>
      <c r="T399" s="11">
        <v>24610270225</v>
      </c>
      <c r="U399" s="11">
        <v>3224113714</v>
      </c>
      <c r="V399" s="11">
        <v>2017776447</v>
      </c>
      <c r="W399" s="11">
        <v>1662619044013</v>
      </c>
      <c r="X399" s="11">
        <v>209156869756</v>
      </c>
      <c r="Y399" s="11">
        <v>22960530000</v>
      </c>
      <c r="Z399" s="11">
        <v>1894736443769</v>
      </c>
      <c r="AA399" s="11">
        <v>1524981459890</v>
      </c>
      <c r="AB399" s="12">
        <v>9.0299999999999994</v>
      </c>
      <c r="AC399" s="11">
        <v>571625591549</v>
      </c>
      <c r="AD399" s="11">
        <v>517055591549</v>
      </c>
      <c r="AE399" s="11">
        <v>0</v>
      </c>
      <c r="AF399" s="11">
        <v>9514394049</v>
      </c>
      <c r="AG399" s="11">
        <v>32598769753</v>
      </c>
      <c r="AH399" s="11">
        <v>0</v>
      </c>
      <c r="AI399" s="11">
        <v>0</v>
      </c>
      <c r="AJ399" s="12">
        <v>0</v>
      </c>
      <c r="AK399" s="11">
        <v>0</v>
      </c>
      <c r="AL399" s="12">
        <v>494</v>
      </c>
      <c r="AM399" s="11">
        <v>240627690000</v>
      </c>
      <c r="AN399" s="12">
        <v>6</v>
      </c>
      <c r="AO399" s="11">
        <v>8264400000</v>
      </c>
      <c r="AP399" s="11">
        <v>29852160386</v>
      </c>
      <c r="AQ399" s="11">
        <v>32370433859</v>
      </c>
      <c r="AR399" s="11">
        <v>-2518273473</v>
      </c>
      <c r="AS399" s="12">
        <v>-7.78</v>
      </c>
      <c r="AT399" s="11">
        <v>537985762448</v>
      </c>
      <c r="AU399" s="11">
        <v>215763687686</v>
      </c>
      <c r="AV399" s="11">
        <v>189868812383</v>
      </c>
      <c r="AW399" s="11">
        <v>205372046155</v>
      </c>
      <c r="AX399" s="11">
        <v>494319430361</v>
      </c>
      <c r="AY399" s="11">
        <v>669989500000</v>
      </c>
      <c r="AZ399" s="11">
        <v>398329574342</v>
      </c>
      <c r="BA399" s="11">
        <v>1619912247414</v>
      </c>
      <c r="BB399" s="13">
        <v>138485</v>
      </c>
      <c r="BC399" s="11">
        <v>455603317053</v>
      </c>
      <c r="BD399" s="11">
        <v>494319430361</v>
      </c>
      <c r="BE399" s="11">
        <v>669989500000</v>
      </c>
      <c r="BF399" s="11">
        <v>491226091549</v>
      </c>
      <c r="BG399" s="11">
        <v>80399500000</v>
      </c>
      <c r="BH399" s="11">
        <v>0</v>
      </c>
      <c r="BI399" s="11">
        <v>0</v>
      </c>
      <c r="BJ399" s="11">
        <v>0</v>
      </c>
      <c r="BK399" s="11">
        <v>0</v>
      </c>
      <c r="BL399" s="11">
        <v>1939653605</v>
      </c>
      <c r="BM399" s="11">
        <v>7276262673</v>
      </c>
    </row>
    <row r="400" spans="1:65" x14ac:dyDescent="0.25">
      <c r="A400" s="32"/>
      <c r="B400" s="10">
        <v>3702</v>
      </c>
      <c r="C400" s="10" t="s">
        <v>451</v>
      </c>
      <c r="D400" s="11">
        <v>1549249750769</v>
      </c>
      <c r="E400" s="11">
        <v>70334109269</v>
      </c>
      <c r="F400" s="11">
        <v>0</v>
      </c>
      <c r="G400" s="11">
        <v>0</v>
      </c>
      <c r="H400" s="11">
        <v>1619583860038</v>
      </c>
      <c r="I400" s="11">
        <v>131801816490</v>
      </c>
      <c r="J400" s="11">
        <v>1487782043548</v>
      </c>
      <c r="K400" s="11">
        <v>1306624589422</v>
      </c>
      <c r="L400" s="11">
        <v>312959270616</v>
      </c>
      <c r="M400" s="12">
        <v>23.95</v>
      </c>
      <c r="N400" s="11">
        <v>1621175708323</v>
      </c>
      <c r="O400" s="12">
        <v>111.83</v>
      </c>
      <c r="P400" s="12">
        <v>108.97</v>
      </c>
      <c r="Q400" s="12">
        <v>1.92</v>
      </c>
      <c r="R400" s="11">
        <v>1773806248428</v>
      </c>
      <c r="S400" s="11">
        <v>37394822275</v>
      </c>
      <c r="T400" s="11">
        <v>24224595174</v>
      </c>
      <c r="U400" s="11">
        <v>2773794425</v>
      </c>
      <c r="V400" s="11">
        <v>10396432676</v>
      </c>
      <c r="W400" s="11">
        <v>1811201070703</v>
      </c>
      <c r="X400" s="11">
        <v>145387698390</v>
      </c>
      <c r="Y400" s="11">
        <v>18300000000</v>
      </c>
      <c r="Z400" s="11">
        <v>1974888769093</v>
      </c>
      <c r="AA400" s="11">
        <v>1753797825133</v>
      </c>
      <c r="AB400" s="12">
        <v>3.27</v>
      </c>
      <c r="AC400" s="11">
        <v>564502034060</v>
      </c>
      <c r="AD400" s="11">
        <v>546872034060</v>
      </c>
      <c r="AE400" s="11">
        <v>0</v>
      </c>
      <c r="AF400" s="11">
        <v>14276070732</v>
      </c>
      <c r="AG400" s="11">
        <v>0</v>
      </c>
      <c r="AH400" s="11">
        <v>0</v>
      </c>
      <c r="AI400" s="11">
        <v>0</v>
      </c>
      <c r="AJ400" s="12">
        <v>0</v>
      </c>
      <c r="AK400" s="11">
        <v>0</v>
      </c>
      <c r="AL400" s="12">
        <v>211</v>
      </c>
      <c r="AM400" s="11">
        <v>308586765253</v>
      </c>
      <c r="AN400" s="12">
        <v>38</v>
      </c>
      <c r="AO400" s="11">
        <v>64545767242</v>
      </c>
      <c r="AP400" s="11">
        <v>37394822275</v>
      </c>
      <c r="AQ400" s="11">
        <v>20532713642</v>
      </c>
      <c r="AR400" s="11">
        <v>16862108633</v>
      </c>
      <c r="AS400" s="12">
        <v>82.12</v>
      </c>
      <c r="AT400" s="11">
        <v>631755440025</v>
      </c>
      <c r="AU400" s="11">
        <v>155927532956</v>
      </c>
      <c r="AV400" s="11">
        <v>163523322207</v>
      </c>
      <c r="AW400" s="11">
        <v>197618970774</v>
      </c>
      <c r="AX400" s="11">
        <v>511514457788</v>
      </c>
      <c r="AY400" s="11">
        <v>676593000000</v>
      </c>
      <c r="AZ400" s="11">
        <v>409258611880</v>
      </c>
      <c r="BA400" s="11">
        <v>1619583860038</v>
      </c>
      <c r="BB400" s="13">
        <v>60325</v>
      </c>
      <c r="BC400" s="11">
        <v>431476402250</v>
      </c>
      <c r="BD400" s="11">
        <v>511514457788</v>
      </c>
      <c r="BE400" s="11">
        <v>676593000000</v>
      </c>
      <c r="BF400" s="11">
        <v>435812724060</v>
      </c>
      <c r="BG400" s="11">
        <v>128689310000</v>
      </c>
      <c r="BH400" s="11">
        <v>0</v>
      </c>
      <c r="BI400" s="11">
        <v>0</v>
      </c>
      <c r="BJ400" s="11">
        <v>0</v>
      </c>
      <c r="BK400" s="11">
        <v>4815000000</v>
      </c>
      <c r="BL400" s="11">
        <v>10063607674</v>
      </c>
      <c r="BM400" s="11">
        <v>0</v>
      </c>
    </row>
    <row r="401" spans="1:65" x14ac:dyDescent="0.25">
      <c r="A401" s="32"/>
      <c r="B401" s="10">
        <v>3703</v>
      </c>
      <c r="C401" s="10" t="s">
        <v>452</v>
      </c>
      <c r="D401" s="11">
        <v>3370171385367</v>
      </c>
      <c r="E401" s="11">
        <v>125116850196</v>
      </c>
      <c r="F401" s="11">
        <v>0</v>
      </c>
      <c r="G401" s="11">
        <v>0</v>
      </c>
      <c r="H401" s="11">
        <v>3495288235563</v>
      </c>
      <c r="I401" s="11">
        <v>280824483986</v>
      </c>
      <c r="J401" s="11">
        <v>3214463751577</v>
      </c>
      <c r="K401" s="11">
        <v>2646344613112</v>
      </c>
      <c r="L401" s="11">
        <v>848943622451</v>
      </c>
      <c r="M401" s="12">
        <v>32.08</v>
      </c>
      <c r="N401" s="11">
        <v>2188321835012</v>
      </c>
      <c r="O401" s="12">
        <v>68.430000000000007</v>
      </c>
      <c r="P401" s="12">
        <v>68.08</v>
      </c>
      <c r="Q401" s="12">
        <v>0.83</v>
      </c>
      <c r="R401" s="11">
        <v>2369497789023</v>
      </c>
      <c r="S401" s="11">
        <v>22235172158</v>
      </c>
      <c r="T401" s="11">
        <v>22074637620</v>
      </c>
      <c r="U401" s="11">
        <v>94801828</v>
      </c>
      <c r="V401" s="11">
        <v>65732710</v>
      </c>
      <c r="W401" s="11">
        <v>2391732961181</v>
      </c>
      <c r="X401" s="11">
        <v>294133332748</v>
      </c>
      <c r="Y401" s="11">
        <v>35146538000</v>
      </c>
      <c r="Z401" s="11">
        <v>2721012831929</v>
      </c>
      <c r="AA401" s="11">
        <v>2110580467764</v>
      </c>
      <c r="AB401" s="12">
        <v>13.32</v>
      </c>
      <c r="AC401" s="11">
        <v>964849795314</v>
      </c>
      <c r="AD401" s="11">
        <v>958349795314</v>
      </c>
      <c r="AE401" s="11">
        <v>0</v>
      </c>
      <c r="AF401" s="11">
        <v>0</v>
      </c>
      <c r="AG401" s="11">
        <v>0</v>
      </c>
      <c r="AH401" s="11">
        <v>0</v>
      </c>
      <c r="AI401" s="11">
        <v>0</v>
      </c>
      <c r="AJ401" s="12">
        <v>0</v>
      </c>
      <c r="AK401" s="11">
        <v>0</v>
      </c>
      <c r="AL401" s="12">
        <v>201</v>
      </c>
      <c r="AM401" s="11">
        <v>773206544179</v>
      </c>
      <c r="AN401" s="12">
        <v>40</v>
      </c>
      <c r="AO401" s="11">
        <v>99904035321</v>
      </c>
      <c r="AP401" s="11">
        <v>22235172158</v>
      </c>
      <c r="AQ401" s="11">
        <v>22861277113</v>
      </c>
      <c r="AR401" s="11">
        <v>-626104955</v>
      </c>
      <c r="AS401" s="12">
        <v>-2.74</v>
      </c>
      <c r="AT401" s="11">
        <v>888580913532</v>
      </c>
      <c r="AU401" s="11">
        <v>159026750075</v>
      </c>
      <c r="AV401" s="11">
        <v>664303797783</v>
      </c>
      <c r="AW401" s="11">
        <v>179184806004</v>
      </c>
      <c r="AX401" s="11">
        <v>859724873524</v>
      </c>
      <c r="AY401" s="11">
        <v>1666957908056</v>
      </c>
      <c r="AZ401" s="11">
        <v>640759727959</v>
      </c>
      <c r="BA401" s="11">
        <v>3495288235563</v>
      </c>
      <c r="BB401" s="13">
        <v>129866</v>
      </c>
      <c r="BC401" s="11">
        <v>964484060742</v>
      </c>
      <c r="BD401" s="11">
        <v>854089073524</v>
      </c>
      <c r="BE401" s="11">
        <v>1676715101297</v>
      </c>
      <c r="BF401" s="11">
        <v>808564090279</v>
      </c>
      <c r="BG401" s="11">
        <v>156285705035</v>
      </c>
      <c r="BH401" s="11">
        <v>0</v>
      </c>
      <c r="BI401" s="11">
        <v>0</v>
      </c>
      <c r="BJ401" s="11">
        <v>0</v>
      </c>
      <c r="BK401" s="11">
        <v>0</v>
      </c>
      <c r="BL401" s="11">
        <v>0</v>
      </c>
      <c r="BM401" s="11">
        <v>0</v>
      </c>
    </row>
    <row r="402" spans="1:65" x14ac:dyDescent="0.25">
      <c r="A402" s="32"/>
      <c r="B402" s="10">
        <v>3704</v>
      </c>
      <c r="C402" s="10" t="s">
        <v>453</v>
      </c>
      <c r="D402" s="11">
        <v>1448111545894</v>
      </c>
      <c r="E402" s="11">
        <v>40423759806</v>
      </c>
      <c r="F402" s="11">
        <v>0</v>
      </c>
      <c r="G402" s="11">
        <v>0</v>
      </c>
      <c r="H402" s="11">
        <v>1488535305700</v>
      </c>
      <c r="I402" s="11">
        <v>118613188093</v>
      </c>
      <c r="J402" s="11">
        <v>1369922117607</v>
      </c>
      <c r="K402" s="11">
        <v>1262837500837</v>
      </c>
      <c r="L402" s="11">
        <v>225697804863</v>
      </c>
      <c r="M402" s="12">
        <v>17.87</v>
      </c>
      <c r="N402" s="11">
        <v>1265115276597</v>
      </c>
      <c r="O402" s="12">
        <v>93.62</v>
      </c>
      <c r="P402" s="12">
        <v>92.35</v>
      </c>
      <c r="Q402" s="12">
        <v>1.1100000000000001</v>
      </c>
      <c r="R402" s="11">
        <v>1376750113345</v>
      </c>
      <c r="S402" s="11">
        <v>16749730842</v>
      </c>
      <c r="T402" s="11">
        <v>16345934988</v>
      </c>
      <c r="U402" s="11">
        <v>281740854</v>
      </c>
      <c r="V402" s="11">
        <v>122055000</v>
      </c>
      <c r="W402" s="11">
        <v>1393499844187</v>
      </c>
      <c r="X402" s="11">
        <v>90832359834</v>
      </c>
      <c r="Y402" s="11">
        <v>19135929503</v>
      </c>
      <c r="Z402" s="11">
        <v>1503468133524</v>
      </c>
      <c r="AA402" s="11">
        <v>1238409052233</v>
      </c>
      <c r="AB402" s="12">
        <v>12.52</v>
      </c>
      <c r="AC402" s="11">
        <v>740448978879</v>
      </c>
      <c r="AD402" s="11">
        <v>677948978879</v>
      </c>
      <c r="AE402" s="11">
        <v>33915550592</v>
      </c>
      <c r="AF402" s="11">
        <v>0</v>
      </c>
      <c r="AG402" s="11">
        <v>0</v>
      </c>
      <c r="AH402" s="11">
        <v>0</v>
      </c>
      <c r="AI402" s="11">
        <v>0</v>
      </c>
      <c r="AJ402" s="12">
        <v>1</v>
      </c>
      <c r="AK402" s="11">
        <v>46600000000</v>
      </c>
      <c r="AL402" s="12">
        <v>134</v>
      </c>
      <c r="AM402" s="11">
        <v>186572883845</v>
      </c>
      <c r="AN402" s="12">
        <v>25</v>
      </c>
      <c r="AO402" s="11">
        <v>14887360000</v>
      </c>
      <c r="AP402" s="11">
        <v>16749730842</v>
      </c>
      <c r="AQ402" s="11">
        <v>12074717637</v>
      </c>
      <c r="AR402" s="11">
        <v>4675013205</v>
      </c>
      <c r="AS402" s="12">
        <v>38.72</v>
      </c>
      <c r="AT402" s="11">
        <v>662478471036</v>
      </c>
      <c r="AU402" s="11">
        <v>141218474970</v>
      </c>
      <c r="AV402" s="11">
        <v>184873879161</v>
      </c>
      <c r="AW402" s="11">
        <v>226170136500</v>
      </c>
      <c r="AX402" s="11">
        <v>393108530233</v>
      </c>
      <c r="AY402" s="11">
        <v>643959000000</v>
      </c>
      <c r="AZ402" s="11">
        <v>289030480805</v>
      </c>
      <c r="BA402" s="11">
        <v>1488535305700</v>
      </c>
      <c r="BB402" s="13">
        <v>238642</v>
      </c>
      <c r="BC402" s="11">
        <v>451467775467</v>
      </c>
      <c r="BD402" s="11">
        <v>393108530233</v>
      </c>
      <c r="BE402" s="11">
        <v>643959000000</v>
      </c>
      <c r="BF402" s="11">
        <v>585119348879</v>
      </c>
      <c r="BG402" s="11">
        <v>155329630000</v>
      </c>
      <c r="BH402" s="11">
        <v>0</v>
      </c>
      <c r="BI402" s="11">
        <v>0</v>
      </c>
      <c r="BJ402" s="11">
        <v>33915550592</v>
      </c>
      <c r="BK402" s="11">
        <v>0</v>
      </c>
      <c r="BL402" s="11">
        <v>0</v>
      </c>
      <c r="BM402" s="11">
        <v>0</v>
      </c>
    </row>
    <row r="403" spans="1:65" x14ac:dyDescent="0.25">
      <c r="A403" s="32"/>
      <c r="B403" s="10">
        <v>3705</v>
      </c>
      <c r="C403" s="10" t="s">
        <v>454</v>
      </c>
      <c r="D403" s="11">
        <v>1518685555816</v>
      </c>
      <c r="E403" s="11">
        <v>30256960376</v>
      </c>
      <c r="F403" s="11">
        <v>0</v>
      </c>
      <c r="G403" s="11">
        <v>0</v>
      </c>
      <c r="H403" s="11">
        <v>1548942516192</v>
      </c>
      <c r="I403" s="11">
        <v>130156261173</v>
      </c>
      <c r="J403" s="11">
        <v>1418786255019</v>
      </c>
      <c r="K403" s="11">
        <v>876857192555</v>
      </c>
      <c r="L403" s="11">
        <v>672085323637</v>
      </c>
      <c r="M403" s="12">
        <v>76.650000000000006</v>
      </c>
      <c r="N403" s="11">
        <v>1278079042411</v>
      </c>
      <c r="O403" s="12">
        <v>89.33</v>
      </c>
      <c r="P403" s="12">
        <v>90.08</v>
      </c>
      <c r="Q403" s="12">
        <v>2.0299999999999998</v>
      </c>
      <c r="R403" s="11">
        <v>1352328463548</v>
      </c>
      <c r="S403" s="11">
        <v>31347185800</v>
      </c>
      <c r="T403" s="11">
        <v>28593148095</v>
      </c>
      <c r="U403" s="11">
        <v>2661758670</v>
      </c>
      <c r="V403" s="11">
        <v>92279035</v>
      </c>
      <c r="W403" s="11">
        <v>1383675649348</v>
      </c>
      <c r="X403" s="11">
        <v>140366570375</v>
      </c>
      <c r="Y403" s="11">
        <v>18393390000</v>
      </c>
      <c r="Z403" s="11">
        <v>1542435609723</v>
      </c>
      <c r="AA403" s="11">
        <v>1438887236890</v>
      </c>
      <c r="AB403" s="12">
        <v>-3.84</v>
      </c>
      <c r="AC403" s="11">
        <v>612501004139</v>
      </c>
      <c r="AD403" s="11">
        <v>595826004139</v>
      </c>
      <c r="AE403" s="11">
        <v>0</v>
      </c>
      <c r="AF403" s="11">
        <v>13365000000</v>
      </c>
      <c r="AG403" s="11">
        <v>0</v>
      </c>
      <c r="AH403" s="11">
        <v>0</v>
      </c>
      <c r="AI403" s="11">
        <v>0</v>
      </c>
      <c r="AJ403" s="12">
        <v>0</v>
      </c>
      <c r="AK403" s="11">
        <v>0</v>
      </c>
      <c r="AL403" s="12">
        <v>44</v>
      </c>
      <c r="AM403" s="11">
        <v>221966079980</v>
      </c>
      <c r="AN403" s="12">
        <v>14</v>
      </c>
      <c r="AO403" s="11">
        <v>91427967000</v>
      </c>
      <c r="AP403" s="11">
        <v>31347185800</v>
      </c>
      <c r="AQ403" s="11">
        <v>39473561500</v>
      </c>
      <c r="AR403" s="11">
        <v>-8126375700</v>
      </c>
      <c r="AS403" s="12">
        <v>-20.59</v>
      </c>
      <c r="AT403" s="11">
        <v>782829550243</v>
      </c>
      <c r="AU403" s="11">
        <v>239621821855</v>
      </c>
      <c r="AV403" s="11">
        <v>224871138037</v>
      </c>
      <c r="AW403" s="11">
        <v>63128981752</v>
      </c>
      <c r="AX403" s="11">
        <v>278755936027</v>
      </c>
      <c r="AY403" s="11">
        <v>951929500000</v>
      </c>
      <c r="AZ403" s="11">
        <v>177691756385</v>
      </c>
      <c r="BA403" s="11">
        <v>1548942516192</v>
      </c>
      <c r="BB403" s="13">
        <v>85466</v>
      </c>
      <c r="BC403" s="11">
        <v>318257080165</v>
      </c>
      <c r="BD403" s="11">
        <v>278755936027</v>
      </c>
      <c r="BE403" s="11">
        <v>951929500000</v>
      </c>
      <c r="BF403" s="11">
        <v>416096004139</v>
      </c>
      <c r="BG403" s="11">
        <v>196405000000</v>
      </c>
      <c r="BH403" s="11">
        <v>0</v>
      </c>
      <c r="BI403" s="11">
        <v>0</v>
      </c>
      <c r="BJ403" s="11">
        <v>0</v>
      </c>
      <c r="BK403" s="11">
        <v>0</v>
      </c>
      <c r="BL403" s="11">
        <v>0</v>
      </c>
      <c r="BM403" s="11">
        <v>13659632188</v>
      </c>
    </row>
    <row r="404" spans="1:65" x14ac:dyDescent="0.25">
      <c r="A404" s="32"/>
      <c r="B404" s="10">
        <v>3706</v>
      </c>
      <c r="C404" s="10" t="s">
        <v>455</v>
      </c>
      <c r="D404" s="11">
        <v>1608175177315</v>
      </c>
      <c r="E404" s="11">
        <v>16914190040</v>
      </c>
      <c r="F404" s="11">
        <v>0</v>
      </c>
      <c r="G404" s="11">
        <v>0</v>
      </c>
      <c r="H404" s="11">
        <v>1625089367355</v>
      </c>
      <c r="I404" s="11">
        <v>134017438534</v>
      </c>
      <c r="J404" s="11">
        <v>1491071928821</v>
      </c>
      <c r="K404" s="11">
        <v>1421370590296</v>
      </c>
      <c r="L404" s="11">
        <v>203718777059</v>
      </c>
      <c r="M404" s="12">
        <v>14.33</v>
      </c>
      <c r="N404" s="11">
        <v>1278728524968</v>
      </c>
      <c r="O404" s="12">
        <v>84.78</v>
      </c>
      <c r="P404" s="12">
        <v>85.76</v>
      </c>
      <c r="Q404" s="12">
        <v>1.96</v>
      </c>
      <c r="R404" s="11">
        <v>1349120492162</v>
      </c>
      <c r="S404" s="11">
        <v>28584196977</v>
      </c>
      <c r="T404" s="11">
        <v>22844405641</v>
      </c>
      <c r="U404" s="11">
        <v>5312323249</v>
      </c>
      <c r="V404" s="11">
        <v>427468087</v>
      </c>
      <c r="W404" s="11">
        <v>1377704689139</v>
      </c>
      <c r="X404" s="11">
        <v>78590645859</v>
      </c>
      <c r="Y404" s="11">
        <v>10509851610</v>
      </c>
      <c r="Z404" s="11">
        <v>1466805186608</v>
      </c>
      <c r="AA404" s="11">
        <v>1214354911444</v>
      </c>
      <c r="AB404" s="12">
        <v>13.45</v>
      </c>
      <c r="AC404" s="11">
        <v>750334669107</v>
      </c>
      <c r="AD404" s="11">
        <v>732612615026</v>
      </c>
      <c r="AE404" s="11">
        <v>98435036725</v>
      </c>
      <c r="AF404" s="11">
        <v>7571909</v>
      </c>
      <c r="AG404" s="11">
        <v>0</v>
      </c>
      <c r="AH404" s="11">
        <v>0</v>
      </c>
      <c r="AI404" s="11">
        <v>0</v>
      </c>
      <c r="AJ404" s="12">
        <v>1</v>
      </c>
      <c r="AK404" s="11">
        <v>11167024000</v>
      </c>
      <c r="AL404" s="12">
        <v>61</v>
      </c>
      <c r="AM404" s="11">
        <v>122055919315</v>
      </c>
      <c r="AN404" s="12">
        <v>12</v>
      </c>
      <c r="AO404" s="11">
        <v>10112636573</v>
      </c>
      <c r="AP404" s="11">
        <v>28584196977</v>
      </c>
      <c r="AQ404" s="11">
        <v>31577062905</v>
      </c>
      <c r="AR404" s="11">
        <v>-2992865928</v>
      </c>
      <c r="AS404" s="12">
        <v>-9.48</v>
      </c>
      <c r="AT404" s="11">
        <v>668664350493</v>
      </c>
      <c r="AU404" s="11">
        <v>144786296391</v>
      </c>
      <c r="AV404" s="11">
        <v>228286534629</v>
      </c>
      <c r="AW404" s="11">
        <v>99657404303</v>
      </c>
      <c r="AX404" s="11">
        <v>557295038383</v>
      </c>
      <c r="AY404" s="11">
        <v>722936200000</v>
      </c>
      <c r="AZ404" s="11">
        <v>421298709107</v>
      </c>
      <c r="BA404" s="11">
        <v>1625089367355</v>
      </c>
      <c r="BB404" s="13">
        <v>16131</v>
      </c>
      <c r="BC404" s="11">
        <v>344858128972</v>
      </c>
      <c r="BD404" s="11">
        <v>557295038383</v>
      </c>
      <c r="BE404" s="11">
        <v>722936200000</v>
      </c>
      <c r="BF404" s="11">
        <v>686287969867</v>
      </c>
      <c r="BG404" s="11">
        <v>64046699240</v>
      </c>
      <c r="BH404" s="11">
        <v>0</v>
      </c>
      <c r="BI404" s="11">
        <v>0</v>
      </c>
      <c r="BJ404" s="11">
        <v>100157105237</v>
      </c>
      <c r="BK404" s="11">
        <v>0</v>
      </c>
      <c r="BL404" s="11">
        <v>0</v>
      </c>
      <c r="BM404" s="11">
        <v>7739113</v>
      </c>
    </row>
    <row r="405" spans="1:65" x14ac:dyDescent="0.25">
      <c r="A405" s="32"/>
      <c r="B405" s="10">
        <v>3707</v>
      </c>
      <c r="C405" s="10" t="s">
        <v>456</v>
      </c>
      <c r="D405" s="11">
        <v>1837040406867</v>
      </c>
      <c r="E405" s="11">
        <v>32146137566</v>
      </c>
      <c r="F405" s="11">
        <v>0</v>
      </c>
      <c r="G405" s="11">
        <v>0</v>
      </c>
      <c r="H405" s="11">
        <v>1869186544433</v>
      </c>
      <c r="I405" s="11">
        <v>156500596325</v>
      </c>
      <c r="J405" s="11">
        <v>1712685948108</v>
      </c>
      <c r="K405" s="11">
        <v>1467995470535</v>
      </c>
      <c r="L405" s="11">
        <v>401191073898</v>
      </c>
      <c r="M405" s="12">
        <v>27.33</v>
      </c>
      <c r="N405" s="11">
        <v>1660540298718</v>
      </c>
      <c r="O405" s="12">
        <v>96.55</v>
      </c>
      <c r="P405" s="12">
        <v>96.96</v>
      </c>
      <c r="Q405" s="12">
        <v>2.15</v>
      </c>
      <c r="R405" s="11">
        <v>1763168031680</v>
      </c>
      <c r="S405" s="11">
        <v>41508919009</v>
      </c>
      <c r="T405" s="11">
        <v>34996499176</v>
      </c>
      <c r="U405" s="11">
        <v>4263546395</v>
      </c>
      <c r="V405" s="11">
        <v>2248873438</v>
      </c>
      <c r="W405" s="11">
        <v>1804676950689</v>
      </c>
      <c r="X405" s="11">
        <v>128883492076</v>
      </c>
      <c r="Y405" s="11">
        <v>27674393879</v>
      </c>
      <c r="Z405" s="11">
        <v>1961234836644</v>
      </c>
      <c r="AA405" s="11">
        <v>1640662189529</v>
      </c>
      <c r="AB405" s="12">
        <v>10</v>
      </c>
      <c r="AC405" s="11">
        <v>864685593553</v>
      </c>
      <c r="AD405" s="11">
        <v>837615593553</v>
      </c>
      <c r="AE405" s="11">
        <v>0</v>
      </c>
      <c r="AF405" s="11">
        <v>87525000</v>
      </c>
      <c r="AG405" s="11">
        <v>705000000</v>
      </c>
      <c r="AH405" s="11">
        <v>0</v>
      </c>
      <c r="AI405" s="11">
        <v>0</v>
      </c>
      <c r="AJ405" s="12">
        <v>0</v>
      </c>
      <c r="AK405" s="11">
        <v>0</v>
      </c>
      <c r="AL405" s="12">
        <v>59</v>
      </c>
      <c r="AM405" s="11">
        <v>196458543387</v>
      </c>
      <c r="AN405" s="12">
        <v>38</v>
      </c>
      <c r="AO405" s="11">
        <v>114721349372</v>
      </c>
      <c r="AP405" s="11">
        <v>41508919009</v>
      </c>
      <c r="AQ405" s="11">
        <v>61910128162</v>
      </c>
      <c r="AR405" s="11">
        <v>-20401209153</v>
      </c>
      <c r="AS405" s="12">
        <v>-32.950000000000003</v>
      </c>
      <c r="AT405" s="11">
        <v>815048662015</v>
      </c>
      <c r="AU405" s="11">
        <v>274034027032</v>
      </c>
      <c r="AV405" s="11">
        <v>455094310031</v>
      </c>
      <c r="AW405" s="11">
        <v>226931470250</v>
      </c>
      <c r="AX405" s="11">
        <v>385927126586</v>
      </c>
      <c r="AY405" s="11">
        <v>769087500000</v>
      </c>
      <c r="AZ405" s="11">
        <v>201425107396</v>
      </c>
      <c r="BA405" s="11">
        <v>1869186544433</v>
      </c>
      <c r="BB405" s="13">
        <v>117759</v>
      </c>
      <c r="BC405" s="11">
        <v>714171917847</v>
      </c>
      <c r="BD405" s="11">
        <v>385927126586</v>
      </c>
      <c r="BE405" s="11">
        <v>769087500000</v>
      </c>
      <c r="BF405" s="11">
        <v>503118406253</v>
      </c>
      <c r="BG405" s="11">
        <v>361567187300</v>
      </c>
      <c r="BH405" s="11">
        <v>0</v>
      </c>
      <c r="BI405" s="11">
        <v>0</v>
      </c>
      <c r="BJ405" s="11">
        <v>0</v>
      </c>
      <c r="BK405" s="11">
        <v>0</v>
      </c>
      <c r="BL405" s="11">
        <v>0</v>
      </c>
      <c r="BM405" s="11">
        <v>87525000</v>
      </c>
    </row>
    <row r="406" spans="1:65" x14ac:dyDescent="0.25">
      <c r="A406" s="32"/>
      <c r="B406" s="10">
        <v>3708</v>
      </c>
      <c r="C406" s="10" t="s">
        <v>457</v>
      </c>
      <c r="D406" s="11">
        <v>1778822756858</v>
      </c>
      <c r="E406" s="11">
        <v>41484875976</v>
      </c>
      <c r="F406" s="11">
        <v>0</v>
      </c>
      <c r="G406" s="11">
        <v>0</v>
      </c>
      <c r="H406" s="11">
        <v>1820307632834</v>
      </c>
      <c r="I406" s="11">
        <v>161197449313</v>
      </c>
      <c r="J406" s="11">
        <v>1659110183521</v>
      </c>
      <c r="K406" s="11">
        <v>1362634752989</v>
      </c>
      <c r="L406" s="11">
        <v>457672879845</v>
      </c>
      <c r="M406" s="12">
        <v>33.590000000000003</v>
      </c>
      <c r="N406" s="11">
        <v>1169794631332</v>
      </c>
      <c r="O406" s="12">
        <v>73.7</v>
      </c>
      <c r="P406" s="12">
        <v>70.510000000000005</v>
      </c>
      <c r="Q406" s="12">
        <v>1.98</v>
      </c>
      <c r="R406" s="11">
        <v>1314298848932</v>
      </c>
      <c r="S406" s="11">
        <v>27301294454</v>
      </c>
      <c r="T406" s="11">
        <v>15186049991</v>
      </c>
      <c r="U406" s="11">
        <v>2242142393</v>
      </c>
      <c r="V406" s="11">
        <v>9873102070</v>
      </c>
      <c r="W406" s="11">
        <v>1341600143386</v>
      </c>
      <c r="X406" s="11">
        <v>86469393803</v>
      </c>
      <c r="Y406" s="11">
        <v>11585074475</v>
      </c>
      <c r="Z406" s="11">
        <v>1439654611664</v>
      </c>
      <c r="AA406" s="11">
        <v>1079525482390</v>
      </c>
      <c r="AB406" s="12">
        <v>24.28</v>
      </c>
      <c r="AC406" s="11">
        <v>597691700448</v>
      </c>
      <c r="AD406" s="11">
        <v>558751700448</v>
      </c>
      <c r="AE406" s="11">
        <v>4000000000</v>
      </c>
      <c r="AF406" s="11">
        <v>3884760000</v>
      </c>
      <c r="AG406" s="11">
        <v>0</v>
      </c>
      <c r="AH406" s="11">
        <v>0</v>
      </c>
      <c r="AI406" s="11">
        <v>0</v>
      </c>
      <c r="AJ406" s="12">
        <v>6</v>
      </c>
      <c r="AK406" s="11">
        <v>116124200000</v>
      </c>
      <c r="AL406" s="12">
        <v>66</v>
      </c>
      <c r="AM406" s="11">
        <v>179715565204</v>
      </c>
      <c r="AN406" s="12">
        <v>40</v>
      </c>
      <c r="AO406" s="11">
        <v>73661959159</v>
      </c>
      <c r="AP406" s="11">
        <v>27301294454</v>
      </c>
      <c r="AQ406" s="11">
        <v>18548834930</v>
      </c>
      <c r="AR406" s="11">
        <v>8752459524</v>
      </c>
      <c r="AS406" s="12">
        <v>47.19</v>
      </c>
      <c r="AT406" s="11">
        <v>413751647581</v>
      </c>
      <c r="AU406" s="11">
        <v>96440355597</v>
      </c>
      <c r="AV406" s="11">
        <v>382618637364</v>
      </c>
      <c r="AW406" s="11">
        <v>132461950026</v>
      </c>
      <c r="AX406" s="11">
        <v>786552669468</v>
      </c>
      <c r="AY406" s="11">
        <v>477189500000</v>
      </c>
      <c r="AZ406" s="11">
        <v>205969902526</v>
      </c>
      <c r="BA406" s="11">
        <v>1820307632834</v>
      </c>
      <c r="BB406" s="13">
        <v>81769</v>
      </c>
      <c r="BC406" s="11">
        <v>556565463366</v>
      </c>
      <c r="BD406" s="11">
        <v>786552669468</v>
      </c>
      <c r="BE406" s="11">
        <v>477189500000</v>
      </c>
      <c r="BF406" s="11">
        <v>456922988384</v>
      </c>
      <c r="BG406" s="11">
        <v>140768712064</v>
      </c>
      <c r="BH406" s="11">
        <v>0</v>
      </c>
      <c r="BI406" s="11">
        <v>0</v>
      </c>
      <c r="BJ406" s="11">
        <v>4000000000</v>
      </c>
      <c r="BK406" s="11">
        <v>0</v>
      </c>
      <c r="BL406" s="11">
        <v>7209341409</v>
      </c>
      <c r="BM406" s="11">
        <v>0</v>
      </c>
    </row>
    <row r="407" spans="1:65" x14ac:dyDescent="0.25">
      <c r="A407" s="32"/>
      <c r="B407" s="10">
        <v>3709</v>
      </c>
      <c r="C407" s="10" t="s">
        <v>458</v>
      </c>
      <c r="D407" s="11">
        <v>1396153023097</v>
      </c>
      <c r="E407" s="11">
        <v>28538536958</v>
      </c>
      <c r="F407" s="11">
        <v>0</v>
      </c>
      <c r="G407" s="11">
        <v>0</v>
      </c>
      <c r="H407" s="11">
        <v>1424691560055</v>
      </c>
      <c r="I407" s="11">
        <v>112785402039</v>
      </c>
      <c r="J407" s="11">
        <v>1311906158016</v>
      </c>
      <c r="K407" s="11">
        <v>1222059710046</v>
      </c>
      <c r="L407" s="11">
        <v>202631850009</v>
      </c>
      <c r="M407" s="12">
        <v>16.579999999999998</v>
      </c>
      <c r="N407" s="11">
        <v>1146389623333</v>
      </c>
      <c r="O407" s="12">
        <v>88.81</v>
      </c>
      <c r="P407" s="12">
        <v>87.38</v>
      </c>
      <c r="Q407" s="12">
        <v>0.56999999999999995</v>
      </c>
      <c r="R407" s="11">
        <v>1257632913898</v>
      </c>
      <c r="S407" s="11">
        <v>7607123804</v>
      </c>
      <c r="T407" s="11">
        <v>2850140008</v>
      </c>
      <c r="U407" s="11">
        <v>2404733831</v>
      </c>
      <c r="V407" s="11">
        <v>2352249965</v>
      </c>
      <c r="W407" s="11">
        <v>1265240037702</v>
      </c>
      <c r="X407" s="11">
        <v>64179528554</v>
      </c>
      <c r="Y407" s="11">
        <v>10542632000</v>
      </c>
      <c r="Z407" s="11">
        <v>1339962198256</v>
      </c>
      <c r="AA407" s="11">
        <v>994287316103</v>
      </c>
      <c r="AB407" s="12">
        <v>27.25</v>
      </c>
      <c r="AC407" s="11">
        <v>633767816867</v>
      </c>
      <c r="AD407" s="11">
        <v>602380801390</v>
      </c>
      <c r="AE407" s="11">
        <v>17138748294</v>
      </c>
      <c r="AF407" s="11">
        <v>167031986</v>
      </c>
      <c r="AG407" s="11">
        <v>0</v>
      </c>
      <c r="AH407" s="11">
        <v>0</v>
      </c>
      <c r="AI407" s="11">
        <v>0</v>
      </c>
      <c r="AJ407" s="12">
        <v>2</v>
      </c>
      <c r="AK407" s="11">
        <v>21423435370</v>
      </c>
      <c r="AL407" s="12">
        <v>85</v>
      </c>
      <c r="AM407" s="11">
        <v>232574150000</v>
      </c>
      <c r="AN407" s="12">
        <v>3</v>
      </c>
      <c r="AO407" s="11">
        <v>93690000000</v>
      </c>
      <c r="AP407" s="11">
        <v>7607123804</v>
      </c>
      <c r="AQ407" s="11">
        <v>5461090393</v>
      </c>
      <c r="AR407" s="11">
        <v>2146033411</v>
      </c>
      <c r="AS407" s="12">
        <v>39.299999999999997</v>
      </c>
      <c r="AT407" s="11">
        <v>466537650089</v>
      </c>
      <c r="AU407" s="11">
        <v>47049810993</v>
      </c>
      <c r="AV407" s="11">
        <v>220701105454</v>
      </c>
      <c r="AW407" s="11">
        <v>106145074577</v>
      </c>
      <c r="AX407" s="11">
        <v>328751843066</v>
      </c>
      <c r="AY407" s="11">
        <v>740555000000</v>
      </c>
      <c r="AZ407" s="11">
        <v>313195473129</v>
      </c>
      <c r="BA407" s="11">
        <v>1424691560055</v>
      </c>
      <c r="BB407" s="13">
        <v>1937</v>
      </c>
      <c r="BC407" s="11">
        <v>355384716989</v>
      </c>
      <c r="BD407" s="11">
        <v>328451843066</v>
      </c>
      <c r="BE407" s="11">
        <v>740855000000</v>
      </c>
      <c r="BF407" s="11">
        <v>488288766726</v>
      </c>
      <c r="BG407" s="11">
        <v>145479050141</v>
      </c>
      <c r="BH407" s="11">
        <v>0</v>
      </c>
      <c r="BI407" s="11">
        <v>0</v>
      </c>
      <c r="BJ407" s="11">
        <v>17138748294</v>
      </c>
      <c r="BK407" s="11">
        <v>0</v>
      </c>
      <c r="BL407" s="11">
        <v>0</v>
      </c>
      <c r="BM407" s="11">
        <v>167173848</v>
      </c>
    </row>
    <row r="408" spans="1:65" x14ac:dyDescent="0.25">
      <c r="A408" s="32"/>
      <c r="B408" s="10">
        <v>3710</v>
      </c>
      <c r="C408" s="10" t="s">
        <v>459</v>
      </c>
      <c r="D408" s="11">
        <v>1377994456823</v>
      </c>
      <c r="E408" s="11">
        <v>6744544615</v>
      </c>
      <c r="F408" s="11">
        <v>0</v>
      </c>
      <c r="G408" s="11">
        <v>0</v>
      </c>
      <c r="H408" s="11">
        <v>1384739001438</v>
      </c>
      <c r="I408" s="11">
        <v>125110677186</v>
      </c>
      <c r="J408" s="11">
        <v>1259628324252</v>
      </c>
      <c r="K408" s="11">
        <v>873564988450</v>
      </c>
      <c r="L408" s="11">
        <v>511174012988</v>
      </c>
      <c r="M408" s="12">
        <v>58.52</v>
      </c>
      <c r="N408" s="11">
        <v>735243818265</v>
      </c>
      <c r="O408" s="12">
        <v>58.35</v>
      </c>
      <c r="P408" s="12">
        <v>58.37</v>
      </c>
      <c r="Q408" s="12">
        <v>0.11</v>
      </c>
      <c r="R408" s="11">
        <v>806967701476</v>
      </c>
      <c r="S408" s="11">
        <v>962658377</v>
      </c>
      <c r="T408" s="11">
        <v>962658377</v>
      </c>
      <c r="U408" s="11">
        <v>0</v>
      </c>
      <c r="V408" s="11">
        <v>0</v>
      </c>
      <c r="W408" s="11">
        <v>807930359853</v>
      </c>
      <c r="X408" s="11">
        <v>64339707060</v>
      </c>
      <c r="Y408" s="11">
        <v>11404000000</v>
      </c>
      <c r="Z408" s="11">
        <v>883674066913</v>
      </c>
      <c r="AA408" s="11">
        <v>671996980375</v>
      </c>
      <c r="AB408" s="12">
        <v>20.23</v>
      </c>
      <c r="AC408" s="11">
        <v>392954722613</v>
      </c>
      <c r="AD408" s="11">
        <v>384954722613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2">
        <v>0</v>
      </c>
      <c r="AK408" s="11">
        <v>0</v>
      </c>
      <c r="AL408" s="12">
        <v>33</v>
      </c>
      <c r="AM408" s="11">
        <v>29810674061</v>
      </c>
      <c r="AN408" s="12">
        <v>3</v>
      </c>
      <c r="AO408" s="11">
        <v>1543000000</v>
      </c>
      <c r="AP408" s="11">
        <v>962658377</v>
      </c>
      <c r="AQ408" s="11">
        <v>1033759244</v>
      </c>
      <c r="AR408" s="11">
        <v>-71100867</v>
      </c>
      <c r="AS408" s="12">
        <v>-6.88</v>
      </c>
      <c r="AT408" s="11">
        <v>332320984546</v>
      </c>
      <c r="AU408" s="11">
        <v>55426254817</v>
      </c>
      <c r="AV408" s="11">
        <v>29913909386</v>
      </c>
      <c r="AW408" s="11">
        <v>84650841424</v>
      </c>
      <c r="AX408" s="11">
        <v>254731706013</v>
      </c>
      <c r="AY408" s="11">
        <v>1008698000000</v>
      </c>
      <c r="AZ408" s="11">
        <v>235904511884</v>
      </c>
      <c r="BA408" s="11">
        <v>1384739001438</v>
      </c>
      <c r="BB408" s="13">
        <v>1002</v>
      </c>
      <c r="BC408" s="11">
        <v>121309295425</v>
      </c>
      <c r="BD408" s="11">
        <v>254731706013</v>
      </c>
      <c r="BE408" s="11">
        <v>1008698000000</v>
      </c>
      <c r="BF408" s="11">
        <v>353871041165</v>
      </c>
      <c r="BG408" s="11">
        <v>39083681448</v>
      </c>
      <c r="BH408" s="11">
        <v>0</v>
      </c>
      <c r="BI408" s="11">
        <v>0</v>
      </c>
      <c r="BJ408" s="11">
        <v>0</v>
      </c>
      <c r="BK408" s="11">
        <v>0</v>
      </c>
      <c r="BL408" s="11">
        <v>0</v>
      </c>
      <c r="BM408" s="11">
        <v>0</v>
      </c>
    </row>
    <row r="409" spans="1:65" x14ac:dyDescent="0.25">
      <c r="A409" s="32"/>
      <c r="B409" s="10">
        <v>3711</v>
      </c>
      <c r="C409" s="10" t="s">
        <v>460</v>
      </c>
      <c r="D409" s="11">
        <v>1028234414979</v>
      </c>
      <c r="E409" s="11">
        <v>3212451931</v>
      </c>
      <c r="F409" s="11">
        <v>0</v>
      </c>
      <c r="G409" s="11">
        <v>0</v>
      </c>
      <c r="H409" s="11">
        <v>1031446866910</v>
      </c>
      <c r="I409" s="11">
        <v>81892758658</v>
      </c>
      <c r="J409" s="11">
        <v>949554108252</v>
      </c>
      <c r="K409" s="11">
        <v>869351008776</v>
      </c>
      <c r="L409" s="11">
        <v>162095858134</v>
      </c>
      <c r="M409" s="12">
        <v>18.649999999999999</v>
      </c>
      <c r="N409" s="11">
        <v>561430963832</v>
      </c>
      <c r="O409" s="12">
        <v>59.62</v>
      </c>
      <c r="P409" s="12">
        <v>59.13</v>
      </c>
      <c r="Q409" s="12">
        <v>0.53</v>
      </c>
      <c r="R409" s="11">
        <v>611471022150</v>
      </c>
      <c r="S409" s="11">
        <v>3488505180</v>
      </c>
      <c r="T409" s="11">
        <v>3254088398</v>
      </c>
      <c r="U409" s="11">
        <v>234416782</v>
      </c>
      <c r="V409" s="11">
        <v>0</v>
      </c>
      <c r="W409" s="11">
        <v>614959527330</v>
      </c>
      <c r="X409" s="11">
        <v>35662216671</v>
      </c>
      <c r="Y409" s="11">
        <v>7394400000</v>
      </c>
      <c r="Z409" s="11">
        <v>658016144001</v>
      </c>
      <c r="AA409" s="11">
        <v>508704147602</v>
      </c>
      <c r="AB409" s="12">
        <v>20.89</v>
      </c>
      <c r="AC409" s="11">
        <v>284473265686</v>
      </c>
      <c r="AD409" s="11">
        <v>284473265686</v>
      </c>
      <c r="AE409" s="11">
        <v>0</v>
      </c>
      <c r="AF409" s="11">
        <v>0</v>
      </c>
      <c r="AG409" s="11">
        <v>0</v>
      </c>
      <c r="AH409" s="11">
        <v>0</v>
      </c>
      <c r="AI409" s="11">
        <v>0</v>
      </c>
      <c r="AJ409" s="12">
        <v>0</v>
      </c>
      <c r="AK409" s="11">
        <v>0</v>
      </c>
      <c r="AL409" s="12">
        <v>23</v>
      </c>
      <c r="AM409" s="11">
        <v>33776684536</v>
      </c>
      <c r="AN409" s="12">
        <v>3</v>
      </c>
      <c r="AO409" s="11">
        <v>989200000</v>
      </c>
      <c r="AP409" s="11">
        <v>3488505180</v>
      </c>
      <c r="AQ409" s="11">
        <v>4109251712</v>
      </c>
      <c r="AR409" s="11">
        <v>-620746532</v>
      </c>
      <c r="AS409" s="12">
        <v>-15.11</v>
      </c>
      <c r="AT409" s="11">
        <v>235391032542</v>
      </c>
      <c r="AU409" s="11">
        <v>31320902866</v>
      </c>
      <c r="AV409" s="11">
        <v>28280960475</v>
      </c>
      <c r="AW409" s="11">
        <v>81903250961</v>
      </c>
      <c r="AX409" s="11">
        <v>175175203543</v>
      </c>
      <c r="AY409" s="11">
        <v>742875000000</v>
      </c>
      <c r="AZ409" s="11">
        <v>160427265692</v>
      </c>
      <c r="BA409" s="11">
        <v>1031446866910</v>
      </c>
      <c r="BB409" s="13">
        <v>3366</v>
      </c>
      <c r="BC409" s="11">
        <v>113396663367</v>
      </c>
      <c r="BD409" s="11">
        <v>175175203543</v>
      </c>
      <c r="BE409" s="11">
        <v>742875000000</v>
      </c>
      <c r="BF409" s="11">
        <v>232815894562</v>
      </c>
      <c r="BG409" s="11">
        <v>51657371124</v>
      </c>
      <c r="BH409" s="11">
        <v>0</v>
      </c>
      <c r="BI409" s="11">
        <v>0</v>
      </c>
      <c r="BJ409" s="11">
        <v>0</v>
      </c>
      <c r="BK409" s="11">
        <v>0</v>
      </c>
      <c r="BL409" s="11">
        <v>0</v>
      </c>
      <c r="BM409" s="11">
        <v>0</v>
      </c>
    </row>
    <row r="410" spans="1:65" s="24" customFormat="1" x14ac:dyDescent="0.25">
      <c r="A410" s="32"/>
      <c r="B410" s="20">
        <v>3712</v>
      </c>
      <c r="C410" s="20" t="s">
        <v>461</v>
      </c>
      <c r="D410" s="21">
        <v>388326387153</v>
      </c>
      <c r="E410" s="21">
        <v>4182613036</v>
      </c>
      <c r="F410" s="21">
        <v>0</v>
      </c>
      <c r="G410" s="21">
        <v>0</v>
      </c>
      <c r="H410" s="21">
        <v>392509000189</v>
      </c>
      <c r="I410" s="21">
        <v>34022975686</v>
      </c>
      <c r="J410" s="21">
        <v>358486024503</v>
      </c>
      <c r="K410" s="21">
        <v>290575618451</v>
      </c>
      <c r="L410" s="21">
        <v>101933381738</v>
      </c>
      <c r="M410" s="22">
        <v>35.08</v>
      </c>
      <c r="N410" s="21">
        <v>193146157124</v>
      </c>
      <c r="O410" s="22">
        <v>56.98</v>
      </c>
      <c r="P410" s="22">
        <v>53.88</v>
      </c>
      <c r="Q410" s="22">
        <v>0.2</v>
      </c>
      <c r="R410" s="21">
        <v>223126175619</v>
      </c>
      <c r="S410" s="21">
        <v>513014332</v>
      </c>
      <c r="T410" s="21">
        <v>513014332</v>
      </c>
      <c r="U410" s="21">
        <v>0</v>
      </c>
      <c r="V410" s="21">
        <v>0</v>
      </c>
      <c r="W410" s="21">
        <v>223639189951</v>
      </c>
      <c r="X410" s="21">
        <v>19948837483</v>
      </c>
      <c r="Y410" s="21">
        <v>9707940000</v>
      </c>
      <c r="Z410" s="21">
        <v>253295967434</v>
      </c>
      <c r="AA410" s="21">
        <v>50908980567</v>
      </c>
      <c r="AB410" s="22">
        <v>339.29</v>
      </c>
      <c r="AC410" s="21">
        <v>176969081873</v>
      </c>
      <c r="AD410" s="21">
        <v>176969081873</v>
      </c>
      <c r="AE410" s="21">
        <v>0</v>
      </c>
      <c r="AF410" s="21">
        <v>0</v>
      </c>
      <c r="AG410" s="21">
        <v>0</v>
      </c>
      <c r="AH410" s="21">
        <v>0</v>
      </c>
      <c r="AI410" s="21">
        <v>0</v>
      </c>
      <c r="AJ410" s="22">
        <v>0</v>
      </c>
      <c r="AK410" s="21">
        <v>0</v>
      </c>
      <c r="AL410" s="23">
        <v>26</v>
      </c>
      <c r="AM410" s="21">
        <v>43225000000</v>
      </c>
      <c r="AN410" s="12">
        <v>5</v>
      </c>
      <c r="AO410" s="11">
        <v>3305000000</v>
      </c>
      <c r="AP410" s="21">
        <v>513014332</v>
      </c>
      <c r="AQ410" s="21">
        <v>0</v>
      </c>
      <c r="AR410" s="21">
        <v>513014332</v>
      </c>
      <c r="AS410" s="22"/>
      <c r="AT410" s="21">
        <v>38553099527</v>
      </c>
      <c r="AU410" s="21">
        <v>2295217107</v>
      </c>
      <c r="AV410" s="21">
        <v>14656291700</v>
      </c>
      <c r="AW410" s="21">
        <v>32323371341</v>
      </c>
      <c r="AX410" s="21">
        <v>102715407826</v>
      </c>
      <c r="AY410" s="21">
        <v>238631316286</v>
      </c>
      <c r="AZ410" s="21">
        <v>101787420644</v>
      </c>
      <c r="BA410" s="21">
        <v>392509000189</v>
      </c>
      <c r="BB410" s="23">
        <v>0</v>
      </c>
      <c r="BC410" s="21">
        <v>51162276077</v>
      </c>
      <c r="BD410" s="21">
        <v>102715407826</v>
      </c>
      <c r="BE410" s="21">
        <v>238631316286</v>
      </c>
      <c r="BF410" s="21">
        <v>140045321873</v>
      </c>
      <c r="BG410" s="21">
        <v>36923760000</v>
      </c>
      <c r="BH410" s="21">
        <v>0</v>
      </c>
      <c r="BI410" s="21">
        <v>0</v>
      </c>
      <c r="BJ410" s="21">
        <v>0</v>
      </c>
      <c r="BK410" s="21">
        <v>0</v>
      </c>
      <c r="BL410" s="21">
        <v>0</v>
      </c>
      <c r="BM410" s="21">
        <v>0</v>
      </c>
    </row>
    <row r="411" spans="1:65" x14ac:dyDescent="0.25">
      <c r="A411" s="32"/>
      <c r="B411" s="10">
        <v>3799</v>
      </c>
      <c r="C411" s="10" t="s">
        <v>462</v>
      </c>
      <c r="D411" s="11">
        <v>0</v>
      </c>
      <c r="E411" s="11">
        <v>4310456654</v>
      </c>
      <c r="F411" s="11">
        <v>0</v>
      </c>
      <c r="G411" s="11">
        <v>0</v>
      </c>
      <c r="H411" s="11">
        <v>4310456654</v>
      </c>
      <c r="I411" s="11">
        <v>352902570</v>
      </c>
      <c r="J411" s="11">
        <v>3957554084</v>
      </c>
      <c r="K411" s="11">
        <v>4261140304</v>
      </c>
      <c r="L411" s="11">
        <v>49316350</v>
      </c>
      <c r="M411" s="12">
        <v>1.1599999999999999</v>
      </c>
      <c r="N411" s="11">
        <v>0</v>
      </c>
      <c r="O411" s="12">
        <v>0</v>
      </c>
      <c r="P411" s="12">
        <v>0</v>
      </c>
      <c r="Q411" s="12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2"/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2">
        <v>0</v>
      </c>
      <c r="AK411" s="11">
        <v>0</v>
      </c>
      <c r="AL411" s="12">
        <v>0</v>
      </c>
      <c r="AM411" s="11">
        <v>0</v>
      </c>
      <c r="AN411" s="12">
        <v>0</v>
      </c>
      <c r="AO411" s="11">
        <v>0</v>
      </c>
      <c r="AP411" s="11">
        <v>0</v>
      </c>
      <c r="AQ411" s="11">
        <v>0</v>
      </c>
      <c r="AR411" s="11">
        <v>0</v>
      </c>
      <c r="AS411" s="12"/>
      <c r="AT411" s="11">
        <v>0</v>
      </c>
      <c r="AU411" s="11">
        <v>0</v>
      </c>
      <c r="AV411" s="11">
        <v>0</v>
      </c>
      <c r="AW411" s="11">
        <v>0</v>
      </c>
      <c r="AX411" s="11">
        <v>0</v>
      </c>
      <c r="AY411" s="11">
        <v>0</v>
      </c>
      <c r="AZ411" s="11">
        <v>0</v>
      </c>
      <c r="BA411" s="11">
        <v>4310456654</v>
      </c>
      <c r="BB411" s="13">
        <v>0</v>
      </c>
      <c r="BC411" s="11">
        <v>4310456654</v>
      </c>
      <c r="BD411" s="11">
        <v>0</v>
      </c>
      <c r="BE411" s="11">
        <v>0</v>
      </c>
      <c r="BF411" s="11">
        <v>0</v>
      </c>
      <c r="BG411" s="11">
        <v>0</v>
      </c>
      <c r="BH411" s="11">
        <v>0</v>
      </c>
      <c r="BI411" s="11">
        <v>0</v>
      </c>
      <c r="BJ411" s="11">
        <v>0</v>
      </c>
      <c r="BK411" s="11">
        <v>0</v>
      </c>
      <c r="BL411" s="11">
        <v>0</v>
      </c>
      <c r="BM411" s="11">
        <v>0</v>
      </c>
    </row>
    <row r="412" spans="1:65" s="25" customFormat="1" x14ac:dyDescent="0.25">
      <c r="A412" s="14" t="s">
        <v>614</v>
      </c>
      <c r="B412" s="15"/>
      <c r="C412" s="15"/>
      <c r="D412" s="16">
        <v>23007910639243</v>
      </c>
      <c r="E412" s="16">
        <v>780332232647</v>
      </c>
      <c r="F412" s="16">
        <v>24249500000</v>
      </c>
      <c r="G412" s="16">
        <v>12200247396</v>
      </c>
      <c r="H412" s="16">
        <v>23824692619286</v>
      </c>
      <c r="I412" s="16">
        <v>1953349092204</v>
      </c>
      <c r="J412" s="16">
        <v>21871343527082</v>
      </c>
      <c r="K412" s="16">
        <v>18136293480727</v>
      </c>
      <c r="L412" s="16">
        <v>5688399138559</v>
      </c>
      <c r="M412" s="17">
        <v>31.36</v>
      </c>
      <c r="N412" s="16">
        <v>18917281316114</v>
      </c>
      <c r="O412" s="17">
        <v>92.15</v>
      </c>
      <c r="P412" s="17">
        <v>86.49</v>
      </c>
      <c r="Q412" s="17">
        <v>1.45</v>
      </c>
      <c r="R412" s="16">
        <v>21615721235811</v>
      </c>
      <c r="S412" s="16">
        <v>339822596049</v>
      </c>
      <c r="T412" s="16">
        <v>241413322124</v>
      </c>
      <c r="U412" s="16">
        <v>42785979171</v>
      </c>
      <c r="V412" s="16">
        <v>55623294754</v>
      </c>
      <c r="W412" s="16">
        <v>21955543831860</v>
      </c>
      <c r="X412" s="16">
        <v>1641613120520</v>
      </c>
      <c r="Y412" s="16">
        <v>233086391739</v>
      </c>
      <c r="Z412" s="16">
        <v>23830243344119</v>
      </c>
      <c r="AA412" s="16">
        <v>18996310093409</v>
      </c>
      <c r="AB412" s="17">
        <v>15.58</v>
      </c>
      <c r="AC412" s="16">
        <v>9483136588783</v>
      </c>
      <c r="AD412" s="16">
        <v>9047521355666</v>
      </c>
      <c r="AE412" s="16">
        <v>161295730319</v>
      </c>
      <c r="AF412" s="16">
        <v>41302353676</v>
      </c>
      <c r="AG412" s="16">
        <v>33303769753</v>
      </c>
      <c r="AH412" s="16">
        <v>0</v>
      </c>
      <c r="AI412" s="16">
        <v>0</v>
      </c>
      <c r="AJ412" s="17">
        <v>13</v>
      </c>
      <c r="AK412" s="16">
        <v>250977644320</v>
      </c>
      <c r="AL412" s="18">
        <v>1757</v>
      </c>
      <c r="AM412" s="16">
        <v>3904753058888</v>
      </c>
      <c r="AN412" s="18">
        <f>SUM(AN398:AN411)</f>
        <v>425</v>
      </c>
      <c r="AO412" s="16">
        <f>SUM(AO398:AO411)</f>
        <v>1346562209314</v>
      </c>
      <c r="AP412" s="16">
        <v>339822596049</v>
      </c>
      <c r="AQ412" s="16">
        <v>321734234309</v>
      </c>
      <c r="AR412" s="16">
        <v>18088361740</v>
      </c>
      <c r="AS412" s="17">
        <v>5.62</v>
      </c>
      <c r="AT412" s="16">
        <v>8368507615006</v>
      </c>
      <c r="AU412" s="16">
        <v>1836992785163</v>
      </c>
      <c r="AV412" s="16">
        <v>3155043408050</v>
      </c>
      <c r="AW412" s="16">
        <v>2225474028293</v>
      </c>
      <c r="AX412" s="16">
        <v>5948488178558</v>
      </c>
      <c r="AY412" s="16">
        <v>11678905024342</v>
      </c>
      <c r="AZ412" s="16">
        <v>3954515764180</v>
      </c>
      <c r="BA412" s="16">
        <v>23824692619286</v>
      </c>
      <c r="BB412" s="18">
        <v>1854435</v>
      </c>
      <c r="BC412" s="16">
        <v>6037954751353</v>
      </c>
      <c r="BD412" s="16">
        <v>5966801878558</v>
      </c>
      <c r="BE412" s="16">
        <v>11819935989375</v>
      </c>
      <c r="BF412" s="16">
        <v>7093509457569</v>
      </c>
      <c r="BG412" s="16">
        <v>2389627131214</v>
      </c>
      <c r="BH412" s="16">
        <v>0</v>
      </c>
      <c r="BI412" s="16">
        <v>0</v>
      </c>
      <c r="BJ412" s="16">
        <v>163017798831</v>
      </c>
      <c r="BK412" s="16">
        <v>4815000000</v>
      </c>
      <c r="BL412" s="16">
        <v>40866434121</v>
      </c>
      <c r="BM412" s="16">
        <v>21198332822</v>
      </c>
    </row>
    <row r="413" spans="1:65" x14ac:dyDescent="0.25">
      <c r="A413" s="32" t="s">
        <v>463</v>
      </c>
      <c r="B413" s="10">
        <v>3800</v>
      </c>
      <c r="C413" s="10" t="s">
        <v>463</v>
      </c>
      <c r="D413" s="11">
        <v>1915107389523</v>
      </c>
      <c r="E413" s="11">
        <v>356262584045</v>
      </c>
      <c r="F413" s="11">
        <v>90340000000</v>
      </c>
      <c r="G413" s="11">
        <v>993190400</v>
      </c>
      <c r="H413" s="11">
        <v>2362703163968</v>
      </c>
      <c r="I413" s="11">
        <v>181556562153</v>
      </c>
      <c r="J413" s="11">
        <v>2181146601815</v>
      </c>
      <c r="K413" s="11">
        <v>2484053577322</v>
      </c>
      <c r="L413" s="11">
        <v>-121350413354</v>
      </c>
      <c r="M413" s="12">
        <v>-4.8899999999999997</v>
      </c>
      <c r="N413" s="11">
        <v>8858626852958</v>
      </c>
      <c r="O413" s="12">
        <v>410.32</v>
      </c>
      <c r="P413" s="12">
        <v>406.15</v>
      </c>
      <c r="Q413" s="12">
        <v>2.0499999999999998</v>
      </c>
      <c r="R413" s="11">
        <v>9503244243417</v>
      </c>
      <c r="S413" s="11">
        <v>191383434258</v>
      </c>
      <c r="T413" s="11">
        <v>132457493483</v>
      </c>
      <c r="U413" s="11">
        <v>12194319174</v>
      </c>
      <c r="V413" s="11">
        <v>46731621601</v>
      </c>
      <c r="W413" s="11">
        <v>9694627677675</v>
      </c>
      <c r="X413" s="11">
        <v>1420091335109</v>
      </c>
      <c r="Y413" s="11">
        <v>21000769917</v>
      </c>
      <c r="Z413" s="11">
        <v>11135719782701</v>
      </c>
      <c r="AA413" s="11">
        <v>7555691732531</v>
      </c>
      <c r="AB413" s="12">
        <v>28.31</v>
      </c>
      <c r="AC413" s="11">
        <v>5215351214103</v>
      </c>
      <c r="AD413" s="11">
        <v>4346691214103</v>
      </c>
      <c r="AE413" s="11">
        <v>1967548832418</v>
      </c>
      <c r="AF413" s="11">
        <v>103150644</v>
      </c>
      <c r="AG413" s="11">
        <v>0</v>
      </c>
      <c r="AH413" s="11">
        <v>0</v>
      </c>
      <c r="AI413" s="11">
        <v>0</v>
      </c>
      <c r="AJ413" s="12">
        <v>18</v>
      </c>
      <c r="AK413" s="11">
        <v>2742071390000</v>
      </c>
      <c r="AL413" s="12">
        <v>42</v>
      </c>
      <c r="AM413" s="11">
        <v>4706286949422</v>
      </c>
      <c r="AN413" s="12">
        <v>24</v>
      </c>
      <c r="AO413" s="11">
        <v>166892208800</v>
      </c>
      <c r="AP413" s="11">
        <v>191383434258</v>
      </c>
      <c r="AQ413" s="11">
        <v>108110369728</v>
      </c>
      <c r="AR413" s="11">
        <v>83273064530</v>
      </c>
      <c r="AS413" s="12">
        <v>77.03</v>
      </c>
      <c r="AT413" s="11">
        <v>4813135577488</v>
      </c>
      <c r="AU413" s="11">
        <v>442438799858</v>
      </c>
      <c r="AV413" s="11">
        <v>508053832835</v>
      </c>
      <c r="AW413" s="11">
        <v>331457204310</v>
      </c>
      <c r="AX413" s="11">
        <v>458304971278</v>
      </c>
      <c r="AY413" s="11">
        <v>565636700000</v>
      </c>
      <c r="AZ413" s="11">
        <v>235561347029</v>
      </c>
      <c r="BA413" s="11">
        <v>2362703163968</v>
      </c>
      <c r="BB413" s="13">
        <v>137601</v>
      </c>
      <c r="BC413" s="11">
        <v>1147209602886</v>
      </c>
      <c r="BD413" s="11">
        <v>548644971278</v>
      </c>
      <c r="BE413" s="11">
        <v>666848589804</v>
      </c>
      <c r="BF413" s="11">
        <v>5198611214103</v>
      </c>
      <c r="BG413" s="11">
        <v>16740000000</v>
      </c>
      <c r="BH413" s="11">
        <v>199833849788</v>
      </c>
      <c r="BI413" s="11">
        <v>0</v>
      </c>
      <c r="BJ413" s="11">
        <v>2775383577437</v>
      </c>
      <c r="BK413" s="11">
        <v>31229144</v>
      </c>
      <c r="BL413" s="11">
        <v>0</v>
      </c>
      <c r="BM413" s="11">
        <v>15844479279</v>
      </c>
    </row>
    <row r="414" spans="1:65" x14ac:dyDescent="0.25">
      <c r="A414" s="32"/>
      <c r="B414" s="10">
        <v>3801</v>
      </c>
      <c r="C414" s="10" t="s">
        <v>464</v>
      </c>
      <c r="D414" s="11">
        <v>464118717370</v>
      </c>
      <c r="E414" s="11">
        <v>12440551689</v>
      </c>
      <c r="F414" s="11">
        <v>0</v>
      </c>
      <c r="G414" s="11">
        <v>0</v>
      </c>
      <c r="H414" s="11">
        <v>476559269059</v>
      </c>
      <c r="I414" s="11">
        <v>48536367529</v>
      </c>
      <c r="J414" s="11">
        <v>428022901530</v>
      </c>
      <c r="K414" s="11">
        <v>602944870855</v>
      </c>
      <c r="L414" s="11">
        <v>-126385601796</v>
      </c>
      <c r="M414" s="12">
        <v>-20.96</v>
      </c>
      <c r="N414" s="11">
        <v>1703196470422</v>
      </c>
      <c r="O414" s="12">
        <v>386.31</v>
      </c>
      <c r="P414" s="12">
        <v>397.92</v>
      </c>
      <c r="Q414" s="12">
        <v>3.01</v>
      </c>
      <c r="R414" s="11">
        <v>1782684637846</v>
      </c>
      <c r="S414" s="11">
        <v>58331286299</v>
      </c>
      <c r="T414" s="11">
        <v>29504336959</v>
      </c>
      <c r="U414" s="11">
        <v>28826949340</v>
      </c>
      <c r="V414" s="11">
        <v>0</v>
      </c>
      <c r="W414" s="11">
        <v>1841015924145</v>
      </c>
      <c r="X414" s="11">
        <v>91878853572</v>
      </c>
      <c r="Y414" s="11">
        <v>13292640000</v>
      </c>
      <c r="Z414" s="11">
        <v>1946187417717</v>
      </c>
      <c r="AA414" s="11">
        <v>1129701566099</v>
      </c>
      <c r="AB414" s="12">
        <v>62.96</v>
      </c>
      <c r="AC414" s="11">
        <v>1314961787049</v>
      </c>
      <c r="AD414" s="11">
        <v>1261228592531</v>
      </c>
      <c r="AE414" s="11">
        <v>603000000000</v>
      </c>
      <c r="AF414" s="11">
        <v>0</v>
      </c>
      <c r="AG414" s="11">
        <v>0</v>
      </c>
      <c r="AH414" s="11">
        <v>0</v>
      </c>
      <c r="AI414" s="11">
        <v>0</v>
      </c>
      <c r="AJ414" s="12">
        <v>4</v>
      </c>
      <c r="AK414" s="11">
        <v>670000000000</v>
      </c>
      <c r="AL414" s="12">
        <v>4</v>
      </c>
      <c r="AM414" s="11">
        <v>34896000000</v>
      </c>
      <c r="AN414" s="12">
        <v>5</v>
      </c>
      <c r="AO414" s="11">
        <v>25288599600</v>
      </c>
      <c r="AP414" s="11">
        <v>58331286299</v>
      </c>
      <c r="AQ414" s="11">
        <v>32834658552</v>
      </c>
      <c r="AR414" s="11">
        <v>25496627747</v>
      </c>
      <c r="AS414" s="12">
        <v>77.650000000000006</v>
      </c>
      <c r="AT414" s="11">
        <v>700376994231</v>
      </c>
      <c r="AU414" s="11">
        <v>147848240458</v>
      </c>
      <c r="AV414" s="11">
        <v>155289802462</v>
      </c>
      <c r="AW414" s="11">
        <v>68874710768</v>
      </c>
      <c r="AX414" s="11">
        <v>218446204140</v>
      </c>
      <c r="AY414" s="11">
        <v>21508000000</v>
      </c>
      <c r="AZ414" s="11">
        <v>170229167916</v>
      </c>
      <c r="BA414" s="11">
        <v>476559269059</v>
      </c>
      <c r="BB414" s="13">
        <v>170676</v>
      </c>
      <c r="BC414" s="11">
        <v>236605064919</v>
      </c>
      <c r="BD414" s="11">
        <v>218446204140</v>
      </c>
      <c r="BE414" s="11">
        <v>21508000000</v>
      </c>
      <c r="BF414" s="11">
        <v>1274961787049</v>
      </c>
      <c r="BG414" s="11">
        <v>40000000000</v>
      </c>
      <c r="BH414" s="11">
        <v>395000000000</v>
      </c>
      <c r="BI414" s="11">
        <v>0</v>
      </c>
      <c r="BJ414" s="11">
        <v>217237095889</v>
      </c>
      <c r="BK414" s="11">
        <v>0</v>
      </c>
      <c r="BL414" s="11">
        <v>0</v>
      </c>
      <c r="BM414" s="11">
        <v>0</v>
      </c>
    </row>
    <row r="415" spans="1:65" x14ac:dyDescent="0.25">
      <c r="A415" s="32"/>
      <c r="B415" s="10">
        <v>3802</v>
      </c>
      <c r="C415" s="10" t="s">
        <v>465</v>
      </c>
      <c r="D415" s="11">
        <v>564682957775</v>
      </c>
      <c r="E415" s="11">
        <v>11994346785</v>
      </c>
      <c r="F415" s="11">
        <v>0</v>
      </c>
      <c r="G415" s="11">
        <v>0</v>
      </c>
      <c r="H415" s="11">
        <v>576677304560</v>
      </c>
      <c r="I415" s="11">
        <v>46183843214</v>
      </c>
      <c r="J415" s="11">
        <v>530493461346</v>
      </c>
      <c r="K415" s="11">
        <v>649477175271</v>
      </c>
      <c r="L415" s="11">
        <v>-72799870711</v>
      </c>
      <c r="M415" s="12">
        <v>-11.21</v>
      </c>
      <c r="N415" s="11">
        <v>1330839730082</v>
      </c>
      <c r="O415" s="12">
        <v>253.35</v>
      </c>
      <c r="P415" s="12">
        <v>250.87</v>
      </c>
      <c r="Q415" s="12">
        <v>4.66</v>
      </c>
      <c r="R415" s="11">
        <v>1389100460096</v>
      </c>
      <c r="S415" s="11">
        <v>71925263389</v>
      </c>
      <c r="T415" s="11">
        <v>70059708329</v>
      </c>
      <c r="U415" s="11">
        <v>1865555060</v>
      </c>
      <c r="V415" s="11">
        <v>0</v>
      </c>
      <c r="W415" s="11">
        <v>1461025723485</v>
      </c>
      <c r="X415" s="11">
        <v>70607663995</v>
      </c>
      <c r="Y415" s="11">
        <v>13593666000</v>
      </c>
      <c r="Z415" s="11">
        <v>1545227053480</v>
      </c>
      <c r="AA415" s="11">
        <v>1511171475332</v>
      </c>
      <c r="AB415" s="12">
        <v>-3.32</v>
      </c>
      <c r="AC415" s="11">
        <v>1020232430623</v>
      </c>
      <c r="AD415" s="11">
        <v>946918297748</v>
      </c>
      <c r="AE415" s="11">
        <v>100918297752</v>
      </c>
      <c r="AF415" s="11">
        <v>0</v>
      </c>
      <c r="AG415" s="11">
        <v>0</v>
      </c>
      <c r="AH415" s="11">
        <v>0</v>
      </c>
      <c r="AI415" s="11">
        <v>0</v>
      </c>
      <c r="AJ415" s="12">
        <v>1</v>
      </c>
      <c r="AK415" s="11">
        <v>112131441946</v>
      </c>
      <c r="AL415" s="12">
        <v>8</v>
      </c>
      <c r="AM415" s="11">
        <v>22320244948</v>
      </c>
      <c r="AN415" s="12">
        <v>29</v>
      </c>
      <c r="AO415" s="11">
        <v>100021842360</v>
      </c>
      <c r="AP415" s="11">
        <v>71925263389</v>
      </c>
      <c r="AQ415" s="11">
        <v>13517210902</v>
      </c>
      <c r="AR415" s="11">
        <v>58408052487</v>
      </c>
      <c r="AS415" s="12">
        <v>432.1</v>
      </c>
      <c r="AT415" s="11">
        <v>1150970392945</v>
      </c>
      <c r="AU415" s="11">
        <v>654298224624</v>
      </c>
      <c r="AV415" s="11">
        <v>120825216200</v>
      </c>
      <c r="AW415" s="11">
        <v>113764510416</v>
      </c>
      <c r="AX415" s="11">
        <v>127012431159</v>
      </c>
      <c r="AY415" s="11">
        <v>203080800000</v>
      </c>
      <c r="AZ415" s="11">
        <v>80368815464</v>
      </c>
      <c r="BA415" s="11">
        <v>576677304560</v>
      </c>
      <c r="BB415" s="13">
        <v>59555</v>
      </c>
      <c r="BC415" s="11">
        <v>246584073401</v>
      </c>
      <c r="BD415" s="11">
        <v>127012431159</v>
      </c>
      <c r="BE415" s="11">
        <v>203080800000</v>
      </c>
      <c r="BF415" s="11">
        <v>793832430623</v>
      </c>
      <c r="BG415" s="11">
        <v>226400000000</v>
      </c>
      <c r="BH415" s="11">
        <v>0</v>
      </c>
      <c r="BI415" s="11">
        <v>0</v>
      </c>
      <c r="BJ415" s="11">
        <v>250217843466</v>
      </c>
      <c r="BK415" s="11">
        <v>0</v>
      </c>
      <c r="BL415" s="11">
        <v>0</v>
      </c>
      <c r="BM415" s="11">
        <v>0</v>
      </c>
    </row>
    <row r="416" spans="1:65" x14ac:dyDescent="0.25">
      <c r="A416" s="32"/>
      <c r="B416" s="10">
        <v>3803</v>
      </c>
      <c r="C416" s="10" t="s">
        <v>466</v>
      </c>
      <c r="D416" s="11">
        <v>976691043139</v>
      </c>
      <c r="E416" s="11">
        <v>46233491471</v>
      </c>
      <c r="F416" s="11">
        <v>0</v>
      </c>
      <c r="G416" s="11">
        <v>0</v>
      </c>
      <c r="H416" s="11">
        <v>1022924534610</v>
      </c>
      <c r="I416" s="11">
        <v>81976679923</v>
      </c>
      <c r="J416" s="11">
        <v>940947854687</v>
      </c>
      <c r="K416" s="11">
        <v>785275693682</v>
      </c>
      <c r="L416" s="11">
        <v>237648840928</v>
      </c>
      <c r="M416" s="12">
        <v>30.26</v>
      </c>
      <c r="N416" s="11">
        <v>1778217346452</v>
      </c>
      <c r="O416" s="12">
        <v>195.74</v>
      </c>
      <c r="P416" s="12">
        <v>188.98</v>
      </c>
      <c r="Q416" s="12">
        <v>0.77</v>
      </c>
      <c r="R416" s="11">
        <v>1986189642650</v>
      </c>
      <c r="S416" s="11">
        <v>16038365217</v>
      </c>
      <c r="T416" s="11">
        <v>16038365217</v>
      </c>
      <c r="U416" s="11">
        <v>0</v>
      </c>
      <c r="V416" s="11">
        <v>0</v>
      </c>
      <c r="W416" s="11">
        <v>2002228007867</v>
      </c>
      <c r="X416" s="11">
        <v>97347813869</v>
      </c>
      <c r="Y416" s="11">
        <v>24360000000</v>
      </c>
      <c r="Z416" s="11">
        <v>2123935821736</v>
      </c>
      <c r="AA416" s="11">
        <v>1550309545493</v>
      </c>
      <c r="AB416" s="12">
        <v>29.15</v>
      </c>
      <c r="AC416" s="11">
        <v>1016122472124</v>
      </c>
      <c r="AD416" s="11">
        <v>896692472124</v>
      </c>
      <c r="AE416" s="11">
        <v>107620074164</v>
      </c>
      <c r="AF416" s="11">
        <v>0</v>
      </c>
      <c r="AG416" s="11">
        <v>0</v>
      </c>
      <c r="AH416" s="11">
        <v>0</v>
      </c>
      <c r="AI416" s="11">
        <v>0</v>
      </c>
      <c r="AJ416" s="12">
        <v>12</v>
      </c>
      <c r="AK416" s="11">
        <v>227501684124</v>
      </c>
      <c r="AL416" s="12">
        <v>2</v>
      </c>
      <c r="AM416" s="11">
        <v>1164000000</v>
      </c>
      <c r="AN416" s="12">
        <v>1</v>
      </c>
      <c r="AO416" s="11">
        <v>1200000000</v>
      </c>
      <c r="AP416" s="11">
        <v>16038365217</v>
      </c>
      <c r="AQ416" s="11">
        <v>9447833368</v>
      </c>
      <c r="AR416" s="11">
        <v>6590531849</v>
      </c>
      <c r="AS416" s="12">
        <v>69.760000000000005</v>
      </c>
      <c r="AT416" s="11">
        <v>682159001588</v>
      </c>
      <c r="AU416" s="11">
        <v>81861741403</v>
      </c>
      <c r="AV416" s="11">
        <v>192151483338</v>
      </c>
      <c r="AW416" s="11">
        <v>128772381693</v>
      </c>
      <c r="AX416" s="11">
        <v>200008778108</v>
      </c>
      <c r="AY416" s="11">
        <v>455758400000</v>
      </c>
      <c r="AZ416" s="11">
        <v>133582693446</v>
      </c>
      <c r="BA416" s="11">
        <v>1022924534610</v>
      </c>
      <c r="BB416" s="13">
        <v>93983</v>
      </c>
      <c r="BC416" s="11">
        <v>367157356502</v>
      </c>
      <c r="BD416" s="11">
        <v>200008778108</v>
      </c>
      <c r="BE416" s="11">
        <v>455758400000</v>
      </c>
      <c r="BF416" s="11">
        <v>1016122472124</v>
      </c>
      <c r="BG416" s="11">
        <v>0</v>
      </c>
      <c r="BH416" s="11">
        <v>0</v>
      </c>
      <c r="BI416" s="11">
        <v>0</v>
      </c>
      <c r="BJ416" s="11">
        <v>107733489637</v>
      </c>
      <c r="BK416" s="11">
        <v>0</v>
      </c>
      <c r="BL416" s="11">
        <v>0</v>
      </c>
      <c r="BM416" s="11">
        <v>0</v>
      </c>
    </row>
    <row r="417" spans="1:65" x14ac:dyDescent="0.25">
      <c r="A417" s="32"/>
      <c r="B417" s="10">
        <v>3804</v>
      </c>
      <c r="C417" s="10" t="s">
        <v>467</v>
      </c>
      <c r="D417" s="11">
        <v>1180699225014</v>
      </c>
      <c r="E417" s="11">
        <v>13388785974</v>
      </c>
      <c r="F417" s="11">
        <v>0</v>
      </c>
      <c r="G417" s="11">
        <v>0</v>
      </c>
      <c r="H417" s="11">
        <v>1194088010988</v>
      </c>
      <c r="I417" s="11">
        <v>99164244078</v>
      </c>
      <c r="J417" s="11">
        <v>1094923766910</v>
      </c>
      <c r="K417" s="11">
        <v>1082092937360</v>
      </c>
      <c r="L417" s="11">
        <v>111995073628</v>
      </c>
      <c r="M417" s="12">
        <v>10.35</v>
      </c>
      <c r="N417" s="11">
        <v>779132178486</v>
      </c>
      <c r="O417" s="12">
        <v>72.510000000000005</v>
      </c>
      <c r="P417" s="12">
        <v>71.16</v>
      </c>
      <c r="Q417" s="12">
        <v>1.89</v>
      </c>
      <c r="R417" s="11">
        <v>847890879024</v>
      </c>
      <c r="S417" s="11">
        <v>17908614067</v>
      </c>
      <c r="T417" s="11">
        <v>17659956452</v>
      </c>
      <c r="U417" s="11">
        <v>248657615</v>
      </c>
      <c r="V417" s="11">
        <v>0</v>
      </c>
      <c r="W417" s="11">
        <v>865799493091</v>
      </c>
      <c r="X417" s="11">
        <v>70796432142</v>
      </c>
      <c r="Y417" s="11">
        <v>14036500000</v>
      </c>
      <c r="Z417" s="11">
        <v>950632425233</v>
      </c>
      <c r="AA417" s="11">
        <v>798712373603</v>
      </c>
      <c r="AB417" s="12">
        <v>8.4</v>
      </c>
      <c r="AC417" s="11">
        <v>286239528542</v>
      </c>
      <c r="AD417" s="11">
        <v>286239528542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2">
        <v>0</v>
      </c>
      <c r="AK417" s="11">
        <v>0</v>
      </c>
      <c r="AL417" s="12">
        <v>5</v>
      </c>
      <c r="AM417" s="11">
        <v>59878000000</v>
      </c>
      <c r="AN417" s="12">
        <v>10</v>
      </c>
      <c r="AO417" s="11">
        <v>42560142720</v>
      </c>
      <c r="AP417" s="11">
        <v>17908614067</v>
      </c>
      <c r="AQ417" s="11">
        <v>8119580962</v>
      </c>
      <c r="AR417" s="11">
        <v>9789033105</v>
      </c>
      <c r="AS417" s="19">
        <v>120.56</v>
      </c>
      <c r="AT417" s="11">
        <v>305861930320</v>
      </c>
      <c r="AU417" s="11">
        <v>74021934884</v>
      </c>
      <c r="AV417" s="11">
        <v>95004027594</v>
      </c>
      <c r="AW417" s="11">
        <v>156994764941</v>
      </c>
      <c r="AX417" s="11">
        <v>364097932479</v>
      </c>
      <c r="AY417" s="11">
        <v>564602500000</v>
      </c>
      <c r="AZ417" s="11">
        <v>255837136870</v>
      </c>
      <c r="BA417" s="11">
        <v>1194088010988</v>
      </c>
      <c r="BB417" s="13">
        <v>138769</v>
      </c>
      <c r="BC417" s="11">
        <v>265387578509</v>
      </c>
      <c r="BD417" s="11">
        <v>364097932479</v>
      </c>
      <c r="BE417" s="11">
        <v>564602500000</v>
      </c>
      <c r="BF417" s="11">
        <v>286239528542</v>
      </c>
      <c r="BG417" s="11">
        <v>0</v>
      </c>
      <c r="BH417" s="11">
        <v>0</v>
      </c>
      <c r="BI417" s="11">
        <v>0</v>
      </c>
      <c r="BJ417" s="11">
        <v>0</v>
      </c>
      <c r="BK417" s="11">
        <v>0</v>
      </c>
      <c r="BL417" s="11">
        <v>0</v>
      </c>
      <c r="BM417" s="11">
        <v>0</v>
      </c>
    </row>
    <row r="418" spans="1:65" x14ac:dyDescent="0.25">
      <c r="A418" s="32"/>
      <c r="B418" s="10">
        <v>3805</v>
      </c>
      <c r="C418" s="10" t="s">
        <v>468</v>
      </c>
      <c r="D418" s="11">
        <v>521653980276</v>
      </c>
      <c r="E418" s="11">
        <v>27717617343</v>
      </c>
      <c r="F418" s="11">
        <v>0</v>
      </c>
      <c r="G418" s="11">
        <v>0</v>
      </c>
      <c r="H418" s="11">
        <v>549371597619</v>
      </c>
      <c r="I418" s="11">
        <v>39633941085</v>
      </c>
      <c r="J418" s="11">
        <v>509737656534</v>
      </c>
      <c r="K418" s="11">
        <v>447835720697</v>
      </c>
      <c r="L418" s="11">
        <v>101535876922</v>
      </c>
      <c r="M418" s="12">
        <v>22.67</v>
      </c>
      <c r="N418" s="11">
        <v>2262779778375</v>
      </c>
      <c r="O418" s="12">
        <v>442.6</v>
      </c>
      <c r="P418" s="12">
        <v>443.91</v>
      </c>
      <c r="Q418" s="12">
        <v>21.12</v>
      </c>
      <c r="R418" s="11">
        <v>1921774960637</v>
      </c>
      <c r="S418" s="11">
        <v>509719446269</v>
      </c>
      <c r="T418" s="11">
        <v>168805849394</v>
      </c>
      <c r="U418" s="11">
        <v>118919311567</v>
      </c>
      <c r="V418" s="11">
        <v>221994285308</v>
      </c>
      <c r="W418" s="11">
        <v>2431494406906</v>
      </c>
      <c r="X418" s="11">
        <v>176614711655</v>
      </c>
      <c r="Y418" s="11">
        <v>12345093500</v>
      </c>
      <c r="Z418" s="11">
        <v>2620454212061</v>
      </c>
      <c r="AA418" s="11">
        <v>1858561974585</v>
      </c>
      <c r="AB418" s="12">
        <v>30.83</v>
      </c>
      <c r="AC418" s="11">
        <v>1248405567629</v>
      </c>
      <c r="AD418" s="11">
        <v>828671876805</v>
      </c>
      <c r="AE418" s="11">
        <v>51500000000</v>
      </c>
      <c r="AF418" s="11">
        <v>0</v>
      </c>
      <c r="AG418" s="11">
        <v>0</v>
      </c>
      <c r="AH418" s="11">
        <v>0</v>
      </c>
      <c r="AI418" s="11">
        <v>0</v>
      </c>
      <c r="AJ418" s="12">
        <v>0</v>
      </c>
      <c r="AK418" s="11">
        <v>0</v>
      </c>
      <c r="AL418" s="12">
        <v>25</v>
      </c>
      <c r="AM418" s="11">
        <v>155445104994</v>
      </c>
      <c r="AN418" s="12">
        <v>10</v>
      </c>
      <c r="AO418" s="11">
        <v>150479345000</v>
      </c>
      <c r="AP418" s="11">
        <v>509719446269</v>
      </c>
      <c r="AQ418" s="11">
        <v>365408963016</v>
      </c>
      <c r="AR418" s="11">
        <v>144310483253</v>
      </c>
      <c r="AS418" s="12">
        <v>39.49</v>
      </c>
      <c r="AT418" s="11">
        <v>861776775223</v>
      </c>
      <c r="AU418" s="11">
        <v>422167756986</v>
      </c>
      <c r="AV418" s="11">
        <v>234477086653</v>
      </c>
      <c r="AW418" s="11">
        <v>101999174613</v>
      </c>
      <c r="AX418" s="11">
        <v>99543219010</v>
      </c>
      <c r="AY418" s="11">
        <v>85634500000</v>
      </c>
      <c r="AZ418" s="11">
        <v>61794713888</v>
      </c>
      <c r="BA418" s="11">
        <v>549371597619</v>
      </c>
      <c r="BB418" s="13">
        <v>26438</v>
      </c>
      <c r="BC418" s="11">
        <v>364193878609</v>
      </c>
      <c r="BD418" s="11">
        <v>99543219010</v>
      </c>
      <c r="BE418" s="11">
        <v>85634500000</v>
      </c>
      <c r="BF418" s="11">
        <v>1167205567629</v>
      </c>
      <c r="BG418" s="11">
        <v>81200000000</v>
      </c>
      <c r="BH418" s="11">
        <v>0</v>
      </c>
      <c r="BI418" s="11">
        <v>172370823308</v>
      </c>
      <c r="BJ418" s="11">
        <v>357910157756</v>
      </c>
      <c r="BK418" s="11">
        <v>0</v>
      </c>
      <c r="BL418" s="11">
        <v>0</v>
      </c>
      <c r="BM418" s="11">
        <v>0</v>
      </c>
    </row>
    <row r="419" spans="1:65" x14ac:dyDescent="0.25">
      <c r="A419" s="32"/>
      <c r="B419" s="10">
        <v>3807</v>
      </c>
      <c r="C419" s="10" t="s">
        <v>469</v>
      </c>
      <c r="D419" s="11">
        <v>705215070717</v>
      </c>
      <c r="E419" s="11">
        <v>66878100156</v>
      </c>
      <c r="F419" s="11">
        <v>0</v>
      </c>
      <c r="G419" s="11">
        <v>0</v>
      </c>
      <c r="H419" s="11">
        <v>772093170873</v>
      </c>
      <c r="I419" s="11">
        <v>56422552189</v>
      </c>
      <c r="J419" s="11">
        <v>715670618684</v>
      </c>
      <c r="K419" s="11">
        <v>726574326871</v>
      </c>
      <c r="L419" s="11">
        <v>45518844002</v>
      </c>
      <c r="M419" s="12">
        <v>6.26</v>
      </c>
      <c r="N419" s="11">
        <v>1366409850429</v>
      </c>
      <c r="O419" s="12">
        <v>186.29</v>
      </c>
      <c r="P419" s="12">
        <v>190.93</v>
      </c>
      <c r="Q419" s="12">
        <v>9.33</v>
      </c>
      <c r="R419" s="11">
        <v>1307191571045</v>
      </c>
      <c r="S419" s="11">
        <v>131148641303</v>
      </c>
      <c r="T419" s="11">
        <v>37115810569</v>
      </c>
      <c r="U419" s="11">
        <v>1997292619</v>
      </c>
      <c r="V419" s="11">
        <v>92035538115</v>
      </c>
      <c r="W419" s="11">
        <v>1438340212348</v>
      </c>
      <c r="X419" s="11">
        <v>89401695971</v>
      </c>
      <c r="Y419" s="11">
        <v>11347063929</v>
      </c>
      <c r="Z419" s="11">
        <v>1539088972248</v>
      </c>
      <c r="AA419" s="11">
        <v>1261031572013</v>
      </c>
      <c r="AB419" s="12">
        <v>14.06</v>
      </c>
      <c r="AC419" s="11">
        <v>915972886156</v>
      </c>
      <c r="AD419" s="11">
        <v>915972886156</v>
      </c>
      <c r="AE419" s="11">
        <v>276048000000</v>
      </c>
      <c r="AF419" s="11">
        <v>0</v>
      </c>
      <c r="AG419" s="11">
        <v>0</v>
      </c>
      <c r="AH419" s="11">
        <v>0</v>
      </c>
      <c r="AI419" s="11">
        <v>0</v>
      </c>
      <c r="AJ419" s="12">
        <v>1</v>
      </c>
      <c r="AK419" s="11">
        <v>100000000000</v>
      </c>
      <c r="AL419" s="12">
        <v>3</v>
      </c>
      <c r="AM419" s="11">
        <v>76178310000</v>
      </c>
      <c r="AN419" s="12">
        <v>2</v>
      </c>
      <c r="AO419" s="11">
        <v>140000000</v>
      </c>
      <c r="AP419" s="11">
        <v>131148641303</v>
      </c>
      <c r="AQ419" s="11">
        <v>15702153198</v>
      </c>
      <c r="AR419" s="11">
        <v>115446488105</v>
      </c>
      <c r="AS419" s="19">
        <v>735.23</v>
      </c>
      <c r="AT419" s="11">
        <v>837469369413</v>
      </c>
      <c r="AU419" s="11">
        <v>455047670705</v>
      </c>
      <c r="AV419" s="11">
        <v>217653043611</v>
      </c>
      <c r="AW419" s="11">
        <v>61694947135</v>
      </c>
      <c r="AX419" s="11">
        <v>256490079971</v>
      </c>
      <c r="AY419" s="11">
        <v>169377000000</v>
      </c>
      <c r="AZ419" s="11">
        <v>195434093381</v>
      </c>
      <c r="BA419" s="11">
        <v>772093170873</v>
      </c>
      <c r="BB419" s="13">
        <v>203049</v>
      </c>
      <c r="BC419" s="11">
        <v>346225065598</v>
      </c>
      <c r="BD419" s="11">
        <v>256490079971</v>
      </c>
      <c r="BE419" s="11">
        <v>169378025304</v>
      </c>
      <c r="BF419" s="11">
        <v>912472886156</v>
      </c>
      <c r="BG419" s="11">
        <v>3500000000</v>
      </c>
      <c r="BH419" s="11">
        <v>0</v>
      </c>
      <c r="BI419" s="11">
        <v>91956416291</v>
      </c>
      <c r="BJ419" s="11">
        <v>312664223281</v>
      </c>
      <c r="BK419" s="11">
        <v>0</v>
      </c>
      <c r="BL419" s="11">
        <v>0</v>
      </c>
      <c r="BM419" s="11">
        <v>0</v>
      </c>
    </row>
    <row r="420" spans="1:65" x14ac:dyDescent="0.25">
      <c r="A420" s="32"/>
      <c r="B420" s="10">
        <v>3808</v>
      </c>
      <c r="C420" s="10" t="s">
        <v>470</v>
      </c>
      <c r="D420" s="11">
        <v>794760000006</v>
      </c>
      <c r="E420" s="11">
        <v>7084279216</v>
      </c>
      <c r="F420" s="11">
        <v>0</v>
      </c>
      <c r="G420" s="11">
        <v>0</v>
      </c>
      <c r="H420" s="11">
        <v>801844279222</v>
      </c>
      <c r="I420" s="11">
        <v>66620529310</v>
      </c>
      <c r="J420" s="11">
        <v>735223749912</v>
      </c>
      <c r="K420" s="11">
        <v>528699900603</v>
      </c>
      <c r="L420" s="11">
        <v>273144378619</v>
      </c>
      <c r="M420" s="12">
        <v>51.66</v>
      </c>
      <c r="N420" s="11">
        <v>1083233772446</v>
      </c>
      <c r="O420" s="12">
        <v>143.13999999999999</v>
      </c>
      <c r="P420" s="12">
        <v>147.33000000000001</v>
      </c>
      <c r="Q420" s="12">
        <v>2.93</v>
      </c>
      <c r="R420" s="11">
        <v>1114003242516</v>
      </c>
      <c r="S420" s="11">
        <v>33736018520</v>
      </c>
      <c r="T420" s="11">
        <v>26527958630</v>
      </c>
      <c r="U420" s="11">
        <v>4389321387</v>
      </c>
      <c r="V420" s="11">
        <v>2818738503</v>
      </c>
      <c r="W420" s="11">
        <v>1147739261036</v>
      </c>
      <c r="X420" s="11">
        <v>67914686105</v>
      </c>
      <c r="Y420" s="11">
        <v>22188498000</v>
      </c>
      <c r="Z420" s="11">
        <v>1237842445141</v>
      </c>
      <c r="AA420" s="11">
        <v>881926714254</v>
      </c>
      <c r="AB420" s="12">
        <v>30.14</v>
      </c>
      <c r="AC420" s="11">
        <v>1027165861900</v>
      </c>
      <c r="AD420" s="11">
        <v>1027165861900</v>
      </c>
      <c r="AE420" s="11">
        <v>356987400000</v>
      </c>
      <c r="AF420" s="11">
        <v>0</v>
      </c>
      <c r="AG420" s="11">
        <v>0</v>
      </c>
      <c r="AH420" s="11">
        <v>0</v>
      </c>
      <c r="AI420" s="11">
        <v>0</v>
      </c>
      <c r="AJ420" s="12">
        <v>8</v>
      </c>
      <c r="AK420" s="11">
        <v>390786000000</v>
      </c>
      <c r="AL420" s="12">
        <v>11</v>
      </c>
      <c r="AM420" s="11">
        <v>41032401565</v>
      </c>
      <c r="AN420" s="12">
        <v>3</v>
      </c>
      <c r="AO420" s="11">
        <v>12457550000</v>
      </c>
      <c r="AP420" s="11">
        <v>33736018520</v>
      </c>
      <c r="AQ420" s="11">
        <v>17871603273</v>
      </c>
      <c r="AR420" s="11">
        <v>15864415247</v>
      </c>
      <c r="AS420" s="12">
        <v>88.77</v>
      </c>
      <c r="AT420" s="11">
        <v>848745306101</v>
      </c>
      <c r="AU420" s="11">
        <v>79174458239</v>
      </c>
      <c r="AV420" s="11">
        <v>192371333296</v>
      </c>
      <c r="AW420" s="11">
        <v>54931940819</v>
      </c>
      <c r="AX420" s="11">
        <v>252660725891</v>
      </c>
      <c r="AY420" s="11">
        <v>294796000000</v>
      </c>
      <c r="AZ420" s="11">
        <v>219343169256</v>
      </c>
      <c r="BA420" s="11">
        <v>801844279222</v>
      </c>
      <c r="BB420" s="13">
        <v>36493</v>
      </c>
      <c r="BC420" s="11">
        <v>254387553331</v>
      </c>
      <c r="BD420" s="11">
        <v>252660725891</v>
      </c>
      <c r="BE420" s="11">
        <v>294796000000</v>
      </c>
      <c r="BF420" s="11">
        <v>840665861900</v>
      </c>
      <c r="BG420" s="11">
        <v>186500000000</v>
      </c>
      <c r="BH420" s="11">
        <v>124080000000</v>
      </c>
      <c r="BI420" s="11">
        <v>0</v>
      </c>
      <c r="BJ420" s="11">
        <v>237658342453</v>
      </c>
      <c r="BK420" s="11">
        <v>0</v>
      </c>
      <c r="BL420" s="11">
        <v>0</v>
      </c>
      <c r="BM420" s="11">
        <v>0</v>
      </c>
    </row>
    <row r="421" spans="1:65" x14ac:dyDescent="0.25">
      <c r="A421" s="32"/>
      <c r="B421" s="10">
        <v>3809</v>
      </c>
      <c r="C421" s="10" t="s">
        <v>471</v>
      </c>
      <c r="D421" s="11">
        <v>883775081514</v>
      </c>
      <c r="E421" s="11">
        <v>34884768311</v>
      </c>
      <c r="F421" s="11">
        <v>0</v>
      </c>
      <c r="G421" s="11">
        <v>0</v>
      </c>
      <c r="H421" s="11">
        <v>918659849825</v>
      </c>
      <c r="I421" s="11">
        <v>65756817345</v>
      </c>
      <c r="J421" s="11">
        <v>852903032480</v>
      </c>
      <c r="K421" s="11">
        <v>806991509015</v>
      </c>
      <c r="L421" s="11">
        <v>111668340810</v>
      </c>
      <c r="M421" s="12">
        <v>13.84</v>
      </c>
      <c r="N421" s="11">
        <v>871753637513</v>
      </c>
      <c r="O421" s="12">
        <v>102.13</v>
      </c>
      <c r="P421" s="12">
        <v>102.21</v>
      </c>
      <c r="Q421" s="12">
        <v>0.69</v>
      </c>
      <c r="R421" s="11">
        <v>932436086603</v>
      </c>
      <c r="S421" s="11">
        <v>5818160233</v>
      </c>
      <c r="T421" s="11">
        <v>4869982531</v>
      </c>
      <c r="U421" s="11">
        <v>111957097</v>
      </c>
      <c r="V421" s="11">
        <v>836220605</v>
      </c>
      <c r="W421" s="11">
        <v>938254246836</v>
      </c>
      <c r="X421" s="11">
        <v>47312071069</v>
      </c>
      <c r="Y421" s="11">
        <v>9283132500</v>
      </c>
      <c r="Z421" s="11">
        <v>994849450405</v>
      </c>
      <c r="AA421" s="11">
        <v>1019441273536</v>
      </c>
      <c r="AB421" s="12">
        <v>-7.96</v>
      </c>
      <c r="AC421" s="11">
        <v>1591274269916</v>
      </c>
      <c r="AD421" s="11">
        <v>1578231269916</v>
      </c>
      <c r="AE421" s="11">
        <v>1149849681338</v>
      </c>
      <c r="AF421" s="11">
        <v>0</v>
      </c>
      <c r="AG421" s="11">
        <v>0</v>
      </c>
      <c r="AH421" s="11">
        <v>0</v>
      </c>
      <c r="AI421" s="11">
        <v>0</v>
      </c>
      <c r="AJ421" s="12">
        <v>15</v>
      </c>
      <c r="AK421" s="11">
        <v>1492700826384</v>
      </c>
      <c r="AL421" s="12">
        <v>23</v>
      </c>
      <c r="AM421" s="11">
        <v>274265301192</v>
      </c>
      <c r="AN421" s="12">
        <v>14</v>
      </c>
      <c r="AO421" s="11">
        <v>73969496478</v>
      </c>
      <c r="AP421" s="11">
        <v>5818160233</v>
      </c>
      <c r="AQ421" s="11">
        <v>58156552211</v>
      </c>
      <c r="AR421" s="11">
        <v>-52338391978</v>
      </c>
      <c r="AS421" s="12">
        <v>-90</v>
      </c>
      <c r="AT421" s="11">
        <v>1839080763610</v>
      </c>
      <c r="AU421" s="11">
        <v>317708812636</v>
      </c>
      <c r="AV421" s="11">
        <v>374934351193</v>
      </c>
      <c r="AW421" s="11">
        <v>142093533931</v>
      </c>
      <c r="AX421" s="11">
        <v>213183696390</v>
      </c>
      <c r="AY421" s="11">
        <v>153563500000</v>
      </c>
      <c r="AZ421" s="11">
        <v>146642618861</v>
      </c>
      <c r="BA421" s="11">
        <v>918659849825</v>
      </c>
      <c r="BB421" s="13">
        <v>34685</v>
      </c>
      <c r="BC421" s="11">
        <v>551912653435</v>
      </c>
      <c r="BD421" s="11">
        <v>213183696390</v>
      </c>
      <c r="BE421" s="11">
        <v>153563500000</v>
      </c>
      <c r="BF421" s="11">
        <v>1493663449858</v>
      </c>
      <c r="BG421" s="11">
        <v>97610820058</v>
      </c>
      <c r="BH421" s="11">
        <v>124003540953</v>
      </c>
      <c r="BI421" s="11">
        <v>0</v>
      </c>
      <c r="BJ421" s="11">
        <v>1381445614183</v>
      </c>
      <c r="BK421" s="11">
        <v>0</v>
      </c>
      <c r="BL421" s="11">
        <v>0</v>
      </c>
      <c r="BM421" s="11">
        <v>0</v>
      </c>
    </row>
    <row r="422" spans="1:65" x14ac:dyDescent="0.25">
      <c r="A422" s="32"/>
      <c r="B422" s="10">
        <v>3810</v>
      </c>
      <c r="C422" s="10" t="s">
        <v>472</v>
      </c>
      <c r="D422" s="11">
        <v>1463218497136</v>
      </c>
      <c r="E422" s="11">
        <v>159808252168</v>
      </c>
      <c r="F422" s="11">
        <v>0</v>
      </c>
      <c r="G422" s="11">
        <v>0</v>
      </c>
      <c r="H422" s="11">
        <v>1623026749304</v>
      </c>
      <c r="I422" s="11">
        <v>111364906580</v>
      </c>
      <c r="J422" s="11">
        <v>1511661842724</v>
      </c>
      <c r="K422" s="11">
        <v>1419345801841</v>
      </c>
      <c r="L422" s="11">
        <v>203680947463</v>
      </c>
      <c r="M422" s="12">
        <v>14.35</v>
      </c>
      <c r="N422" s="11">
        <v>1817598208974</v>
      </c>
      <c r="O422" s="12">
        <v>126.63</v>
      </c>
      <c r="P422" s="12">
        <v>120.24</v>
      </c>
      <c r="Q422" s="12">
        <v>5.01</v>
      </c>
      <c r="R422" s="11">
        <v>1947361194029</v>
      </c>
      <c r="S422" s="11">
        <v>107955884505</v>
      </c>
      <c r="T422" s="11">
        <v>11448952802</v>
      </c>
      <c r="U422" s="11">
        <v>702100000</v>
      </c>
      <c r="V422" s="11">
        <v>95804831703</v>
      </c>
      <c r="W422" s="11">
        <v>2055317078534</v>
      </c>
      <c r="X422" s="11">
        <v>106419473801</v>
      </c>
      <c r="Y422" s="11">
        <v>27082837089</v>
      </c>
      <c r="Z422" s="11">
        <v>2188819389424</v>
      </c>
      <c r="AA422" s="11">
        <v>1614870237021</v>
      </c>
      <c r="AB422" s="12">
        <v>27.27</v>
      </c>
      <c r="AC422" s="11">
        <v>1990343352167</v>
      </c>
      <c r="AD422" s="11">
        <v>1990343352167</v>
      </c>
      <c r="AE422" s="11">
        <v>905236684670</v>
      </c>
      <c r="AF422" s="11">
        <v>4180100438</v>
      </c>
      <c r="AG422" s="11">
        <v>0</v>
      </c>
      <c r="AH422" s="11">
        <v>0</v>
      </c>
      <c r="AI422" s="11">
        <v>0</v>
      </c>
      <c r="AJ422" s="12">
        <v>6</v>
      </c>
      <c r="AK422" s="11">
        <v>739556674298</v>
      </c>
      <c r="AL422" s="12">
        <v>18</v>
      </c>
      <c r="AM422" s="11">
        <v>2686447809633</v>
      </c>
      <c r="AN422" s="12">
        <v>26</v>
      </c>
      <c r="AO422" s="11">
        <v>90573728566</v>
      </c>
      <c r="AP422" s="11">
        <v>107955884505</v>
      </c>
      <c r="AQ422" s="11">
        <v>49982915149</v>
      </c>
      <c r="AR422" s="11">
        <v>57972969356</v>
      </c>
      <c r="AS422" s="12">
        <v>115.99</v>
      </c>
      <c r="AT422" s="11">
        <v>1853874502809</v>
      </c>
      <c r="AU422" s="11">
        <v>903472041602</v>
      </c>
      <c r="AV422" s="11">
        <v>272300477424</v>
      </c>
      <c r="AW422" s="11">
        <v>479610146557</v>
      </c>
      <c r="AX422" s="11">
        <v>480475273155</v>
      </c>
      <c r="AY422" s="11">
        <v>230832600000</v>
      </c>
      <c r="AZ422" s="11">
        <v>145108274824</v>
      </c>
      <c r="BA422" s="11">
        <v>1623026749304</v>
      </c>
      <c r="BB422" s="13">
        <v>13509</v>
      </c>
      <c r="BC422" s="11">
        <v>911718876149</v>
      </c>
      <c r="BD422" s="11">
        <v>480475273155</v>
      </c>
      <c r="BE422" s="11">
        <v>230832600000</v>
      </c>
      <c r="BF422" s="11">
        <v>1522302903475</v>
      </c>
      <c r="BG422" s="11">
        <v>468040448692</v>
      </c>
      <c r="BH422" s="11">
        <v>2543654029</v>
      </c>
      <c r="BI422" s="11">
        <v>0</v>
      </c>
      <c r="BJ422" s="11">
        <v>953140314985</v>
      </c>
      <c r="BK422" s="11">
        <v>0</v>
      </c>
      <c r="BL422" s="11">
        <v>0</v>
      </c>
      <c r="BM422" s="11">
        <v>4180567862</v>
      </c>
    </row>
    <row r="423" spans="1:65" x14ac:dyDescent="0.25">
      <c r="A423" s="32"/>
      <c r="B423" s="10">
        <v>3811</v>
      </c>
      <c r="C423" s="10" t="s">
        <v>473</v>
      </c>
      <c r="D423" s="11">
        <v>145297952433</v>
      </c>
      <c r="E423" s="11">
        <v>379259773</v>
      </c>
      <c r="F423" s="11">
        <v>0</v>
      </c>
      <c r="G423" s="11">
        <v>0</v>
      </c>
      <c r="H423" s="11">
        <v>145677212206</v>
      </c>
      <c r="I423" s="11">
        <v>11597511771</v>
      </c>
      <c r="J423" s="11">
        <v>134079700435</v>
      </c>
      <c r="K423" s="11">
        <v>61788374893</v>
      </c>
      <c r="L423" s="11">
        <v>83888837313</v>
      </c>
      <c r="M423" s="12">
        <v>135.77000000000001</v>
      </c>
      <c r="N423" s="11">
        <v>39151080661</v>
      </c>
      <c r="O423" s="12">
        <v>26.74</v>
      </c>
      <c r="P423" s="12">
        <v>29.2</v>
      </c>
      <c r="Q423" s="12">
        <v>0</v>
      </c>
      <c r="R423" s="11">
        <v>38951496027</v>
      </c>
      <c r="S423" s="11">
        <v>0</v>
      </c>
      <c r="T423" s="11">
        <v>0</v>
      </c>
      <c r="U423" s="11">
        <v>0</v>
      </c>
      <c r="V423" s="11">
        <v>0</v>
      </c>
      <c r="W423" s="11">
        <v>38951496027</v>
      </c>
      <c r="X423" s="11">
        <v>4807610181</v>
      </c>
      <c r="Y423" s="11">
        <v>500000000</v>
      </c>
      <c r="Z423" s="11">
        <v>44259106208</v>
      </c>
      <c r="AA423" s="11">
        <v>12111076485</v>
      </c>
      <c r="AB423" s="12">
        <v>221.62</v>
      </c>
      <c r="AC423" s="11">
        <v>27600000000</v>
      </c>
      <c r="AD423" s="11">
        <v>27600000000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2">
        <v>0</v>
      </c>
      <c r="AK423" s="11">
        <v>0</v>
      </c>
      <c r="AL423" s="12">
        <v>2</v>
      </c>
      <c r="AM423" s="11">
        <v>18708000000</v>
      </c>
      <c r="AN423" s="12">
        <v>0</v>
      </c>
      <c r="AO423" s="11">
        <v>0</v>
      </c>
      <c r="AP423" s="11">
        <v>0</v>
      </c>
      <c r="AQ423" s="11">
        <v>0</v>
      </c>
      <c r="AR423" s="11">
        <v>0</v>
      </c>
      <c r="AS423" s="12"/>
      <c r="AT423" s="11">
        <v>1435801016</v>
      </c>
      <c r="AU423" s="11">
        <v>0</v>
      </c>
      <c r="AV423" s="11">
        <v>16189260840</v>
      </c>
      <c r="AW423" s="11">
        <v>19372520396</v>
      </c>
      <c r="AX423" s="11">
        <v>34910171197</v>
      </c>
      <c r="AY423" s="11">
        <v>74826000000</v>
      </c>
      <c r="AZ423" s="11">
        <v>31348423591</v>
      </c>
      <c r="BA423" s="11">
        <v>145677212206</v>
      </c>
      <c r="BB423" s="12">
        <v>0</v>
      </c>
      <c r="BC423" s="11">
        <v>35941041009</v>
      </c>
      <c r="BD423" s="11">
        <v>34910171197</v>
      </c>
      <c r="BE423" s="11">
        <v>74826000000</v>
      </c>
      <c r="BF423" s="11">
        <v>27600000000</v>
      </c>
      <c r="BG423" s="11">
        <v>0</v>
      </c>
      <c r="BH423" s="11">
        <v>0</v>
      </c>
      <c r="BI423" s="11">
        <v>0</v>
      </c>
      <c r="BJ423" s="11">
        <v>0</v>
      </c>
      <c r="BK423" s="11">
        <v>0</v>
      </c>
      <c r="BL423" s="11">
        <v>0</v>
      </c>
      <c r="BM423" s="11">
        <v>0</v>
      </c>
    </row>
    <row r="424" spans="1:65" s="24" customFormat="1" x14ac:dyDescent="0.25">
      <c r="A424" s="32"/>
      <c r="B424" s="20">
        <v>3812</v>
      </c>
      <c r="C424" s="20" t="s">
        <v>474</v>
      </c>
      <c r="D424" s="21">
        <v>151724151644</v>
      </c>
      <c r="E424" s="21">
        <v>250889441</v>
      </c>
      <c r="F424" s="21">
        <v>0</v>
      </c>
      <c r="G424" s="21">
        <v>0</v>
      </c>
      <c r="H424" s="21">
        <v>151975041085</v>
      </c>
      <c r="I424" s="21">
        <v>13867715820</v>
      </c>
      <c r="J424" s="21">
        <v>138107325265</v>
      </c>
      <c r="K424" s="21">
        <v>287196220841</v>
      </c>
      <c r="L424" s="21">
        <v>-135221179756</v>
      </c>
      <c r="M424" s="22">
        <v>-47.08</v>
      </c>
      <c r="N424" s="21">
        <v>190245617128</v>
      </c>
      <c r="O424" s="22">
        <v>132.9</v>
      </c>
      <c r="P424" s="22">
        <v>137.75</v>
      </c>
      <c r="Q424" s="22">
        <v>1.38</v>
      </c>
      <c r="R424" s="21">
        <v>198207295600</v>
      </c>
      <c r="S424" s="21">
        <v>3774164002</v>
      </c>
      <c r="T424" s="21">
        <v>3774164002</v>
      </c>
      <c r="U424" s="21">
        <v>0</v>
      </c>
      <c r="V424" s="21">
        <v>0</v>
      </c>
      <c r="W424" s="21">
        <v>201981459602</v>
      </c>
      <c r="X424" s="21">
        <v>54874855040</v>
      </c>
      <c r="Y424" s="21">
        <v>16200000000</v>
      </c>
      <c r="Z424" s="21">
        <v>273056314642</v>
      </c>
      <c r="AA424" s="21">
        <v>14511083887</v>
      </c>
      <c r="AB424" s="22">
        <v>1291.9100000000001</v>
      </c>
      <c r="AC424" s="21">
        <v>205079828402</v>
      </c>
      <c r="AD424" s="21">
        <v>196199061280</v>
      </c>
      <c r="AE424" s="21">
        <v>0</v>
      </c>
      <c r="AF424" s="21">
        <v>0</v>
      </c>
      <c r="AG424" s="21">
        <v>0</v>
      </c>
      <c r="AH424" s="21">
        <v>0</v>
      </c>
      <c r="AI424" s="21">
        <v>0</v>
      </c>
      <c r="AJ424" s="22">
        <v>0</v>
      </c>
      <c r="AK424" s="21">
        <v>0</v>
      </c>
      <c r="AL424" s="22">
        <v>1</v>
      </c>
      <c r="AM424" s="21">
        <v>760000000</v>
      </c>
      <c r="AN424" s="12">
        <v>0</v>
      </c>
      <c r="AO424" s="11">
        <v>0</v>
      </c>
      <c r="AP424" s="21">
        <v>3774164002</v>
      </c>
      <c r="AQ424" s="21">
        <v>0</v>
      </c>
      <c r="AR424" s="21">
        <v>3774164002</v>
      </c>
      <c r="AS424" s="22"/>
      <c r="AT424" s="21">
        <v>11757027286</v>
      </c>
      <c r="AU424" s="21">
        <v>2206879413</v>
      </c>
      <c r="AV424" s="21">
        <v>12318641395</v>
      </c>
      <c r="AW424" s="21">
        <v>51246746290</v>
      </c>
      <c r="AX424" s="21">
        <v>44209763959</v>
      </c>
      <c r="AY424" s="21">
        <v>43949000000</v>
      </c>
      <c r="AZ424" s="21">
        <v>43435270878</v>
      </c>
      <c r="BA424" s="21">
        <v>151975041085</v>
      </c>
      <c r="BB424" s="23">
        <v>0</v>
      </c>
      <c r="BC424" s="21">
        <v>63816277126</v>
      </c>
      <c r="BD424" s="21">
        <v>44209763959</v>
      </c>
      <c r="BE424" s="21">
        <v>43949000000</v>
      </c>
      <c r="BF424" s="21">
        <v>203079828402</v>
      </c>
      <c r="BG424" s="21">
        <v>2000000000</v>
      </c>
      <c r="BH424" s="21">
        <v>0</v>
      </c>
      <c r="BI424" s="21">
        <v>0</v>
      </c>
      <c r="BJ424" s="21">
        <v>0</v>
      </c>
      <c r="BK424" s="21">
        <v>0</v>
      </c>
      <c r="BL424" s="21">
        <v>0</v>
      </c>
      <c r="BM424" s="21">
        <v>0</v>
      </c>
    </row>
    <row r="425" spans="1:65" x14ac:dyDescent="0.25">
      <c r="A425" s="32"/>
      <c r="B425" s="10">
        <v>3899</v>
      </c>
      <c r="C425" s="10" t="s">
        <v>475</v>
      </c>
      <c r="D425" s="11">
        <v>0</v>
      </c>
      <c r="E425" s="11">
        <v>4676036759</v>
      </c>
      <c r="F425" s="11">
        <v>0</v>
      </c>
      <c r="G425" s="11">
        <v>0</v>
      </c>
      <c r="H425" s="11">
        <v>4676036759</v>
      </c>
      <c r="I425" s="11">
        <v>806412751</v>
      </c>
      <c r="J425" s="11">
        <v>3869624008</v>
      </c>
      <c r="K425" s="11">
        <v>8263942408</v>
      </c>
      <c r="L425" s="11">
        <v>-3587905649</v>
      </c>
      <c r="M425" s="12">
        <v>-43.42</v>
      </c>
      <c r="N425" s="11">
        <v>0</v>
      </c>
      <c r="O425" s="12">
        <v>0</v>
      </c>
      <c r="P425" s="12">
        <v>0</v>
      </c>
      <c r="Q425" s="12">
        <v>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11">
        <v>0</v>
      </c>
      <c r="X425" s="11">
        <v>0</v>
      </c>
      <c r="Y425" s="11">
        <v>0</v>
      </c>
      <c r="Z425" s="11">
        <v>0</v>
      </c>
      <c r="AA425" s="11">
        <v>0</v>
      </c>
      <c r="AB425" s="12"/>
      <c r="AC425" s="11">
        <v>0</v>
      </c>
      <c r="AD425" s="11">
        <v>0</v>
      </c>
      <c r="AE425" s="11">
        <v>0</v>
      </c>
      <c r="AF425" s="11">
        <v>0</v>
      </c>
      <c r="AG425" s="11">
        <v>0</v>
      </c>
      <c r="AH425" s="11">
        <v>0</v>
      </c>
      <c r="AI425" s="11">
        <v>0</v>
      </c>
      <c r="AJ425" s="12">
        <v>0</v>
      </c>
      <c r="AK425" s="11">
        <v>0</v>
      </c>
      <c r="AL425" s="12">
        <v>0</v>
      </c>
      <c r="AM425" s="11">
        <v>0</v>
      </c>
      <c r="AN425" s="12">
        <v>0</v>
      </c>
      <c r="AO425" s="11">
        <v>0</v>
      </c>
      <c r="AP425" s="11">
        <v>0</v>
      </c>
      <c r="AQ425" s="11">
        <v>0</v>
      </c>
      <c r="AR425" s="11">
        <v>0</v>
      </c>
      <c r="AS425" s="12"/>
      <c r="AT425" s="11">
        <v>0</v>
      </c>
      <c r="AU425" s="11">
        <v>0</v>
      </c>
      <c r="AV425" s="11">
        <v>0</v>
      </c>
      <c r="AW425" s="11">
        <v>0</v>
      </c>
      <c r="AX425" s="11">
        <v>0</v>
      </c>
      <c r="AY425" s="11">
        <v>0</v>
      </c>
      <c r="AZ425" s="11">
        <v>0</v>
      </c>
      <c r="BA425" s="11">
        <v>4676036759</v>
      </c>
      <c r="BB425" s="13">
        <v>0</v>
      </c>
      <c r="BC425" s="11">
        <v>4676036759</v>
      </c>
      <c r="BD425" s="11">
        <v>0</v>
      </c>
      <c r="BE425" s="11">
        <v>0</v>
      </c>
      <c r="BF425" s="11">
        <v>0</v>
      </c>
      <c r="BG425" s="11">
        <v>0</v>
      </c>
      <c r="BH425" s="11">
        <v>0</v>
      </c>
      <c r="BI425" s="11">
        <v>0</v>
      </c>
      <c r="BJ425" s="11">
        <v>0</v>
      </c>
      <c r="BK425" s="11">
        <v>0</v>
      </c>
      <c r="BL425" s="11">
        <v>0</v>
      </c>
      <c r="BM425" s="11">
        <v>0</v>
      </c>
    </row>
    <row r="426" spans="1:65" s="25" customFormat="1" x14ac:dyDescent="0.25">
      <c r="A426" s="14" t="s">
        <v>615</v>
      </c>
      <c r="B426" s="15"/>
      <c r="C426" s="15"/>
      <c r="D426" s="16">
        <v>9766944066547</v>
      </c>
      <c r="E426" s="16">
        <v>741998963131</v>
      </c>
      <c r="F426" s="16">
        <v>90340000000</v>
      </c>
      <c r="G426" s="16">
        <v>993190400</v>
      </c>
      <c r="H426" s="16">
        <v>10600276220078</v>
      </c>
      <c r="I426" s="16">
        <v>823488083748</v>
      </c>
      <c r="J426" s="16">
        <v>9776788136330</v>
      </c>
      <c r="K426" s="16">
        <v>9890540051659</v>
      </c>
      <c r="L426" s="16">
        <v>709736168419</v>
      </c>
      <c r="M426" s="17">
        <v>7.18</v>
      </c>
      <c r="N426" s="16">
        <v>22081184523926</v>
      </c>
      <c r="O426" s="17">
        <v>227.51</v>
      </c>
      <c r="P426" s="17">
        <v>225.85</v>
      </c>
      <c r="Q426" s="17">
        <v>4.6900000000000004</v>
      </c>
      <c r="R426" s="16">
        <v>22969035709490</v>
      </c>
      <c r="S426" s="16">
        <v>1147739278062</v>
      </c>
      <c r="T426" s="16">
        <v>518262578368</v>
      </c>
      <c r="U426" s="16">
        <v>169255463859</v>
      </c>
      <c r="V426" s="16">
        <v>460221235835</v>
      </c>
      <c r="W426" s="16">
        <v>24116774987552</v>
      </c>
      <c r="X426" s="16">
        <v>2298067202509</v>
      </c>
      <c r="Y426" s="16">
        <v>185230200935</v>
      </c>
      <c r="Z426" s="16">
        <v>26600072390996</v>
      </c>
      <c r="AA426" s="16">
        <v>19208040624839</v>
      </c>
      <c r="AB426" s="17">
        <v>25.56</v>
      </c>
      <c r="AC426" s="16">
        <v>15858749198611</v>
      </c>
      <c r="AD426" s="16">
        <v>14301954413272</v>
      </c>
      <c r="AE426" s="16">
        <v>5518708970342</v>
      </c>
      <c r="AF426" s="16">
        <v>4283251082</v>
      </c>
      <c r="AG426" s="16">
        <v>0</v>
      </c>
      <c r="AH426" s="16">
        <v>0</v>
      </c>
      <c r="AI426" s="16">
        <v>0</v>
      </c>
      <c r="AJ426" s="17">
        <v>65</v>
      </c>
      <c r="AK426" s="16">
        <v>6474748016752</v>
      </c>
      <c r="AL426" s="17">
        <v>144</v>
      </c>
      <c r="AM426" s="16">
        <v>8077382121754</v>
      </c>
      <c r="AN426" s="18">
        <f>SUM(AN413:AN425)</f>
        <v>124</v>
      </c>
      <c r="AO426" s="16">
        <f>SUM(AO413:AO425)</f>
        <v>663582913524</v>
      </c>
      <c r="AP426" s="16">
        <v>1147739278062</v>
      </c>
      <c r="AQ426" s="16">
        <v>679151840359</v>
      </c>
      <c r="AR426" s="16">
        <v>468587437703</v>
      </c>
      <c r="AS426" s="17">
        <v>69</v>
      </c>
      <c r="AT426" s="16">
        <v>13906643442030</v>
      </c>
      <c r="AU426" s="16">
        <v>3580246560808</v>
      </c>
      <c r="AV426" s="16">
        <v>2391568556841</v>
      </c>
      <c r="AW426" s="16">
        <v>1710812581869</v>
      </c>
      <c r="AX426" s="16">
        <v>2749343246737</v>
      </c>
      <c r="AY426" s="16">
        <v>2863565000000</v>
      </c>
      <c r="AZ426" s="16">
        <v>1718685725404</v>
      </c>
      <c r="BA426" s="16">
        <v>10600276220078</v>
      </c>
      <c r="BB426" s="18">
        <v>914758</v>
      </c>
      <c r="BC426" s="16">
        <v>4795815058233</v>
      </c>
      <c r="BD426" s="16">
        <v>2839683246737</v>
      </c>
      <c r="BE426" s="16">
        <v>2964777915108</v>
      </c>
      <c r="BF426" s="16">
        <v>14736757929861</v>
      </c>
      <c r="BG426" s="16">
        <v>1121991268750</v>
      </c>
      <c r="BH426" s="16">
        <v>845461044770</v>
      </c>
      <c r="BI426" s="16">
        <v>264327239599</v>
      </c>
      <c r="BJ426" s="16">
        <v>6593390659087</v>
      </c>
      <c r="BK426" s="16">
        <v>31229144</v>
      </c>
      <c r="BL426" s="16">
        <v>0</v>
      </c>
      <c r="BM426" s="16">
        <v>20025047141</v>
      </c>
    </row>
    <row r="427" spans="1:65" x14ac:dyDescent="0.25">
      <c r="A427" s="32" t="s">
        <v>476</v>
      </c>
      <c r="B427" s="10">
        <v>1800</v>
      </c>
      <c r="C427" s="10" t="s">
        <v>477</v>
      </c>
      <c r="D427" s="11">
        <v>1330666176195</v>
      </c>
      <c r="E427" s="11">
        <v>226891401073</v>
      </c>
      <c r="F427" s="11">
        <v>46458000000</v>
      </c>
      <c r="G427" s="11">
        <v>361689300</v>
      </c>
      <c r="H427" s="11">
        <v>1604377266568</v>
      </c>
      <c r="I427" s="11">
        <v>134145585365</v>
      </c>
      <c r="J427" s="11">
        <v>1470231681203</v>
      </c>
      <c r="K427" s="11">
        <v>1688329992136</v>
      </c>
      <c r="L427" s="11">
        <v>-83952725568</v>
      </c>
      <c r="M427" s="12">
        <v>-4.97</v>
      </c>
      <c r="N427" s="11">
        <v>3015393979939</v>
      </c>
      <c r="O427" s="12">
        <v>255.81</v>
      </c>
      <c r="P427" s="12">
        <v>205.1</v>
      </c>
      <c r="Q427" s="12">
        <v>1.76</v>
      </c>
      <c r="R427" s="11">
        <v>4028495182479</v>
      </c>
      <c r="S427" s="11">
        <v>75670152000</v>
      </c>
      <c r="T427" s="11">
        <v>25677928213</v>
      </c>
      <c r="U427" s="11">
        <v>49491836237</v>
      </c>
      <c r="V427" s="11">
        <v>500387550</v>
      </c>
      <c r="W427" s="11">
        <v>4104165334479</v>
      </c>
      <c r="X427" s="11">
        <v>239470872594</v>
      </c>
      <c r="Y427" s="11">
        <v>34093248000</v>
      </c>
      <c r="Z427" s="11">
        <v>4377729455073</v>
      </c>
      <c r="AA427" s="11">
        <v>3693549501226</v>
      </c>
      <c r="AB427" s="12">
        <v>11.12</v>
      </c>
      <c r="AC427" s="11">
        <v>1229910156703</v>
      </c>
      <c r="AD427" s="11">
        <v>1188081933927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2">
        <v>0</v>
      </c>
      <c r="AK427" s="11">
        <v>0</v>
      </c>
      <c r="AL427" s="12">
        <v>29</v>
      </c>
      <c r="AM427" s="11">
        <v>235258531153</v>
      </c>
      <c r="AN427" s="12">
        <v>22</v>
      </c>
      <c r="AO427" s="11">
        <v>23748024590</v>
      </c>
      <c r="AP427" s="11">
        <v>75670152000</v>
      </c>
      <c r="AQ427" s="11">
        <v>83940156339</v>
      </c>
      <c r="AR427" s="11">
        <v>-8270004339</v>
      </c>
      <c r="AS427" s="12">
        <v>-9.85</v>
      </c>
      <c r="AT427" s="11">
        <v>1414178016282</v>
      </c>
      <c r="AU427" s="11">
        <v>219335492923</v>
      </c>
      <c r="AV427" s="11">
        <v>110156442097</v>
      </c>
      <c r="AW427" s="11">
        <v>201516360034</v>
      </c>
      <c r="AX427" s="11">
        <v>341129374064</v>
      </c>
      <c r="AY427" s="11">
        <v>677864000000</v>
      </c>
      <c r="AZ427" s="11">
        <v>184981238716</v>
      </c>
      <c r="BA427" s="11">
        <v>1604377266568</v>
      </c>
      <c r="BB427" s="13">
        <v>268650</v>
      </c>
      <c r="BC427" s="11">
        <v>416966597448</v>
      </c>
      <c r="BD427" s="11">
        <v>387587374064</v>
      </c>
      <c r="BE427" s="11">
        <v>799823295056</v>
      </c>
      <c r="BF427" s="11">
        <v>711438994463</v>
      </c>
      <c r="BG427" s="11">
        <v>518471162240</v>
      </c>
      <c r="BH427" s="11">
        <v>0</v>
      </c>
      <c r="BI427" s="11">
        <v>0</v>
      </c>
      <c r="BJ427" s="11">
        <v>0</v>
      </c>
      <c r="BK427" s="11">
        <v>0</v>
      </c>
      <c r="BL427" s="11">
        <v>0</v>
      </c>
      <c r="BM427" s="11">
        <v>0</v>
      </c>
    </row>
    <row r="428" spans="1:65" x14ac:dyDescent="0.25">
      <c r="A428" s="32"/>
      <c r="B428" s="10">
        <v>1801</v>
      </c>
      <c r="C428" s="10" t="s">
        <v>478</v>
      </c>
      <c r="D428" s="11">
        <v>563707054248</v>
      </c>
      <c r="E428" s="11">
        <v>82029911088</v>
      </c>
      <c r="F428" s="11">
        <v>0</v>
      </c>
      <c r="G428" s="11">
        <v>0</v>
      </c>
      <c r="H428" s="11">
        <v>645736965336</v>
      </c>
      <c r="I428" s="11">
        <v>56489271087</v>
      </c>
      <c r="J428" s="11">
        <v>589247694249</v>
      </c>
      <c r="K428" s="11">
        <v>696044564774</v>
      </c>
      <c r="L428" s="11">
        <v>-50307599438</v>
      </c>
      <c r="M428" s="12">
        <v>-7.23</v>
      </c>
      <c r="N428" s="11">
        <v>1135813696796</v>
      </c>
      <c r="O428" s="12">
        <v>178.77</v>
      </c>
      <c r="P428" s="12">
        <v>192.76</v>
      </c>
      <c r="Q428" s="12">
        <v>7.51</v>
      </c>
      <c r="R428" s="11">
        <v>1060541258752</v>
      </c>
      <c r="S428" s="11">
        <v>93871639956</v>
      </c>
      <c r="T428" s="11">
        <v>35874060181</v>
      </c>
      <c r="U428" s="11">
        <v>57975345363</v>
      </c>
      <c r="V428" s="11">
        <v>22234412</v>
      </c>
      <c r="W428" s="11">
        <v>1154412898708</v>
      </c>
      <c r="X428" s="11">
        <v>105886695409</v>
      </c>
      <c r="Y428" s="11">
        <v>15663875634</v>
      </c>
      <c r="Z428" s="11">
        <v>1275963469751</v>
      </c>
      <c r="AA428" s="11">
        <v>1000965338663</v>
      </c>
      <c r="AB428" s="12">
        <v>15.33</v>
      </c>
      <c r="AC428" s="11">
        <v>495986775410</v>
      </c>
      <c r="AD428" s="11">
        <v>494428613219</v>
      </c>
      <c r="AE428" s="11">
        <v>15010865788</v>
      </c>
      <c r="AF428" s="11">
        <v>0</v>
      </c>
      <c r="AG428" s="11">
        <v>31837266355</v>
      </c>
      <c r="AH428" s="11">
        <v>0</v>
      </c>
      <c r="AI428" s="11">
        <v>0</v>
      </c>
      <c r="AJ428" s="12">
        <v>2</v>
      </c>
      <c r="AK428" s="11">
        <v>298943172000</v>
      </c>
      <c r="AL428" s="12">
        <v>67</v>
      </c>
      <c r="AM428" s="11">
        <v>540459777205</v>
      </c>
      <c r="AN428" s="12">
        <v>38</v>
      </c>
      <c r="AO428" s="11">
        <v>257322406139</v>
      </c>
      <c r="AP428" s="11">
        <v>93871639956</v>
      </c>
      <c r="AQ428" s="11">
        <v>48474331911</v>
      </c>
      <c r="AR428" s="11">
        <v>45397308045</v>
      </c>
      <c r="AS428" s="12">
        <v>93.65</v>
      </c>
      <c r="AT428" s="11">
        <v>368218241587</v>
      </c>
      <c r="AU428" s="11">
        <v>149768429857</v>
      </c>
      <c r="AV428" s="11">
        <v>101420063109</v>
      </c>
      <c r="AW428" s="11">
        <v>84103081757</v>
      </c>
      <c r="AX428" s="11">
        <v>95338409382</v>
      </c>
      <c r="AY428" s="11">
        <v>282845500000</v>
      </c>
      <c r="AZ428" s="11">
        <v>60322627123</v>
      </c>
      <c r="BA428" s="11">
        <v>645736965336</v>
      </c>
      <c r="BB428" s="13">
        <v>49918</v>
      </c>
      <c r="BC428" s="11">
        <v>267553055954</v>
      </c>
      <c r="BD428" s="11">
        <v>95338409382</v>
      </c>
      <c r="BE428" s="11">
        <v>282845500000</v>
      </c>
      <c r="BF428" s="11">
        <v>264088916913</v>
      </c>
      <c r="BG428" s="11">
        <v>231897858497</v>
      </c>
      <c r="BH428" s="11">
        <v>15010865788</v>
      </c>
      <c r="BI428" s="11">
        <v>0</v>
      </c>
      <c r="BJ428" s="11">
        <v>0</v>
      </c>
      <c r="BK428" s="11">
        <v>0</v>
      </c>
      <c r="BL428" s="11">
        <v>0</v>
      </c>
      <c r="BM428" s="11">
        <v>10359007353</v>
      </c>
    </row>
    <row r="429" spans="1:65" x14ac:dyDescent="0.25">
      <c r="A429" s="32"/>
      <c r="B429" s="10">
        <v>1802</v>
      </c>
      <c r="C429" s="10" t="s">
        <v>479</v>
      </c>
      <c r="D429" s="11">
        <v>916190688447</v>
      </c>
      <c r="E429" s="11">
        <v>56840656428</v>
      </c>
      <c r="F429" s="11">
        <v>0</v>
      </c>
      <c r="G429" s="11">
        <v>0</v>
      </c>
      <c r="H429" s="11">
        <v>973031344875</v>
      </c>
      <c r="I429" s="11">
        <v>79243656540</v>
      </c>
      <c r="J429" s="11">
        <v>893787688335</v>
      </c>
      <c r="K429" s="11">
        <v>906216817345</v>
      </c>
      <c r="L429" s="11">
        <v>66814527530</v>
      </c>
      <c r="M429" s="12">
        <v>7.37</v>
      </c>
      <c r="N429" s="11">
        <v>2268793284427</v>
      </c>
      <c r="O429" s="12">
        <v>237.11</v>
      </c>
      <c r="P429" s="12">
        <v>253.84</v>
      </c>
      <c r="Q429" s="12">
        <v>10.15</v>
      </c>
      <c r="R429" s="11">
        <v>2062111604059</v>
      </c>
      <c r="S429" s="11">
        <v>245061882257</v>
      </c>
      <c r="T429" s="11">
        <v>97131559990</v>
      </c>
      <c r="U429" s="11">
        <v>144039457729</v>
      </c>
      <c r="V429" s="11">
        <v>3890864538</v>
      </c>
      <c r="W429" s="11">
        <v>2307173486316</v>
      </c>
      <c r="X429" s="11">
        <v>163762472991</v>
      </c>
      <c r="Y429" s="11">
        <v>20701126780</v>
      </c>
      <c r="Z429" s="11">
        <v>2491637086087</v>
      </c>
      <c r="AA429" s="11">
        <v>1869973440567</v>
      </c>
      <c r="AB429" s="12">
        <v>23.38</v>
      </c>
      <c r="AC429" s="11">
        <v>770481797108</v>
      </c>
      <c r="AD429" s="11">
        <v>747895797108</v>
      </c>
      <c r="AE429" s="11">
        <v>0</v>
      </c>
      <c r="AF429" s="11">
        <v>5382000000</v>
      </c>
      <c r="AG429" s="11">
        <v>47227055726</v>
      </c>
      <c r="AH429" s="11">
        <v>0</v>
      </c>
      <c r="AI429" s="11">
        <v>0</v>
      </c>
      <c r="AJ429" s="12">
        <v>0</v>
      </c>
      <c r="AK429" s="11">
        <v>0</v>
      </c>
      <c r="AL429" s="12">
        <v>140</v>
      </c>
      <c r="AM429" s="11">
        <v>443988289291</v>
      </c>
      <c r="AN429" s="12">
        <v>72</v>
      </c>
      <c r="AO429" s="11">
        <v>204384425000</v>
      </c>
      <c r="AP429" s="11">
        <v>245061882257</v>
      </c>
      <c r="AQ429" s="11">
        <v>38226015463</v>
      </c>
      <c r="AR429" s="11">
        <v>206835866794</v>
      </c>
      <c r="AS429" s="12">
        <v>541.09</v>
      </c>
      <c r="AT429" s="11">
        <v>406546901710</v>
      </c>
      <c r="AU429" s="11">
        <v>196313413435</v>
      </c>
      <c r="AV429" s="11">
        <v>59745793336</v>
      </c>
      <c r="AW429" s="11">
        <v>262950428120</v>
      </c>
      <c r="AX429" s="11">
        <v>203559466991</v>
      </c>
      <c r="AY429" s="11">
        <v>389935000000</v>
      </c>
      <c r="AZ429" s="11">
        <v>88823602130</v>
      </c>
      <c r="BA429" s="11">
        <v>973031344875</v>
      </c>
      <c r="BB429" s="13">
        <v>125430</v>
      </c>
      <c r="BC429" s="11">
        <v>379536877884</v>
      </c>
      <c r="BD429" s="11">
        <v>203559466991</v>
      </c>
      <c r="BE429" s="11">
        <v>389935000000</v>
      </c>
      <c r="BF429" s="11">
        <v>718137677108</v>
      </c>
      <c r="BG429" s="11">
        <v>52344120000</v>
      </c>
      <c r="BH429" s="11">
        <v>0</v>
      </c>
      <c r="BI429" s="11">
        <v>0</v>
      </c>
      <c r="BJ429" s="11">
        <v>0</v>
      </c>
      <c r="BK429" s="11">
        <v>0</v>
      </c>
      <c r="BL429" s="11">
        <v>0</v>
      </c>
      <c r="BM429" s="11">
        <v>5520377087</v>
      </c>
    </row>
    <row r="430" spans="1:65" x14ac:dyDescent="0.25">
      <c r="A430" s="32"/>
      <c r="B430" s="10">
        <v>1803</v>
      </c>
      <c r="C430" s="10" t="s">
        <v>480</v>
      </c>
      <c r="D430" s="11">
        <v>360483387707</v>
      </c>
      <c r="E430" s="11">
        <v>14254790476</v>
      </c>
      <c r="F430" s="11">
        <v>0</v>
      </c>
      <c r="G430" s="11">
        <v>0</v>
      </c>
      <c r="H430" s="11">
        <v>374738178183</v>
      </c>
      <c r="I430" s="11">
        <v>31945881578</v>
      </c>
      <c r="J430" s="11">
        <v>342792296605</v>
      </c>
      <c r="K430" s="11">
        <v>384797423425</v>
      </c>
      <c r="L430" s="11">
        <v>-10059245242</v>
      </c>
      <c r="M430" s="12">
        <v>-2.61</v>
      </c>
      <c r="N430" s="11">
        <v>817590139492</v>
      </c>
      <c r="O430" s="12">
        <v>216.85</v>
      </c>
      <c r="P430" s="12">
        <v>238.51</v>
      </c>
      <c r="Q430" s="12">
        <v>5.0999999999999996</v>
      </c>
      <c r="R430" s="11">
        <v>767913420141</v>
      </c>
      <c r="S430" s="11">
        <v>44719787191</v>
      </c>
      <c r="T430" s="11">
        <v>20725905148</v>
      </c>
      <c r="U430" s="11">
        <v>12281441594</v>
      </c>
      <c r="V430" s="11">
        <v>11712440449</v>
      </c>
      <c r="W430" s="11">
        <v>812633207332</v>
      </c>
      <c r="X430" s="11">
        <v>98044013711</v>
      </c>
      <c r="Y430" s="11">
        <v>7118240000</v>
      </c>
      <c r="Z430" s="11">
        <v>917795461043</v>
      </c>
      <c r="AA430" s="11">
        <v>766229732803</v>
      </c>
      <c r="AB430" s="12">
        <v>6.06</v>
      </c>
      <c r="AC430" s="11">
        <v>198995721559</v>
      </c>
      <c r="AD430" s="11">
        <v>198334882518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2">
        <v>0</v>
      </c>
      <c r="AK430" s="11">
        <v>0</v>
      </c>
      <c r="AL430" s="12">
        <v>3</v>
      </c>
      <c r="AM430" s="11">
        <v>107440000000</v>
      </c>
      <c r="AN430" s="12">
        <v>12</v>
      </c>
      <c r="AO430" s="11">
        <v>34779062000</v>
      </c>
      <c r="AP430" s="11">
        <v>44719787191</v>
      </c>
      <c r="AQ430" s="11">
        <v>35303449607</v>
      </c>
      <c r="AR430" s="11">
        <v>9416337584</v>
      </c>
      <c r="AS430" s="12">
        <v>26.67</v>
      </c>
      <c r="AT430" s="11">
        <v>215481716618</v>
      </c>
      <c r="AU430" s="11">
        <v>111491221383</v>
      </c>
      <c r="AV430" s="11">
        <v>25866426780</v>
      </c>
      <c r="AW430" s="11">
        <v>67218632425</v>
      </c>
      <c r="AX430" s="11">
        <v>79662328502</v>
      </c>
      <c r="AY430" s="11">
        <v>187736000000</v>
      </c>
      <c r="AZ430" s="11">
        <v>45759636695</v>
      </c>
      <c r="BA430" s="11">
        <v>374738178183</v>
      </c>
      <c r="BB430" s="13">
        <v>51861</v>
      </c>
      <c r="BC430" s="11">
        <v>107339849681</v>
      </c>
      <c r="BD430" s="11">
        <v>79662328502</v>
      </c>
      <c r="BE430" s="11">
        <v>187736000000</v>
      </c>
      <c r="BF430" s="11">
        <v>138787303559</v>
      </c>
      <c r="BG430" s="11">
        <v>60208418000</v>
      </c>
      <c r="BH430" s="11">
        <v>0</v>
      </c>
      <c r="BI430" s="11">
        <v>0</v>
      </c>
      <c r="BJ430" s="11">
        <v>0</v>
      </c>
      <c r="BK430" s="11">
        <v>0</v>
      </c>
      <c r="BL430" s="11">
        <v>0</v>
      </c>
      <c r="BM430" s="11">
        <v>0</v>
      </c>
    </row>
    <row r="431" spans="1:65" x14ac:dyDescent="0.25">
      <c r="A431" s="32"/>
      <c r="B431" s="10">
        <v>1804</v>
      </c>
      <c r="C431" s="10" t="s">
        <v>481</v>
      </c>
      <c r="D431" s="11">
        <v>710248566758</v>
      </c>
      <c r="E431" s="11">
        <v>2113698320</v>
      </c>
      <c r="F431" s="11">
        <v>0</v>
      </c>
      <c r="G431" s="11">
        <v>0</v>
      </c>
      <c r="H431" s="11">
        <v>712362265078</v>
      </c>
      <c r="I431" s="11">
        <v>57420808999</v>
      </c>
      <c r="J431" s="11">
        <v>654941456079</v>
      </c>
      <c r="K431" s="11">
        <v>557378474840</v>
      </c>
      <c r="L431" s="11">
        <v>154983790238</v>
      </c>
      <c r="M431" s="12">
        <v>27.81</v>
      </c>
      <c r="N431" s="11">
        <v>925362889933</v>
      </c>
      <c r="O431" s="12">
        <v>133.16</v>
      </c>
      <c r="P431" s="12">
        <v>141.29</v>
      </c>
      <c r="Q431" s="12">
        <v>3.65</v>
      </c>
      <c r="R431" s="11">
        <v>909300164470</v>
      </c>
      <c r="S431" s="11">
        <v>39258541204</v>
      </c>
      <c r="T431" s="11">
        <v>21489221357</v>
      </c>
      <c r="U431" s="11">
        <v>17172853115</v>
      </c>
      <c r="V431" s="11">
        <v>596466732</v>
      </c>
      <c r="W431" s="11">
        <v>948558705674</v>
      </c>
      <c r="X431" s="11">
        <v>102145473488</v>
      </c>
      <c r="Y431" s="11">
        <v>25976397500</v>
      </c>
      <c r="Z431" s="11">
        <v>1076680576662</v>
      </c>
      <c r="AA431" s="11">
        <v>780737819204</v>
      </c>
      <c r="AB431" s="12">
        <v>21.5</v>
      </c>
      <c r="AC431" s="11">
        <v>342052015354</v>
      </c>
      <c r="AD431" s="11">
        <v>326199253030</v>
      </c>
      <c r="AE431" s="11">
        <v>0</v>
      </c>
      <c r="AF431" s="11">
        <v>0</v>
      </c>
      <c r="AG431" s="11">
        <v>0</v>
      </c>
      <c r="AH431" s="11">
        <v>0</v>
      </c>
      <c r="AI431" s="11">
        <v>0</v>
      </c>
      <c r="AJ431" s="12">
        <v>0</v>
      </c>
      <c r="AK431" s="11">
        <v>0</v>
      </c>
      <c r="AL431" s="12">
        <v>2</v>
      </c>
      <c r="AM431" s="11">
        <v>200000000</v>
      </c>
      <c r="AN431" s="12">
        <v>9</v>
      </c>
      <c r="AO431" s="11">
        <v>5856600000</v>
      </c>
      <c r="AP431" s="11">
        <v>39258541204</v>
      </c>
      <c r="AQ431" s="11">
        <v>17928464683</v>
      </c>
      <c r="AR431" s="11">
        <v>21330076521</v>
      </c>
      <c r="AS431" s="12">
        <v>118.97</v>
      </c>
      <c r="AT431" s="11">
        <v>215532519726</v>
      </c>
      <c r="AU431" s="11">
        <v>77435750714</v>
      </c>
      <c r="AV431" s="11">
        <v>119085865916</v>
      </c>
      <c r="AW431" s="11">
        <v>167247780832</v>
      </c>
      <c r="AX431" s="11">
        <v>91356920010</v>
      </c>
      <c r="AY431" s="11">
        <v>332558000000</v>
      </c>
      <c r="AZ431" s="11">
        <v>56236332555</v>
      </c>
      <c r="BA431" s="11">
        <v>712362265078</v>
      </c>
      <c r="BB431" s="13">
        <v>31766</v>
      </c>
      <c r="BC431" s="11">
        <v>288447345068</v>
      </c>
      <c r="BD431" s="11">
        <v>91356920010</v>
      </c>
      <c r="BE431" s="11">
        <v>332558000000</v>
      </c>
      <c r="BF431" s="11">
        <v>307782015354</v>
      </c>
      <c r="BG431" s="11">
        <v>34270000000</v>
      </c>
      <c r="BH431" s="11">
        <v>0</v>
      </c>
      <c r="BI431" s="11">
        <v>0</v>
      </c>
      <c r="BJ431" s="11">
        <v>0</v>
      </c>
      <c r="BK431" s="11">
        <v>0</v>
      </c>
      <c r="BL431" s="11">
        <v>0</v>
      </c>
      <c r="BM431" s="11">
        <v>0</v>
      </c>
    </row>
    <row r="432" spans="1:65" x14ac:dyDescent="0.25">
      <c r="A432" s="32"/>
      <c r="B432" s="10">
        <v>1805</v>
      </c>
      <c r="C432" s="10" t="s">
        <v>482</v>
      </c>
      <c r="D432" s="11">
        <v>1084045053705</v>
      </c>
      <c r="E432" s="11">
        <v>49479841069</v>
      </c>
      <c r="F432" s="11">
        <v>0</v>
      </c>
      <c r="G432" s="11">
        <v>0</v>
      </c>
      <c r="H432" s="11">
        <v>1133524894774</v>
      </c>
      <c r="I432" s="11">
        <v>92441358687</v>
      </c>
      <c r="J432" s="11">
        <v>1041083536087</v>
      </c>
      <c r="K432" s="11">
        <v>1067297770572</v>
      </c>
      <c r="L432" s="11">
        <v>66227124202</v>
      </c>
      <c r="M432" s="12">
        <v>6.21</v>
      </c>
      <c r="N432" s="11">
        <v>1166017616910</v>
      </c>
      <c r="O432" s="12">
        <v>107.99</v>
      </c>
      <c r="P432" s="12">
        <v>112</v>
      </c>
      <c r="Q432" s="12">
        <v>12.3</v>
      </c>
      <c r="R432" s="11">
        <v>1056073501868</v>
      </c>
      <c r="S432" s="11">
        <v>167969903047</v>
      </c>
      <c r="T432" s="11">
        <v>99619556563</v>
      </c>
      <c r="U432" s="11">
        <v>67594566701</v>
      </c>
      <c r="V432" s="11">
        <v>755779783</v>
      </c>
      <c r="W432" s="11">
        <v>1224043404915</v>
      </c>
      <c r="X432" s="11">
        <v>125387754428</v>
      </c>
      <c r="Y432" s="11">
        <v>18673883000</v>
      </c>
      <c r="Z432" s="11">
        <v>1368105042343</v>
      </c>
      <c r="AA432" s="11">
        <v>965794711155</v>
      </c>
      <c r="AB432" s="12">
        <v>26.74</v>
      </c>
      <c r="AC432" s="11">
        <v>612591013733</v>
      </c>
      <c r="AD432" s="11">
        <v>571407752720</v>
      </c>
      <c r="AE432" s="11">
        <v>175609944645</v>
      </c>
      <c r="AF432" s="11">
        <v>3232556888</v>
      </c>
      <c r="AG432" s="11">
        <v>0</v>
      </c>
      <c r="AH432" s="11">
        <v>0</v>
      </c>
      <c r="AI432" s="11">
        <v>0</v>
      </c>
      <c r="AJ432" s="12">
        <v>5</v>
      </c>
      <c r="AK432" s="11">
        <v>477170583930</v>
      </c>
      <c r="AL432" s="12">
        <v>21</v>
      </c>
      <c r="AM432" s="11">
        <v>266235097886</v>
      </c>
      <c r="AN432" s="12">
        <v>31</v>
      </c>
      <c r="AO432" s="11">
        <v>128809497041</v>
      </c>
      <c r="AP432" s="11">
        <v>167969903047</v>
      </c>
      <c r="AQ432" s="11">
        <v>55141897655</v>
      </c>
      <c r="AR432" s="11">
        <v>112828005392</v>
      </c>
      <c r="AS432" s="12">
        <v>204.61</v>
      </c>
      <c r="AT432" s="11">
        <v>419805461590</v>
      </c>
      <c r="AU432" s="11">
        <v>90628749157</v>
      </c>
      <c r="AV432" s="11">
        <v>94978948988</v>
      </c>
      <c r="AW432" s="11">
        <v>52146821710</v>
      </c>
      <c r="AX432" s="11">
        <v>234984983007</v>
      </c>
      <c r="AY432" s="11">
        <v>701934300000</v>
      </c>
      <c r="AZ432" s="11">
        <v>158164383762</v>
      </c>
      <c r="BA432" s="11">
        <v>1133524894774</v>
      </c>
      <c r="BB432" s="13">
        <v>36333</v>
      </c>
      <c r="BC432" s="11">
        <v>196551591517</v>
      </c>
      <c r="BD432" s="11">
        <v>234984983007</v>
      </c>
      <c r="BE432" s="11">
        <v>701988320250</v>
      </c>
      <c r="BF432" s="11">
        <v>336137978604</v>
      </c>
      <c r="BG432" s="11">
        <v>276453035129</v>
      </c>
      <c r="BH432" s="11">
        <v>19281924689</v>
      </c>
      <c r="BI432" s="11">
        <v>0</v>
      </c>
      <c r="BJ432" s="11">
        <v>166672018848</v>
      </c>
      <c r="BK432" s="11">
        <v>0</v>
      </c>
      <c r="BL432" s="11">
        <v>0</v>
      </c>
      <c r="BM432" s="11">
        <v>3353079178</v>
      </c>
    </row>
    <row r="433" spans="1:65" x14ac:dyDescent="0.25">
      <c r="A433" s="32"/>
      <c r="B433" s="10">
        <v>1806</v>
      </c>
      <c r="C433" s="10" t="s">
        <v>483</v>
      </c>
      <c r="D433" s="11">
        <v>557129865220</v>
      </c>
      <c r="E433" s="11">
        <v>18091109948</v>
      </c>
      <c r="F433" s="11">
        <v>0</v>
      </c>
      <c r="G433" s="11">
        <v>0</v>
      </c>
      <c r="H433" s="11">
        <v>575220975168</v>
      </c>
      <c r="I433" s="11">
        <v>48854675114</v>
      </c>
      <c r="J433" s="11">
        <v>526366300054</v>
      </c>
      <c r="K433" s="11">
        <v>520870792420</v>
      </c>
      <c r="L433" s="11">
        <v>54350182748</v>
      </c>
      <c r="M433" s="12">
        <v>10.43</v>
      </c>
      <c r="N433" s="11">
        <v>386083440510</v>
      </c>
      <c r="O433" s="12">
        <v>67.209999999999994</v>
      </c>
      <c r="P433" s="12">
        <v>73.349999999999994</v>
      </c>
      <c r="Q433" s="12">
        <v>2.0099999999999998</v>
      </c>
      <c r="R433" s="11">
        <v>376925869842</v>
      </c>
      <c r="S433" s="11">
        <v>9660207845</v>
      </c>
      <c r="T433" s="11">
        <v>8477988914</v>
      </c>
      <c r="U433" s="11">
        <v>1182218931</v>
      </c>
      <c r="V433" s="11">
        <v>0</v>
      </c>
      <c r="W433" s="11">
        <v>386586077687</v>
      </c>
      <c r="X433" s="11">
        <v>71539572372</v>
      </c>
      <c r="Y433" s="11">
        <v>22279350000</v>
      </c>
      <c r="Z433" s="11">
        <v>480405000059</v>
      </c>
      <c r="AA433" s="11">
        <v>333285232318</v>
      </c>
      <c r="AB433" s="12">
        <v>15.99</v>
      </c>
      <c r="AC433" s="11">
        <v>176103128606</v>
      </c>
      <c r="AD433" s="11">
        <v>176103128606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2">
        <v>0</v>
      </c>
      <c r="AK433" s="11">
        <v>0</v>
      </c>
      <c r="AL433" s="12">
        <v>21</v>
      </c>
      <c r="AM433" s="11">
        <v>111058756043</v>
      </c>
      <c r="AN433" s="12">
        <v>11</v>
      </c>
      <c r="AO433" s="11">
        <v>16589003946</v>
      </c>
      <c r="AP433" s="11">
        <v>9660207845</v>
      </c>
      <c r="AQ433" s="11">
        <v>15985344277</v>
      </c>
      <c r="AR433" s="11">
        <v>-6325136432</v>
      </c>
      <c r="AS433" s="12">
        <v>-39.57</v>
      </c>
      <c r="AT433" s="11">
        <v>150955735096</v>
      </c>
      <c r="AU433" s="11">
        <v>62350918311</v>
      </c>
      <c r="AV433" s="11">
        <v>23183326364</v>
      </c>
      <c r="AW433" s="11">
        <v>121600177017</v>
      </c>
      <c r="AX433" s="11">
        <v>61540361839</v>
      </c>
      <c r="AY433" s="11">
        <v>350806000000</v>
      </c>
      <c r="AZ433" s="11">
        <v>46903974152</v>
      </c>
      <c r="BA433" s="11">
        <v>575220975168</v>
      </c>
      <c r="BB433" s="13">
        <v>21420</v>
      </c>
      <c r="BC433" s="11">
        <v>162874613329</v>
      </c>
      <c r="BD433" s="11">
        <v>61540361839</v>
      </c>
      <c r="BE433" s="11">
        <v>350806000000</v>
      </c>
      <c r="BF433" s="11">
        <v>142362928606</v>
      </c>
      <c r="BG433" s="11">
        <v>33740200000</v>
      </c>
      <c r="BH433" s="11">
        <v>0</v>
      </c>
      <c r="BI433" s="11">
        <v>0</v>
      </c>
      <c r="BJ433" s="11">
        <v>0</v>
      </c>
      <c r="BK433" s="11">
        <v>0</v>
      </c>
      <c r="BL433" s="11">
        <v>0</v>
      </c>
      <c r="BM433" s="11">
        <v>0</v>
      </c>
    </row>
    <row r="434" spans="1:65" s="24" customFormat="1" x14ac:dyDescent="0.25">
      <c r="A434" s="32"/>
      <c r="B434" s="20">
        <v>1807</v>
      </c>
      <c r="C434" s="20" t="s">
        <v>484</v>
      </c>
      <c r="D434" s="21">
        <v>837013196290</v>
      </c>
      <c r="E434" s="21">
        <v>6151319783</v>
      </c>
      <c r="F434" s="21">
        <v>0</v>
      </c>
      <c r="G434" s="21">
        <v>0</v>
      </c>
      <c r="H434" s="21">
        <v>843164516073</v>
      </c>
      <c r="I434" s="21">
        <v>66810900494</v>
      </c>
      <c r="J434" s="21">
        <v>776353615579</v>
      </c>
      <c r="K434" s="21">
        <v>376479724271</v>
      </c>
      <c r="L434" s="21">
        <v>466684791802</v>
      </c>
      <c r="M434" s="22">
        <v>123.96</v>
      </c>
      <c r="N434" s="21">
        <v>439181077616</v>
      </c>
      <c r="O434" s="22">
        <v>54.4</v>
      </c>
      <c r="P434" s="22">
        <v>56.57</v>
      </c>
      <c r="Q434" s="22">
        <v>0</v>
      </c>
      <c r="R434" s="21">
        <v>458645662116</v>
      </c>
      <c r="S434" s="21">
        <v>0</v>
      </c>
      <c r="T434" s="21">
        <v>0</v>
      </c>
      <c r="U434" s="21">
        <v>0</v>
      </c>
      <c r="V434" s="21">
        <v>0</v>
      </c>
      <c r="W434" s="21">
        <v>458645662116</v>
      </c>
      <c r="X434" s="21">
        <v>121971811672</v>
      </c>
      <c r="Y434" s="21">
        <v>55981895813</v>
      </c>
      <c r="Z434" s="21">
        <v>636599369601</v>
      </c>
      <c r="AA434" s="21">
        <v>83983617627</v>
      </c>
      <c r="AB434" s="22">
        <v>446.11</v>
      </c>
      <c r="AC434" s="21">
        <v>455761373575</v>
      </c>
      <c r="AD434" s="21">
        <v>453831373575</v>
      </c>
      <c r="AE434" s="21">
        <v>0</v>
      </c>
      <c r="AF434" s="21">
        <v>0</v>
      </c>
      <c r="AG434" s="21">
        <v>0</v>
      </c>
      <c r="AH434" s="21">
        <v>0</v>
      </c>
      <c r="AI434" s="21">
        <v>0</v>
      </c>
      <c r="AJ434" s="22">
        <v>0</v>
      </c>
      <c r="AK434" s="21">
        <v>0</v>
      </c>
      <c r="AL434" s="22">
        <v>16</v>
      </c>
      <c r="AM434" s="21">
        <v>46877140000</v>
      </c>
      <c r="AN434" s="12">
        <v>1</v>
      </c>
      <c r="AO434" s="11">
        <v>200000000</v>
      </c>
      <c r="AP434" s="21">
        <v>0</v>
      </c>
      <c r="AQ434" s="21">
        <v>0</v>
      </c>
      <c r="AR434" s="21">
        <v>0</v>
      </c>
      <c r="AS434" s="22"/>
      <c r="AT434" s="21">
        <v>80105113533</v>
      </c>
      <c r="AU434" s="21">
        <v>897254028</v>
      </c>
      <c r="AV434" s="21">
        <v>73364215167</v>
      </c>
      <c r="AW434" s="21">
        <v>83089718518</v>
      </c>
      <c r="AX434" s="21">
        <v>337142262605</v>
      </c>
      <c r="AY434" s="21">
        <v>343417000000</v>
      </c>
      <c r="AZ434" s="21">
        <v>334703815044</v>
      </c>
      <c r="BA434" s="21">
        <v>843164516073</v>
      </c>
      <c r="BB434" s="23">
        <v>0</v>
      </c>
      <c r="BC434" s="21">
        <v>162605253468</v>
      </c>
      <c r="BD434" s="21">
        <v>337142262605</v>
      </c>
      <c r="BE434" s="21">
        <v>343417000000</v>
      </c>
      <c r="BF434" s="21">
        <v>172772502755</v>
      </c>
      <c r="BG434" s="21">
        <v>282988870820</v>
      </c>
      <c r="BH434" s="21">
        <v>0</v>
      </c>
      <c r="BI434" s="21">
        <v>0</v>
      </c>
      <c r="BJ434" s="21">
        <v>0</v>
      </c>
      <c r="BK434" s="21">
        <v>0</v>
      </c>
      <c r="BL434" s="21">
        <v>0</v>
      </c>
      <c r="BM434" s="21">
        <v>0</v>
      </c>
    </row>
    <row r="435" spans="1:65" x14ac:dyDescent="0.25">
      <c r="A435" s="32"/>
      <c r="B435" s="10">
        <v>1899</v>
      </c>
      <c r="C435" s="10" t="s">
        <v>485</v>
      </c>
      <c r="D435" s="11">
        <v>0</v>
      </c>
      <c r="E435" s="11">
        <v>13387800</v>
      </c>
      <c r="F435" s="11">
        <v>0</v>
      </c>
      <c r="G435" s="11">
        <v>0</v>
      </c>
      <c r="H435" s="11">
        <v>13387800</v>
      </c>
      <c r="I435" s="11">
        <v>3049888</v>
      </c>
      <c r="J435" s="11">
        <v>10337912</v>
      </c>
      <c r="K435" s="11">
        <v>13387800</v>
      </c>
      <c r="L435" s="11">
        <v>0</v>
      </c>
      <c r="M435" s="12">
        <v>0</v>
      </c>
      <c r="N435" s="11">
        <v>0</v>
      </c>
      <c r="O435" s="12">
        <v>0</v>
      </c>
      <c r="P435" s="12">
        <v>0</v>
      </c>
      <c r="Q435" s="12">
        <v>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11">
        <v>0</v>
      </c>
      <c r="X435" s="11">
        <v>0</v>
      </c>
      <c r="Y435" s="11">
        <v>0</v>
      </c>
      <c r="Z435" s="11">
        <v>0</v>
      </c>
      <c r="AA435" s="11">
        <v>0</v>
      </c>
      <c r="AB435" s="12"/>
      <c r="AC435" s="11">
        <v>0</v>
      </c>
      <c r="AD435" s="11">
        <v>0</v>
      </c>
      <c r="AE435" s="11">
        <v>0</v>
      </c>
      <c r="AF435" s="11">
        <v>0</v>
      </c>
      <c r="AG435" s="11">
        <v>0</v>
      </c>
      <c r="AH435" s="11">
        <v>0</v>
      </c>
      <c r="AI435" s="11">
        <v>0</v>
      </c>
      <c r="AJ435" s="12">
        <v>0</v>
      </c>
      <c r="AK435" s="11">
        <v>0</v>
      </c>
      <c r="AL435" s="12">
        <v>0</v>
      </c>
      <c r="AM435" s="11">
        <v>0</v>
      </c>
      <c r="AN435" s="12">
        <v>0</v>
      </c>
      <c r="AO435" s="11">
        <v>0</v>
      </c>
      <c r="AP435" s="11">
        <v>0</v>
      </c>
      <c r="AQ435" s="11">
        <v>0</v>
      </c>
      <c r="AR435" s="11">
        <v>0</v>
      </c>
      <c r="AS435" s="12"/>
      <c r="AT435" s="11">
        <v>0</v>
      </c>
      <c r="AU435" s="11">
        <v>0</v>
      </c>
      <c r="AV435" s="11">
        <v>0</v>
      </c>
      <c r="AW435" s="11">
        <v>0</v>
      </c>
      <c r="AX435" s="11">
        <v>0</v>
      </c>
      <c r="AY435" s="11">
        <v>0</v>
      </c>
      <c r="AZ435" s="11">
        <v>0</v>
      </c>
      <c r="BA435" s="11">
        <v>13387800</v>
      </c>
      <c r="BB435" s="13">
        <v>0</v>
      </c>
      <c r="BC435" s="11">
        <v>0</v>
      </c>
      <c r="BD435" s="11">
        <v>0</v>
      </c>
      <c r="BE435" s="11">
        <v>13387800</v>
      </c>
      <c r="BF435" s="11">
        <v>0</v>
      </c>
      <c r="BG435" s="11">
        <v>0</v>
      </c>
      <c r="BH435" s="11">
        <v>0</v>
      </c>
      <c r="BI435" s="11">
        <v>0</v>
      </c>
      <c r="BJ435" s="11">
        <v>0</v>
      </c>
      <c r="BK435" s="11">
        <v>0</v>
      </c>
      <c r="BL435" s="11">
        <v>0</v>
      </c>
      <c r="BM435" s="11">
        <v>0</v>
      </c>
    </row>
    <row r="436" spans="1:65" s="25" customFormat="1" x14ac:dyDescent="0.25">
      <c r="A436" s="14" t="s">
        <v>616</v>
      </c>
      <c r="B436" s="15"/>
      <c r="C436" s="15"/>
      <c r="D436" s="16">
        <v>6359483988570</v>
      </c>
      <c r="E436" s="16">
        <v>455866115985</v>
      </c>
      <c r="F436" s="16">
        <v>46458000000</v>
      </c>
      <c r="G436" s="16">
        <v>361689300</v>
      </c>
      <c r="H436" s="16">
        <v>6862169793855</v>
      </c>
      <c r="I436" s="16">
        <v>567355187752</v>
      </c>
      <c r="J436" s="16">
        <v>6294814606103</v>
      </c>
      <c r="K436" s="16">
        <v>6197428947583</v>
      </c>
      <c r="L436" s="16">
        <v>664740846272</v>
      </c>
      <c r="M436" s="17">
        <v>10.73</v>
      </c>
      <c r="N436" s="16">
        <v>10154236125623</v>
      </c>
      <c r="O436" s="17">
        <v>166.07</v>
      </c>
      <c r="P436" s="17">
        <v>161.31</v>
      </c>
      <c r="Q436" s="17">
        <v>5.46</v>
      </c>
      <c r="R436" s="16">
        <v>10720006663727</v>
      </c>
      <c r="S436" s="16">
        <v>676212113500</v>
      </c>
      <c r="T436" s="16">
        <v>308996220366</v>
      </c>
      <c r="U436" s="16">
        <v>349737719670</v>
      </c>
      <c r="V436" s="16">
        <v>17478173464</v>
      </c>
      <c r="W436" s="16">
        <v>11396218777227</v>
      </c>
      <c r="X436" s="16">
        <v>1028208666665</v>
      </c>
      <c r="Y436" s="16">
        <v>200488016727</v>
      </c>
      <c r="Z436" s="16">
        <v>12624915460619</v>
      </c>
      <c r="AA436" s="16">
        <v>9494519393563</v>
      </c>
      <c r="AB436" s="17">
        <v>20.03</v>
      </c>
      <c r="AC436" s="16">
        <v>4281881982048</v>
      </c>
      <c r="AD436" s="16">
        <v>4156282734703</v>
      </c>
      <c r="AE436" s="16">
        <v>190620810433</v>
      </c>
      <c r="AF436" s="16">
        <v>8614556888</v>
      </c>
      <c r="AG436" s="16">
        <v>79064322081</v>
      </c>
      <c r="AH436" s="16">
        <v>0</v>
      </c>
      <c r="AI436" s="16">
        <v>0</v>
      </c>
      <c r="AJ436" s="17">
        <v>7</v>
      </c>
      <c r="AK436" s="16">
        <v>776113755930</v>
      </c>
      <c r="AL436" s="17">
        <v>299</v>
      </c>
      <c r="AM436" s="16">
        <v>1751517591578</v>
      </c>
      <c r="AN436" s="18">
        <f>SUM(AN427:AN435)</f>
        <v>196</v>
      </c>
      <c r="AO436" s="16">
        <f>SUM(AO427:AO435)</f>
        <v>671689018716</v>
      </c>
      <c r="AP436" s="16">
        <v>676212113500</v>
      </c>
      <c r="AQ436" s="16">
        <v>294999659935</v>
      </c>
      <c r="AR436" s="16">
        <v>381212453565</v>
      </c>
      <c r="AS436" s="17">
        <v>129.22</v>
      </c>
      <c r="AT436" s="16">
        <v>3270823706142</v>
      </c>
      <c r="AU436" s="16">
        <v>908221229808</v>
      </c>
      <c r="AV436" s="16">
        <v>607801081757</v>
      </c>
      <c r="AW436" s="16">
        <v>1039873000413</v>
      </c>
      <c r="AX436" s="16">
        <v>1444714106400</v>
      </c>
      <c r="AY436" s="16">
        <v>3267095800000</v>
      </c>
      <c r="AZ436" s="16">
        <v>975895610177</v>
      </c>
      <c r="BA436" s="16">
        <v>6862169793855</v>
      </c>
      <c r="BB436" s="18">
        <v>585378</v>
      </c>
      <c r="BC436" s="16">
        <v>1981875184349</v>
      </c>
      <c r="BD436" s="16">
        <v>1491172106400</v>
      </c>
      <c r="BE436" s="16">
        <v>3389122503106</v>
      </c>
      <c r="BF436" s="16">
        <v>2791508317362</v>
      </c>
      <c r="BG436" s="16">
        <v>1490373664686</v>
      </c>
      <c r="BH436" s="16">
        <v>34292790477</v>
      </c>
      <c r="BI436" s="16">
        <v>0</v>
      </c>
      <c r="BJ436" s="16">
        <v>166672018848</v>
      </c>
      <c r="BK436" s="16">
        <v>0</v>
      </c>
      <c r="BL436" s="16">
        <v>0</v>
      </c>
      <c r="BM436" s="16">
        <v>19232463618</v>
      </c>
    </row>
    <row r="437" spans="1:65" x14ac:dyDescent="0.25">
      <c r="A437" s="32" t="s">
        <v>486</v>
      </c>
      <c r="B437" s="10">
        <v>2700</v>
      </c>
      <c r="C437" s="10" t="s">
        <v>487</v>
      </c>
      <c r="D437" s="11">
        <v>659903038244</v>
      </c>
      <c r="E437" s="11">
        <v>86379198638</v>
      </c>
      <c r="F437" s="11">
        <v>31462600000</v>
      </c>
      <c r="G437" s="11">
        <v>120563100</v>
      </c>
      <c r="H437" s="11">
        <v>777865399982</v>
      </c>
      <c r="I437" s="11">
        <v>64470555527</v>
      </c>
      <c r="J437" s="11">
        <v>713394844455</v>
      </c>
      <c r="K437" s="11">
        <v>726244990095</v>
      </c>
      <c r="L437" s="11">
        <v>51620409887</v>
      </c>
      <c r="M437" s="12">
        <v>7.11</v>
      </c>
      <c r="N437" s="11">
        <v>2677156036850</v>
      </c>
      <c r="O437" s="12">
        <v>468.26</v>
      </c>
      <c r="P437" s="12">
        <v>375.27</v>
      </c>
      <c r="Q437" s="12">
        <v>2.67</v>
      </c>
      <c r="R437" s="11">
        <v>3548856159045</v>
      </c>
      <c r="S437" s="11">
        <v>93584899011</v>
      </c>
      <c r="T437" s="11">
        <v>45515559232</v>
      </c>
      <c r="U437" s="11">
        <v>44293972989</v>
      </c>
      <c r="V437" s="11">
        <v>3775366790</v>
      </c>
      <c r="W437" s="11">
        <v>3642441058056</v>
      </c>
      <c r="X437" s="11">
        <v>128738075450</v>
      </c>
      <c r="Y437" s="11">
        <v>5180802521</v>
      </c>
      <c r="Z437" s="11">
        <v>3776359936027</v>
      </c>
      <c r="AA437" s="11">
        <v>3232536839535</v>
      </c>
      <c r="AB437" s="12">
        <v>12.68</v>
      </c>
      <c r="AC437" s="11">
        <v>1073532991258</v>
      </c>
      <c r="AD437" s="11">
        <v>1065446426466</v>
      </c>
      <c r="AE437" s="11">
        <v>0</v>
      </c>
      <c r="AF437" s="11">
        <v>0</v>
      </c>
      <c r="AG437" s="11">
        <v>80020632455</v>
      </c>
      <c r="AH437" s="11">
        <v>0</v>
      </c>
      <c r="AI437" s="11">
        <v>0</v>
      </c>
      <c r="AJ437" s="12">
        <v>0</v>
      </c>
      <c r="AK437" s="11">
        <v>0</v>
      </c>
      <c r="AL437" s="12">
        <v>34</v>
      </c>
      <c r="AM437" s="11">
        <v>159610596586</v>
      </c>
      <c r="AN437" s="12">
        <v>29</v>
      </c>
      <c r="AO437" s="11">
        <v>84912167935</v>
      </c>
      <c r="AP437" s="11">
        <v>93584899011</v>
      </c>
      <c r="AQ437" s="11">
        <v>107311577412</v>
      </c>
      <c r="AR437" s="11">
        <v>-13726678401</v>
      </c>
      <c r="AS437" s="12">
        <v>-12.79</v>
      </c>
      <c r="AT437" s="11">
        <v>987053448644</v>
      </c>
      <c r="AU437" s="11">
        <v>92507424584</v>
      </c>
      <c r="AV437" s="11">
        <v>172033255056</v>
      </c>
      <c r="AW437" s="11">
        <v>289626120423</v>
      </c>
      <c r="AX437" s="11">
        <v>119908662765</v>
      </c>
      <c r="AY437" s="11">
        <v>78335000000</v>
      </c>
      <c r="AZ437" s="11">
        <v>44908690408</v>
      </c>
      <c r="BA437" s="11">
        <v>777865399982</v>
      </c>
      <c r="BB437" s="13">
        <v>103741</v>
      </c>
      <c r="BC437" s="11">
        <v>473677411389</v>
      </c>
      <c r="BD437" s="11">
        <v>151371262765</v>
      </c>
      <c r="BE437" s="11">
        <v>152816725828</v>
      </c>
      <c r="BF437" s="11">
        <v>881475061611</v>
      </c>
      <c r="BG437" s="11">
        <v>192057929647</v>
      </c>
      <c r="BH437" s="11">
        <v>0</v>
      </c>
      <c r="BI437" s="11">
        <v>0</v>
      </c>
      <c r="BJ437" s="11">
        <v>0</v>
      </c>
      <c r="BK437" s="11">
        <v>0</v>
      </c>
      <c r="BL437" s="11">
        <v>0</v>
      </c>
      <c r="BM437" s="11">
        <v>0</v>
      </c>
    </row>
    <row r="438" spans="1:65" x14ac:dyDescent="0.25">
      <c r="A438" s="32"/>
      <c r="B438" s="10">
        <v>2701</v>
      </c>
      <c r="C438" s="10" t="s">
        <v>488</v>
      </c>
      <c r="D438" s="11">
        <v>1054632435476</v>
      </c>
      <c r="E438" s="11">
        <v>5080952041</v>
      </c>
      <c r="F438" s="11">
        <v>0</v>
      </c>
      <c r="G438" s="11">
        <v>0</v>
      </c>
      <c r="H438" s="11">
        <v>1059713387517</v>
      </c>
      <c r="I438" s="11">
        <v>87343120624</v>
      </c>
      <c r="J438" s="11">
        <v>972370266893</v>
      </c>
      <c r="K438" s="11">
        <v>683031833086</v>
      </c>
      <c r="L438" s="11">
        <v>376681554431</v>
      </c>
      <c r="M438" s="12">
        <v>55.15</v>
      </c>
      <c r="N438" s="11">
        <v>1664641929979</v>
      </c>
      <c r="O438" s="12">
        <v>168.33</v>
      </c>
      <c r="P438" s="12">
        <v>171.19</v>
      </c>
      <c r="Q438" s="12">
        <v>11.43</v>
      </c>
      <c r="R438" s="11">
        <v>1572716352861</v>
      </c>
      <c r="S438" s="11">
        <v>211058615586</v>
      </c>
      <c r="T438" s="11">
        <v>33832867788</v>
      </c>
      <c r="U438" s="11">
        <v>149587291970</v>
      </c>
      <c r="V438" s="11">
        <v>27638455828</v>
      </c>
      <c r="W438" s="11">
        <v>1783774968447</v>
      </c>
      <c r="X438" s="11">
        <v>128803219006</v>
      </c>
      <c r="Y438" s="11">
        <v>5833000000</v>
      </c>
      <c r="Z438" s="11">
        <v>1918411187453</v>
      </c>
      <c r="AA438" s="11">
        <v>1285432414597</v>
      </c>
      <c r="AB438" s="12">
        <v>38.770000000000003</v>
      </c>
      <c r="AC438" s="11">
        <v>782534938897</v>
      </c>
      <c r="AD438" s="11">
        <v>767262345364</v>
      </c>
      <c r="AE438" s="11">
        <v>0</v>
      </c>
      <c r="AF438" s="11">
        <v>0</v>
      </c>
      <c r="AG438" s="11">
        <v>0</v>
      </c>
      <c r="AH438" s="11">
        <v>0</v>
      </c>
      <c r="AI438" s="11">
        <v>0</v>
      </c>
      <c r="AJ438" s="12">
        <v>0</v>
      </c>
      <c r="AK438" s="11">
        <v>0</v>
      </c>
      <c r="AL438" s="12">
        <v>0</v>
      </c>
      <c r="AM438" s="11">
        <v>0</v>
      </c>
      <c r="AN438" s="12">
        <v>11</v>
      </c>
      <c r="AO438" s="11">
        <v>7314865990</v>
      </c>
      <c r="AP438" s="11">
        <v>211058615586</v>
      </c>
      <c r="AQ438" s="11">
        <v>96483035243</v>
      </c>
      <c r="AR438" s="11">
        <v>114575580343</v>
      </c>
      <c r="AS438" s="12">
        <v>118.75</v>
      </c>
      <c r="AT438" s="11">
        <v>396278943420</v>
      </c>
      <c r="AU438" s="11">
        <v>160687228774</v>
      </c>
      <c r="AV438" s="11">
        <v>451743430593</v>
      </c>
      <c r="AW438" s="11">
        <v>275256775107</v>
      </c>
      <c r="AX438" s="11">
        <v>139199229776</v>
      </c>
      <c r="AY438" s="11">
        <v>188433000000</v>
      </c>
      <c r="AZ438" s="11">
        <v>92321612644</v>
      </c>
      <c r="BA438" s="11">
        <v>1059713387517</v>
      </c>
      <c r="BB438" s="13">
        <v>53423</v>
      </c>
      <c r="BC438" s="11">
        <v>732081157741</v>
      </c>
      <c r="BD438" s="11">
        <v>139199229776</v>
      </c>
      <c r="BE438" s="11">
        <v>188433000000</v>
      </c>
      <c r="BF438" s="11">
        <v>703934938897</v>
      </c>
      <c r="BG438" s="11">
        <v>78600000000</v>
      </c>
      <c r="BH438" s="11">
        <v>0</v>
      </c>
      <c r="BI438" s="11">
        <v>0</v>
      </c>
      <c r="BJ438" s="11">
        <v>0</v>
      </c>
      <c r="BK438" s="11">
        <v>0</v>
      </c>
      <c r="BL438" s="11">
        <v>0</v>
      </c>
      <c r="BM438" s="11">
        <v>0</v>
      </c>
    </row>
    <row r="439" spans="1:65" x14ac:dyDescent="0.25">
      <c r="A439" s="32"/>
      <c r="B439" s="10">
        <v>2702</v>
      </c>
      <c r="C439" s="10" t="s">
        <v>489</v>
      </c>
      <c r="D439" s="11">
        <v>576497418738</v>
      </c>
      <c r="E439" s="11">
        <v>11747068432</v>
      </c>
      <c r="F439" s="11">
        <v>0</v>
      </c>
      <c r="G439" s="11">
        <v>0</v>
      </c>
      <c r="H439" s="11">
        <v>588244487170</v>
      </c>
      <c r="I439" s="11">
        <v>43059516834</v>
      </c>
      <c r="J439" s="11">
        <v>545184970336</v>
      </c>
      <c r="K439" s="11">
        <v>483876750790</v>
      </c>
      <c r="L439" s="11">
        <v>104367736380</v>
      </c>
      <c r="M439" s="12">
        <v>21.57</v>
      </c>
      <c r="N439" s="11">
        <v>1321567140173</v>
      </c>
      <c r="O439" s="12">
        <v>247.68</v>
      </c>
      <c r="P439" s="12">
        <v>242.41</v>
      </c>
      <c r="Q439" s="12">
        <v>2.46</v>
      </c>
      <c r="R439" s="11">
        <v>1421563503158</v>
      </c>
      <c r="S439" s="11">
        <v>35419733563</v>
      </c>
      <c r="T439" s="11">
        <v>16870761198</v>
      </c>
      <c r="U439" s="11">
        <v>16647374363</v>
      </c>
      <c r="V439" s="11">
        <v>1901598002</v>
      </c>
      <c r="W439" s="11">
        <v>1456983236721</v>
      </c>
      <c r="X439" s="11">
        <v>58588746362</v>
      </c>
      <c r="Y439" s="11">
        <v>8300000000</v>
      </c>
      <c r="Z439" s="11">
        <v>1523871983083</v>
      </c>
      <c r="AA439" s="11">
        <v>1039697347243</v>
      </c>
      <c r="AB439" s="12">
        <v>40.14</v>
      </c>
      <c r="AC439" s="11">
        <v>675514817304</v>
      </c>
      <c r="AD439" s="11">
        <v>593068563000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2">
        <v>0</v>
      </c>
      <c r="AK439" s="11">
        <v>0</v>
      </c>
      <c r="AL439" s="12">
        <v>23</v>
      </c>
      <c r="AM439" s="11">
        <v>67407267468</v>
      </c>
      <c r="AN439" s="12">
        <v>18</v>
      </c>
      <c r="AO439" s="11">
        <v>31617217887</v>
      </c>
      <c r="AP439" s="11">
        <v>35419733563</v>
      </c>
      <c r="AQ439" s="11">
        <v>27401889619</v>
      </c>
      <c r="AR439" s="11">
        <v>8017843944</v>
      </c>
      <c r="AS439" s="12">
        <v>29.26</v>
      </c>
      <c r="AT439" s="11">
        <v>333827008176</v>
      </c>
      <c r="AU439" s="11">
        <v>171335948443</v>
      </c>
      <c r="AV439" s="11">
        <v>174206290162</v>
      </c>
      <c r="AW439" s="11">
        <v>99166689565</v>
      </c>
      <c r="AX439" s="11">
        <v>162754439011</v>
      </c>
      <c r="AY439" s="11">
        <v>140370000000</v>
      </c>
      <c r="AZ439" s="11">
        <v>76290032644</v>
      </c>
      <c r="BA439" s="11">
        <v>588244487170</v>
      </c>
      <c r="BB439" s="13">
        <v>61517</v>
      </c>
      <c r="BC439" s="11">
        <v>285120048159</v>
      </c>
      <c r="BD439" s="11">
        <v>162754439011</v>
      </c>
      <c r="BE439" s="11">
        <v>140370000000</v>
      </c>
      <c r="BF439" s="11">
        <v>517982531614</v>
      </c>
      <c r="BG439" s="11">
        <v>157532285690</v>
      </c>
      <c r="BH439" s="11">
        <v>0</v>
      </c>
      <c r="BI439" s="11">
        <v>0</v>
      </c>
      <c r="BJ439" s="11">
        <v>0</v>
      </c>
      <c r="BK439" s="11">
        <v>0</v>
      </c>
      <c r="BL439" s="11">
        <v>0</v>
      </c>
      <c r="BM439" s="11">
        <v>0</v>
      </c>
    </row>
    <row r="440" spans="1:65" x14ac:dyDescent="0.25">
      <c r="A440" s="32"/>
      <c r="B440" s="10">
        <v>2703</v>
      </c>
      <c r="C440" s="10" t="s">
        <v>490</v>
      </c>
      <c r="D440" s="11">
        <v>2221915897156</v>
      </c>
      <c r="E440" s="11">
        <v>7019960339</v>
      </c>
      <c r="F440" s="11">
        <v>0</v>
      </c>
      <c r="G440" s="11">
        <v>0</v>
      </c>
      <c r="H440" s="11">
        <v>2228935857495</v>
      </c>
      <c r="I440" s="11">
        <v>160425460234</v>
      </c>
      <c r="J440" s="11">
        <v>2068510397261</v>
      </c>
      <c r="K440" s="11">
        <v>1093793002191</v>
      </c>
      <c r="L440" s="11">
        <v>1135142855304</v>
      </c>
      <c r="M440" s="12">
        <v>103.78</v>
      </c>
      <c r="N440" s="11">
        <v>1323941422894</v>
      </c>
      <c r="O440" s="12">
        <v>64.099999999999994</v>
      </c>
      <c r="P440" s="12">
        <v>64</v>
      </c>
      <c r="Q440" s="12">
        <v>1.55</v>
      </c>
      <c r="R440" s="11">
        <v>1406475919719</v>
      </c>
      <c r="S440" s="11">
        <v>22316004116</v>
      </c>
      <c r="T440" s="11">
        <v>18656893929</v>
      </c>
      <c r="U440" s="11">
        <v>3312525199</v>
      </c>
      <c r="V440" s="11">
        <v>346584988</v>
      </c>
      <c r="W440" s="11">
        <v>1428791923835</v>
      </c>
      <c r="X440" s="11">
        <v>16211806617</v>
      </c>
      <c r="Y440" s="11">
        <v>460000000</v>
      </c>
      <c r="Z440" s="11">
        <v>1445463730452</v>
      </c>
      <c r="AA440" s="11">
        <v>1095344782209</v>
      </c>
      <c r="AB440" s="12">
        <v>30.44</v>
      </c>
      <c r="AC440" s="11">
        <v>574489449023</v>
      </c>
      <c r="AD440" s="11">
        <v>574489449023</v>
      </c>
      <c r="AE440" s="11">
        <v>0</v>
      </c>
      <c r="AF440" s="11">
        <v>0</v>
      </c>
      <c r="AG440" s="11">
        <v>0</v>
      </c>
      <c r="AH440" s="11">
        <v>0</v>
      </c>
      <c r="AI440" s="11">
        <v>0</v>
      </c>
      <c r="AJ440" s="12">
        <v>0</v>
      </c>
      <c r="AK440" s="11">
        <v>0</v>
      </c>
      <c r="AL440" s="12">
        <v>5</v>
      </c>
      <c r="AM440" s="11">
        <v>30600000000</v>
      </c>
      <c r="AN440" s="12">
        <v>5</v>
      </c>
      <c r="AO440" s="11">
        <v>2939200000</v>
      </c>
      <c r="AP440" s="11">
        <v>22316004116</v>
      </c>
      <c r="AQ440" s="11">
        <v>5144728695</v>
      </c>
      <c r="AR440" s="11">
        <v>17171275421</v>
      </c>
      <c r="AS440" s="12">
        <v>333.76</v>
      </c>
      <c r="AT440" s="11">
        <v>350553986065</v>
      </c>
      <c r="AU440" s="11">
        <v>54255061901</v>
      </c>
      <c r="AV440" s="11">
        <v>821938097751</v>
      </c>
      <c r="AW440" s="11">
        <v>1026214375732</v>
      </c>
      <c r="AX440" s="11">
        <v>191108423673</v>
      </c>
      <c r="AY440" s="11">
        <v>182655000000</v>
      </c>
      <c r="AZ440" s="11">
        <v>157105674627</v>
      </c>
      <c r="BA440" s="11">
        <v>2228935857495</v>
      </c>
      <c r="BB440" s="13">
        <v>123011</v>
      </c>
      <c r="BC440" s="11">
        <v>1855172433822</v>
      </c>
      <c r="BD440" s="11">
        <v>191108423673</v>
      </c>
      <c r="BE440" s="11">
        <v>182655000000</v>
      </c>
      <c r="BF440" s="11">
        <v>510199449023</v>
      </c>
      <c r="BG440" s="11">
        <v>64290000000</v>
      </c>
      <c r="BH440" s="11">
        <v>0</v>
      </c>
      <c r="BI440" s="11">
        <v>0</v>
      </c>
      <c r="BJ440" s="11">
        <v>0</v>
      </c>
      <c r="BK440" s="11">
        <v>0</v>
      </c>
      <c r="BL440" s="11">
        <v>0</v>
      </c>
      <c r="BM440" s="11">
        <v>0</v>
      </c>
    </row>
    <row r="441" spans="1:65" x14ac:dyDescent="0.25">
      <c r="A441" s="32"/>
      <c r="B441" s="10">
        <v>2704</v>
      </c>
      <c r="C441" s="10" t="s">
        <v>491</v>
      </c>
      <c r="D441" s="11">
        <v>884054013570</v>
      </c>
      <c r="E441" s="11">
        <v>1573889640</v>
      </c>
      <c r="F441" s="11">
        <v>0</v>
      </c>
      <c r="G441" s="11">
        <v>0</v>
      </c>
      <c r="H441" s="11">
        <v>885627903210</v>
      </c>
      <c r="I441" s="11">
        <v>66481175135</v>
      </c>
      <c r="J441" s="11">
        <v>819146728075</v>
      </c>
      <c r="K441" s="11">
        <v>547073666574</v>
      </c>
      <c r="L441" s="11">
        <v>338554236636</v>
      </c>
      <c r="M441" s="12">
        <v>61.88</v>
      </c>
      <c r="N441" s="11">
        <v>888638378888</v>
      </c>
      <c r="O441" s="12">
        <v>112.4</v>
      </c>
      <c r="P441" s="12">
        <v>108.48</v>
      </c>
      <c r="Q441" s="12">
        <v>5.65</v>
      </c>
      <c r="R441" s="11">
        <v>940882403240</v>
      </c>
      <c r="S441" s="11">
        <v>54530546241</v>
      </c>
      <c r="T441" s="11">
        <v>44499345361</v>
      </c>
      <c r="U441" s="11">
        <v>5877788942</v>
      </c>
      <c r="V441" s="11">
        <v>4153411938</v>
      </c>
      <c r="W441" s="11">
        <v>995412949481</v>
      </c>
      <c r="X441" s="11">
        <v>46743362651</v>
      </c>
      <c r="Y441" s="11">
        <v>0</v>
      </c>
      <c r="Z441" s="11">
        <v>1042156312132</v>
      </c>
      <c r="AA441" s="11">
        <v>740910351015</v>
      </c>
      <c r="AB441" s="12">
        <v>34.35</v>
      </c>
      <c r="AC441" s="11">
        <v>397606090000</v>
      </c>
      <c r="AD441" s="11">
        <v>397606090000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2">
        <v>0</v>
      </c>
      <c r="AK441" s="11">
        <v>0</v>
      </c>
      <c r="AL441" s="12">
        <v>4</v>
      </c>
      <c r="AM441" s="11">
        <v>638000000</v>
      </c>
      <c r="AN441" s="12">
        <v>1</v>
      </c>
      <c r="AO441" s="11">
        <v>50000000</v>
      </c>
      <c r="AP441" s="11">
        <v>54530546241</v>
      </c>
      <c r="AQ441" s="11">
        <v>17166986711</v>
      </c>
      <c r="AR441" s="11">
        <v>37363559530</v>
      </c>
      <c r="AS441" s="12">
        <v>217.65</v>
      </c>
      <c r="AT441" s="11">
        <v>249255636305</v>
      </c>
      <c r="AU441" s="11">
        <v>68298298113</v>
      </c>
      <c r="AV441" s="11">
        <v>47508471008</v>
      </c>
      <c r="AW441" s="11">
        <v>251240123659</v>
      </c>
      <c r="AX441" s="11">
        <v>144070418903</v>
      </c>
      <c r="AY441" s="11">
        <v>441235000000</v>
      </c>
      <c r="AZ441" s="11">
        <v>89899581035</v>
      </c>
      <c r="BA441" s="11">
        <v>885627903210</v>
      </c>
      <c r="BB441" s="13">
        <v>110858</v>
      </c>
      <c r="BC441" s="11">
        <v>300322484307</v>
      </c>
      <c r="BD441" s="11">
        <v>143980418903</v>
      </c>
      <c r="BE441" s="11">
        <v>441325000000</v>
      </c>
      <c r="BF441" s="11">
        <v>379836090000</v>
      </c>
      <c r="BG441" s="11">
        <v>17770000000</v>
      </c>
      <c r="BH441" s="11">
        <v>0</v>
      </c>
      <c r="BI441" s="11">
        <v>0</v>
      </c>
      <c r="BJ441" s="11">
        <v>0</v>
      </c>
      <c r="BK441" s="11">
        <v>0</v>
      </c>
      <c r="BL441" s="11">
        <v>0</v>
      </c>
      <c r="BM441" s="11">
        <v>0</v>
      </c>
    </row>
    <row r="442" spans="1:65" x14ac:dyDescent="0.25">
      <c r="A442" s="32"/>
      <c r="B442" s="10">
        <v>2705</v>
      </c>
      <c r="C442" s="10" t="s">
        <v>492</v>
      </c>
      <c r="D442" s="11">
        <v>353539840818</v>
      </c>
      <c r="E442" s="11">
        <v>1113787131</v>
      </c>
      <c r="F442" s="11">
        <v>0</v>
      </c>
      <c r="G442" s="11">
        <v>0</v>
      </c>
      <c r="H442" s="11">
        <v>354653627949</v>
      </c>
      <c r="I442" s="11">
        <v>28654814568</v>
      </c>
      <c r="J442" s="11">
        <v>325998813381</v>
      </c>
      <c r="K442" s="11">
        <v>315763748049</v>
      </c>
      <c r="L442" s="11">
        <v>38889879900</v>
      </c>
      <c r="M442" s="12">
        <v>12.32</v>
      </c>
      <c r="N442" s="11">
        <v>845918146514</v>
      </c>
      <c r="O442" s="12">
        <v>247.83</v>
      </c>
      <c r="P442" s="12">
        <v>259.49</v>
      </c>
      <c r="Q442" s="12">
        <v>8.67</v>
      </c>
      <c r="R442" s="11">
        <v>808603913068</v>
      </c>
      <c r="S442" s="11">
        <v>70343304723</v>
      </c>
      <c r="T442" s="11">
        <v>36429426677</v>
      </c>
      <c r="U442" s="11">
        <v>24709930232</v>
      </c>
      <c r="V442" s="11">
        <v>9203947814</v>
      </c>
      <c r="W442" s="11">
        <v>878947217791</v>
      </c>
      <c r="X442" s="11">
        <v>51684873708</v>
      </c>
      <c r="Y442" s="11">
        <v>2600000000</v>
      </c>
      <c r="Z442" s="11">
        <v>933232091499</v>
      </c>
      <c r="AA442" s="11">
        <v>724427385433</v>
      </c>
      <c r="AB442" s="12">
        <v>21.33</v>
      </c>
      <c r="AC442" s="11">
        <v>343678192617</v>
      </c>
      <c r="AD442" s="11">
        <v>343678192617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2">
        <v>0</v>
      </c>
      <c r="AK442" s="11">
        <v>0</v>
      </c>
      <c r="AL442" s="12">
        <v>6</v>
      </c>
      <c r="AM442" s="11">
        <v>5206500000</v>
      </c>
      <c r="AN442" s="12">
        <v>0</v>
      </c>
      <c r="AO442" s="11">
        <v>0</v>
      </c>
      <c r="AP442" s="11">
        <v>70343304723</v>
      </c>
      <c r="AQ442" s="11">
        <v>57647574829</v>
      </c>
      <c r="AR442" s="11">
        <v>12695729894</v>
      </c>
      <c r="AS442" s="12">
        <v>22.02</v>
      </c>
      <c r="AT442" s="11">
        <v>254448912116</v>
      </c>
      <c r="AU442" s="11">
        <v>132537383513</v>
      </c>
      <c r="AV442" s="11">
        <v>130176178042</v>
      </c>
      <c r="AW442" s="11">
        <v>86122159163</v>
      </c>
      <c r="AX442" s="11">
        <v>57359503613</v>
      </c>
      <c r="AY442" s="11">
        <v>79882000000</v>
      </c>
      <c r="AZ442" s="11">
        <v>36157433927</v>
      </c>
      <c r="BA442" s="11">
        <v>354653627949</v>
      </c>
      <c r="BB442" s="13">
        <v>66340</v>
      </c>
      <c r="BC442" s="11">
        <v>217412124336</v>
      </c>
      <c r="BD442" s="11">
        <v>57359503613</v>
      </c>
      <c r="BE442" s="11">
        <v>79882000000</v>
      </c>
      <c r="BF442" s="11">
        <v>277327535081</v>
      </c>
      <c r="BG442" s="11">
        <v>66350657536</v>
      </c>
      <c r="BH442" s="11">
        <v>0</v>
      </c>
      <c r="BI442" s="11">
        <v>0</v>
      </c>
      <c r="BJ442" s="11">
        <v>0</v>
      </c>
      <c r="BK442" s="11">
        <v>0</v>
      </c>
      <c r="BL442" s="11">
        <v>0</v>
      </c>
      <c r="BM442" s="11">
        <v>0</v>
      </c>
    </row>
    <row r="443" spans="1:65" x14ac:dyDescent="0.25">
      <c r="A443" s="32"/>
      <c r="B443" s="10">
        <v>2706</v>
      </c>
      <c r="C443" s="10" t="s">
        <v>493</v>
      </c>
      <c r="D443" s="11">
        <v>664212093654</v>
      </c>
      <c r="E443" s="11">
        <v>6054886323</v>
      </c>
      <c r="F443" s="11">
        <v>0</v>
      </c>
      <c r="G443" s="11">
        <v>0</v>
      </c>
      <c r="H443" s="11">
        <v>670266979977</v>
      </c>
      <c r="I443" s="11">
        <v>49961966113</v>
      </c>
      <c r="J443" s="11">
        <v>620305013864</v>
      </c>
      <c r="K443" s="11">
        <v>404572971626</v>
      </c>
      <c r="L443" s="11">
        <v>265694008351</v>
      </c>
      <c r="M443" s="12">
        <v>65.67</v>
      </c>
      <c r="N443" s="11">
        <v>780733829310</v>
      </c>
      <c r="O443" s="12">
        <v>127.21</v>
      </c>
      <c r="P443" s="12">
        <v>125.86</v>
      </c>
      <c r="Q443" s="12">
        <v>8.2799999999999994</v>
      </c>
      <c r="R443" s="11">
        <v>780464458921</v>
      </c>
      <c r="S443" s="11">
        <v>72170808035</v>
      </c>
      <c r="T443" s="11">
        <v>60336485077</v>
      </c>
      <c r="U443" s="11">
        <v>11215520101</v>
      </c>
      <c r="V443" s="11">
        <v>618802857</v>
      </c>
      <c r="W443" s="11">
        <v>852635266956</v>
      </c>
      <c r="X443" s="11">
        <v>28620996416</v>
      </c>
      <c r="Y443" s="11">
        <v>0</v>
      </c>
      <c r="Z443" s="11">
        <v>881256263372</v>
      </c>
      <c r="AA443" s="11">
        <v>696729496282</v>
      </c>
      <c r="AB443" s="12">
        <v>22.38</v>
      </c>
      <c r="AC443" s="11">
        <v>343542902320</v>
      </c>
      <c r="AD443" s="11">
        <v>343542902320</v>
      </c>
      <c r="AE443" s="11">
        <v>0</v>
      </c>
      <c r="AF443" s="11">
        <v>0</v>
      </c>
      <c r="AG443" s="11">
        <v>0</v>
      </c>
      <c r="AH443" s="11">
        <v>0</v>
      </c>
      <c r="AI443" s="11">
        <v>0</v>
      </c>
      <c r="AJ443" s="12">
        <v>0</v>
      </c>
      <c r="AK443" s="11">
        <v>0</v>
      </c>
      <c r="AL443" s="12">
        <v>6</v>
      </c>
      <c r="AM443" s="11">
        <v>14892711709</v>
      </c>
      <c r="AN443" s="12">
        <v>3</v>
      </c>
      <c r="AO443" s="11">
        <v>2550000000</v>
      </c>
      <c r="AP443" s="11">
        <v>72170808035</v>
      </c>
      <c r="AQ443" s="11">
        <v>22997702854</v>
      </c>
      <c r="AR443" s="11">
        <v>49173105181</v>
      </c>
      <c r="AS443" s="12">
        <v>213.82</v>
      </c>
      <c r="AT443" s="11">
        <v>249310589360</v>
      </c>
      <c r="AU443" s="11">
        <v>93665637732</v>
      </c>
      <c r="AV443" s="11">
        <v>96544402306</v>
      </c>
      <c r="AW443" s="11">
        <v>226970402953</v>
      </c>
      <c r="AX443" s="11">
        <v>82402088395</v>
      </c>
      <c r="AY443" s="11">
        <v>258295200000</v>
      </c>
      <c r="AZ443" s="11">
        <v>68490791307</v>
      </c>
      <c r="BA443" s="11">
        <v>670266979977</v>
      </c>
      <c r="BB443" s="13">
        <v>7720</v>
      </c>
      <c r="BC443" s="11">
        <v>329569691582</v>
      </c>
      <c r="BD443" s="11">
        <v>82402088395</v>
      </c>
      <c r="BE443" s="11">
        <v>258295200000</v>
      </c>
      <c r="BF443" s="11">
        <v>330542902320</v>
      </c>
      <c r="BG443" s="11">
        <v>13000000000</v>
      </c>
      <c r="BH443" s="11">
        <v>0</v>
      </c>
      <c r="BI443" s="11">
        <v>0</v>
      </c>
      <c r="BJ443" s="11">
        <v>0</v>
      </c>
      <c r="BK443" s="11">
        <v>0</v>
      </c>
      <c r="BL443" s="11">
        <v>0</v>
      </c>
      <c r="BM443" s="11">
        <v>0</v>
      </c>
    </row>
    <row r="444" spans="1:65" x14ac:dyDescent="0.25">
      <c r="A444" s="32"/>
      <c r="B444" s="10">
        <v>2707</v>
      </c>
      <c r="C444" s="10" t="s">
        <v>494</v>
      </c>
      <c r="D444" s="11">
        <v>1201010256111</v>
      </c>
      <c r="E444" s="11">
        <v>4625766976</v>
      </c>
      <c r="F444" s="11">
        <v>0</v>
      </c>
      <c r="G444" s="11">
        <v>0</v>
      </c>
      <c r="H444" s="11">
        <v>1205636023087</v>
      </c>
      <c r="I444" s="11">
        <v>91348606181</v>
      </c>
      <c r="J444" s="11">
        <v>1114287416906</v>
      </c>
      <c r="K444" s="11">
        <v>935562864101</v>
      </c>
      <c r="L444" s="11">
        <v>270073158986</v>
      </c>
      <c r="M444" s="12">
        <v>28.87</v>
      </c>
      <c r="N444" s="11">
        <v>785050996654</v>
      </c>
      <c r="O444" s="12">
        <v>71.44</v>
      </c>
      <c r="P444" s="12">
        <v>70.45</v>
      </c>
      <c r="Q444" s="12">
        <v>0.85</v>
      </c>
      <c r="R444" s="11">
        <v>853716400713</v>
      </c>
      <c r="S444" s="11">
        <v>7626998432</v>
      </c>
      <c r="T444" s="11">
        <v>6789033613</v>
      </c>
      <c r="U444" s="11">
        <v>837964819</v>
      </c>
      <c r="V444" s="11">
        <v>0</v>
      </c>
      <c r="W444" s="11">
        <v>861343399145</v>
      </c>
      <c r="X444" s="11">
        <v>36710879073</v>
      </c>
      <c r="Y444" s="11">
        <v>3775000000</v>
      </c>
      <c r="Z444" s="11">
        <v>901829278218</v>
      </c>
      <c r="AA444" s="11">
        <v>543428430453</v>
      </c>
      <c r="AB444" s="12">
        <v>58.5</v>
      </c>
      <c r="AC444" s="11">
        <v>486418294623</v>
      </c>
      <c r="AD444" s="11">
        <v>442011387628</v>
      </c>
      <c r="AE444" s="11">
        <v>0</v>
      </c>
      <c r="AF444" s="11">
        <v>0</v>
      </c>
      <c r="AG444" s="11">
        <v>0</v>
      </c>
      <c r="AH444" s="11">
        <v>0</v>
      </c>
      <c r="AI444" s="11">
        <v>0</v>
      </c>
      <c r="AJ444" s="12">
        <v>0</v>
      </c>
      <c r="AK444" s="11">
        <v>0</v>
      </c>
      <c r="AL444" s="12">
        <v>11</v>
      </c>
      <c r="AM444" s="11">
        <v>6424200000</v>
      </c>
      <c r="AN444" s="12">
        <v>11</v>
      </c>
      <c r="AO444" s="11">
        <v>3881302041</v>
      </c>
      <c r="AP444" s="11">
        <v>7626998432</v>
      </c>
      <c r="AQ444" s="11">
        <v>6072383396</v>
      </c>
      <c r="AR444" s="11">
        <v>1554615036</v>
      </c>
      <c r="AS444" s="12">
        <v>25.6</v>
      </c>
      <c r="AT444" s="11">
        <v>197218444873</v>
      </c>
      <c r="AU444" s="11">
        <v>29607363881</v>
      </c>
      <c r="AV444" s="11">
        <v>246417668429</v>
      </c>
      <c r="AW444" s="11">
        <v>523988077109</v>
      </c>
      <c r="AX444" s="11">
        <v>116672010573</v>
      </c>
      <c r="AY444" s="11">
        <v>313932500000</v>
      </c>
      <c r="AZ444" s="11">
        <v>78588283473</v>
      </c>
      <c r="BA444" s="11">
        <v>1205636023087</v>
      </c>
      <c r="BB444" s="13">
        <v>51382</v>
      </c>
      <c r="BC444" s="11">
        <v>775031512514</v>
      </c>
      <c r="BD444" s="11">
        <v>116672010573</v>
      </c>
      <c r="BE444" s="11">
        <v>313932500000</v>
      </c>
      <c r="BF444" s="11">
        <v>479898294623</v>
      </c>
      <c r="BG444" s="11">
        <v>6520000000</v>
      </c>
      <c r="BH444" s="11">
        <v>0</v>
      </c>
      <c r="BI444" s="11">
        <v>0</v>
      </c>
      <c r="BJ444" s="11">
        <v>0</v>
      </c>
      <c r="BK444" s="11">
        <v>0</v>
      </c>
      <c r="BL444" s="11">
        <v>0</v>
      </c>
      <c r="BM444" s="11">
        <v>0</v>
      </c>
    </row>
    <row r="445" spans="1:65" x14ac:dyDescent="0.25">
      <c r="A445" s="32"/>
      <c r="B445" s="10">
        <v>2708</v>
      </c>
      <c r="C445" s="10" t="s">
        <v>495</v>
      </c>
      <c r="D445" s="11">
        <v>623053893014</v>
      </c>
      <c r="E445" s="11">
        <v>39717208351</v>
      </c>
      <c r="F445" s="11">
        <v>0</v>
      </c>
      <c r="G445" s="11">
        <v>0</v>
      </c>
      <c r="H445" s="11">
        <v>662771101365</v>
      </c>
      <c r="I445" s="11">
        <v>49491593415</v>
      </c>
      <c r="J445" s="11">
        <v>613279507950</v>
      </c>
      <c r="K445" s="11">
        <v>520326121257</v>
      </c>
      <c r="L445" s="11">
        <v>142444980108</v>
      </c>
      <c r="M445" s="12">
        <v>27.38</v>
      </c>
      <c r="N445" s="11">
        <v>799237220975</v>
      </c>
      <c r="O445" s="12">
        <v>130.71</v>
      </c>
      <c r="P445" s="12">
        <v>130.32</v>
      </c>
      <c r="Q445" s="12">
        <v>3.27</v>
      </c>
      <c r="R445" s="11">
        <v>836528461170</v>
      </c>
      <c r="S445" s="11">
        <v>29799665812</v>
      </c>
      <c r="T445" s="11">
        <v>9324387280</v>
      </c>
      <c r="U445" s="11">
        <v>17987254953</v>
      </c>
      <c r="V445" s="11">
        <v>2488023579</v>
      </c>
      <c r="W445" s="11">
        <v>866328126982</v>
      </c>
      <c r="X445" s="11">
        <v>50771453509</v>
      </c>
      <c r="Y445" s="11">
        <v>2400000000</v>
      </c>
      <c r="Z445" s="11">
        <v>919499580491</v>
      </c>
      <c r="AA445" s="11">
        <v>665503455288</v>
      </c>
      <c r="AB445" s="12">
        <v>30.18</v>
      </c>
      <c r="AC445" s="11">
        <v>374064117732</v>
      </c>
      <c r="AD445" s="11">
        <v>357491678593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2">
        <v>0</v>
      </c>
      <c r="AK445" s="11">
        <v>0</v>
      </c>
      <c r="AL445" s="12">
        <v>20</v>
      </c>
      <c r="AM445" s="11">
        <v>88690434471</v>
      </c>
      <c r="AN445" s="12">
        <v>11</v>
      </c>
      <c r="AO445" s="11">
        <v>7556477194</v>
      </c>
      <c r="AP445" s="11">
        <v>29799665812</v>
      </c>
      <c r="AQ445" s="11">
        <v>29816956879</v>
      </c>
      <c r="AR445" s="11">
        <v>-17291067</v>
      </c>
      <c r="AS445" s="12">
        <v>-0.06</v>
      </c>
      <c r="AT445" s="11">
        <v>228080422950</v>
      </c>
      <c r="AU445" s="11">
        <v>61989303041</v>
      </c>
      <c r="AV445" s="11">
        <v>248915291250</v>
      </c>
      <c r="AW445" s="11">
        <v>164238113341</v>
      </c>
      <c r="AX445" s="11">
        <v>119396488423</v>
      </c>
      <c r="AY445" s="11">
        <v>90504000000</v>
      </c>
      <c r="AZ445" s="11">
        <v>68202201914</v>
      </c>
      <c r="BA445" s="11">
        <v>662771101365</v>
      </c>
      <c r="BB445" s="13">
        <v>89493</v>
      </c>
      <c r="BC445" s="11">
        <v>419154087447</v>
      </c>
      <c r="BD445" s="11">
        <v>119396488423</v>
      </c>
      <c r="BE445" s="11">
        <v>124220525495</v>
      </c>
      <c r="BF445" s="11">
        <v>309962717732</v>
      </c>
      <c r="BG445" s="11">
        <v>64101400000</v>
      </c>
      <c r="BH445" s="11">
        <v>0</v>
      </c>
      <c r="BI445" s="11">
        <v>0</v>
      </c>
      <c r="BJ445" s="11">
        <v>0</v>
      </c>
      <c r="BK445" s="11">
        <v>0</v>
      </c>
      <c r="BL445" s="11">
        <v>0</v>
      </c>
      <c r="BM445" s="11">
        <v>0</v>
      </c>
    </row>
    <row r="446" spans="1:65" x14ac:dyDescent="0.25">
      <c r="A446" s="32"/>
      <c r="B446" s="10">
        <v>2709</v>
      </c>
      <c r="C446" s="10" t="s">
        <v>496</v>
      </c>
      <c r="D446" s="11">
        <v>159051927030</v>
      </c>
      <c r="E446" s="11">
        <v>99110000</v>
      </c>
      <c r="F446" s="11">
        <v>0</v>
      </c>
      <c r="G446" s="11">
        <v>0</v>
      </c>
      <c r="H446" s="11">
        <v>159151037030</v>
      </c>
      <c r="I446" s="11">
        <v>13773121008</v>
      </c>
      <c r="J446" s="11">
        <v>145377916022</v>
      </c>
      <c r="K446" s="11">
        <v>139716055979</v>
      </c>
      <c r="L446" s="11">
        <v>19434981051</v>
      </c>
      <c r="M446" s="12">
        <v>13.91</v>
      </c>
      <c r="N446" s="11">
        <v>195012600236</v>
      </c>
      <c r="O446" s="12">
        <v>133.56</v>
      </c>
      <c r="P446" s="12">
        <v>134.13999999999999</v>
      </c>
      <c r="Q446" s="12">
        <v>3.2</v>
      </c>
      <c r="R446" s="11">
        <v>205163748011</v>
      </c>
      <c r="S446" s="11">
        <v>7394449623</v>
      </c>
      <c r="T446" s="11">
        <v>7394449623</v>
      </c>
      <c r="U446" s="11">
        <v>0</v>
      </c>
      <c r="V446" s="11">
        <v>0</v>
      </c>
      <c r="W446" s="11">
        <v>212558197634</v>
      </c>
      <c r="X446" s="11">
        <v>17087655729</v>
      </c>
      <c r="Y446" s="11">
        <v>1402740000</v>
      </c>
      <c r="Z446" s="11">
        <v>231048593363</v>
      </c>
      <c r="AA446" s="11">
        <v>55241546474</v>
      </c>
      <c r="AB446" s="12">
        <v>284.77999999999997</v>
      </c>
      <c r="AC446" s="11">
        <v>175324052039</v>
      </c>
      <c r="AD446" s="11">
        <v>171139471218</v>
      </c>
      <c r="AE446" s="11">
        <v>0</v>
      </c>
      <c r="AF446" s="11">
        <v>0</v>
      </c>
      <c r="AG446" s="11">
        <v>0</v>
      </c>
      <c r="AH446" s="11">
        <v>0</v>
      </c>
      <c r="AI446" s="11">
        <v>0</v>
      </c>
      <c r="AJ446" s="12">
        <v>0</v>
      </c>
      <c r="AK446" s="11">
        <v>0</v>
      </c>
      <c r="AL446" s="12">
        <v>0</v>
      </c>
      <c r="AM446" s="11">
        <v>0</v>
      </c>
      <c r="AN446" s="12">
        <v>0</v>
      </c>
      <c r="AO446" s="11">
        <v>0</v>
      </c>
      <c r="AP446" s="11">
        <v>7394449623</v>
      </c>
      <c r="AQ446" s="11">
        <v>0</v>
      </c>
      <c r="AR446" s="11">
        <v>7394449623</v>
      </c>
      <c r="AS446" s="12"/>
      <c r="AT446" s="11">
        <v>33819636179</v>
      </c>
      <c r="AU446" s="11">
        <v>13181811498</v>
      </c>
      <c r="AV446" s="11">
        <v>2796502097</v>
      </c>
      <c r="AW446" s="11">
        <v>61058845887</v>
      </c>
      <c r="AX446" s="11">
        <v>43213579046</v>
      </c>
      <c r="AY446" s="11">
        <v>51983000000</v>
      </c>
      <c r="AZ446" s="11">
        <v>43096812825</v>
      </c>
      <c r="BA446" s="11">
        <v>159151037030</v>
      </c>
      <c r="BB446" s="12">
        <v>0</v>
      </c>
      <c r="BC446" s="11">
        <v>63954457984</v>
      </c>
      <c r="BD446" s="11">
        <v>43213579046</v>
      </c>
      <c r="BE446" s="11">
        <v>51983000000</v>
      </c>
      <c r="BF446" s="11">
        <v>60762998475</v>
      </c>
      <c r="BG446" s="11">
        <v>114561053564</v>
      </c>
      <c r="BH446" s="11">
        <v>0</v>
      </c>
      <c r="BI446" s="11">
        <v>0</v>
      </c>
      <c r="BJ446" s="11">
        <v>0</v>
      </c>
      <c r="BK446" s="11">
        <v>0</v>
      </c>
      <c r="BL446" s="11">
        <v>0</v>
      </c>
      <c r="BM446" s="11">
        <v>0</v>
      </c>
    </row>
    <row r="447" spans="1:65" s="24" customFormat="1" x14ac:dyDescent="0.25">
      <c r="A447" s="32"/>
      <c r="B447" s="20">
        <v>2710</v>
      </c>
      <c r="C447" s="20" t="s">
        <v>497</v>
      </c>
      <c r="D447" s="21">
        <v>106678465515</v>
      </c>
      <c r="E447" s="21">
        <v>74817372</v>
      </c>
      <c r="F447" s="21">
        <v>0</v>
      </c>
      <c r="G447" s="21">
        <v>0</v>
      </c>
      <c r="H447" s="21">
        <v>106753282887</v>
      </c>
      <c r="I447" s="21">
        <v>8334790661</v>
      </c>
      <c r="J447" s="21">
        <v>98418492226</v>
      </c>
      <c r="K447" s="21">
        <v>63112245537</v>
      </c>
      <c r="L447" s="21">
        <v>43641037350</v>
      </c>
      <c r="M447" s="22">
        <v>69.150000000000006</v>
      </c>
      <c r="N447" s="21">
        <v>76698522363</v>
      </c>
      <c r="O447" s="22">
        <v>74.59</v>
      </c>
      <c r="P447" s="22">
        <v>77.930000000000007</v>
      </c>
      <c r="Q447" s="22">
        <v>0.19</v>
      </c>
      <c r="R447" s="21">
        <v>79478265020</v>
      </c>
      <c r="S447" s="21">
        <v>153844668</v>
      </c>
      <c r="T447" s="21">
        <v>153844668</v>
      </c>
      <c r="U447" s="21">
        <v>0</v>
      </c>
      <c r="V447" s="21">
        <v>0</v>
      </c>
      <c r="W447" s="21">
        <v>79632109688</v>
      </c>
      <c r="X447" s="21">
        <v>682972956</v>
      </c>
      <c r="Y447" s="21">
        <v>420000000</v>
      </c>
      <c r="Z447" s="21">
        <v>80735082644</v>
      </c>
      <c r="AA447" s="21">
        <v>31634744879</v>
      </c>
      <c r="AB447" s="22">
        <v>151.72</v>
      </c>
      <c r="AC447" s="21">
        <v>52270000000</v>
      </c>
      <c r="AD447" s="21">
        <v>52270000000</v>
      </c>
      <c r="AE447" s="21">
        <v>0</v>
      </c>
      <c r="AF447" s="21">
        <v>0</v>
      </c>
      <c r="AG447" s="21">
        <v>0</v>
      </c>
      <c r="AH447" s="21">
        <v>0</v>
      </c>
      <c r="AI447" s="21">
        <v>0</v>
      </c>
      <c r="AJ447" s="22">
        <v>0</v>
      </c>
      <c r="AK447" s="21">
        <v>0</v>
      </c>
      <c r="AL447" s="22">
        <v>0</v>
      </c>
      <c r="AM447" s="21">
        <v>0</v>
      </c>
      <c r="AN447" s="12">
        <v>0</v>
      </c>
      <c r="AO447" s="11">
        <v>0</v>
      </c>
      <c r="AP447" s="21">
        <v>153844668</v>
      </c>
      <c r="AQ447" s="21">
        <v>0</v>
      </c>
      <c r="AR447" s="21">
        <v>153844668</v>
      </c>
      <c r="AS447" s="22"/>
      <c r="AT447" s="21">
        <v>7053001752</v>
      </c>
      <c r="AU447" s="21">
        <v>213556217</v>
      </c>
      <c r="AV447" s="21">
        <v>1189281864</v>
      </c>
      <c r="AW447" s="21">
        <v>9843117569</v>
      </c>
      <c r="AX447" s="21">
        <v>33856066082</v>
      </c>
      <c r="AY447" s="21">
        <v>61790000000</v>
      </c>
      <c r="AZ447" s="21">
        <v>33856066082</v>
      </c>
      <c r="BA447" s="21">
        <v>106753282887</v>
      </c>
      <c r="BB447" s="23">
        <v>338</v>
      </c>
      <c r="BC447" s="21">
        <v>11107216805</v>
      </c>
      <c r="BD447" s="21">
        <v>33856066082</v>
      </c>
      <c r="BE447" s="21">
        <v>61790000000</v>
      </c>
      <c r="BF447" s="21">
        <v>45880000000</v>
      </c>
      <c r="BG447" s="21">
        <v>6390000000</v>
      </c>
      <c r="BH447" s="21">
        <v>0</v>
      </c>
      <c r="BI447" s="21">
        <v>0</v>
      </c>
      <c r="BJ447" s="21">
        <v>0</v>
      </c>
      <c r="BK447" s="21">
        <v>0</v>
      </c>
      <c r="BL447" s="21">
        <v>0</v>
      </c>
      <c r="BM447" s="21">
        <v>0</v>
      </c>
    </row>
    <row r="448" spans="1:65" x14ac:dyDescent="0.25">
      <c r="A448" s="32"/>
      <c r="B448" s="10">
        <v>2799</v>
      </c>
      <c r="C448" s="10" t="s">
        <v>498</v>
      </c>
      <c r="D448" s="11">
        <v>28996295</v>
      </c>
      <c r="E448" s="11">
        <v>38324095912</v>
      </c>
      <c r="F448" s="11">
        <v>0</v>
      </c>
      <c r="G448" s="11">
        <v>0</v>
      </c>
      <c r="H448" s="11">
        <v>38353092207</v>
      </c>
      <c r="I448" s="11">
        <v>3087001867</v>
      </c>
      <c r="J448" s="11">
        <v>35266090340</v>
      </c>
      <c r="K448" s="11">
        <v>21241834513</v>
      </c>
      <c r="L448" s="11">
        <v>17111257694</v>
      </c>
      <c r="M448" s="12">
        <v>80.55</v>
      </c>
      <c r="N448" s="11">
        <v>0</v>
      </c>
      <c r="O448" s="12">
        <v>0</v>
      </c>
      <c r="P448" s="12">
        <v>0</v>
      </c>
      <c r="Q448" s="12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2"/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2">
        <v>0</v>
      </c>
      <c r="AK448" s="11">
        <v>0</v>
      </c>
      <c r="AL448" s="12">
        <v>0</v>
      </c>
      <c r="AM448" s="11">
        <v>0</v>
      </c>
      <c r="AN448" s="12">
        <v>0</v>
      </c>
      <c r="AO448" s="11">
        <v>0</v>
      </c>
      <c r="AP448" s="11">
        <v>0</v>
      </c>
      <c r="AQ448" s="11">
        <v>0</v>
      </c>
      <c r="AR448" s="11">
        <v>0</v>
      </c>
      <c r="AS448" s="12"/>
      <c r="AT448" s="11">
        <v>0</v>
      </c>
      <c r="AU448" s="11">
        <v>0</v>
      </c>
      <c r="AV448" s="11">
        <v>28996295</v>
      </c>
      <c r="AW448" s="11">
        <v>0</v>
      </c>
      <c r="AX448" s="11">
        <v>0</v>
      </c>
      <c r="AY448" s="11">
        <v>0</v>
      </c>
      <c r="AZ448" s="11">
        <v>0</v>
      </c>
      <c r="BA448" s="11">
        <v>38353092207</v>
      </c>
      <c r="BB448" s="13">
        <v>0</v>
      </c>
      <c r="BC448" s="11">
        <v>38353092207</v>
      </c>
      <c r="BD448" s="11">
        <v>0</v>
      </c>
      <c r="BE448" s="11">
        <v>0</v>
      </c>
      <c r="BF448" s="11">
        <v>0</v>
      </c>
      <c r="BG448" s="11">
        <v>0</v>
      </c>
      <c r="BH448" s="11">
        <v>0</v>
      </c>
      <c r="BI448" s="11">
        <v>0</v>
      </c>
      <c r="BJ448" s="11">
        <v>0</v>
      </c>
      <c r="BK448" s="11">
        <v>0</v>
      </c>
      <c r="BL448" s="11">
        <v>0</v>
      </c>
      <c r="BM448" s="11">
        <v>0</v>
      </c>
    </row>
    <row r="449" spans="1:65" s="25" customFormat="1" x14ac:dyDescent="0.25">
      <c r="A449" s="14" t="s">
        <v>617</v>
      </c>
      <c r="B449" s="15"/>
      <c r="C449" s="15"/>
      <c r="D449" s="16">
        <v>8504578275621</v>
      </c>
      <c r="E449" s="16">
        <v>201810741155</v>
      </c>
      <c r="F449" s="16">
        <v>31462600000</v>
      </c>
      <c r="G449" s="16">
        <v>120563100</v>
      </c>
      <c r="H449" s="16">
        <v>8737972179876</v>
      </c>
      <c r="I449" s="16">
        <v>666431722167</v>
      </c>
      <c r="J449" s="16">
        <v>8071540457709</v>
      </c>
      <c r="K449" s="16">
        <v>5934316083798</v>
      </c>
      <c r="L449" s="16">
        <v>2803656096078</v>
      </c>
      <c r="M449" s="17">
        <v>47.24</v>
      </c>
      <c r="N449" s="16">
        <v>11358596224836</v>
      </c>
      <c r="O449" s="17">
        <v>149.44999999999999</v>
      </c>
      <c r="P449" s="17">
        <v>140.72</v>
      </c>
      <c r="Q449" s="17">
        <v>4.67</v>
      </c>
      <c r="R449" s="16">
        <v>12454449584926</v>
      </c>
      <c r="S449" s="16">
        <v>604398869810</v>
      </c>
      <c r="T449" s="16">
        <v>279803054446</v>
      </c>
      <c r="U449" s="16">
        <v>274469623568</v>
      </c>
      <c r="V449" s="16">
        <v>50126191796</v>
      </c>
      <c r="W449" s="16">
        <v>13058848454736</v>
      </c>
      <c r="X449" s="16">
        <v>564644041477</v>
      </c>
      <c r="Y449" s="16">
        <v>30371542521</v>
      </c>
      <c r="Z449" s="16">
        <v>13653864038734</v>
      </c>
      <c r="AA449" s="16">
        <v>10110886793408</v>
      </c>
      <c r="AB449" s="17">
        <v>29.16</v>
      </c>
      <c r="AC449" s="16">
        <v>5278975845813</v>
      </c>
      <c r="AD449" s="16">
        <v>5108006506229</v>
      </c>
      <c r="AE449" s="16">
        <v>0</v>
      </c>
      <c r="AF449" s="16">
        <v>0</v>
      </c>
      <c r="AG449" s="16">
        <v>80020632455</v>
      </c>
      <c r="AH449" s="16">
        <v>0</v>
      </c>
      <c r="AI449" s="16">
        <v>0</v>
      </c>
      <c r="AJ449" s="17">
        <v>0</v>
      </c>
      <c r="AK449" s="16">
        <v>0</v>
      </c>
      <c r="AL449" s="17">
        <v>109</v>
      </c>
      <c r="AM449" s="16">
        <v>373469710234</v>
      </c>
      <c r="AN449" s="18">
        <f>SUM(AN437:AN448)</f>
        <v>89</v>
      </c>
      <c r="AO449" s="16">
        <f>SUM(AO437:AO448)</f>
        <v>140821231047</v>
      </c>
      <c r="AP449" s="16">
        <v>604398869810</v>
      </c>
      <c r="AQ449" s="16">
        <v>370042835638</v>
      </c>
      <c r="AR449" s="16">
        <v>234356034172</v>
      </c>
      <c r="AS449" s="17">
        <v>63.33</v>
      </c>
      <c r="AT449" s="16">
        <v>3286900029840</v>
      </c>
      <c r="AU449" s="16">
        <v>878279017697</v>
      </c>
      <c r="AV449" s="16">
        <v>2393497864853</v>
      </c>
      <c r="AW449" s="16">
        <v>3013724800508</v>
      </c>
      <c r="AX449" s="16">
        <v>1209940910260</v>
      </c>
      <c r="AY449" s="16">
        <v>1887414700000</v>
      </c>
      <c r="AZ449" s="16">
        <v>788917180886</v>
      </c>
      <c r="BA449" s="16">
        <v>8737972179876</v>
      </c>
      <c r="BB449" s="18">
        <v>667823</v>
      </c>
      <c r="BC449" s="16">
        <v>5500955718293</v>
      </c>
      <c r="BD449" s="16">
        <v>1241313510260</v>
      </c>
      <c r="BE449" s="16">
        <v>1995702951323</v>
      </c>
      <c r="BF449" s="16">
        <v>4497802519376</v>
      </c>
      <c r="BG449" s="16">
        <v>781173326437</v>
      </c>
      <c r="BH449" s="16">
        <v>0</v>
      </c>
      <c r="BI449" s="16">
        <v>0</v>
      </c>
      <c r="BJ449" s="16">
        <v>0</v>
      </c>
      <c r="BK449" s="16">
        <v>0</v>
      </c>
      <c r="BL449" s="16">
        <v>0</v>
      </c>
      <c r="BM449" s="16">
        <v>0</v>
      </c>
    </row>
    <row r="450" spans="1:65" x14ac:dyDescent="0.25">
      <c r="A450" s="32" t="s">
        <v>499</v>
      </c>
      <c r="B450" s="10">
        <v>2800</v>
      </c>
      <c r="C450" s="10" t="s">
        <v>499</v>
      </c>
      <c r="D450" s="11">
        <v>1608174278095</v>
      </c>
      <c r="E450" s="11">
        <v>461039515658</v>
      </c>
      <c r="F450" s="11">
        <v>0</v>
      </c>
      <c r="G450" s="11">
        <v>101571871265</v>
      </c>
      <c r="H450" s="11">
        <v>2170785665018</v>
      </c>
      <c r="I450" s="11">
        <v>161529296926</v>
      </c>
      <c r="J450" s="11">
        <v>2009256368092</v>
      </c>
      <c r="K450" s="11">
        <v>2428190090827</v>
      </c>
      <c r="L450" s="11">
        <v>-257404425809</v>
      </c>
      <c r="M450" s="12">
        <v>-10.6</v>
      </c>
      <c r="N450" s="11">
        <v>6011292442006</v>
      </c>
      <c r="O450" s="12">
        <v>371.94</v>
      </c>
      <c r="P450" s="12">
        <v>299.18</v>
      </c>
      <c r="Q450" s="12">
        <v>1.63</v>
      </c>
      <c r="R450" s="11">
        <v>7958722031951</v>
      </c>
      <c r="S450" s="11">
        <v>115311787756</v>
      </c>
      <c r="T450" s="11">
        <v>104822971045</v>
      </c>
      <c r="U450" s="11">
        <v>1167690905</v>
      </c>
      <c r="V450" s="11">
        <v>9321125806</v>
      </c>
      <c r="W450" s="11">
        <v>8074033819707</v>
      </c>
      <c r="X450" s="11">
        <v>346136117934</v>
      </c>
      <c r="Y450" s="11">
        <v>19261554050</v>
      </c>
      <c r="Z450" s="11">
        <v>8439431491691</v>
      </c>
      <c r="AA450" s="11">
        <v>6382879853205</v>
      </c>
      <c r="AB450" s="12">
        <v>26.5</v>
      </c>
      <c r="AC450" s="11">
        <v>3011907183794</v>
      </c>
      <c r="AD450" s="11">
        <v>2990877183794</v>
      </c>
      <c r="AE450" s="11">
        <v>285587254313</v>
      </c>
      <c r="AF450" s="11">
        <v>246379488722</v>
      </c>
      <c r="AG450" s="11">
        <v>13820127123</v>
      </c>
      <c r="AH450" s="11">
        <v>0</v>
      </c>
      <c r="AI450" s="11">
        <v>0</v>
      </c>
      <c r="AJ450" s="12">
        <v>3</v>
      </c>
      <c r="AK450" s="11">
        <v>441100000000</v>
      </c>
      <c r="AL450" s="12">
        <v>222</v>
      </c>
      <c r="AM450" s="11">
        <v>2272333686261</v>
      </c>
      <c r="AN450" s="12">
        <v>206</v>
      </c>
      <c r="AO450" s="11">
        <v>2863125494998</v>
      </c>
      <c r="AP450" s="11">
        <v>115311787756</v>
      </c>
      <c r="AQ450" s="11">
        <v>15140534517</v>
      </c>
      <c r="AR450" s="11">
        <v>100171253239</v>
      </c>
      <c r="AS450" s="12">
        <v>661.61</v>
      </c>
      <c r="AT450" s="11">
        <v>2126109452787</v>
      </c>
      <c r="AU450" s="11">
        <v>239460735135</v>
      </c>
      <c r="AV450" s="11">
        <v>502771765668</v>
      </c>
      <c r="AW450" s="11">
        <v>397771357563</v>
      </c>
      <c r="AX450" s="11">
        <v>385129854864</v>
      </c>
      <c r="AY450" s="11">
        <v>322501300000</v>
      </c>
      <c r="AZ450" s="11">
        <v>121701544585</v>
      </c>
      <c r="BA450" s="11">
        <v>2170785665018</v>
      </c>
      <c r="BB450" s="13">
        <v>136903</v>
      </c>
      <c r="BC450" s="11">
        <v>1359597498711</v>
      </c>
      <c r="BD450" s="11">
        <v>384853854864</v>
      </c>
      <c r="BE450" s="11">
        <v>426334311443</v>
      </c>
      <c r="BF450" s="11">
        <v>2471751696048</v>
      </c>
      <c r="BG450" s="11">
        <v>540155487746</v>
      </c>
      <c r="BH450" s="11">
        <v>164999903351</v>
      </c>
      <c r="BI450" s="11">
        <v>0</v>
      </c>
      <c r="BJ450" s="11">
        <v>34949187848</v>
      </c>
      <c r="BK450" s="11">
        <v>718075637</v>
      </c>
      <c r="BL450" s="11">
        <v>0</v>
      </c>
      <c r="BM450" s="11">
        <v>246331581855</v>
      </c>
    </row>
    <row r="451" spans="1:65" x14ac:dyDescent="0.25">
      <c r="A451" s="32"/>
      <c r="B451" s="10">
        <v>2801</v>
      </c>
      <c r="C451" s="10" t="s">
        <v>500</v>
      </c>
      <c r="D451" s="11">
        <v>1600589683033</v>
      </c>
      <c r="E451" s="11">
        <v>105826368207</v>
      </c>
      <c r="F451" s="11">
        <v>0</v>
      </c>
      <c r="G451" s="11">
        <v>0</v>
      </c>
      <c r="H451" s="11">
        <v>1706416051240</v>
      </c>
      <c r="I451" s="11">
        <v>119486741732</v>
      </c>
      <c r="J451" s="11">
        <v>1586929309508</v>
      </c>
      <c r="K451" s="11">
        <v>1826403290982</v>
      </c>
      <c r="L451" s="11">
        <v>-119987239742</v>
      </c>
      <c r="M451" s="12">
        <v>-6.57</v>
      </c>
      <c r="N451" s="11">
        <v>1465167468586</v>
      </c>
      <c r="O451" s="12">
        <v>90.38</v>
      </c>
      <c r="P451" s="12">
        <v>92.33</v>
      </c>
      <c r="Q451" s="12">
        <v>1.68</v>
      </c>
      <c r="R451" s="11">
        <v>1517670372194</v>
      </c>
      <c r="S451" s="11">
        <v>24602202789</v>
      </c>
      <c r="T451" s="11">
        <v>23034399513</v>
      </c>
      <c r="U451" s="11">
        <v>1567803276</v>
      </c>
      <c r="V451" s="11">
        <v>0</v>
      </c>
      <c r="W451" s="11">
        <v>1542272574983</v>
      </c>
      <c r="X451" s="11">
        <v>97022660426</v>
      </c>
      <c r="Y451" s="11">
        <v>11000000000</v>
      </c>
      <c r="Z451" s="11">
        <v>1650295235409</v>
      </c>
      <c r="AA451" s="11">
        <v>1390817017912</v>
      </c>
      <c r="AB451" s="12">
        <v>10.89</v>
      </c>
      <c r="AC451" s="11">
        <v>614298880000</v>
      </c>
      <c r="AD451" s="11">
        <v>614298880000</v>
      </c>
      <c r="AE451" s="11">
        <v>0</v>
      </c>
      <c r="AF451" s="11">
        <v>0</v>
      </c>
      <c r="AG451" s="11">
        <v>9726168566</v>
      </c>
      <c r="AH451" s="11">
        <v>100000000000</v>
      </c>
      <c r="AI451" s="11">
        <v>3009992739</v>
      </c>
      <c r="AJ451" s="12">
        <v>0</v>
      </c>
      <c r="AK451" s="11">
        <v>0</v>
      </c>
      <c r="AL451" s="12">
        <v>41</v>
      </c>
      <c r="AM451" s="11">
        <v>295535666323</v>
      </c>
      <c r="AN451" s="12">
        <v>55</v>
      </c>
      <c r="AO451" s="11">
        <v>342835532799</v>
      </c>
      <c r="AP451" s="11">
        <v>24602202789</v>
      </c>
      <c r="AQ451" s="11">
        <v>29537983303</v>
      </c>
      <c r="AR451" s="11">
        <v>-4935780514</v>
      </c>
      <c r="AS451" s="12">
        <v>-16.71</v>
      </c>
      <c r="AT451" s="11">
        <v>571228552605</v>
      </c>
      <c r="AU451" s="11">
        <v>165748517868</v>
      </c>
      <c r="AV451" s="11">
        <v>582590178648</v>
      </c>
      <c r="AW451" s="11">
        <v>213492474430</v>
      </c>
      <c r="AX451" s="11">
        <v>288235529955</v>
      </c>
      <c r="AY451" s="11">
        <v>516271500000</v>
      </c>
      <c r="AZ451" s="11">
        <v>161924857693</v>
      </c>
      <c r="BA451" s="11">
        <v>1706416051240</v>
      </c>
      <c r="BB451" s="13">
        <v>123219</v>
      </c>
      <c r="BC451" s="11">
        <v>901629392111</v>
      </c>
      <c r="BD451" s="11">
        <v>288235529955</v>
      </c>
      <c r="BE451" s="11">
        <v>516551129174</v>
      </c>
      <c r="BF451" s="11">
        <v>400198880000</v>
      </c>
      <c r="BG451" s="11">
        <v>214100000000</v>
      </c>
      <c r="BH451" s="11">
        <v>0</v>
      </c>
      <c r="BI451" s="11">
        <v>0</v>
      </c>
      <c r="BJ451" s="11">
        <v>0</v>
      </c>
      <c r="BK451" s="11">
        <v>0</v>
      </c>
      <c r="BL451" s="11">
        <v>0</v>
      </c>
      <c r="BM451" s="11">
        <v>0</v>
      </c>
    </row>
    <row r="452" spans="1:65" x14ac:dyDescent="0.25">
      <c r="A452" s="32"/>
      <c r="B452" s="10">
        <v>2802</v>
      </c>
      <c r="C452" s="10" t="s">
        <v>501</v>
      </c>
      <c r="D452" s="11">
        <v>1538907156233</v>
      </c>
      <c r="E452" s="11">
        <v>41632807218</v>
      </c>
      <c r="F452" s="11">
        <v>0</v>
      </c>
      <c r="G452" s="11">
        <v>0</v>
      </c>
      <c r="H452" s="11">
        <v>1580539963451</v>
      </c>
      <c r="I452" s="11">
        <v>130986091631</v>
      </c>
      <c r="J452" s="11">
        <v>1449553871820</v>
      </c>
      <c r="K452" s="11">
        <v>1467217368404</v>
      </c>
      <c r="L452" s="11">
        <v>113322595047</v>
      </c>
      <c r="M452" s="12">
        <v>7.72</v>
      </c>
      <c r="N452" s="11">
        <v>817663035382</v>
      </c>
      <c r="O452" s="12">
        <v>54.95</v>
      </c>
      <c r="P452" s="12">
        <v>56.41</v>
      </c>
      <c r="Q452" s="12">
        <v>1.35</v>
      </c>
      <c r="R452" s="11">
        <v>862061734093</v>
      </c>
      <c r="S452" s="11">
        <v>6442483616</v>
      </c>
      <c r="T452" s="11">
        <v>3329960115</v>
      </c>
      <c r="U452" s="11">
        <v>1667861951</v>
      </c>
      <c r="V452" s="11">
        <v>1444661550</v>
      </c>
      <c r="W452" s="11">
        <v>868504217709</v>
      </c>
      <c r="X452" s="11">
        <v>49722859278</v>
      </c>
      <c r="Y452" s="11">
        <v>1900000000</v>
      </c>
      <c r="Z452" s="11">
        <v>920127076987</v>
      </c>
      <c r="AA452" s="11">
        <v>724247731852</v>
      </c>
      <c r="AB452" s="12">
        <v>19.920000000000002</v>
      </c>
      <c r="AC452" s="11">
        <v>417818937800</v>
      </c>
      <c r="AD452" s="11">
        <v>417818937800</v>
      </c>
      <c r="AE452" s="11">
        <v>0</v>
      </c>
      <c r="AF452" s="11">
        <v>0</v>
      </c>
      <c r="AG452" s="11">
        <v>0</v>
      </c>
      <c r="AH452" s="11">
        <v>0</v>
      </c>
      <c r="AI452" s="11">
        <v>0</v>
      </c>
      <c r="AJ452" s="12">
        <v>0</v>
      </c>
      <c r="AK452" s="11">
        <v>0</v>
      </c>
      <c r="AL452" s="12">
        <v>90</v>
      </c>
      <c r="AM452" s="11">
        <v>416133431646</v>
      </c>
      <c r="AN452" s="12">
        <v>22</v>
      </c>
      <c r="AO452" s="11">
        <v>88887539061</v>
      </c>
      <c r="AP452" s="11">
        <v>6442483616</v>
      </c>
      <c r="AQ452" s="11">
        <v>32727846365</v>
      </c>
      <c r="AR452" s="11">
        <v>-26285362749</v>
      </c>
      <c r="AS452" s="12">
        <v>-80.31</v>
      </c>
      <c r="AT452" s="11">
        <v>310693189152</v>
      </c>
      <c r="AU452" s="11">
        <v>112113925162</v>
      </c>
      <c r="AV452" s="11">
        <v>79771637199</v>
      </c>
      <c r="AW452" s="11">
        <v>274534012006</v>
      </c>
      <c r="AX452" s="11">
        <v>158058007028</v>
      </c>
      <c r="AY452" s="11">
        <v>1026543500000</v>
      </c>
      <c r="AZ452" s="11">
        <v>86373255000</v>
      </c>
      <c r="BA452" s="11">
        <v>1580539963451</v>
      </c>
      <c r="BB452" s="13">
        <v>181175</v>
      </c>
      <c r="BC452" s="11">
        <v>395938456423</v>
      </c>
      <c r="BD452" s="11">
        <v>158058007028</v>
      </c>
      <c r="BE452" s="11">
        <v>1026543500000</v>
      </c>
      <c r="BF452" s="11">
        <v>380919212800</v>
      </c>
      <c r="BG452" s="11">
        <v>36899725000</v>
      </c>
      <c r="BH452" s="11">
        <v>0</v>
      </c>
      <c r="BI452" s="11">
        <v>0</v>
      </c>
      <c r="BJ452" s="11">
        <v>0</v>
      </c>
      <c r="BK452" s="11">
        <v>0</v>
      </c>
      <c r="BL452" s="11">
        <v>0</v>
      </c>
      <c r="BM452" s="11">
        <v>0</v>
      </c>
    </row>
    <row r="453" spans="1:65" x14ac:dyDescent="0.25">
      <c r="A453" s="32"/>
      <c r="B453" s="10">
        <v>2803</v>
      </c>
      <c r="C453" s="10" t="s">
        <v>502</v>
      </c>
      <c r="D453" s="11">
        <v>403397061921</v>
      </c>
      <c r="E453" s="11">
        <v>9366464969</v>
      </c>
      <c r="F453" s="11">
        <v>0</v>
      </c>
      <c r="G453" s="11">
        <v>0</v>
      </c>
      <c r="H453" s="11">
        <v>412763526890</v>
      </c>
      <c r="I453" s="11">
        <v>33791229841</v>
      </c>
      <c r="J453" s="11">
        <v>378972297049</v>
      </c>
      <c r="K453" s="11">
        <v>559875746034</v>
      </c>
      <c r="L453" s="11">
        <v>-147112219144</v>
      </c>
      <c r="M453" s="12">
        <v>-26.28</v>
      </c>
      <c r="N453" s="11">
        <v>402313618926</v>
      </c>
      <c r="O453" s="12">
        <v>105.03</v>
      </c>
      <c r="P453" s="12">
        <v>106.16</v>
      </c>
      <c r="Q453" s="12">
        <v>2.2000000000000002</v>
      </c>
      <c r="R453" s="11">
        <v>423791018368</v>
      </c>
      <c r="S453" s="11">
        <v>9722216372</v>
      </c>
      <c r="T453" s="11">
        <v>4260746133</v>
      </c>
      <c r="U453" s="11">
        <v>4115109765</v>
      </c>
      <c r="V453" s="11">
        <v>1346360474</v>
      </c>
      <c r="W453" s="11">
        <v>433513234740</v>
      </c>
      <c r="X453" s="11">
        <v>13394749653</v>
      </c>
      <c r="Y453" s="11">
        <v>3700000000</v>
      </c>
      <c r="Z453" s="11">
        <v>450607984393</v>
      </c>
      <c r="AA453" s="11">
        <v>453076872936</v>
      </c>
      <c r="AB453" s="12">
        <v>-4.32</v>
      </c>
      <c r="AC453" s="11">
        <v>92059161644</v>
      </c>
      <c r="AD453" s="11">
        <v>91315161644</v>
      </c>
      <c r="AE453" s="11">
        <v>0</v>
      </c>
      <c r="AF453" s="11">
        <v>0</v>
      </c>
      <c r="AG453" s="11">
        <v>0</v>
      </c>
      <c r="AH453" s="11">
        <v>0</v>
      </c>
      <c r="AI453" s="11">
        <v>0</v>
      </c>
      <c r="AJ453" s="12">
        <v>0</v>
      </c>
      <c r="AK453" s="11">
        <v>0</v>
      </c>
      <c r="AL453" s="12">
        <v>15</v>
      </c>
      <c r="AM453" s="11">
        <v>22481521401</v>
      </c>
      <c r="AN453" s="12">
        <v>9</v>
      </c>
      <c r="AO453" s="11">
        <v>30691144642</v>
      </c>
      <c r="AP453" s="11">
        <v>9722216372</v>
      </c>
      <c r="AQ453" s="11">
        <v>10569218775</v>
      </c>
      <c r="AR453" s="11">
        <v>-847002403</v>
      </c>
      <c r="AS453" s="12">
        <v>-8.01</v>
      </c>
      <c r="AT453" s="11">
        <v>140164623552</v>
      </c>
      <c r="AU453" s="11">
        <v>37385911992</v>
      </c>
      <c r="AV453" s="11">
        <v>46809841998</v>
      </c>
      <c r="AW453" s="11">
        <v>159586521231</v>
      </c>
      <c r="AX453" s="11">
        <v>114182698692</v>
      </c>
      <c r="AY453" s="11">
        <v>82818000000</v>
      </c>
      <c r="AZ453" s="11">
        <v>54069014180</v>
      </c>
      <c r="BA453" s="11">
        <v>412763526890</v>
      </c>
      <c r="BB453" s="13">
        <v>208174</v>
      </c>
      <c r="BC453" s="11">
        <v>215762828198</v>
      </c>
      <c r="BD453" s="11">
        <v>114182698692</v>
      </c>
      <c r="BE453" s="11">
        <v>82818000000</v>
      </c>
      <c r="BF453" s="11">
        <v>88859161644</v>
      </c>
      <c r="BG453" s="11">
        <v>3200000000</v>
      </c>
      <c r="BH453" s="11">
        <v>0</v>
      </c>
      <c r="BI453" s="11">
        <v>0</v>
      </c>
      <c r="BJ453" s="11">
        <v>0</v>
      </c>
      <c r="BK453" s="11">
        <v>0</v>
      </c>
      <c r="BL453" s="11">
        <v>0</v>
      </c>
      <c r="BM453" s="11">
        <v>0</v>
      </c>
    </row>
    <row r="454" spans="1:65" x14ac:dyDescent="0.25">
      <c r="A454" s="32"/>
      <c r="B454" s="10">
        <v>2804</v>
      </c>
      <c r="C454" s="10" t="s">
        <v>503</v>
      </c>
      <c r="D454" s="11">
        <v>881439333025</v>
      </c>
      <c r="E454" s="11">
        <v>262860560635</v>
      </c>
      <c r="F454" s="11">
        <v>0</v>
      </c>
      <c r="G454" s="11">
        <v>0</v>
      </c>
      <c r="H454" s="11">
        <v>1144299893660</v>
      </c>
      <c r="I454" s="11">
        <v>97267897043</v>
      </c>
      <c r="J454" s="11">
        <v>1047031996617</v>
      </c>
      <c r="K454" s="11">
        <v>1570975044307</v>
      </c>
      <c r="L454" s="11">
        <v>-426675150647</v>
      </c>
      <c r="M454" s="12">
        <v>-27.16</v>
      </c>
      <c r="N454" s="11">
        <v>2145459454724</v>
      </c>
      <c r="O454" s="12">
        <v>197.6</v>
      </c>
      <c r="P454" s="12">
        <v>204.91</v>
      </c>
      <c r="Q454" s="12">
        <v>5.62</v>
      </c>
      <c r="R454" s="11">
        <v>2141207478228</v>
      </c>
      <c r="S454" s="11">
        <v>119956228688</v>
      </c>
      <c r="T454" s="11">
        <v>100747601772</v>
      </c>
      <c r="U454" s="11">
        <v>10668253167</v>
      </c>
      <c r="V454" s="11">
        <v>8540373749</v>
      </c>
      <c r="W454" s="11">
        <v>2261163706916</v>
      </c>
      <c r="X454" s="11">
        <v>177055682977</v>
      </c>
      <c r="Y454" s="11">
        <v>21099723881</v>
      </c>
      <c r="Z454" s="11">
        <v>2459319113774</v>
      </c>
      <c r="AA454" s="11">
        <v>1487103130027</v>
      </c>
      <c r="AB454" s="12">
        <v>52.05</v>
      </c>
      <c r="AC454" s="11">
        <v>1456901964071</v>
      </c>
      <c r="AD454" s="11">
        <v>1431901964071</v>
      </c>
      <c r="AE454" s="11">
        <v>0</v>
      </c>
      <c r="AF454" s="11">
        <v>4483874215</v>
      </c>
      <c r="AG454" s="11">
        <v>186033342205</v>
      </c>
      <c r="AH454" s="11">
        <v>0</v>
      </c>
      <c r="AI454" s="11">
        <v>0</v>
      </c>
      <c r="AJ454" s="12">
        <v>0</v>
      </c>
      <c r="AK454" s="11">
        <v>0</v>
      </c>
      <c r="AL454" s="12">
        <v>444</v>
      </c>
      <c r="AM454" s="11">
        <v>2622134165585</v>
      </c>
      <c r="AN454" s="12">
        <v>416</v>
      </c>
      <c r="AO454" s="11">
        <v>1337724849867</v>
      </c>
      <c r="AP454" s="11">
        <v>119956228688</v>
      </c>
      <c r="AQ454" s="11">
        <v>57588792853</v>
      </c>
      <c r="AR454" s="11">
        <v>62367435835</v>
      </c>
      <c r="AS454" s="12">
        <v>108.3</v>
      </c>
      <c r="AT454" s="11">
        <v>724260507140</v>
      </c>
      <c r="AU454" s="11">
        <v>291367184954</v>
      </c>
      <c r="AV454" s="11">
        <v>135013420864</v>
      </c>
      <c r="AW454" s="11">
        <v>248950567007</v>
      </c>
      <c r="AX454" s="11">
        <v>343417795154</v>
      </c>
      <c r="AY454" s="11">
        <v>154057550000</v>
      </c>
      <c r="AZ454" s="11">
        <v>294626506985</v>
      </c>
      <c r="BA454" s="11">
        <v>1144299893660</v>
      </c>
      <c r="BB454" s="13">
        <v>141684</v>
      </c>
      <c r="BC454" s="11">
        <v>641119932456</v>
      </c>
      <c r="BD454" s="11">
        <v>343417795154</v>
      </c>
      <c r="BE454" s="11">
        <v>159762166050</v>
      </c>
      <c r="BF454" s="11">
        <v>1230838370300</v>
      </c>
      <c r="BG454" s="11">
        <v>226063593771</v>
      </c>
      <c r="BH454" s="11">
        <v>0</v>
      </c>
      <c r="BI454" s="11">
        <v>0</v>
      </c>
      <c r="BJ454" s="11">
        <v>0</v>
      </c>
      <c r="BK454" s="11">
        <v>0</v>
      </c>
      <c r="BL454" s="11">
        <v>922500000</v>
      </c>
      <c r="BM454" s="11">
        <v>4514701540</v>
      </c>
    </row>
    <row r="455" spans="1:65" x14ac:dyDescent="0.25">
      <c r="A455" s="32"/>
      <c r="B455" s="10">
        <v>2805</v>
      </c>
      <c r="C455" s="10" t="s">
        <v>504</v>
      </c>
      <c r="D455" s="11">
        <v>1389388651971</v>
      </c>
      <c r="E455" s="11">
        <v>89222734036</v>
      </c>
      <c r="F455" s="11">
        <v>0</v>
      </c>
      <c r="G455" s="11">
        <v>0</v>
      </c>
      <c r="H455" s="11">
        <v>1478611386007</v>
      </c>
      <c r="I455" s="11">
        <v>122468090562</v>
      </c>
      <c r="J455" s="11">
        <v>1356143295445</v>
      </c>
      <c r="K455" s="11">
        <v>1644607076613</v>
      </c>
      <c r="L455" s="11">
        <v>-165995690606</v>
      </c>
      <c r="M455" s="12">
        <v>-10.09</v>
      </c>
      <c r="N455" s="11">
        <v>989590485018</v>
      </c>
      <c r="O455" s="12">
        <v>70.87</v>
      </c>
      <c r="P455" s="12">
        <v>72.97</v>
      </c>
      <c r="Q455" s="12">
        <v>1.86</v>
      </c>
      <c r="R455" s="11">
        <v>1030407861391</v>
      </c>
      <c r="S455" s="11">
        <v>17551773817</v>
      </c>
      <c r="T455" s="11">
        <v>15675920183</v>
      </c>
      <c r="U455" s="11">
        <v>1555189324</v>
      </c>
      <c r="V455" s="11">
        <v>320664310</v>
      </c>
      <c r="W455" s="11">
        <v>1047959635208</v>
      </c>
      <c r="X455" s="11">
        <v>47208526911</v>
      </c>
      <c r="Y455" s="11">
        <v>5712290000</v>
      </c>
      <c r="Z455" s="11">
        <v>1100880452119</v>
      </c>
      <c r="AA455" s="11">
        <v>917012702573</v>
      </c>
      <c r="AB455" s="12">
        <v>14.28</v>
      </c>
      <c r="AC455" s="11">
        <v>399883396800</v>
      </c>
      <c r="AD455" s="11">
        <v>386715396800</v>
      </c>
      <c r="AE455" s="11">
        <v>3368244000</v>
      </c>
      <c r="AF455" s="11">
        <v>206425800</v>
      </c>
      <c r="AG455" s="11">
        <v>15876222146</v>
      </c>
      <c r="AH455" s="11">
        <v>0</v>
      </c>
      <c r="AI455" s="11">
        <v>0</v>
      </c>
      <c r="AJ455" s="12">
        <v>2</v>
      </c>
      <c r="AK455" s="11">
        <v>76329325932</v>
      </c>
      <c r="AL455" s="12">
        <v>90</v>
      </c>
      <c r="AM455" s="11">
        <v>708235575548</v>
      </c>
      <c r="AN455" s="12">
        <v>37</v>
      </c>
      <c r="AO455" s="11">
        <v>291601175296</v>
      </c>
      <c r="AP455" s="11">
        <v>17551773817</v>
      </c>
      <c r="AQ455" s="11">
        <v>10267790936</v>
      </c>
      <c r="AR455" s="11">
        <v>7283982881</v>
      </c>
      <c r="AS455" s="12">
        <v>70.94</v>
      </c>
      <c r="AT455" s="11">
        <v>326589069793</v>
      </c>
      <c r="AU455" s="11">
        <v>62007118282</v>
      </c>
      <c r="AV455" s="11">
        <v>112736027961</v>
      </c>
      <c r="AW455" s="11">
        <v>264341645791</v>
      </c>
      <c r="AX455" s="11">
        <v>324053478219</v>
      </c>
      <c r="AY455" s="11">
        <v>688257500000</v>
      </c>
      <c r="AZ455" s="11">
        <v>209211108248</v>
      </c>
      <c r="BA455" s="11">
        <v>1478611386007</v>
      </c>
      <c r="BB455" s="13">
        <v>82735</v>
      </c>
      <c r="BC455" s="11">
        <v>466300407788</v>
      </c>
      <c r="BD455" s="11">
        <v>324053478219</v>
      </c>
      <c r="BE455" s="11">
        <v>688257500000</v>
      </c>
      <c r="BF455" s="11">
        <v>362512777000</v>
      </c>
      <c r="BG455" s="11">
        <v>37370619800</v>
      </c>
      <c r="BH455" s="11">
        <v>3368244000</v>
      </c>
      <c r="BI455" s="11">
        <v>0</v>
      </c>
      <c r="BJ455" s="11">
        <v>0</v>
      </c>
      <c r="BK455" s="11">
        <v>0</v>
      </c>
      <c r="BL455" s="11">
        <v>0</v>
      </c>
      <c r="BM455" s="11">
        <v>206425800</v>
      </c>
    </row>
    <row r="456" spans="1:65" x14ac:dyDescent="0.25">
      <c r="A456" s="32"/>
      <c r="B456" s="10">
        <v>2806</v>
      </c>
      <c r="C456" s="10" t="s">
        <v>505</v>
      </c>
      <c r="D456" s="11">
        <v>3620803620555</v>
      </c>
      <c r="E456" s="11">
        <v>93132653842</v>
      </c>
      <c r="F456" s="11">
        <v>0</v>
      </c>
      <c r="G456" s="11">
        <v>0</v>
      </c>
      <c r="H456" s="11">
        <v>3713936274397</v>
      </c>
      <c r="I456" s="11">
        <v>308874295923</v>
      </c>
      <c r="J456" s="11">
        <v>3405061978474</v>
      </c>
      <c r="K456" s="11">
        <v>3598015145122</v>
      </c>
      <c r="L456" s="11">
        <v>115921129275</v>
      </c>
      <c r="M456" s="12">
        <v>3.22</v>
      </c>
      <c r="N456" s="11">
        <v>866219780565</v>
      </c>
      <c r="O456" s="12">
        <v>27.39</v>
      </c>
      <c r="P456" s="12">
        <v>25.44</v>
      </c>
      <c r="Q456" s="12">
        <v>0.18</v>
      </c>
      <c r="R456" s="11">
        <v>1015127984581</v>
      </c>
      <c r="S456" s="11">
        <v>2003323649</v>
      </c>
      <c r="T456" s="11">
        <v>1897864899</v>
      </c>
      <c r="U456" s="11">
        <v>105458750</v>
      </c>
      <c r="V456" s="11">
        <v>0</v>
      </c>
      <c r="W456" s="11">
        <v>1017131308230</v>
      </c>
      <c r="X456" s="11">
        <v>98162312202</v>
      </c>
      <c r="Y456" s="11">
        <v>15379586540</v>
      </c>
      <c r="Z456" s="11">
        <v>1130673206972</v>
      </c>
      <c r="AA456" s="11">
        <v>794676257385</v>
      </c>
      <c r="AB456" s="12">
        <v>27.99</v>
      </c>
      <c r="AC456" s="11">
        <v>427819145651</v>
      </c>
      <c r="AD456" s="11">
        <v>422169145651</v>
      </c>
      <c r="AE456" s="11">
        <v>0</v>
      </c>
      <c r="AF456" s="11">
        <v>0</v>
      </c>
      <c r="AG456" s="11">
        <v>0</v>
      </c>
      <c r="AH456" s="11">
        <v>0</v>
      </c>
      <c r="AI456" s="11">
        <v>0</v>
      </c>
      <c r="AJ456" s="12">
        <v>0</v>
      </c>
      <c r="AK456" s="11">
        <v>0</v>
      </c>
      <c r="AL456" s="12">
        <v>212</v>
      </c>
      <c r="AM456" s="11">
        <v>1389085898744</v>
      </c>
      <c r="AN456" s="12">
        <v>41</v>
      </c>
      <c r="AO456" s="11">
        <v>357643391681</v>
      </c>
      <c r="AP456" s="11">
        <v>2003323649</v>
      </c>
      <c r="AQ456" s="11">
        <v>2078299755</v>
      </c>
      <c r="AR456" s="11">
        <v>-74976106</v>
      </c>
      <c r="AS456" s="19">
        <v>-3.61</v>
      </c>
      <c r="AT456" s="11">
        <v>329455109781</v>
      </c>
      <c r="AU456" s="11">
        <v>23972925608</v>
      </c>
      <c r="AV456" s="11">
        <v>381064457057</v>
      </c>
      <c r="AW456" s="11">
        <v>440098743200</v>
      </c>
      <c r="AX456" s="11">
        <v>278345720298</v>
      </c>
      <c r="AY456" s="11">
        <v>2521294700000</v>
      </c>
      <c r="AZ456" s="11">
        <v>188376835012</v>
      </c>
      <c r="BA456" s="11">
        <v>3713936274397</v>
      </c>
      <c r="BB456" s="13">
        <v>63846</v>
      </c>
      <c r="BC456" s="11">
        <v>914295854099</v>
      </c>
      <c r="BD456" s="11">
        <v>278345720298</v>
      </c>
      <c r="BE456" s="11">
        <v>2521294700000</v>
      </c>
      <c r="BF456" s="11">
        <v>413420963651</v>
      </c>
      <c r="BG456" s="11">
        <v>14398182000</v>
      </c>
      <c r="BH456" s="11">
        <v>0</v>
      </c>
      <c r="BI456" s="11">
        <v>0</v>
      </c>
      <c r="BJ456" s="11">
        <v>0</v>
      </c>
      <c r="BK456" s="11">
        <v>0</v>
      </c>
      <c r="BL456" s="11">
        <v>0</v>
      </c>
      <c r="BM456" s="11">
        <v>0</v>
      </c>
    </row>
    <row r="457" spans="1:65" x14ac:dyDescent="0.25">
      <c r="A457" s="32"/>
      <c r="B457" s="10">
        <v>2807</v>
      </c>
      <c r="C457" s="10" t="s">
        <v>506</v>
      </c>
      <c r="D457" s="11">
        <v>833136073356</v>
      </c>
      <c r="E457" s="11">
        <v>38668162536</v>
      </c>
      <c r="F457" s="11">
        <v>0</v>
      </c>
      <c r="G457" s="11">
        <v>0</v>
      </c>
      <c r="H457" s="11">
        <v>871804235892</v>
      </c>
      <c r="I457" s="11">
        <v>69763906121</v>
      </c>
      <c r="J457" s="11">
        <v>802040329771</v>
      </c>
      <c r="K457" s="11">
        <v>951131401428</v>
      </c>
      <c r="L457" s="11">
        <v>-79327165536</v>
      </c>
      <c r="M457" s="12">
        <v>-8.34</v>
      </c>
      <c r="N457" s="11">
        <v>1410639154574</v>
      </c>
      <c r="O457" s="12">
        <v>181.65</v>
      </c>
      <c r="P457" s="12">
        <v>175.88</v>
      </c>
      <c r="Q457" s="12">
        <v>0.82</v>
      </c>
      <c r="R457" s="11">
        <v>1574797896503</v>
      </c>
      <c r="S457" s="11">
        <v>8863164345</v>
      </c>
      <c r="T457" s="11">
        <v>2247483921</v>
      </c>
      <c r="U457" s="11">
        <v>4523099401</v>
      </c>
      <c r="V457" s="11">
        <v>2092581023</v>
      </c>
      <c r="W457" s="11">
        <v>1583661060848</v>
      </c>
      <c r="X457" s="11">
        <v>55959620228</v>
      </c>
      <c r="Y457" s="11">
        <v>5860000000</v>
      </c>
      <c r="Z457" s="11">
        <v>1645480681076</v>
      </c>
      <c r="AA457" s="11">
        <v>1758744782884</v>
      </c>
      <c r="AB457" s="12">
        <v>-9.9600000000000009</v>
      </c>
      <c r="AC457" s="11">
        <v>424364792400</v>
      </c>
      <c r="AD457" s="11">
        <v>412434792400</v>
      </c>
      <c r="AE457" s="11">
        <v>0</v>
      </c>
      <c r="AF457" s="11">
        <v>43410900</v>
      </c>
      <c r="AG457" s="11">
        <v>51655848189</v>
      </c>
      <c r="AH457" s="11">
        <v>0</v>
      </c>
      <c r="AI457" s="11">
        <v>0</v>
      </c>
      <c r="AJ457" s="12">
        <v>0</v>
      </c>
      <c r="AK457" s="11">
        <v>0</v>
      </c>
      <c r="AL457" s="12">
        <v>57</v>
      </c>
      <c r="AM457" s="11">
        <v>283628470138</v>
      </c>
      <c r="AN457" s="12">
        <v>54</v>
      </c>
      <c r="AO457" s="11">
        <v>177448597483</v>
      </c>
      <c r="AP457" s="11">
        <v>8863164345</v>
      </c>
      <c r="AQ457" s="11">
        <v>34823419582</v>
      </c>
      <c r="AR457" s="11">
        <v>-25960255237</v>
      </c>
      <c r="AS457" s="12">
        <v>-74.55</v>
      </c>
      <c r="AT457" s="11">
        <v>648478460535</v>
      </c>
      <c r="AU457" s="11">
        <v>99399066517</v>
      </c>
      <c r="AV457" s="11">
        <v>115273205589</v>
      </c>
      <c r="AW457" s="11">
        <v>225953842870</v>
      </c>
      <c r="AX457" s="11">
        <v>310513824897</v>
      </c>
      <c r="AY457" s="11">
        <v>181395200000</v>
      </c>
      <c r="AZ457" s="11">
        <v>253154058627</v>
      </c>
      <c r="BA457" s="11">
        <v>871804235892</v>
      </c>
      <c r="BB457" s="13">
        <v>142458</v>
      </c>
      <c r="BC457" s="11">
        <v>379895210995</v>
      </c>
      <c r="BD457" s="11">
        <v>310513824897</v>
      </c>
      <c r="BE457" s="11">
        <v>181395200000</v>
      </c>
      <c r="BF457" s="11">
        <v>322172341500</v>
      </c>
      <c r="BG457" s="11">
        <v>102192450900</v>
      </c>
      <c r="BH457" s="11">
        <v>0</v>
      </c>
      <c r="BI457" s="11">
        <v>0</v>
      </c>
      <c r="BJ457" s="11">
        <v>0</v>
      </c>
      <c r="BK457" s="11">
        <v>0</v>
      </c>
      <c r="BL457" s="11">
        <v>0</v>
      </c>
      <c r="BM457" s="11">
        <v>43410900</v>
      </c>
    </row>
    <row r="458" spans="1:65" x14ac:dyDescent="0.25">
      <c r="A458" s="32"/>
      <c r="B458" s="10">
        <v>2808</v>
      </c>
      <c r="C458" s="10" t="s">
        <v>507</v>
      </c>
      <c r="D458" s="11">
        <v>479990886894</v>
      </c>
      <c r="E458" s="11">
        <v>188177427712</v>
      </c>
      <c r="F458" s="11">
        <v>0</v>
      </c>
      <c r="G458" s="11">
        <v>0</v>
      </c>
      <c r="H458" s="11">
        <v>668168314606</v>
      </c>
      <c r="I458" s="11">
        <v>54750383943</v>
      </c>
      <c r="J458" s="11">
        <v>613417930663</v>
      </c>
      <c r="K458" s="11">
        <v>937724567135</v>
      </c>
      <c r="L458" s="11">
        <v>-269556252529</v>
      </c>
      <c r="M458" s="12">
        <v>-28.75</v>
      </c>
      <c r="N458" s="11">
        <v>902545585940</v>
      </c>
      <c r="O458" s="12">
        <v>144.83000000000001</v>
      </c>
      <c r="P458" s="12">
        <v>147.13</v>
      </c>
      <c r="Q458" s="12">
        <v>13.85</v>
      </c>
      <c r="R458" s="11">
        <v>832742838260</v>
      </c>
      <c r="S458" s="11">
        <v>134942825842</v>
      </c>
      <c r="T458" s="11">
        <v>8478696074</v>
      </c>
      <c r="U458" s="11">
        <v>3887701260</v>
      </c>
      <c r="V458" s="11">
        <v>122576428508</v>
      </c>
      <c r="W458" s="11">
        <v>967685664102</v>
      </c>
      <c r="X458" s="11">
        <v>108958830143</v>
      </c>
      <c r="Y458" s="11">
        <v>21679498645</v>
      </c>
      <c r="Z458" s="11">
        <v>1098323992890</v>
      </c>
      <c r="AA458" s="11">
        <v>902346962995</v>
      </c>
      <c r="AB458" s="12">
        <v>7.24</v>
      </c>
      <c r="AC458" s="11">
        <v>849394484419</v>
      </c>
      <c r="AD458" s="11">
        <v>846064484419</v>
      </c>
      <c r="AE458" s="11">
        <v>405928193790</v>
      </c>
      <c r="AF458" s="11">
        <v>0</v>
      </c>
      <c r="AG458" s="11">
        <v>40692247861</v>
      </c>
      <c r="AH458" s="11">
        <v>0</v>
      </c>
      <c r="AI458" s="11">
        <v>0</v>
      </c>
      <c r="AJ458" s="12">
        <v>6</v>
      </c>
      <c r="AK458" s="11">
        <v>778364060868</v>
      </c>
      <c r="AL458" s="12">
        <v>146</v>
      </c>
      <c r="AM458" s="11">
        <v>1612459919586</v>
      </c>
      <c r="AN458" s="12">
        <v>96</v>
      </c>
      <c r="AO458" s="11">
        <v>6651751773398</v>
      </c>
      <c r="AP458" s="11">
        <v>134942825842</v>
      </c>
      <c r="AQ458" s="11">
        <v>6686169993</v>
      </c>
      <c r="AR458" s="11">
        <v>128256655849</v>
      </c>
      <c r="AS458" s="19">
        <v>1918.24</v>
      </c>
      <c r="AT458" s="11">
        <v>734102024005</v>
      </c>
      <c r="AU458" s="11">
        <v>305100134043</v>
      </c>
      <c r="AV458" s="11">
        <v>88209034830</v>
      </c>
      <c r="AW458" s="11">
        <v>72917472789</v>
      </c>
      <c r="AX458" s="11">
        <v>161808079275</v>
      </c>
      <c r="AY458" s="11">
        <v>157056300000</v>
      </c>
      <c r="AZ458" s="11">
        <v>129242180996</v>
      </c>
      <c r="BA458" s="11">
        <v>668168314606</v>
      </c>
      <c r="BB458" s="13">
        <v>48982</v>
      </c>
      <c r="BC458" s="11">
        <v>349303935331</v>
      </c>
      <c r="BD458" s="11">
        <v>161808079275</v>
      </c>
      <c r="BE458" s="11">
        <v>157056300000</v>
      </c>
      <c r="BF458" s="11">
        <v>549863331600</v>
      </c>
      <c r="BG458" s="11">
        <v>299531152819</v>
      </c>
      <c r="BH458" s="11">
        <v>0</v>
      </c>
      <c r="BI458" s="11">
        <v>122576428508</v>
      </c>
      <c r="BJ458" s="11">
        <v>143013831584</v>
      </c>
      <c r="BK458" s="11">
        <v>0</v>
      </c>
      <c r="BL458" s="11">
        <v>0</v>
      </c>
      <c r="BM458" s="11">
        <v>0</v>
      </c>
    </row>
    <row r="459" spans="1:65" x14ac:dyDescent="0.25">
      <c r="A459" s="32"/>
      <c r="B459" s="10">
        <v>2809</v>
      </c>
      <c r="C459" s="10" t="s">
        <v>508</v>
      </c>
      <c r="D459" s="11">
        <v>619453463463</v>
      </c>
      <c r="E459" s="11">
        <v>19752757773</v>
      </c>
      <c r="F459" s="11">
        <v>0</v>
      </c>
      <c r="G459" s="11">
        <v>0</v>
      </c>
      <c r="H459" s="11">
        <v>639206221236</v>
      </c>
      <c r="I459" s="11">
        <v>51715333723</v>
      </c>
      <c r="J459" s="11">
        <v>587490887513</v>
      </c>
      <c r="K459" s="11">
        <v>713367917411</v>
      </c>
      <c r="L459" s="11">
        <v>-74161696175</v>
      </c>
      <c r="M459" s="12">
        <v>-10.4</v>
      </c>
      <c r="N459" s="11">
        <v>905131744211</v>
      </c>
      <c r="O459" s="12">
        <v>145.52000000000001</v>
      </c>
      <c r="P459" s="12">
        <v>154.07</v>
      </c>
      <c r="Q459" s="12">
        <v>6.55</v>
      </c>
      <c r="R459" s="11">
        <v>871594621618</v>
      </c>
      <c r="S459" s="11">
        <v>58570055944</v>
      </c>
      <c r="T459" s="11">
        <v>39316342612</v>
      </c>
      <c r="U459" s="11">
        <v>11841425896</v>
      </c>
      <c r="V459" s="11">
        <v>7412287436</v>
      </c>
      <c r="W459" s="11">
        <v>930164677562</v>
      </c>
      <c r="X459" s="11">
        <v>36703140660</v>
      </c>
      <c r="Y459" s="11">
        <v>6350000000</v>
      </c>
      <c r="Z459" s="11">
        <v>973217818222</v>
      </c>
      <c r="AA459" s="11">
        <v>623570655267</v>
      </c>
      <c r="AB459" s="12">
        <v>49.17</v>
      </c>
      <c r="AC459" s="11">
        <v>410953944014</v>
      </c>
      <c r="AD459" s="11">
        <v>407499640000</v>
      </c>
      <c r="AE459" s="11">
        <v>0</v>
      </c>
      <c r="AF459" s="11">
        <v>0</v>
      </c>
      <c r="AG459" s="11">
        <v>44952012457</v>
      </c>
      <c r="AH459" s="11">
        <v>0</v>
      </c>
      <c r="AI459" s="11">
        <v>0</v>
      </c>
      <c r="AJ459" s="12">
        <v>0</v>
      </c>
      <c r="AK459" s="11">
        <v>0</v>
      </c>
      <c r="AL459" s="12">
        <v>69</v>
      </c>
      <c r="AM459" s="11">
        <v>256815869047</v>
      </c>
      <c r="AN459" s="12">
        <v>8</v>
      </c>
      <c r="AO459" s="11">
        <v>48675676908</v>
      </c>
      <c r="AP459" s="11">
        <v>58570055944</v>
      </c>
      <c r="AQ459" s="11">
        <v>18912568855</v>
      </c>
      <c r="AR459" s="11">
        <v>39657487089</v>
      </c>
      <c r="AS459" s="12">
        <v>209.69</v>
      </c>
      <c r="AT459" s="11">
        <v>138683507012</v>
      </c>
      <c r="AU459" s="11">
        <v>64138936694</v>
      </c>
      <c r="AV459" s="11">
        <v>34490313666</v>
      </c>
      <c r="AW459" s="11">
        <v>259350825474</v>
      </c>
      <c r="AX459" s="11">
        <v>95706324323</v>
      </c>
      <c r="AY459" s="11">
        <v>229906000000</v>
      </c>
      <c r="AZ459" s="11">
        <v>48237206180</v>
      </c>
      <c r="BA459" s="11">
        <v>639206221236</v>
      </c>
      <c r="BB459" s="13">
        <v>37951</v>
      </c>
      <c r="BC459" s="11">
        <v>313593896913</v>
      </c>
      <c r="BD459" s="11">
        <v>95706324323</v>
      </c>
      <c r="BE459" s="11">
        <v>229906000000</v>
      </c>
      <c r="BF459" s="11">
        <v>349323944014</v>
      </c>
      <c r="BG459" s="11">
        <v>61630000000</v>
      </c>
      <c r="BH459" s="11">
        <v>0</v>
      </c>
      <c r="BI459" s="11">
        <v>0</v>
      </c>
      <c r="BJ459" s="11">
        <v>0</v>
      </c>
      <c r="BK459" s="11">
        <v>0</v>
      </c>
      <c r="BL459" s="11">
        <v>0</v>
      </c>
      <c r="BM459" s="11">
        <v>0</v>
      </c>
    </row>
    <row r="460" spans="1:65" x14ac:dyDescent="0.25">
      <c r="A460" s="32"/>
      <c r="B460" s="10">
        <v>2810</v>
      </c>
      <c r="C460" s="10" t="s">
        <v>509</v>
      </c>
      <c r="D460" s="11">
        <v>557186035694</v>
      </c>
      <c r="E460" s="11">
        <v>7623602977</v>
      </c>
      <c r="F460" s="11">
        <v>0</v>
      </c>
      <c r="G460" s="11">
        <v>0</v>
      </c>
      <c r="H460" s="11">
        <v>564809638671</v>
      </c>
      <c r="I460" s="11">
        <v>43965087424</v>
      </c>
      <c r="J460" s="11">
        <v>520844551247</v>
      </c>
      <c r="K460" s="11">
        <v>570604366346</v>
      </c>
      <c r="L460" s="11">
        <v>-5794727675</v>
      </c>
      <c r="M460" s="12">
        <v>-1.02</v>
      </c>
      <c r="N460" s="11">
        <v>555006915250</v>
      </c>
      <c r="O460" s="12">
        <v>107.76</v>
      </c>
      <c r="P460" s="12">
        <v>106.56</v>
      </c>
      <c r="Q460" s="12">
        <v>1.01</v>
      </c>
      <c r="R460" s="11">
        <v>603064540131</v>
      </c>
      <c r="S460" s="11">
        <v>5586417818</v>
      </c>
      <c r="T460" s="11">
        <v>4317059022</v>
      </c>
      <c r="U460" s="11">
        <v>1269358796</v>
      </c>
      <c r="V460" s="11">
        <v>0</v>
      </c>
      <c r="W460" s="11">
        <v>608650957949</v>
      </c>
      <c r="X460" s="11">
        <v>35502773821</v>
      </c>
      <c r="Y460" s="11">
        <v>981340000</v>
      </c>
      <c r="Z460" s="11">
        <v>645135071770</v>
      </c>
      <c r="AA460" s="11">
        <v>571267576916</v>
      </c>
      <c r="AB460" s="12">
        <v>6.54</v>
      </c>
      <c r="AC460" s="11">
        <v>195758109998</v>
      </c>
      <c r="AD460" s="11">
        <v>195758109998</v>
      </c>
      <c r="AE460" s="11">
        <v>0</v>
      </c>
      <c r="AF460" s="11">
        <v>0</v>
      </c>
      <c r="AG460" s="11">
        <v>6526655863</v>
      </c>
      <c r="AH460" s="11">
        <v>0</v>
      </c>
      <c r="AI460" s="11">
        <v>0</v>
      </c>
      <c r="AJ460" s="12">
        <v>0</v>
      </c>
      <c r="AK460" s="11">
        <v>0</v>
      </c>
      <c r="AL460" s="12">
        <v>6</v>
      </c>
      <c r="AM460" s="11">
        <v>14229000000</v>
      </c>
      <c r="AN460" s="12">
        <v>8</v>
      </c>
      <c r="AO460" s="11">
        <v>1731506000</v>
      </c>
      <c r="AP460" s="11">
        <v>5586417818</v>
      </c>
      <c r="AQ460" s="11">
        <v>3683100874</v>
      </c>
      <c r="AR460" s="11">
        <v>1903316944</v>
      </c>
      <c r="AS460" s="12">
        <v>51.68</v>
      </c>
      <c r="AT460" s="11">
        <v>201420445983</v>
      </c>
      <c r="AU460" s="11">
        <v>35533323463</v>
      </c>
      <c r="AV460" s="11">
        <v>56039582531</v>
      </c>
      <c r="AW460" s="11">
        <v>88639191828</v>
      </c>
      <c r="AX460" s="11">
        <v>130021561335</v>
      </c>
      <c r="AY460" s="11">
        <v>282485700000</v>
      </c>
      <c r="AZ460" s="11">
        <v>77960482592</v>
      </c>
      <c r="BA460" s="11">
        <v>564809638671</v>
      </c>
      <c r="BB460" s="13">
        <v>112395</v>
      </c>
      <c r="BC460" s="11">
        <v>152302377336</v>
      </c>
      <c r="BD460" s="11">
        <v>130021561335</v>
      </c>
      <c r="BE460" s="11">
        <v>282485700000</v>
      </c>
      <c r="BF460" s="11">
        <v>195758109998</v>
      </c>
      <c r="BG460" s="11">
        <v>0</v>
      </c>
      <c r="BH460" s="11">
        <v>0</v>
      </c>
      <c r="BI460" s="11">
        <v>0</v>
      </c>
      <c r="BJ460" s="11">
        <v>0</v>
      </c>
      <c r="BK460" s="11">
        <v>0</v>
      </c>
      <c r="BL460" s="11">
        <v>0</v>
      </c>
      <c r="BM460" s="11">
        <v>0</v>
      </c>
    </row>
    <row r="461" spans="1:65" x14ac:dyDescent="0.25">
      <c r="A461" s="32"/>
      <c r="B461" s="10">
        <v>2811</v>
      </c>
      <c r="C461" s="10" t="s">
        <v>510</v>
      </c>
      <c r="D461" s="11">
        <v>4724735180344</v>
      </c>
      <c r="E461" s="11">
        <v>191221967749</v>
      </c>
      <c r="F461" s="11">
        <v>84900000000</v>
      </c>
      <c r="G461" s="11">
        <v>0</v>
      </c>
      <c r="H461" s="11">
        <v>5000857148093</v>
      </c>
      <c r="I461" s="11">
        <v>350689163871</v>
      </c>
      <c r="J461" s="11">
        <v>4650167984222</v>
      </c>
      <c r="K461" s="11">
        <v>6940495234814</v>
      </c>
      <c r="L461" s="11">
        <v>-1939638086721</v>
      </c>
      <c r="M461" s="12">
        <v>-27.95</v>
      </c>
      <c r="N461" s="11">
        <v>2014319764069</v>
      </c>
      <c r="O461" s="12">
        <v>43.91</v>
      </c>
      <c r="P461" s="12">
        <v>43.32</v>
      </c>
      <c r="Q461" s="12">
        <v>2.94</v>
      </c>
      <c r="R461" s="11">
        <v>2157179933326</v>
      </c>
      <c r="S461" s="11">
        <v>38813864238</v>
      </c>
      <c r="T461" s="11">
        <v>13016583515</v>
      </c>
      <c r="U461" s="11">
        <v>8612564457</v>
      </c>
      <c r="V461" s="11">
        <v>17184716266</v>
      </c>
      <c r="W461" s="11">
        <v>2195993797564</v>
      </c>
      <c r="X461" s="11">
        <v>210015920098</v>
      </c>
      <c r="Y461" s="11">
        <v>24487239785</v>
      </c>
      <c r="Z461" s="11">
        <v>2430496957447</v>
      </c>
      <c r="AA461" s="11">
        <v>1271676144059</v>
      </c>
      <c r="AB461" s="12">
        <v>72.680000000000007</v>
      </c>
      <c r="AC461" s="11">
        <v>1451135354994</v>
      </c>
      <c r="AD461" s="11">
        <v>1347545354994</v>
      </c>
      <c r="AE461" s="11">
        <v>0</v>
      </c>
      <c r="AF461" s="11">
        <v>29432252542</v>
      </c>
      <c r="AG461" s="11">
        <v>0</v>
      </c>
      <c r="AH461" s="11">
        <v>30000000000</v>
      </c>
      <c r="AI461" s="11">
        <v>0</v>
      </c>
      <c r="AJ461" s="12">
        <v>0</v>
      </c>
      <c r="AK461" s="11">
        <v>0</v>
      </c>
      <c r="AL461" s="12">
        <v>168</v>
      </c>
      <c r="AM461" s="11">
        <v>1848977788182</v>
      </c>
      <c r="AN461" s="12">
        <v>147</v>
      </c>
      <c r="AO461" s="11">
        <v>397979125340</v>
      </c>
      <c r="AP461" s="11">
        <v>38813864238</v>
      </c>
      <c r="AQ461" s="11">
        <v>29667044754</v>
      </c>
      <c r="AR461" s="11">
        <v>9146819484</v>
      </c>
      <c r="AS461" s="12">
        <v>30.83</v>
      </c>
      <c r="AT461" s="11">
        <v>648705851939</v>
      </c>
      <c r="AU461" s="11">
        <v>192158285829</v>
      </c>
      <c r="AV461" s="11">
        <v>149463266397</v>
      </c>
      <c r="AW461" s="11">
        <v>304540451207</v>
      </c>
      <c r="AX461" s="11">
        <v>3489857062740</v>
      </c>
      <c r="AY461" s="11">
        <v>780874400000</v>
      </c>
      <c r="AZ461" s="11">
        <v>1983881635046</v>
      </c>
      <c r="BA461" s="11">
        <v>5000857148093</v>
      </c>
      <c r="BB461" s="13">
        <v>169433</v>
      </c>
      <c r="BC461" s="11">
        <v>645225685353</v>
      </c>
      <c r="BD461" s="11">
        <v>3574745062740</v>
      </c>
      <c r="BE461" s="11">
        <v>780886400000</v>
      </c>
      <c r="BF461" s="11">
        <v>1154447266364</v>
      </c>
      <c r="BG461" s="11">
        <v>296688088630</v>
      </c>
      <c r="BH461" s="11">
        <v>0</v>
      </c>
      <c r="BI461" s="11">
        <v>0</v>
      </c>
      <c r="BJ461" s="11">
        <v>0</v>
      </c>
      <c r="BK461" s="11">
        <v>0</v>
      </c>
      <c r="BL461" s="11">
        <v>0</v>
      </c>
      <c r="BM461" s="11">
        <v>29439249892</v>
      </c>
    </row>
    <row r="462" spans="1:65" x14ac:dyDescent="0.25">
      <c r="A462" s="32"/>
      <c r="B462" s="10">
        <v>2812</v>
      </c>
      <c r="C462" s="10" t="s">
        <v>511</v>
      </c>
      <c r="D462" s="11">
        <v>2011446580069</v>
      </c>
      <c r="E462" s="11">
        <v>92101207292</v>
      </c>
      <c r="F462" s="11">
        <v>0</v>
      </c>
      <c r="G462" s="11">
        <v>0</v>
      </c>
      <c r="H462" s="11">
        <v>2103547787361</v>
      </c>
      <c r="I462" s="11">
        <v>170055667995</v>
      </c>
      <c r="J462" s="11">
        <v>1933492119366</v>
      </c>
      <c r="K462" s="11">
        <v>1336378736984</v>
      </c>
      <c r="L462" s="11">
        <v>767169050377</v>
      </c>
      <c r="M462" s="12">
        <v>57.41</v>
      </c>
      <c r="N462" s="11">
        <v>1029612158218</v>
      </c>
      <c r="O462" s="12">
        <v>54.92</v>
      </c>
      <c r="P462" s="12">
        <v>53.25</v>
      </c>
      <c r="Q462" s="12">
        <v>2.42</v>
      </c>
      <c r="R462" s="11">
        <v>1126059394243</v>
      </c>
      <c r="S462" s="11">
        <v>29209441629</v>
      </c>
      <c r="T462" s="11">
        <v>24474967111</v>
      </c>
      <c r="U462" s="11">
        <v>4734474518</v>
      </c>
      <c r="V462" s="11">
        <v>0</v>
      </c>
      <c r="W462" s="11">
        <v>1155268835872</v>
      </c>
      <c r="X462" s="11">
        <v>65848238729</v>
      </c>
      <c r="Y462" s="11">
        <v>7301282080</v>
      </c>
      <c r="Z462" s="11">
        <v>1228418356681</v>
      </c>
      <c r="AA462" s="11">
        <v>1140382003380</v>
      </c>
      <c r="AB462" s="12">
        <v>1.31</v>
      </c>
      <c r="AC462" s="11">
        <v>567442684512</v>
      </c>
      <c r="AD462" s="11">
        <v>567442684512</v>
      </c>
      <c r="AE462" s="11">
        <v>0</v>
      </c>
      <c r="AF462" s="11">
        <v>0</v>
      </c>
      <c r="AG462" s="11">
        <v>20698775031</v>
      </c>
      <c r="AH462" s="11">
        <v>0</v>
      </c>
      <c r="AI462" s="11">
        <v>0</v>
      </c>
      <c r="AJ462" s="12">
        <v>0</v>
      </c>
      <c r="AK462" s="11">
        <v>0</v>
      </c>
      <c r="AL462" s="12">
        <v>102</v>
      </c>
      <c r="AM462" s="11">
        <v>822232926219</v>
      </c>
      <c r="AN462" s="12">
        <v>52</v>
      </c>
      <c r="AO462" s="11">
        <v>233327104244</v>
      </c>
      <c r="AP462" s="11">
        <v>29209441629</v>
      </c>
      <c r="AQ462" s="11">
        <v>20412970083</v>
      </c>
      <c r="AR462" s="11">
        <v>8796471546</v>
      </c>
      <c r="AS462" s="12">
        <v>43.09</v>
      </c>
      <c r="AT462" s="11">
        <v>636919166758</v>
      </c>
      <c r="AU462" s="11">
        <v>128284132893</v>
      </c>
      <c r="AV462" s="11">
        <v>153136526019</v>
      </c>
      <c r="AW462" s="11">
        <v>135728498389</v>
      </c>
      <c r="AX462" s="11">
        <v>180075555661</v>
      </c>
      <c r="AY462" s="11">
        <v>1542506000000</v>
      </c>
      <c r="AZ462" s="11">
        <v>125712299766</v>
      </c>
      <c r="BA462" s="11">
        <v>2103547787361</v>
      </c>
      <c r="BB462" s="13">
        <v>77053</v>
      </c>
      <c r="BC462" s="11">
        <v>380966231700</v>
      </c>
      <c r="BD462" s="11">
        <v>175575555661</v>
      </c>
      <c r="BE462" s="11">
        <v>1547006000000</v>
      </c>
      <c r="BF462" s="11">
        <v>233698547975</v>
      </c>
      <c r="BG462" s="11">
        <v>333744136537</v>
      </c>
      <c r="BH462" s="11">
        <v>0</v>
      </c>
      <c r="BI462" s="11">
        <v>0</v>
      </c>
      <c r="BJ462" s="11">
        <v>0</v>
      </c>
      <c r="BK462" s="11">
        <v>0</v>
      </c>
      <c r="BL462" s="11">
        <v>0</v>
      </c>
      <c r="BM462" s="11">
        <v>0</v>
      </c>
    </row>
    <row r="463" spans="1:65" x14ac:dyDescent="0.25">
      <c r="A463" s="32"/>
      <c r="B463" s="10">
        <v>2813</v>
      </c>
      <c r="C463" s="10" t="s">
        <v>512</v>
      </c>
      <c r="D463" s="11">
        <v>750820837659</v>
      </c>
      <c r="E463" s="11">
        <v>16824867369</v>
      </c>
      <c r="F463" s="11">
        <v>0</v>
      </c>
      <c r="G463" s="11">
        <v>0</v>
      </c>
      <c r="H463" s="11">
        <v>767645705028</v>
      </c>
      <c r="I463" s="11">
        <v>65056946477</v>
      </c>
      <c r="J463" s="11">
        <v>702588758551</v>
      </c>
      <c r="K463" s="11">
        <v>984257164625</v>
      </c>
      <c r="L463" s="11">
        <v>-216611459597</v>
      </c>
      <c r="M463" s="12">
        <v>-22.01</v>
      </c>
      <c r="N463" s="11">
        <v>914818373709</v>
      </c>
      <c r="O463" s="12">
        <v>124.9</v>
      </c>
      <c r="P463" s="12">
        <v>130.21</v>
      </c>
      <c r="Q463" s="12">
        <v>6.05</v>
      </c>
      <c r="R463" s="11">
        <v>906700760899</v>
      </c>
      <c r="S463" s="11">
        <v>52091703401</v>
      </c>
      <c r="T463" s="11">
        <v>44551360841</v>
      </c>
      <c r="U463" s="11">
        <v>56076625</v>
      </c>
      <c r="V463" s="11">
        <v>7484265935</v>
      </c>
      <c r="W463" s="11">
        <v>958792464300</v>
      </c>
      <c r="X463" s="11">
        <v>74140687902</v>
      </c>
      <c r="Y463" s="11">
        <v>5178820000</v>
      </c>
      <c r="Z463" s="11">
        <v>1038111972202</v>
      </c>
      <c r="AA463" s="11">
        <v>855776339693</v>
      </c>
      <c r="AB463" s="12">
        <v>12.04</v>
      </c>
      <c r="AC463" s="11">
        <v>388664289205</v>
      </c>
      <c r="AD463" s="11">
        <v>388664289205</v>
      </c>
      <c r="AE463" s="11">
        <v>0</v>
      </c>
      <c r="AF463" s="11">
        <v>2708063729</v>
      </c>
      <c r="AG463" s="11">
        <v>29326723907</v>
      </c>
      <c r="AH463" s="11">
        <v>0</v>
      </c>
      <c r="AI463" s="11">
        <v>0</v>
      </c>
      <c r="AJ463" s="12">
        <v>0</v>
      </c>
      <c r="AK463" s="11">
        <v>0</v>
      </c>
      <c r="AL463" s="12">
        <v>26</v>
      </c>
      <c r="AM463" s="11">
        <v>79656761177</v>
      </c>
      <c r="AN463" s="12">
        <v>14</v>
      </c>
      <c r="AO463" s="11">
        <v>63718389463</v>
      </c>
      <c r="AP463" s="11">
        <v>52091703401</v>
      </c>
      <c r="AQ463" s="11">
        <v>17641725460</v>
      </c>
      <c r="AR463" s="11">
        <v>34449977941</v>
      </c>
      <c r="AS463" s="12">
        <v>195.28</v>
      </c>
      <c r="AT463" s="11">
        <v>344668037874</v>
      </c>
      <c r="AU463" s="11">
        <v>99667316638</v>
      </c>
      <c r="AV463" s="11">
        <v>57701739239</v>
      </c>
      <c r="AW463" s="11">
        <v>170351488276</v>
      </c>
      <c r="AX463" s="11">
        <v>243547810144</v>
      </c>
      <c r="AY463" s="11">
        <v>279219800000</v>
      </c>
      <c r="AZ463" s="11">
        <v>206692769832</v>
      </c>
      <c r="BA463" s="11">
        <v>767645705028</v>
      </c>
      <c r="BB463" s="13">
        <v>58299</v>
      </c>
      <c r="BC463" s="11">
        <v>244878094884</v>
      </c>
      <c r="BD463" s="11">
        <v>243107810144</v>
      </c>
      <c r="BE463" s="11">
        <v>279659800000</v>
      </c>
      <c r="BF463" s="11">
        <v>317360064238</v>
      </c>
      <c r="BG463" s="11">
        <v>71304224967</v>
      </c>
      <c r="BH463" s="11">
        <v>0</v>
      </c>
      <c r="BI463" s="11">
        <v>0</v>
      </c>
      <c r="BJ463" s="11">
        <v>0</v>
      </c>
      <c r="BK463" s="11">
        <v>2140686506</v>
      </c>
      <c r="BL463" s="11">
        <v>567377223</v>
      </c>
      <c r="BM463" s="11">
        <v>0</v>
      </c>
    </row>
    <row r="464" spans="1:65" x14ac:dyDescent="0.25">
      <c r="A464" s="32"/>
      <c r="B464" s="10">
        <v>2814</v>
      </c>
      <c r="C464" s="10" t="s">
        <v>513</v>
      </c>
      <c r="D464" s="11">
        <v>1468995062969</v>
      </c>
      <c r="E464" s="11">
        <v>29906442894</v>
      </c>
      <c r="F464" s="11">
        <v>0</v>
      </c>
      <c r="G464" s="11">
        <v>0</v>
      </c>
      <c r="H464" s="11">
        <v>1498901505863</v>
      </c>
      <c r="I464" s="11">
        <v>130547697513</v>
      </c>
      <c r="J464" s="11">
        <v>1368353808350</v>
      </c>
      <c r="K464" s="11">
        <v>1449569817980</v>
      </c>
      <c r="L464" s="11">
        <v>49331687883</v>
      </c>
      <c r="M464" s="12">
        <v>3.4</v>
      </c>
      <c r="N464" s="11">
        <v>509080727173</v>
      </c>
      <c r="O464" s="12">
        <v>39.93</v>
      </c>
      <c r="P464" s="12">
        <v>37.200000000000003</v>
      </c>
      <c r="Q464" s="12">
        <v>0.12</v>
      </c>
      <c r="R464" s="11">
        <v>597672412914</v>
      </c>
      <c r="S464" s="11">
        <v>785033591</v>
      </c>
      <c r="T464" s="11">
        <v>785033591</v>
      </c>
      <c r="U464" s="11">
        <v>0</v>
      </c>
      <c r="V464" s="11">
        <v>0</v>
      </c>
      <c r="W464" s="11">
        <v>598457446505</v>
      </c>
      <c r="X464" s="11">
        <v>51956477384</v>
      </c>
      <c r="Y464" s="11">
        <v>14412665000</v>
      </c>
      <c r="Z464" s="11">
        <v>664826588889</v>
      </c>
      <c r="AA464" s="11">
        <v>501386451468</v>
      </c>
      <c r="AB464" s="12">
        <v>19.36</v>
      </c>
      <c r="AC464" s="11">
        <v>237850878641</v>
      </c>
      <c r="AD464" s="11">
        <v>237850878641</v>
      </c>
      <c r="AE464" s="11">
        <v>0</v>
      </c>
      <c r="AF464" s="11">
        <v>0</v>
      </c>
      <c r="AG464" s="11">
        <v>0</v>
      </c>
      <c r="AH464" s="11">
        <v>0</v>
      </c>
      <c r="AI464" s="11">
        <v>0</v>
      </c>
      <c r="AJ464" s="12">
        <v>0</v>
      </c>
      <c r="AK464" s="11">
        <v>0</v>
      </c>
      <c r="AL464" s="12">
        <v>4</v>
      </c>
      <c r="AM464" s="11">
        <v>372754908060</v>
      </c>
      <c r="AN464" s="12">
        <v>3</v>
      </c>
      <c r="AO464" s="11">
        <v>108246652700</v>
      </c>
      <c r="AP464" s="11">
        <v>785033591</v>
      </c>
      <c r="AQ464" s="11">
        <v>334948354</v>
      </c>
      <c r="AR464" s="11">
        <v>450085237</v>
      </c>
      <c r="AS464" s="12">
        <v>134.37</v>
      </c>
      <c r="AT464" s="11">
        <v>191100691756</v>
      </c>
      <c r="AU464" s="11">
        <v>7758998124</v>
      </c>
      <c r="AV464" s="11">
        <v>65775382067</v>
      </c>
      <c r="AW464" s="11">
        <v>177737255488</v>
      </c>
      <c r="AX464" s="11">
        <v>117935625414</v>
      </c>
      <c r="AY464" s="11">
        <v>1107546800000</v>
      </c>
      <c r="AZ464" s="11">
        <v>71016249769</v>
      </c>
      <c r="BA464" s="11">
        <v>1498901505863</v>
      </c>
      <c r="BB464" s="13">
        <v>69029</v>
      </c>
      <c r="BC464" s="11">
        <v>273419080449</v>
      </c>
      <c r="BD464" s="11">
        <v>117935625414</v>
      </c>
      <c r="BE464" s="11">
        <v>1107546800000</v>
      </c>
      <c r="BF464" s="11">
        <v>181704625956</v>
      </c>
      <c r="BG464" s="11">
        <v>56146252685</v>
      </c>
      <c r="BH464" s="11">
        <v>0</v>
      </c>
      <c r="BI464" s="11">
        <v>0</v>
      </c>
      <c r="BJ464" s="11">
        <v>0</v>
      </c>
      <c r="BK464" s="11">
        <v>0</v>
      </c>
      <c r="BL464" s="11">
        <v>0</v>
      </c>
      <c r="BM464" s="11">
        <v>0</v>
      </c>
    </row>
    <row r="465" spans="1:65" x14ac:dyDescent="0.25">
      <c r="A465" s="32"/>
      <c r="B465" s="10">
        <v>2815</v>
      </c>
      <c r="C465" s="10" t="s">
        <v>514</v>
      </c>
      <c r="D465" s="11">
        <v>1596963252494</v>
      </c>
      <c r="E465" s="11">
        <v>89468626607</v>
      </c>
      <c r="F465" s="11">
        <v>0</v>
      </c>
      <c r="G465" s="11">
        <v>0</v>
      </c>
      <c r="H465" s="11">
        <v>1686431879101</v>
      </c>
      <c r="I465" s="11">
        <v>140262294907</v>
      </c>
      <c r="J465" s="11">
        <v>1546169584194</v>
      </c>
      <c r="K465" s="11">
        <v>1630905709481</v>
      </c>
      <c r="L465" s="11">
        <v>55526169620</v>
      </c>
      <c r="M465" s="12">
        <v>3.4</v>
      </c>
      <c r="N465" s="11">
        <v>591427414616</v>
      </c>
      <c r="O465" s="12">
        <v>39.46</v>
      </c>
      <c r="P465" s="12">
        <v>38.25</v>
      </c>
      <c r="Q465" s="12">
        <v>3.84</v>
      </c>
      <c r="R465" s="11">
        <v>643426910876</v>
      </c>
      <c r="S465" s="11">
        <v>22012851310</v>
      </c>
      <c r="T465" s="11">
        <v>22012851310</v>
      </c>
      <c r="U465" s="11">
        <v>0</v>
      </c>
      <c r="V465" s="11">
        <v>0</v>
      </c>
      <c r="W465" s="11">
        <v>665439762186</v>
      </c>
      <c r="X465" s="11">
        <v>34479767926</v>
      </c>
      <c r="Y465" s="11">
        <v>6999650000</v>
      </c>
      <c r="Z465" s="11">
        <v>706919180112</v>
      </c>
      <c r="AA465" s="11">
        <v>676381878771</v>
      </c>
      <c r="AB465" s="12">
        <v>-1.62</v>
      </c>
      <c r="AC465" s="11">
        <v>209858950000</v>
      </c>
      <c r="AD465" s="11">
        <v>209858950000</v>
      </c>
      <c r="AE465" s="11">
        <v>0</v>
      </c>
      <c r="AF465" s="11">
        <v>0</v>
      </c>
      <c r="AG465" s="11">
        <v>62810919613</v>
      </c>
      <c r="AH465" s="11">
        <v>0</v>
      </c>
      <c r="AI465" s="11">
        <v>0</v>
      </c>
      <c r="AJ465" s="12">
        <v>3</v>
      </c>
      <c r="AK465" s="11">
        <v>65712151312</v>
      </c>
      <c r="AL465" s="12">
        <v>142</v>
      </c>
      <c r="AM465" s="11">
        <v>861330736025</v>
      </c>
      <c r="AN465" s="12">
        <v>63</v>
      </c>
      <c r="AO465" s="11">
        <v>749697132620</v>
      </c>
      <c r="AP465" s="11">
        <v>22012851310</v>
      </c>
      <c r="AQ465" s="11">
        <v>1988584319</v>
      </c>
      <c r="AR465" s="11">
        <v>20024266991</v>
      </c>
      <c r="AS465" s="19">
        <v>1006.96</v>
      </c>
      <c r="AT465" s="11">
        <v>247409097233</v>
      </c>
      <c r="AU465" s="11">
        <v>40522329438</v>
      </c>
      <c r="AV465" s="11">
        <v>72325693973</v>
      </c>
      <c r="AW465" s="11">
        <v>160868396660</v>
      </c>
      <c r="AX465" s="11">
        <v>304919661861</v>
      </c>
      <c r="AY465" s="11">
        <v>1058849500000</v>
      </c>
      <c r="AZ465" s="11">
        <v>190028288649</v>
      </c>
      <c r="BA465" s="11">
        <v>1686431879101</v>
      </c>
      <c r="BB465" s="13">
        <v>129706</v>
      </c>
      <c r="BC465" s="11">
        <v>322662717240</v>
      </c>
      <c r="BD465" s="11">
        <v>304339661861</v>
      </c>
      <c r="BE465" s="11">
        <v>1059429500000</v>
      </c>
      <c r="BF465" s="11">
        <v>154258950000</v>
      </c>
      <c r="BG465" s="11">
        <v>55600000000</v>
      </c>
      <c r="BH465" s="11">
        <v>0</v>
      </c>
      <c r="BI465" s="11">
        <v>0</v>
      </c>
      <c r="BJ465" s="11">
        <v>0</v>
      </c>
      <c r="BK465" s="11">
        <v>0</v>
      </c>
      <c r="BL465" s="11">
        <v>0</v>
      </c>
      <c r="BM465" s="11">
        <v>0</v>
      </c>
    </row>
    <row r="466" spans="1:65" x14ac:dyDescent="0.25">
      <c r="A466" s="32"/>
      <c r="B466" s="10">
        <v>2816</v>
      </c>
      <c r="C466" s="10" t="s">
        <v>515</v>
      </c>
      <c r="D466" s="11">
        <v>599977509310</v>
      </c>
      <c r="E466" s="11">
        <v>2237774219</v>
      </c>
      <c r="F466" s="11">
        <v>0</v>
      </c>
      <c r="G466" s="11">
        <v>0</v>
      </c>
      <c r="H466" s="11">
        <v>602215283529</v>
      </c>
      <c r="I466" s="11">
        <v>49459047167</v>
      </c>
      <c r="J466" s="11">
        <v>552756236362</v>
      </c>
      <c r="K466" s="11">
        <v>508738431000</v>
      </c>
      <c r="L466" s="11">
        <v>93476852529</v>
      </c>
      <c r="M466" s="12">
        <v>18.37</v>
      </c>
      <c r="N466" s="11">
        <v>327560920682</v>
      </c>
      <c r="O466" s="12">
        <v>60.5</v>
      </c>
      <c r="P466" s="12">
        <v>59.26</v>
      </c>
      <c r="Q466" s="12">
        <v>1.23</v>
      </c>
      <c r="R466" s="11">
        <v>359522040960</v>
      </c>
      <c r="S466" s="11">
        <v>4831971838</v>
      </c>
      <c r="T466" s="11">
        <v>4457360232</v>
      </c>
      <c r="U466" s="11">
        <v>65154043</v>
      </c>
      <c r="V466" s="11">
        <v>309457563</v>
      </c>
      <c r="W466" s="11">
        <v>364354012798</v>
      </c>
      <c r="X466" s="11">
        <v>26735670321</v>
      </c>
      <c r="Y466" s="11">
        <v>3100000000</v>
      </c>
      <c r="Z466" s="11">
        <v>394189683119</v>
      </c>
      <c r="AA466" s="11">
        <v>335594282340</v>
      </c>
      <c r="AB466" s="12">
        <v>8.57</v>
      </c>
      <c r="AC466" s="11">
        <v>159260163014</v>
      </c>
      <c r="AD466" s="11">
        <v>159260163014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2">
        <v>0</v>
      </c>
      <c r="AK466" s="11">
        <v>0</v>
      </c>
      <c r="AL466" s="12">
        <v>6</v>
      </c>
      <c r="AM466" s="11">
        <v>12546334952</v>
      </c>
      <c r="AN466" s="12">
        <v>8</v>
      </c>
      <c r="AO466" s="11">
        <v>10599629735</v>
      </c>
      <c r="AP466" s="11">
        <v>4831971838</v>
      </c>
      <c r="AQ466" s="11">
        <v>3687632563</v>
      </c>
      <c r="AR466" s="11">
        <v>1144339275</v>
      </c>
      <c r="AS466" s="12">
        <v>31.03</v>
      </c>
      <c r="AT466" s="11">
        <v>160871322234</v>
      </c>
      <c r="AU466" s="11">
        <v>49292177692</v>
      </c>
      <c r="AV466" s="11">
        <v>28527779292</v>
      </c>
      <c r="AW466" s="11">
        <v>111386605457</v>
      </c>
      <c r="AX466" s="11">
        <v>45844124561</v>
      </c>
      <c r="AY466" s="11">
        <v>414219000000</v>
      </c>
      <c r="AZ466" s="11">
        <v>20697749893</v>
      </c>
      <c r="BA466" s="11">
        <v>602215283529</v>
      </c>
      <c r="BB466" s="13">
        <v>49260</v>
      </c>
      <c r="BC466" s="11">
        <v>142152158968</v>
      </c>
      <c r="BD466" s="11">
        <v>45844124561</v>
      </c>
      <c r="BE466" s="11">
        <v>414219000000</v>
      </c>
      <c r="BF466" s="11">
        <v>69110000000</v>
      </c>
      <c r="BG466" s="11">
        <v>90150163014</v>
      </c>
      <c r="BH466" s="11">
        <v>0</v>
      </c>
      <c r="BI466" s="11">
        <v>0</v>
      </c>
      <c r="BJ466" s="11">
        <v>0</v>
      </c>
      <c r="BK466" s="11">
        <v>0</v>
      </c>
      <c r="BL466" s="11">
        <v>0</v>
      </c>
      <c r="BM466" s="11">
        <v>0</v>
      </c>
    </row>
    <row r="467" spans="1:65" x14ac:dyDescent="0.25">
      <c r="A467" s="32"/>
      <c r="B467" s="10">
        <v>2817</v>
      </c>
      <c r="C467" s="10" t="s">
        <v>516</v>
      </c>
      <c r="D467" s="11">
        <v>1198396646429</v>
      </c>
      <c r="E467" s="11">
        <v>18372499547</v>
      </c>
      <c r="F467" s="11">
        <v>0</v>
      </c>
      <c r="G467" s="11">
        <v>0</v>
      </c>
      <c r="H467" s="11">
        <v>1216769145976</v>
      </c>
      <c r="I467" s="11">
        <v>97686599287</v>
      </c>
      <c r="J467" s="11">
        <v>1119082546689</v>
      </c>
      <c r="K467" s="11">
        <v>1282188888917</v>
      </c>
      <c r="L467" s="11">
        <v>-65419742941</v>
      </c>
      <c r="M467" s="12">
        <v>-5.0999999999999996</v>
      </c>
      <c r="N467" s="11">
        <v>570368661005</v>
      </c>
      <c r="O467" s="12">
        <v>48.16</v>
      </c>
      <c r="P467" s="12">
        <v>50.97</v>
      </c>
      <c r="Q467" s="12">
        <v>1.42</v>
      </c>
      <c r="R467" s="11">
        <v>576835421891</v>
      </c>
      <c r="S467" s="11">
        <v>9119803537</v>
      </c>
      <c r="T467" s="11">
        <v>8843104479</v>
      </c>
      <c r="U467" s="11">
        <v>276699058</v>
      </c>
      <c r="V467" s="11">
        <v>0</v>
      </c>
      <c r="W467" s="11">
        <v>585955225428</v>
      </c>
      <c r="X467" s="11">
        <v>42878369270</v>
      </c>
      <c r="Y467" s="11">
        <v>15409000000</v>
      </c>
      <c r="Z467" s="11">
        <v>644242594698</v>
      </c>
      <c r="AA467" s="11">
        <v>359323518266</v>
      </c>
      <c r="AB467" s="12">
        <v>63.07</v>
      </c>
      <c r="AC467" s="11">
        <v>351303615914</v>
      </c>
      <c r="AD467" s="11">
        <v>351303615914</v>
      </c>
      <c r="AE467" s="11">
        <v>0</v>
      </c>
      <c r="AF467" s="11">
        <v>0</v>
      </c>
      <c r="AG467" s="11">
        <v>0</v>
      </c>
      <c r="AH467" s="11">
        <v>0</v>
      </c>
      <c r="AI467" s="11">
        <v>0</v>
      </c>
      <c r="AJ467" s="12">
        <v>0</v>
      </c>
      <c r="AK467" s="11">
        <v>0</v>
      </c>
      <c r="AL467" s="12">
        <v>7</v>
      </c>
      <c r="AM467" s="11">
        <v>48881112675</v>
      </c>
      <c r="AN467" s="12">
        <v>10</v>
      </c>
      <c r="AO467" s="11">
        <v>107776091120</v>
      </c>
      <c r="AP467" s="11">
        <v>9119803537</v>
      </c>
      <c r="AQ467" s="11">
        <v>4643871507</v>
      </c>
      <c r="AR467" s="11">
        <v>4475932030</v>
      </c>
      <c r="AS467" s="12">
        <v>96.38</v>
      </c>
      <c r="AT467" s="11">
        <v>165822002012</v>
      </c>
      <c r="AU467" s="11">
        <v>27708623627</v>
      </c>
      <c r="AV467" s="11">
        <v>48632089538</v>
      </c>
      <c r="AW467" s="11">
        <v>398968581902</v>
      </c>
      <c r="AX467" s="11">
        <v>399481474989</v>
      </c>
      <c r="AY467" s="11">
        <v>351314500000</v>
      </c>
      <c r="AZ467" s="11">
        <v>279804904078</v>
      </c>
      <c r="BA467" s="11">
        <v>1216769145976</v>
      </c>
      <c r="BB467" s="13">
        <v>55333</v>
      </c>
      <c r="BC467" s="11">
        <v>465973170987</v>
      </c>
      <c r="BD467" s="11">
        <v>399481474989</v>
      </c>
      <c r="BE467" s="11">
        <v>351314500000</v>
      </c>
      <c r="BF467" s="11">
        <v>290864045914</v>
      </c>
      <c r="BG467" s="11">
        <v>60439570000</v>
      </c>
      <c r="BH467" s="11">
        <v>0</v>
      </c>
      <c r="BI467" s="11">
        <v>0</v>
      </c>
      <c r="BJ467" s="11">
        <v>0</v>
      </c>
      <c r="BK467" s="11">
        <v>0</v>
      </c>
      <c r="BL467" s="11">
        <v>0</v>
      </c>
      <c r="BM467" s="11">
        <v>0</v>
      </c>
    </row>
    <row r="468" spans="1:65" x14ac:dyDescent="0.25">
      <c r="A468" s="32"/>
      <c r="B468" s="10">
        <v>2818</v>
      </c>
      <c r="C468" s="10" t="s">
        <v>517</v>
      </c>
      <c r="D468" s="11">
        <v>399217187270</v>
      </c>
      <c r="E468" s="11">
        <v>140721420060</v>
      </c>
      <c r="F468" s="11">
        <v>0</v>
      </c>
      <c r="G468" s="11">
        <v>0</v>
      </c>
      <c r="H468" s="11">
        <v>539938607330</v>
      </c>
      <c r="I468" s="11">
        <v>45986718412</v>
      </c>
      <c r="J468" s="11">
        <v>493951888918</v>
      </c>
      <c r="K468" s="11">
        <v>1106982438714</v>
      </c>
      <c r="L468" s="11">
        <v>-567043831384</v>
      </c>
      <c r="M468" s="12">
        <v>-51.22</v>
      </c>
      <c r="N468" s="11">
        <v>628902640261</v>
      </c>
      <c r="O468" s="12">
        <v>130.88999999999999</v>
      </c>
      <c r="P468" s="12">
        <v>127.32</v>
      </c>
      <c r="Q468" s="12">
        <v>0.92</v>
      </c>
      <c r="R468" s="11">
        <v>704960475895</v>
      </c>
      <c r="S468" s="11">
        <v>1780432525</v>
      </c>
      <c r="T468" s="11">
        <v>1031303525</v>
      </c>
      <c r="U468" s="11">
        <v>0</v>
      </c>
      <c r="V468" s="11">
        <v>749129000</v>
      </c>
      <c r="W468" s="11">
        <v>706740908420</v>
      </c>
      <c r="X468" s="11">
        <v>34829599452</v>
      </c>
      <c r="Y468" s="11">
        <v>5495621137</v>
      </c>
      <c r="Z468" s="11">
        <v>747066129009</v>
      </c>
      <c r="AA468" s="11">
        <v>679769786541</v>
      </c>
      <c r="AB468" s="12">
        <v>3.97</v>
      </c>
      <c r="AC468" s="11">
        <v>263579787058</v>
      </c>
      <c r="AD468" s="11">
        <v>253570920484</v>
      </c>
      <c r="AE468" s="11">
        <v>0</v>
      </c>
      <c r="AF468" s="11">
        <v>11310935878</v>
      </c>
      <c r="AG468" s="11">
        <v>124753705517</v>
      </c>
      <c r="AH468" s="11">
        <v>0</v>
      </c>
      <c r="AI468" s="11">
        <v>0</v>
      </c>
      <c r="AJ468" s="12">
        <v>0</v>
      </c>
      <c r="AK468" s="11">
        <v>0</v>
      </c>
      <c r="AL468" s="12">
        <v>189</v>
      </c>
      <c r="AM468" s="11">
        <v>1813384231750</v>
      </c>
      <c r="AN468" s="12">
        <v>81</v>
      </c>
      <c r="AO468" s="11">
        <v>622231170419</v>
      </c>
      <c r="AP468" s="11">
        <v>1780432525</v>
      </c>
      <c r="AQ468" s="11">
        <v>2631224390</v>
      </c>
      <c r="AR468" s="11">
        <v>-850791865</v>
      </c>
      <c r="AS468" s="12">
        <v>-32.33</v>
      </c>
      <c r="AT468" s="11">
        <v>251368127413</v>
      </c>
      <c r="AU468" s="11">
        <v>39075685290</v>
      </c>
      <c r="AV468" s="11">
        <v>46925818170</v>
      </c>
      <c r="AW468" s="11">
        <v>173448743288</v>
      </c>
      <c r="AX468" s="11">
        <v>98175625812</v>
      </c>
      <c r="AY468" s="11">
        <v>80667000000</v>
      </c>
      <c r="AZ468" s="11">
        <v>26650539305</v>
      </c>
      <c r="BA468" s="11">
        <v>539938607330</v>
      </c>
      <c r="BB468" s="13">
        <v>59659</v>
      </c>
      <c r="BC468" s="11">
        <v>361095981518</v>
      </c>
      <c r="BD468" s="11">
        <v>98175625812</v>
      </c>
      <c r="BE468" s="11">
        <v>80667000000</v>
      </c>
      <c r="BF468" s="11">
        <v>157818150175</v>
      </c>
      <c r="BG468" s="11">
        <v>105761636883</v>
      </c>
      <c r="BH468" s="11">
        <v>0</v>
      </c>
      <c r="BI468" s="11">
        <v>0</v>
      </c>
      <c r="BJ468" s="11">
        <v>0</v>
      </c>
      <c r="BK468" s="11">
        <v>0</v>
      </c>
      <c r="BL468" s="11">
        <v>0</v>
      </c>
      <c r="BM468" s="11">
        <v>11631016797</v>
      </c>
    </row>
    <row r="469" spans="1:65" x14ac:dyDescent="0.25">
      <c r="A469" s="32"/>
      <c r="B469" s="10">
        <v>2819</v>
      </c>
      <c r="C469" s="10" t="s">
        <v>518</v>
      </c>
      <c r="D469" s="11">
        <v>627207431445</v>
      </c>
      <c r="E469" s="11">
        <v>9188075173</v>
      </c>
      <c r="F469" s="11">
        <v>0</v>
      </c>
      <c r="G469" s="11">
        <v>0</v>
      </c>
      <c r="H469" s="11">
        <v>636395506618</v>
      </c>
      <c r="I469" s="11">
        <v>52909643088</v>
      </c>
      <c r="J469" s="11">
        <v>583485863530</v>
      </c>
      <c r="K469" s="11">
        <v>779722835773</v>
      </c>
      <c r="L469" s="11">
        <v>-143327329155</v>
      </c>
      <c r="M469" s="12">
        <v>-18.38</v>
      </c>
      <c r="N469" s="11">
        <v>748936343547</v>
      </c>
      <c r="O469" s="12">
        <v>127.81</v>
      </c>
      <c r="P469" s="12">
        <v>128.36000000000001</v>
      </c>
      <c r="Q469" s="12">
        <v>1.42</v>
      </c>
      <c r="R469" s="11">
        <v>800865854729</v>
      </c>
      <c r="S469" s="11">
        <v>12493427898</v>
      </c>
      <c r="T469" s="11">
        <v>9876277073</v>
      </c>
      <c r="U469" s="11">
        <v>2617150825</v>
      </c>
      <c r="V469" s="11">
        <v>0</v>
      </c>
      <c r="W469" s="11">
        <v>813359282627</v>
      </c>
      <c r="X469" s="11">
        <v>54832382548</v>
      </c>
      <c r="Y469" s="11">
        <v>9999983020</v>
      </c>
      <c r="Z469" s="11">
        <v>878191648195</v>
      </c>
      <c r="AA469" s="11">
        <v>726496046296</v>
      </c>
      <c r="AB469" s="12">
        <v>11.96</v>
      </c>
      <c r="AC469" s="11">
        <v>288079266787</v>
      </c>
      <c r="AD469" s="11">
        <v>288079266787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2">
        <v>0</v>
      </c>
      <c r="AK469" s="11">
        <v>0</v>
      </c>
      <c r="AL469" s="12">
        <v>16</v>
      </c>
      <c r="AM469" s="11">
        <v>39025800000</v>
      </c>
      <c r="AN469" s="12">
        <v>17</v>
      </c>
      <c r="AO469" s="11">
        <v>203412650764</v>
      </c>
      <c r="AP469" s="11">
        <v>12493427898</v>
      </c>
      <c r="AQ469" s="11">
        <v>4361165555</v>
      </c>
      <c r="AR469" s="11">
        <v>8132262343</v>
      </c>
      <c r="AS469" s="12">
        <v>186.47</v>
      </c>
      <c r="AT469" s="11">
        <v>261465541945</v>
      </c>
      <c r="AU469" s="11">
        <v>49782263615</v>
      </c>
      <c r="AV469" s="11">
        <v>18764394032</v>
      </c>
      <c r="AW469" s="11">
        <v>121932571477</v>
      </c>
      <c r="AX469" s="11">
        <v>188524465936</v>
      </c>
      <c r="AY469" s="11">
        <v>297986000000</v>
      </c>
      <c r="AZ469" s="11">
        <v>166832887420</v>
      </c>
      <c r="BA469" s="11">
        <v>636395506618</v>
      </c>
      <c r="BB469" s="12">
        <v>111</v>
      </c>
      <c r="BC469" s="11">
        <v>149885040682</v>
      </c>
      <c r="BD469" s="11">
        <v>188524465936</v>
      </c>
      <c r="BE469" s="11">
        <v>297986000000</v>
      </c>
      <c r="BF469" s="11">
        <v>271479266787</v>
      </c>
      <c r="BG469" s="11">
        <v>16600000000</v>
      </c>
      <c r="BH469" s="11">
        <v>0</v>
      </c>
      <c r="BI469" s="11">
        <v>0</v>
      </c>
      <c r="BJ469" s="11">
        <v>0</v>
      </c>
      <c r="BK469" s="11">
        <v>0</v>
      </c>
      <c r="BL469" s="11">
        <v>0</v>
      </c>
      <c r="BM469" s="11">
        <v>0</v>
      </c>
    </row>
    <row r="470" spans="1:65" x14ac:dyDescent="0.25">
      <c r="A470" s="32"/>
      <c r="B470" s="10">
        <v>2820</v>
      </c>
      <c r="C470" s="10" t="s">
        <v>519</v>
      </c>
      <c r="D470" s="11">
        <v>139933185818</v>
      </c>
      <c r="E470" s="11">
        <v>414080023</v>
      </c>
      <c r="F470" s="11">
        <v>0</v>
      </c>
      <c r="G470" s="11">
        <v>0</v>
      </c>
      <c r="H470" s="11">
        <v>140347265841</v>
      </c>
      <c r="I470" s="11">
        <v>12732803014</v>
      </c>
      <c r="J470" s="11">
        <v>127614462827</v>
      </c>
      <c r="K470" s="11">
        <v>145049440185</v>
      </c>
      <c r="L470" s="11">
        <v>-4702174344</v>
      </c>
      <c r="M470" s="12">
        <v>-3.24</v>
      </c>
      <c r="N470" s="11">
        <v>60313147213</v>
      </c>
      <c r="O470" s="12">
        <v>47.69</v>
      </c>
      <c r="P470" s="12">
        <v>47.26</v>
      </c>
      <c r="Q470" s="12">
        <v>0.14000000000000001</v>
      </c>
      <c r="R470" s="11">
        <v>66800784365</v>
      </c>
      <c r="S470" s="11">
        <v>126926513</v>
      </c>
      <c r="T470" s="11">
        <v>126926513</v>
      </c>
      <c r="U470" s="11">
        <v>0</v>
      </c>
      <c r="V470" s="11">
        <v>0</v>
      </c>
      <c r="W470" s="11">
        <v>66927710878</v>
      </c>
      <c r="X470" s="11">
        <v>15309474446</v>
      </c>
      <c r="Y470" s="11">
        <v>6000000000</v>
      </c>
      <c r="Z470" s="11">
        <v>88237185324</v>
      </c>
      <c r="AA470" s="11">
        <v>23610495038</v>
      </c>
      <c r="AB470" s="12">
        <v>183.47</v>
      </c>
      <c r="AC470" s="11">
        <v>48325087727</v>
      </c>
      <c r="AD470" s="11">
        <v>48325087727</v>
      </c>
      <c r="AE470" s="11">
        <v>0</v>
      </c>
      <c r="AF470" s="11">
        <v>0</v>
      </c>
      <c r="AG470" s="11">
        <v>0</v>
      </c>
      <c r="AH470" s="11">
        <v>0</v>
      </c>
      <c r="AI470" s="11">
        <v>0</v>
      </c>
      <c r="AJ470" s="12">
        <v>0</v>
      </c>
      <c r="AK470" s="11">
        <v>0</v>
      </c>
      <c r="AL470" s="12">
        <v>0</v>
      </c>
      <c r="AM470" s="11">
        <v>0</v>
      </c>
      <c r="AN470" s="12">
        <v>1</v>
      </c>
      <c r="AO470" s="11">
        <v>50000000</v>
      </c>
      <c r="AP470" s="11">
        <v>126926513</v>
      </c>
      <c r="AQ470" s="11">
        <v>0</v>
      </c>
      <c r="AR470" s="11">
        <v>126926513</v>
      </c>
      <c r="AS470" s="12"/>
      <c r="AT470" s="11">
        <v>12805107518</v>
      </c>
      <c r="AU470" s="11">
        <v>264217699</v>
      </c>
      <c r="AV470" s="11">
        <v>1328403963</v>
      </c>
      <c r="AW470" s="11">
        <v>15372810411</v>
      </c>
      <c r="AX470" s="11">
        <v>21525971444</v>
      </c>
      <c r="AY470" s="11">
        <v>101706000000</v>
      </c>
      <c r="AZ470" s="11">
        <v>20675540837</v>
      </c>
      <c r="BA470" s="11">
        <v>140347265841</v>
      </c>
      <c r="BB470" s="13">
        <v>8057</v>
      </c>
      <c r="BC470" s="11">
        <v>17115294397</v>
      </c>
      <c r="BD470" s="11">
        <v>21525971444</v>
      </c>
      <c r="BE470" s="11">
        <v>101706000000</v>
      </c>
      <c r="BF470" s="11">
        <v>29441101000</v>
      </c>
      <c r="BG470" s="11">
        <v>18883986727</v>
      </c>
      <c r="BH470" s="11">
        <v>0</v>
      </c>
      <c r="BI470" s="11">
        <v>0</v>
      </c>
      <c r="BJ470" s="11">
        <v>0</v>
      </c>
      <c r="BK470" s="11">
        <v>0</v>
      </c>
      <c r="BL470" s="11">
        <v>0</v>
      </c>
      <c r="BM470" s="11">
        <v>0</v>
      </c>
    </row>
    <row r="471" spans="1:65" x14ac:dyDescent="0.25">
      <c r="A471" s="32"/>
      <c r="B471" s="10">
        <v>2821</v>
      </c>
      <c r="C471" s="10" t="s">
        <v>520</v>
      </c>
      <c r="D471" s="11">
        <v>122976522493</v>
      </c>
      <c r="E471" s="11">
        <v>5001898453</v>
      </c>
      <c r="F471" s="11">
        <v>0</v>
      </c>
      <c r="G471" s="11">
        <v>0</v>
      </c>
      <c r="H471" s="11">
        <v>127978420946</v>
      </c>
      <c r="I471" s="11">
        <v>9517474243</v>
      </c>
      <c r="J471" s="11">
        <v>118460946703</v>
      </c>
      <c r="K471" s="11">
        <v>0</v>
      </c>
      <c r="L471" s="11">
        <v>127978420946</v>
      </c>
      <c r="M471" s="12">
        <v>0</v>
      </c>
      <c r="N471" s="11">
        <v>28053500829</v>
      </c>
      <c r="O471" s="12">
        <v>25.56</v>
      </c>
      <c r="P471" s="12">
        <v>23.68</v>
      </c>
      <c r="Q471" s="12">
        <v>0</v>
      </c>
      <c r="R471" s="11">
        <v>32708491368</v>
      </c>
      <c r="S471" s="11">
        <v>0</v>
      </c>
      <c r="T471" s="11">
        <v>0</v>
      </c>
      <c r="U471" s="11">
        <v>0</v>
      </c>
      <c r="V471" s="11">
        <v>0</v>
      </c>
      <c r="W471" s="11">
        <v>32708491368</v>
      </c>
      <c r="X471" s="11">
        <v>4241421325</v>
      </c>
      <c r="Y471" s="11">
        <v>2409876630</v>
      </c>
      <c r="Z471" s="11">
        <v>39359789323</v>
      </c>
      <c r="AA471" s="11">
        <v>0</v>
      </c>
      <c r="AB471" s="12"/>
      <c r="AC471" s="11">
        <v>27530000000</v>
      </c>
      <c r="AD471" s="11">
        <v>27530000000</v>
      </c>
      <c r="AE471" s="11">
        <v>0</v>
      </c>
      <c r="AF471" s="11">
        <v>0</v>
      </c>
      <c r="AG471" s="11">
        <v>0</v>
      </c>
      <c r="AH471" s="11">
        <v>0</v>
      </c>
      <c r="AI471" s="11">
        <v>0</v>
      </c>
      <c r="AJ471" s="12">
        <v>0</v>
      </c>
      <c r="AK471" s="11">
        <v>0</v>
      </c>
      <c r="AL471" s="12">
        <v>1</v>
      </c>
      <c r="AM471" s="11">
        <v>45045000000</v>
      </c>
      <c r="AN471" s="12">
        <v>0</v>
      </c>
      <c r="AO471" s="11">
        <v>0</v>
      </c>
      <c r="AP471" s="11">
        <v>0</v>
      </c>
      <c r="AQ471" s="11">
        <v>0</v>
      </c>
      <c r="AR471" s="11">
        <v>0</v>
      </c>
      <c r="AS471" s="12"/>
      <c r="AT471" s="11">
        <v>207018000</v>
      </c>
      <c r="AU471" s="11">
        <v>0</v>
      </c>
      <c r="AV471" s="11">
        <v>6453494503</v>
      </c>
      <c r="AW471" s="11">
        <v>26394055762</v>
      </c>
      <c r="AX471" s="11">
        <v>75778972228</v>
      </c>
      <c r="AY471" s="11">
        <v>14350000000</v>
      </c>
      <c r="AZ471" s="11">
        <v>75778034108</v>
      </c>
      <c r="BA471" s="11">
        <v>127978420946</v>
      </c>
      <c r="BB471" s="12">
        <v>0</v>
      </c>
      <c r="BC471" s="11">
        <v>37849448718</v>
      </c>
      <c r="BD471" s="11">
        <v>75778972228</v>
      </c>
      <c r="BE471" s="11">
        <v>14350000000</v>
      </c>
      <c r="BF471" s="11">
        <v>27330000000</v>
      </c>
      <c r="BG471" s="11">
        <v>200000000</v>
      </c>
      <c r="BH471" s="11">
        <v>0</v>
      </c>
      <c r="BI471" s="11">
        <v>0</v>
      </c>
      <c r="BJ471" s="11">
        <v>0</v>
      </c>
      <c r="BK471" s="11">
        <v>0</v>
      </c>
      <c r="BL471" s="11">
        <v>0</v>
      </c>
      <c r="BM471" s="11">
        <v>0</v>
      </c>
    </row>
    <row r="472" spans="1:65" s="24" customFormat="1" x14ac:dyDescent="0.25">
      <c r="A472" s="32"/>
      <c r="B472" s="20">
        <v>2822</v>
      </c>
      <c r="C472" s="20" t="s">
        <v>521</v>
      </c>
      <c r="D472" s="21">
        <v>329019917531</v>
      </c>
      <c r="E472" s="21">
        <v>5426828563</v>
      </c>
      <c r="F472" s="21">
        <v>0</v>
      </c>
      <c r="G472" s="21">
        <v>0</v>
      </c>
      <c r="H472" s="21">
        <v>334446746094</v>
      </c>
      <c r="I472" s="21">
        <v>30005869638</v>
      </c>
      <c r="J472" s="21">
        <v>304440876456</v>
      </c>
      <c r="K472" s="21">
        <v>342436938844</v>
      </c>
      <c r="L472" s="21">
        <v>-7990192750</v>
      </c>
      <c r="M472" s="22">
        <v>-2.33</v>
      </c>
      <c r="N472" s="21">
        <v>175200917498</v>
      </c>
      <c r="O472" s="22">
        <v>58.71</v>
      </c>
      <c r="P472" s="22">
        <v>57.55</v>
      </c>
      <c r="Q472" s="22">
        <v>0.22</v>
      </c>
      <c r="R472" s="21">
        <v>196073790624</v>
      </c>
      <c r="S472" s="21">
        <v>280105906</v>
      </c>
      <c r="T472" s="21">
        <v>280105906</v>
      </c>
      <c r="U472" s="21">
        <v>0</v>
      </c>
      <c r="V472" s="21">
        <v>0</v>
      </c>
      <c r="W472" s="21">
        <v>196353896530</v>
      </c>
      <c r="X472" s="21">
        <v>16665508402</v>
      </c>
      <c r="Y472" s="21">
        <v>3176110664</v>
      </c>
      <c r="Z472" s="21">
        <v>216195515596</v>
      </c>
      <c r="AA472" s="21">
        <v>107030198691</v>
      </c>
      <c r="AB472" s="22">
        <v>83.46</v>
      </c>
      <c r="AC472" s="21">
        <v>124313931722</v>
      </c>
      <c r="AD472" s="21">
        <v>124313931722</v>
      </c>
      <c r="AE472" s="21">
        <v>0</v>
      </c>
      <c r="AF472" s="21">
        <v>0</v>
      </c>
      <c r="AG472" s="21">
        <v>4743584639</v>
      </c>
      <c r="AH472" s="21">
        <v>0</v>
      </c>
      <c r="AI472" s="21">
        <v>0</v>
      </c>
      <c r="AJ472" s="22">
        <v>0</v>
      </c>
      <c r="AK472" s="21">
        <v>0</v>
      </c>
      <c r="AL472" s="23">
        <v>11</v>
      </c>
      <c r="AM472" s="21">
        <v>21710675445</v>
      </c>
      <c r="AN472" s="12">
        <v>0</v>
      </c>
      <c r="AO472" s="11">
        <v>0</v>
      </c>
      <c r="AP472" s="21">
        <v>280105906</v>
      </c>
      <c r="AQ472" s="21">
        <v>0</v>
      </c>
      <c r="AR472" s="21">
        <v>280105906</v>
      </c>
      <c r="AS472" s="22"/>
      <c r="AT472" s="21">
        <v>56699431541</v>
      </c>
      <c r="AU472" s="21">
        <v>1113112624</v>
      </c>
      <c r="AV472" s="21">
        <v>6075427172</v>
      </c>
      <c r="AW472" s="21">
        <v>68369735624</v>
      </c>
      <c r="AX472" s="21">
        <v>69899754735</v>
      </c>
      <c r="AY472" s="21">
        <v>184675000000</v>
      </c>
      <c r="AZ472" s="21">
        <v>66800257233</v>
      </c>
      <c r="BA472" s="21">
        <v>334446746094</v>
      </c>
      <c r="BB472" s="23">
        <v>77240</v>
      </c>
      <c r="BC472" s="21">
        <v>79871991359</v>
      </c>
      <c r="BD472" s="21">
        <v>69899754735</v>
      </c>
      <c r="BE472" s="21">
        <v>184675000000</v>
      </c>
      <c r="BF472" s="21">
        <v>114813931722</v>
      </c>
      <c r="BG472" s="21">
        <v>9500000000</v>
      </c>
      <c r="BH472" s="21">
        <v>0</v>
      </c>
      <c r="BI472" s="21">
        <v>0</v>
      </c>
      <c r="BJ472" s="21">
        <v>0</v>
      </c>
      <c r="BK472" s="21">
        <v>0</v>
      </c>
      <c r="BL472" s="21">
        <v>0</v>
      </c>
      <c r="BM472" s="21">
        <v>0</v>
      </c>
    </row>
    <row r="473" spans="1:65" x14ac:dyDescent="0.25">
      <c r="A473" s="32"/>
      <c r="B473" s="10">
        <v>2899</v>
      </c>
      <c r="C473" s="10" t="s">
        <v>522</v>
      </c>
      <c r="D473" s="11">
        <v>0</v>
      </c>
      <c r="E473" s="11">
        <v>722335628</v>
      </c>
      <c r="F473" s="11">
        <v>0</v>
      </c>
      <c r="G473" s="11">
        <v>0</v>
      </c>
      <c r="H473" s="11">
        <v>722335628</v>
      </c>
      <c r="I473" s="11">
        <v>60247818</v>
      </c>
      <c r="J473" s="11">
        <v>662087810</v>
      </c>
      <c r="K473" s="11">
        <v>389035628</v>
      </c>
      <c r="L473" s="11">
        <v>333300000</v>
      </c>
      <c r="M473" s="12">
        <v>85.67</v>
      </c>
      <c r="N473" s="11">
        <v>0</v>
      </c>
      <c r="O473" s="12">
        <v>0</v>
      </c>
      <c r="P473" s="12">
        <v>0</v>
      </c>
      <c r="Q473" s="12">
        <v>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11">
        <v>0</v>
      </c>
      <c r="X473" s="11">
        <v>0</v>
      </c>
      <c r="Y473" s="11">
        <v>0</v>
      </c>
      <c r="Z473" s="11">
        <v>0</v>
      </c>
      <c r="AA473" s="11">
        <v>0</v>
      </c>
      <c r="AB473" s="12"/>
      <c r="AC473" s="11">
        <v>0</v>
      </c>
      <c r="AD473" s="11">
        <v>0</v>
      </c>
      <c r="AE473" s="11">
        <v>0</v>
      </c>
      <c r="AF473" s="11">
        <v>0</v>
      </c>
      <c r="AG473" s="11">
        <v>0</v>
      </c>
      <c r="AH473" s="11">
        <v>0</v>
      </c>
      <c r="AI473" s="11">
        <v>0</v>
      </c>
      <c r="AJ473" s="12">
        <v>0</v>
      </c>
      <c r="AK473" s="11">
        <v>0</v>
      </c>
      <c r="AL473" s="12">
        <v>0</v>
      </c>
      <c r="AM473" s="11">
        <v>0</v>
      </c>
      <c r="AN473" s="12">
        <v>0</v>
      </c>
      <c r="AO473" s="11">
        <v>0</v>
      </c>
      <c r="AP473" s="11">
        <v>0</v>
      </c>
      <c r="AQ473" s="11">
        <v>0</v>
      </c>
      <c r="AR473" s="11">
        <v>0</v>
      </c>
      <c r="AS473" s="19"/>
      <c r="AT473" s="11">
        <v>0</v>
      </c>
      <c r="AU473" s="11">
        <v>0</v>
      </c>
      <c r="AV473" s="11">
        <v>0</v>
      </c>
      <c r="AW473" s="11">
        <v>0</v>
      </c>
      <c r="AX473" s="11">
        <v>0</v>
      </c>
      <c r="AY473" s="11">
        <v>0</v>
      </c>
      <c r="AZ473" s="11">
        <v>0</v>
      </c>
      <c r="BA473" s="11">
        <v>722335628</v>
      </c>
      <c r="BB473" s="13">
        <v>0</v>
      </c>
      <c r="BC473" s="11">
        <v>722335628</v>
      </c>
      <c r="BD473" s="11">
        <v>0</v>
      </c>
      <c r="BE473" s="11">
        <v>0</v>
      </c>
      <c r="BF473" s="11">
        <v>0</v>
      </c>
      <c r="BG473" s="11">
        <v>0</v>
      </c>
      <c r="BH473" s="11">
        <v>0</v>
      </c>
      <c r="BI473" s="11">
        <v>0</v>
      </c>
      <c r="BJ473" s="11">
        <v>0</v>
      </c>
      <c r="BK473" s="11">
        <v>0</v>
      </c>
      <c r="BL473" s="11">
        <v>0</v>
      </c>
      <c r="BM473" s="11">
        <v>0</v>
      </c>
    </row>
    <row r="474" spans="1:65" s="25" customFormat="1" x14ac:dyDescent="0.25">
      <c r="A474" s="14" t="s">
        <v>618</v>
      </c>
      <c r="B474" s="15"/>
      <c r="C474" s="15"/>
      <c r="D474" s="16">
        <v>27502155558071</v>
      </c>
      <c r="E474" s="16">
        <v>1918911079140</v>
      </c>
      <c r="F474" s="16">
        <v>84900000000</v>
      </c>
      <c r="G474" s="16">
        <v>101571871265</v>
      </c>
      <c r="H474" s="16">
        <v>29607538508476</v>
      </c>
      <c r="I474" s="16">
        <v>2349568528299</v>
      </c>
      <c r="J474" s="16">
        <v>27257969980177</v>
      </c>
      <c r="K474" s="16">
        <v>32775226687554</v>
      </c>
      <c r="L474" s="16">
        <v>-3167688179078</v>
      </c>
      <c r="M474" s="17">
        <v>-9.66</v>
      </c>
      <c r="N474" s="16">
        <v>24069624254002</v>
      </c>
      <c r="O474" s="17">
        <v>93.47</v>
      </c>
      <c r="P474" s="17">
        <v>88.3</v>
      </c>
      <c r="Q474" s="17">
        <v>2.74</v>
      </c>
      <c r="R474" s="16">
        <v>26999994649408</v>
      </c>
      <c r="S474" s="16">
        <v>675098043022</v>
      </c>
      <c r="T474" s="16">
        <v>437584919385</v>
      </c>
      <c r="U474" s="16">
        <v>58731072017</v>
      </c>
      <c r="V474" s="16">
        <v>178782051620</v>
      </c>
      <c r="W474" s="16">
        <v>27675092692430</v>
      </c>
      <c r="X474" s="16">
        <v>1697760792036</v>
      </c>
      <c r="Y474" s="16">
        <v>216894241432</v>
      </c>
      <c r="Z474" s="16">
        <v>29589747725898</v>
      </c>
      <c r="AA474" s="16">
        <v>22683170688495</v>
      </c>
      <c r="AB474" s="17">
        <v>22.01</v>
      </c>
      <c r="AC474" s="16">
        <v>12418504010165</v>
      </c>
      <c r="AD474" s="16">
        <v>12220598839577</v>
      </c>
      <c r="AE474" s="16">
        <v>694883692103</v>
      </c>
      <c r="AF474" s="16">
        <v>294564451786</v>
      </c>
      <c r="AG474" s="16">
        <v>611616333117</v>
      </c>
      <c r="AH474" s="16">
        <v>130000000000</v>
      </c>
      <c r="AI474" s="16">
        <v>3009992739</v>
      </c>
      <c r="AJ474" s="17">
        <v>14</v>
      </c>
      <c r="AK474" s="16">
        <v>1361505538112</v>
      </c>
      <c r="AL474" s="18">
        <v>2064</v>
      </c>
      <c r="AM474" s="16">
        <v>15858619478764</v>
      </c>
      <c r="AN474" s="18">
        <f>SUM(AN450:AN473)</f>
        <v>1348</v>
      </c>
      <c r="AO474" s="16">
        <f>SUM(AO450:AO473)</f>
        <v>14689154628538</v>
      </c>
      <c r="AP474" s="16">
        <v>675098043022</v>
      </c>
      <c r="AQ474" s="16">
        <v>307384892793</v>
      </c>
      <c r="AR474" s="16">
        <v>367713150229</v>
      </c>
      <c r="AS474" s="17">
        <v>119.63</v>
      </c>
      <c r="AT474" s="16">
        <v>9229226338568</v>
      </c>
      <c r="AU474" s="16">
        <v>2071854923187</v>
      </c>
      <c r="AV474" s="16">
        <v>2789879480376</v>
      </c>
      <c r="AW474" s="16">
        <v>4510735848130</v>
      </c>
      <c r="AX474" s="16">
        <v>7825038979565</v>
      </c>
      <c r="AY474" s="16">
        <v>12376501250000</v>
      </c>
      <c r="AZ474" s="16">
        <v>4859448206034</v>
      </c>
      <c r="BA474" s="16">
        <v>29607538508476</v>
      </c>
      <c r="BB474" s="18">
        <v>2032702</v>
      </c>
      <c r="BC474" s="16">
        <v>9211557022244</v>
      </c>
      <c r="BD474" s="16">
        <v>7904130979565</v>
      </c>
      <c r="BE474" s="16">
        <v>12491850506667</v>
      </c>
      <c r="BF474" s="16">
        <v>9767944738686</v>
      </c>
      <c r="BG474" s="16">
        <v>2650559271479</v>
      </c>
      <c r="BH474" s="16">
        <v>168368147351</v>
      </c>
      <c r="BI474" s="16">
        <v>122576428508</v>
      </c>
      <c r="BJ474" s="16">
        <v>177963019432</v>
      </c>
      <c r="BK474" s="16">
        <v>2858762143</v>
      </c>
      <c r="BL474" s="16">
        <v>1489877223</v>
      </c>
      <c r="BM474" s="16">
        <v>292166386784</v>
      </c>
    </row>
    <row r="475" spans="1:65" x14ac:dyDescent="0.25">
      <c r="A475" s="32" t="s">
        <v>523</v>
      </c>
      <c r="B475" s="10">
        <v>2900</v>
      </c>
      <c r="C475" s="10" t="s">
        <v>523</v>
      </c>
      <c r="D475" s="11">
        <v>1362858209426</v>
      </c>
      <c r="E475" s="11">
        <v>198667385804</v>
      </c>
      <c r="F475" s="11">
        <v>38820000000</v>
      </c>
      <c r="G475" s="11">
        <v>0</v>
      </c>
      <c r="H475" s="11">
        <v>1600345595230</v>
      </c>
      <c r="I475" s="11">
        <v>139810524351</v>
      </c>
      <c r="J475" s="11">
        <v>1460535070879</v>
      </c>
      <c r="K475" s="11">
        <v>2319440479530</v>
      </c>
      <c r="L475" s="11">
        <v>-719094884300</v>
      </c>
      <c r="M475" s="12">
        <v>-31</v>
      </c>
      <c r="N475" s="11">
        <v>5446585609562</v>
      </c>
      <c r="O475" s="12">
        <v>431.67</v>
      </c>
      <c r="P475" s="12">
        <v>372.92</v>
      </c>
      <c r="Q475" s="12">
        <v>14.16</v>
      </c>
      <c r="R475" s="11">
        <v>5884678600723</v>
      </c>
      <c r="S475" s="11">
        <v>1023566596579</v>
      </c>
      <c r="T475" s="11">
        <v>19477246401</v>
      </c>
      <c r="U475" s="11">
        <v>987668909726</v>
      </c>
      <c r="V475" s="11">
        <v>16420440452</v>
      </c>
      <c r="W475" s="11">
        <v>6908245197302</v>
      </c>
      <c r="X475" s="11">
        <v>431262360971</v>
      </c>
      <c r="Y475" s="11">
        <v>31154726131</v>
      </c>
      <c r="Z475" s="11">
        <v>7370662284404</v>
      </c>
      <c r="AA475" s="11">
        <v>5643657085443</v>
      </c>
      <c r="AB475" s="12">
        <v>22.41</v>
      </c>
      <c r="AC475" s="11">
        <v>2030247991732</v>
      </c>
      <c r="AD475" s="11">
        <v>1923790118858</v>
      </c>
      <c r="AE475" s="11">
        <v>5594837040</v>
      </c>
      <c r="AF475" s="11">
        <v>5227200000</v>
      </c>
      <c r="AG475" s="11">
        <v>0</v>
      </c>
      <c r="AH475" s="11">
        <v>0</v>
      </c>
      <c r="AI475" s="11">
        <v>0</v>
      </c>
      <c r="AJ475" s="12">
        <v>1</v>
      </c>
      <c r="AK475" s="11">
        <v>6993546300</v>
      </c>
      <c r="AL475" s="12">
        <v>114</v>
      </c>
      <c r="AM475" s="11">
        <v>931492013159</v>
      </c>
      <c r="AN475" s="12">
        <v>16</v>
      </c>
      <c r="AO475" s="11">
        <v>123131812762</v>
      </c>
      <c r="AP475" s="11">
        <v>1023566596579</v>
      </c>
      <c r="AQ475" s="11">
        <v>40265877642</v>
      </c>
      <c r="AR475" s="11">
        <v>983300718937</v>
      </c>
      <c r="AS475" s="19">
        <v>2442.02</v>
      </c>
      <c r="AT475" s="11">
        <v>1530054819061</v>
      </c>
      <c r="AU475" s="11">
        <v>186338076642</v>
      </c>
      <c r="AV475" s="11">
        <v>231377900829</v>
      </c>
      <c r="AW475" s="11">
        <v>319812673465</v>
      </c>
      <c r="AX475" s="11">
        <v>429642635132</v>
      </c>
      <c r="AY475" s="11">
        <v>382025000000</v>
      </c>
      <c r="AZ475" s="11">
        <v>168960664501</v>
      </c>
      <c r="BA475" s="11">
        <v>1600345595230</v>
      </c>
      <c r="BB475" s="13">
        <v>356362</v>
      </c>
      <c r="BC475" s="11">
        <v>627325159197</v>
      </c>
      <c r="BD475" s="11">
        <v>468462635132</v>
      </c>
      <c r="BE475" s="11">
        <v>504557800901</v>
      </c>
      <c r="BF475" s="11">
        <v>1570292086364</v>
      </c>
      <c r="BG475" s="11">
        <v>459955905368</v>
      </c>
      <c r="BH475" s="11">
        <v>5594837040</v>
      </c>
      <c r="BI475" s="11">
        <v>0</v>
      </c>
      <c r="BJ475" s="11">
        <v>0</v>
      </c>
      <c r="BK475" s="11">
        <v>270000000</v>
      </c>
      <c r="BL475" s="11">
        <v>0</v>
      </c>
      <c r="BM475" s="11">
        <v>5223500011</v>
      </c>
    </row>
    <row r="476" spans="1:65" x14ac:dyDescent="0.25">
      <c r="A476" s="32"/>
      <c r="B476" s="10">
        <v>2901</v>
      </c>
      <c r="C476" s="10" t="s">
        <v>524</v>
      </c>
      <c r="D476" s="11">
        <v>1131263457454</v>
      </c>
      <c r="E476" s="11">
        <v>7988365757</v>
      </c>
      <c r="F476" s="11">
        <v>0</v>
      </c>
      <c r="G476" s="11">
        <v>0</v>
      </c>
      <c r="H476" s="11">
        <v>1139251823211</v>
      </c>
      <c r="I476" s="11">
        <v>88305014496</v>
      </c>
      <c r="J476" s="11">
        <v>1050946808715</v>
      </c>
      <c r="K476" s="11">
        <v>1073490174237</v>
      </c>
      <c r="L476" s="11">
        <v>65761648974</v>
      </c>
      <c r="M476" s="12">
        <v>6.13</v>
      </c>
      <c r="N476" s="11">
        <v>1326998085457</v>
      </c>
      <c r="O476" s="12">
        <v>124.52</v>
      </c>
      <c r="P476" s="12">
        <v>126.27</v>
      </c>
      <c r="Q476" s="12">
        <v>0.55000000000000004</v>
      </c>
      <c r="R476" s="11">
        <v>1410660901720</v>
      </c>
      <c r="S476" s="11">
        <v>7984040051</v>
      </c>
      <c r="T476" s="11">
        <v>7463840605</v>
      </c>
      <c r="U476" s="11">
        <v>12508309</v>
      </c>
      <c r="V476" s="11">
        <v>507691137</v>
      </c>
      <c r="W476" s="11">
        <v>1418644941771</v>
      </c>
      <c r="X476" s="11">
        <v>77503224007</v>
      </c>
      <c r="Y476" s="11">
        <v>6498739027</v>
      </c>
      <c r="Z476" s="11">
        <v>1502646904805</v>
      </c>
      <c r="AA476" s="11">
        <v>1050148980555</v>
      </c>
      <c r="AB476" s="12">
        <v>35.090000000000003</v>
      </c>
      <c r="AC476" s="11">
        <v>733834463240</v>
      </c>
      <c r="AD476" s="11">
        <v>733834463240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2">
        <v>0</v>
      </c>
      <c r="AK476" s="11">
        <v>0</v>
      </c>
      <c r="AL476" s="12">
        <v>0</v>
      </c>
      <c r="AM476" s="11">
        <v>0</v>
      </c>
      <c r="AN476" s="12">
        <v>1</v>
      </c>
      <c r="AO476" s="11">
        <v>5000000000</v>
      </c>
      <c r="AP476" s="11">
        <v>7984040051</v>
      </c>
      <c r="AQ476" s="11">
        <v>6814029650</v>
      </c>
      <c r="AR476" s="11">
        <v>1170010401</v>
      </c>
      <c r="AS476" s="12">
        <v>17.170000000000002</v>
      </c>
      <c r="AT476" s="11">
        <v>334140754893</v>
      </c>
      <c r="AU476" s="11">
        <v>38851169994</v>
      </c>
      <c r="AV476" s="11">
        <v>65494320763</v>
      </c>
      <c r="AW476" s="11">
        <v>206066904946</v>
      </c>
      <c r="AX476" s="11">
        <v>245603231745</v>
      </c>
      <c r="AY476" s="11">
        <v>614099000000</v>
      </c>
      <c r="AZ476" s="11">
        <v>138151074833</v>
      </c>
      <c r="BA476" s="11">
        <v>1139251823211</v>
      </c>
      <c r="BB476" s="13">
        <v>123472</v>
      </c>
      <c r="BC476" s="11">
        <v>279549591466</v>
      </c>
      <c r="BD476" s="11">
        <v>245603231745</v>
      </c>
      <c r="BE476" s="11">
        <v>614099000000</v>
      </c>
      <c r="BF476" s="11">
        <v>415504463240</v>
      </c>
      <c r="BG476" s="11">
        <v>318330000000</v>
      </c>
      <c r="BH476" s="11">
        <v>0</v>
      </c>
      <c r="BI476" s="11">
        <v>0</v>
      </c>
      <c r="BJ476" s="11">
        <v>0</v>
      </c>
      <c r="BK476" s="11">
        <v>0</v>
      </c>
      <c r="BL476" s="11">
        <v>0</v>
      </c>
      <c r="BM476" s="11">
        <v>0</v>
      </c>
    </row>
    <row r="477" spans="1:65" x14ac:dyDescent="0.25">
      <c r="A477" s="32"/>
      <c r="B477" s="10">
        <v>2902</v>
      </c>
      <c r="C477" s="10" t="s">
        <v>525</v>
      </c>
      <c r="D477" s="11">
        <v>542569618262</v>
      </c>
      <c r="E477" s="11">
        <v>1967577371</v>
      </c>
      <c r="F477" s="11">
        <v>0</v>
      </c>
      <c r="G477" s="11">
        <v>0</v>
      </c>
      <c r="H477" s="11">
        <v>544537195633</v>
      </c>
      <c r="I477" s="11">
        <v>43344214235</v>
      </c>
      <c r="J477" s="11">
        <v>501192981398</v>
      </c>
      <c r="K477" s="11">
        <v>452758273739</v>
      </c>
      <c r="L477" s="11">
        <v>91778921894</v>
      </c>
      <c r="M477" s="12">
        <v>20.27</v>
      </c>
      <c r="N477" s="11">
        <v>732605365346</v>
      </c>
      <c r="O477" s="12">
        <v>156.52000000000001</v>
      </c>
      <c r="P477" s="12">
        <v>146.16999999999999</v>
      </c>
      <c r="Q477" s="12">
        <v>3.16</v>
      </c>
      <c r="R477" s="11">
        <v>825260189026</v>
      </c>
      <c r="S477" s="11">
        <v>27076121514</v>
      </c>
      <c r="T477" s="11">
        <v>11613020178</v>
      </c>
      <c r="U477" s="11">
        <v>7983925003</v>
      </c>
      <c r="V477" s="11">
        <v>7479176333</v>
      </c>
      <c r="W477" s="11">
        <v>852336310540</v>
      </c>
      <c r="X477" s="11">
        <v>36356066169</v>
      </c>
      <c r="Y477" s="11">
        <v>6500000000</v>
      </c>
      <c r="Z477" s="11">
        <v>895192376709</v>
      </c>
      <c r="AA477" s="11">
        <v>776034096910</v>
      </c>
      <c r="AB477" s="12">
        <v>9.83</v>
      </c>
      <c r="AC477" s="11">
        <v>231367022255</v>
      </c>
      <c r="AD477" s="11">
        <v>207175476684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2">
        <v>0</v>
      </c>
      <c r="AK477" s="11">
        <v>0</v>
      </c>
      <c r="AL477" s="12">
        <v>5</v>
      </c>
      <c r="AM477" s="11">
        <v>10000000000</v>
      </c>
      <c r="AN477" s="12">
        <v>0</v>
      </c>
      <c r="AO477" s="11">
        <v>0</v>
      </c>
      <c r="AP477" s="11">
        <v>27076121514</v>
      </c>
      <c r="AQ477" s="11">
        <v>24263691134</v>
      </c>
      <c r="AR477" s="11">
        <v>2812430380</v>
      </c>
      <c r="AS477" s="12">
        <v>11.59</v>
      </c>
      <c r="AT477" s="11">
        <v>192782224106</v>
      </c>
      <c r="AU477" s="11">
        <v>47849965031</v>
      </c>
      <c r="AV477" s="11">
        <v>61253828480</v>
      </c>
      <c r="AW477" s="11">
        <v>180861213227</v>
      </c>
      <c r="AX477" s="11">
        <v>72644576555</v>
      </c>
      <c r="AY477" s="11">
        <v>227810000000</v>
      </c>
      <c r="AZ477" s="11">
        <v>38910641430</v>
      </c>
      <c r="BA477" s="11">
        <v>544537195633</v>
      </c>
      <c r="BB477" s="13">
        <v>49698</v>
      </c>
      <c r="BC477" s="11">
        <v>244082619078</v>
      </c>
      <c r="BD477" s="11">
        <v>72644576555</v>
      </c>
      <c r="BE477" s="11">
        <v>227810000000</v>
      </c>
      <c r="BF477" s="11">
        <v>199055093488</v>
      </c>
      <c r="BG477" s="11">
        <v>32311928767</v>
      </c>
      <c r="BH477" s="11">
        <v>0</v>
      </c>
      <c r="BI477" s="11">
        <v>0</v>
      </c>
      <c r="BJ477" s="11">
        <v>0</v>
      </c>
      <c r="BK477" s="11">
        <v>0</v>
      </c>
      <c r="BL477" s="11">
        <v>0</v>
      </c>
      <c r="BM477" s="11">
        <v>0</v>
      </c>
    </row>
    <row r="478" spans="1:65" x14ac:dyDescent="0.25">
      <c r="A478" s="32"/>
      <c r="B478" s="10">
        <v>2903</v>
      </c>
      <c r="C478" s="10" t="s">
        <v>526</v>
      </c>
      <c r="D478" s="11">
        <v>765193193884</v>
      </c>
      <c r="E478" s="11">
        <v>4171980650</v>
      </c>
      <c r="F478" s="11">
        <v>0</v>
      </c>
      <c r="G478" s="11">
        <v>0</v>
      </c>
      <c r="H478" s="11">
        <v>769365174534</v>
      </c>
      <c r="I478" s="11">
        <v>62480979302</v>
      </c>
      <c r="J478" s="11">
        <v>706884195232</v>
      </c>
      <c r="K478" s="11">
        <v>594906770323</v>
      </c>
      <c r="L478" s="11">
        <v>174458404211</v>
      </c>
      <c r="M478" s="12">
        <v>29.33</v>
      </c>
      <c r="N478" s="11">
        <v>571617095249</v>
      </c>
      <c r="O478" s="12">
        <v>81.53</v>
      </c>
      <c r="P478" s="12">
        <v>80.86</v>
      </c>
      <c r="Q478" s="12">
        <v>1.21</v>
      </c>
      <c r="R478" s="11">
        <v>618887391752</v>
      </c>
      <c r="S478" s="11">
        <v>8352811446</v>
      </c>
      <c r="T478" s="11">
        <v>8004021871</v>
      </c>
      <c r="U478" s="11">
        <v>348789575</v>
      </c>
      <c r="V478" s="11">
        <v>0</v>
      </c>
      <c r="W478" s="11">
        <v>627240203198</v>
      </c>
      <c r="X478" s="11">
        <v>57717542315</v>
      </c>
      <c r="Y478" s="11">
        <v>8847217534</v>
      </c>
      <c r="Z478" s="11">
        <v>693804963047</v>
      </c>
      <c r="AA478" s="11">
        <v>530796792345</v>
      </c>
      <c r="AB478" s="12">
        <v>18.170000000000002</v>
      </c>
      <c r="AC478" s="11">
        <v>221839984176</v>
      </c>
      <c r="AD478" s="11">
        <v>221839984176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2">
        <v>0</v>
      </c>
      <c r="AK478" s="11">
        <v>0</v>
      </c>
      <c r="AL478" s="12">
        <v>15</v>
      </c>
      <c r="AM478" s="11">
        <v>2854750000</v>
      </c>
      <c r="AN478" s="12">
        <v>2</v>
      </c>
      <c r="AO478" s="11">
        <v>451500000</v>
      </c>
      <c r="AP478" s="11">
        <v>8352811446</v>
      </c>
      <c r="AQ478" s="11">
        <v>5345616382</v>
      </c>
      <c r="AR478" s="11">
        <v>3007195064</v>
      </c>
      <c r="AS478" s="12">
        <v>56.26</v>
      </c>
      <c r="AT478" s="11">
        <v>180883574989</v>
      </c>
      <c r="AU478" s="11">
        <v>34793817034</v>
      </c>
      <c r="AV478" s="11">
        <v>44939466889</v>
      </c>
      <c r="AW478" s="11">
        <v>163721091511</v>
      </c>
      <c r="AX478" s="11">
        <v>159899235484</v>
      </c>
      <c r="AY478" s="11">
        <v>396633400000</v>
      </c>
      <c r="AZ478" s="11">
        <v>114736322981</v>
      </c>
      <c r="BA478" s="11">
        <v>769365174534</v>
      </c>
      <c r="BB478" s="13">
        <v>109135</v>
      </c>
      <c r="BC478" s="11">
        <v>212832539050</v>
      </c>
      <c r="BD478" s="11">
        <v>159899235484</v>
      </c>
      <c r="BE478" s="11">
        <v>396633400000</v>
      </c>
      <c r="BF478" s="11">
        <v>159889985176</v>
      </c>
      <c r="BG478" s="11">
        <v>61949999000</v>
      </c>
      <c r="BH478" s="11">
        <v>0</v>
      </c>
      <c r="BI478" s="11">
        <v>0</v>
      </c>
      <c r="BJ478" s="11">
        <v>0</v>
      </c>
      <c r="BK478" s="11">
        <v>0</v>
      </c>
      <c r="BL478" s="11">
        <v>0</v>
      </c>
      <c r="BM478" s="11">
        <v>0</v>
      </c>
    </row>
    <row r="479" spans="1:65" x14ac:dyDescent="0.25">
      <c r="A479" s="32"/>
      <c r="B479" s="10">
        <v>2904</v>
      </c>
      <c r="C479" s="10" t="s">
        <v>527</v>
      </c>
      <c r="D479" s="11">
        <v>1505956300297</v>
      </c>
      <c r="E479" s="11">
        <v>3201010437</v>
      </c>
      <c r="F479" s="11">
        <v>0</v>
      </c>
      <c r="G479" s="11">
        <v>0</v>
      </c>
      <c r="H479" s="11">
        <v>1509157310734</v>
      </c>
      <c r="I479" s="11">
        <v>123210416013</v>
      </c>
      <c r="J479" s="11">
        <v>1385946894721</v>
      </c>
      <c r="K479" s="11">
        <v>1384387177724</v>
      </c>
      <c r="L479" s="11">
        <v>124770133010</v>
      </c>
      <c r="M479" s="12">
        <v>9.01</v>
      </c>
      <c r="N479" s="11">
        <v>1500743163741</v>
      </c>
      <c r="O479" s="12">
        <v>107.32</v>
      </c>
      <c r="P479" s="12">
        <v>108.28</v>
      </c>
      <c r="Q479" s="12">
        <v>1.03</v>
      </c>
      <c r="R479" s="11">
        <v>1603193690060</v>
      </c>
      <c r="S479" s="11">
        <v>16465763459</v>
      </c>
      <c r="T479" s="11">
        <v>9885438233</v>
      </c>
      <c r="U479" s="11">
        <v>3668915394</v>
      </c>
      <c r="V479" s="11">
        <v>2911409832</v>
      </c>
      <c r="W479" s="11">
        <v>1619659453519</v>
      </c>
      <c r="X479" s="11">
        <v>72592911943</v>
      </c>
      <c r="Y479" s="11">
        <v>14714467000</v>
      </c>
      <c r="Z479" s="11">
        <v>1706966832462</v>
      </c>
      <c r="AA479" s="11">
        <v>1326856810234</v>
      </c>
      <c r="AB479" s="12">
        <v>22.07</v>
      </c>
      <c r="AC479" s="11">
        <v>655476837058</v>
      </c>
      <c r="AD479" s="11">
        <v>655476837058</v>
      </c>
      <c r="AE479" s="11">
        <v>0</v>
      </c>
      <c r="AF479" s="11">
        <v>0</v>
      </c>
      <c r="AG479" s="11">
        <v>0</v>
      </c>
      <c r="AH479" s="11">
        <v>0</v>
      </c>
      <c r="AI479" s="11">
        <v>0</v>
      </c>
      <c r="AJ479" s="12">
        <v>0</v>
      </c>
      <c r="AK479" s="11">
        <v>0</v>
      </c>
      <c r="AL479" s="12">
        <v>20</v>
      </c>
      <c r="AM479" s="11">
        <v>18751674431</v>
      </c>
      <c r="AN479" s="12">
        <v>3</v>
      </c>
      <c r="AO479" s="11">
        <v>3000000000</v>
      </c>
      <c r="AP479" s="11">
        <v>16465763459</v>
      </c>
      <c r="AQ479" s="11">
        <v>20441403162</v>
      </c>
      <c r="AR479" s="11">
        <v>-3975639703</v>
      </c>
      <c r="AS479" s="12">
        <v>-19.45</v>
      </c>
      <c r="AT479" s="11">
        <v>488896221762</v>
      </c>
      <c r="AU479" s="11">
        <v>101520301540</v>
      </c>
      <c r="AV479" s="11">
        <v>59610020453</v>
      </c>
      <c r="AW479" s="11">
        <v>286752631986</v>
      </c>
      <c r="AX479" s="11">
        <v>220644847858</v>
      </c>
      <c r="AY479" s="11">
        <v>938948800000</v>
      </c>
      <c r="AZ479" s="11">
        <v>138310206397</v>
      </c>
      <c r="BA479" s="11">
        <v>1509157310734</v>
      </c>
      <c r="BB479" s="13">
        <v>28510</v>
      </c>
      <c r="BC479" s="11">
        <v>349563662876</v>
      </c>
      <c r="BD479" s="11">
        <v>220644847858</v>
      </c>
      <c r="BE479" s="11">
        <v>938948800000</v>
      </c>
      <c r="BF479" s="11">
        <v>574198480587</v>
      </c>
      <c r="BG479" s="11">
        <v>81278356471</v>
      </c>
      <c r="BH479" s="11">
        <v>0</v>
      </c>
      <c r="BI479" s="11">
        <v>0</v>
      </c>
      <c r="BJ479" s="11">
        <v>0</v>
      </c>
      <c r="BK479" s="11">
        <v>0</v>
      </c>
      <c r="BL479" s="11">
        <v>0</v>
      </c>
      <c r="BM479" s="11">
        <v>0</v>
      </c>
    </row>
    <row r="480" spans="1:65" x14ac:dyDescent="0.25">
      <c r="A480" s="32"/>
      <c r="B480" s="10">
        <v>2905</v>
      </c>
      <c r="C480" s="10" t="s">
        <v>528</v>
      </c>
      <c r="D480" s="11">
        <v>985822988318</v>
      </c>
      <c r="E480" s="11">
        <v>3561486319</v>
      </c>
      <c r="F480" s="11">
        <v>0</v>
      </c>
      <c r="G480" s="11">
        <v>0</v>
      </c>
      <c r="H480" s="11">
        <v>989384474637</v>
      </c>
      <c r="I480" s="11">
        <v>79212654353</v>
      </c>
      <c r="J480" s="11">
        <v>910171820284</v>
      </c>
      <c r="K480" s="11">
        <v>819103181404</v>
      </c>
      <c r="L480" s="11">
        <v>170281293233</v>
      </c>
      <c r="M480" s="12">
        <v>20.79</v>
      </c>
      <c r="N480" s="11">
        <v>1313721755506</v>
      </c>
      <c r="O480" s="12">
        <v>144.97</v>
      </c>
      <c r="P480" s="12">
        <v>144.34</v>
      </c>
      <c r="Q480" s="12">
        <v>3.8</v>
      </c>
      <c r="R480" s="11">
        <v>1387749771884</v>
      </c>
      <c r="S480" s="11">
        <v>46568813954</v>
      </c>
      <c r="T480" s="11">
        <v>22516628466</v>
      </c>
      <c r="U480" s="11">
        <v>7805890866</v>
      </c>
      <c r="V480" s="11">
        <v>16246294622</v>
      </c>
      <c r="W480" s="11">
        <v>1434318585838</v>
      </c>
      <c r="X480" s="11">
        <v>81373064802</v>
      </c>
      <c r="Y480" s="11">
        <v>9000000000</v>
      </c>
      <c r="Z480" s="11">
        <v>1524691650640</v>
      </c>
      <c r="AA480" s="11">
        <v>1287566692027</v>
      </c>
      <c r="AB480" s="12">
        <v>11.4</v>
      </c>
      <c r="AC480" s="11">
        <v>478718571787</v>
      </c>
      <c r="AD480" s="11">
        <v>478718571787</v>
      </c>
      <c r="AE480" s="11">
        <v>0</v>
      </c>
      <c r="AF480" s="11">
        <v>0</v>
      </c>
      <c r="AG480" s="11">
        <v>0</v>
      </c>
      <c r="AH480" s="11">
        <v>0</v>
      </c>
      <c r="AI480" s="11">
        <v>0</v>
      </c>
      <c r="AJ480" s="12">
        <v>0</v>
      </c>
      <c r="AK480" s="11">
        <v>0</v>
      </c>
      <c r="AL480" s="12">
        <v>7</v>
      </c>
      <c r="AM480" s="11">
        <v>1871750000</v>
      </c>
      <c r="AN480" s="12">
        <v>1</v>
      </c>
      <c r="AO480" s="11">
        <v>96960000</v>
      </c>
      <c r="AP480" s="11">
        <v>46568813954</v>
      </c>
      <c r="AQ480" s="11">
        <v>37124477321</v>
      </c>
      <c r="AR480" s="11">
        <v>9444336633</v>
      </c>
      <c r="AS480" s="19">
        <v>25.44</v>
      </c>
      <c r="AT480" s="11">
        <v>437211432203</v>
      </c>
      <c r="AU480" s="11">
        <v>80105821996</v>
      </c>
      <c r="AV480" s="11">
        <v>24457491982</v>
      </c>
      <c r="AW480" s="11">
        <v>159658266561</v>
      </c>
      <c r="AX480" s="11">
        <v>173456229775</v>
      </c>
      <c r="AY480" s="11">
        <v>628251000000</v>
      </c>
      <c r="AZ480" s="11">
        <v>140814863013</v>
      </c>
      <c r="BA480" s="11">
        <v>989384474637</v>
      </c>
      <c r="BB480" s="13">
        <v>127280</v>
      </c>
      <c r="BC480" s="11">
        <v>187677244862</v>
      </c>
      <c r="BD480" s="11">
        <v>173456229775</v>
      </c>
      <c r="BE480" s="11">
        <v>628251000000</v>
      </c>
      <c r="BF480" s="11">
        <v>409950571787</v>
      </c>
      <c r="BG480" s="11">
        <v>68768000000</v>
      </c>
      <c r="BH480" s="11">
        <v>0</v>
      </c>
      <c r="BI480" s="11">
        <v>0</v>
      </c>
      <c r="BJ480" s="11">
        <v>0</v>
      </c>
      <c r="BK480" s="11">
        <v>0</v>
      </c>
      <c r="BL480" s="11">
        <v>0</v>
      </c>
      <c r="BM480" s="11">
        <v>0</v>
      </c>
    </row>
    <row r="481" spans="1:65" x14ac:dyDescent="0.25">
      <c r="A481" s="32"/>
      <c r="B481" s="10">
        <v>2906</v>
      </c>
      <c r="C481" s="10" t="s">
        <v>529</v>
      </c>
      <c r="D481" s="11">
        <v>1178048849359</v>
      </c>
      <c r="E481" s="11">
        <v>2782746482</v>
      </c>
      <c r="F481" s="11">
        <v>0</v>
      </c>
      <c r="G481" s="11">
        <v>0</v>
      </c>
      <c r="H481" s="11">
        <v>1180831595841</v>
      </c>
      <c r="I481" s="11">
        <v>97364833481</v>
      </c>
      <c r="J481" s="11">
        <v>1083466762360</v>
      </c>
      <c r="K481" s="11">
        <v>937344013010</v>
      </c>
      <c r="L481" s="11">
        <v>243487582831</v>
      </c>
      <c r="M481" s="12">
        <v>25.98</v>
      </c>
      <c r="N481" s="11">
        <v>1166054630554</v>
      </c>
      <c r="O481" s="12">
        <v>107.97</v>
      </c>
      <c r="P481" s="12">
        <v>107.62</v>
      </c>
      <c r="Q481" s="12">
        <v>2.58</v>
      </c>
      <c r="R481" s="11">
        <v>1240747594344</v>
      </c>
      <c r="S481" s="11">
        <v>34222296536</v>
      </c>
      <c r="T481" s="11">
        <v>18381834640</v>
      </c>
      <c r="U481" s="11">
        <v>12245627031</v>
      </c>
      <c r="V481" s="11">
        <v>3594834865</v>
      </c>
      <c r="W481" s="11">
        <v>1274969890880</v>
      </c>
      <c r="X481" s="11">
        <v>70984275978</v>
      </c>
      <c r="Y481" s="11">
        <v>11500000000</v>
      </c>
      <c r="Z481" s="11">
        <v>1357454166858</v>
      </c>
      <c r="AA481" s="11">
        <v>1103769328787</v>
      </c>
      <c r="AB481" s="12">
        <v>15.51</v>
      </c>
      <c r="AC481" s="11">
        <v>428715336656</v>
      </c>
      <c r="AD481" s="11">
        <v>428715336656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2">
        <v>0</v>
      </c>
      <c r="AK481" s="11">
        <v>0</v>
      </c>
      <c r="AL481" s="12">
        <v>2</v>
      </c>
      <c r="AM481" s="11">
        <v>18864000000</v>
      </c>
      <c r="AN481" s="12">
        <v>0</v>
      </c>
      <c r="AO481" s="11">
        <v>0</v>
      </c>
      <c r="AP481" s="11">
        <v>34222296536</v>
      </c>
      <c r="AQ481" s="11">
        <v>28398300983</v>
      </c>
      <c r="AR481" s="11">
        <v>5823995553</v>
      </c>
      <c r="AS481" s="12">
        <v>20.51</v>
      </c>
      <c r="AT481" s="11">
        <v>406620592436</v>
      </c>
      <c r="AU481" s="11">
        <v>163571845253</v>
      </c>
      <c r="AV481" s="11">
        <v>27546555869</v>
      </c>
      <c r="AW481" s="11">
        <v>217457727644</v>
      </c>
      <c r="AX481" s="11">
        <v>150374565846</v>
      </c>
      <c r="AY481" s="11">
        <v>782670000000</v>
      </c>
      <c r="AZ481" s="11">
        <v>82697677792</v>
      </c>
      <c r="BA481" s="11">
        <v>1180831595841</v>
      </c>
      <c r="BB481" s="13">
        <v>42317</v>
      </c>
      <c r="BC481" s="11">
        <v>247787029995</v>
      </c>
      <c r="BD481" s="11">
        <v>150374565846</v>
      </c>
      <c r="BE481" s="11">
        <v>782670000000</v>
      </c>
      <c r="BF481" s="11">
        <v>332265336656</v>
      </c>
      <c r="BG481" s="11">
        <v>96450000000</v>
      </c>
      <c r="BH481" s="11">
        <v>0</v>
      </c>
      <c r="BI481" s="11">
        <v>0</v>
      </c>
      <c r="BJ481" s="11">
        <v>0</v>
      </c>
      <c r="BK481" s="11">
        <v>0</v>
      </c>
      <c r="BL481" s="11">
        <v>0</v>
      </c>
      <c r="BM481" s="11">
        <v>0</v>
      </c>
    </row>
    <row r="482" spans="1:65" x14ac:dyDescent="0.25">
      <c r="A482" s="32"/>
      <c r="B482" s="10">
        <v>2907</v>
      </c>
      <c r="C482" s="10" t="s">
        <v>530</v>
      </c>
      <c r="D482" s="11">
        <v>851059601626</v>
      </c>
      <c r="E482" s="11">
        <v>8012694932</v>
      </c>
      <c r="F482" s="11">
        <v>0</v>
      </c>
      <c r="G482" s="11">
        <v>0</v>
      </c>
      <c r="H482" s="11">
        <v>859072296558</v>
      </c>
      <c r="I482" s="11">
        <v>69574459861</v>
      </c>
      <c r="J482" s="11">
        <v>789497836697</v>
      </c>
      <c r="K482" s="11">
        <v>722645084142</v>
      </c>
      <c r="L482" s="11">
        <v>136427212416</v>
      </c>
      <c r="M482" s="12">
        <v>18.88</v>
      </c>
      <c r="N482" s="11">
        <v>1020730389571</v>
      </c>
      <c r="O482" s="12">
        <v>126.7</v>
      </c>
      <c r="P482" s="12">
        <v>129.29</v>
      </c>
      <c r="Q482" s="12">
        <v>20.88</v>
      </c>
      <c r="R482" s="11">
        <v>843538534358</v>
      </c>
      <c r="S482" s="11">
        <v>244872383645</v>
      </c>
      <c r="T482" s="11">
        <v>145870521284</v>
      </c>
      <c r="U482" s="11">
        <v>97514774424</v>
      </c>
      <c r="V482" s="11">
        <v>1487087937</v>
      </c>
      <c r="W482" s="11">
        <v>1088410918003</v>
      </c>
      <c r="X482" s="11">
        <v>73513699547</v>
      </c>
      <c r="Y482" s="11">
        <v>12149200000</v>
      </c>
      <c r="Z482" s="11">
        <v>1174073817550</v>
      </c>
      <c r="AA482" s="11">
        <v>964408964835</v>
      </c>
      <c r="AB482" s="12">
        <v>12.86</v>
      </c>
      <c r="AC482" s="11">
        <v>331887758398</v>
      </c>
      <c r="AD482" s="11">
        <v>331887758398</v>
      </c>
      <c r="AE482" s="11">
        <v>0</v>
      </c>
      <c r="AF482" s="11">
        <v>0</v>
      </c>
      <c r="AG482" s="11">
        <v>0</v>
      </c>
      <c r="AH482" s="11">
        <v>0</v>
      </c>
      <c r="AI482" s="11">
        <v>0</v>
      </c>
      <c r="AJ482" s="12">
        <v>0</v>
      </c>
      <c r="AK482" s="11">
        <v>0</v>
      </c>
      <c r="AL482" s="12">
        <v>2</v>
      </c>
      <c r="AM482" s="11">
        <v>5558543683</v>
      </c>
      <c r="AN482" s="12">
        <v>0</v>
      </c>
      <c r="AO482" s="11">
        <v>0</v>
      </c>
      <c r="AP482" s="11">
        <v>244872383645</v>
      </c>
      <c r="AQ482" s="11">
        <v>7218231353</v>
      </c>
      <c r="AR482" s="11">
        <v>237654152292</v>
      </c>
      <c r="AS482" s="19">
        <v>3292.42</v>
      </c>
      <c r="AT482" s="11">
        <v>285896253562</v>
      </c>
      <c r="AU482" s="11">
        <v>50183514558</v>
      </c>
      <c r="AV482" s="11">
        <v>45633498532</v>
      </c>
      <c r="AW482" s="11">
        <v>133499046671</v>
      </c>
      <c r="AX482" s="11">
        <v>213467056423</v>
      </c>
      <c r="AY482" s="11">
        <v>458460000000</v>
      </c>
      <c r="AZ482" s="11">
        <v>132286882710</v>
      </c>
      <c r="BA482" s="11">
        <v>859072296558</v>
      </c>
      <c r="BB482" s="13">
        <v>58829</v>
      </c>
      <c r="BC482" s="11">
        <v>187145240135</v>
      </c>
      <c r="BD482" s="11">
        <v>213467056423</v>
      </c>
      <c r="BE482" s="11">
        <v>458460000000</v>
      </c>
      <c r="BF482" s="11">
        <v>182665331000</v>
      </c>
      <c r="BG482" s="11">
        <v>149222427398</v>
      </c>
      <c r="BH482" s="11">
        <v>0</v>
      </c>
      <c r="BI482" s="11">
        <v>0</v>
      </c>
      <c r="BJ482" s="11">
        <v>0</v>
      </c>
      <c r="BK482" s="11">
        <v>0</v>
      </c>
      <c r="BL482" s="11">
        <v>0</v>
      </c>
      <c r="BM482" s="11">
        <v>0</v>
      </c>
    </row>
    <row r="483" spans="1:65" x14ac:dyDescent="0.25">
      <c r="A483" s="32"/>
      <c r="B483" s="10">
        <v>2908</v>
      </c>
      <c r="C483" s="10" t="s">
        <v>531</v>
      </c>
      <c r="D483" s="11">
        <v>1549941130904</v>
      </c>
      <c r="E483" s="11">
        <v>1023420994</v>
      </c>
      <c r="F483" s="11">
        <v>0</v>
      </c>
      <c r="G483" s="11">
        <v>0</v>
      </c>
      <c r="H483" s="11">
        <v>1550964551898</v>
      </c>
      <c r="I483" s="11">
        <v>128318210994</v>
      </c>
      <c r="J483" s="11">
        <v>1422646340904</v>
      </c>
      <c r="K483" s="11">
        <v>1210319240909</v>
      </c>
      <c r="L483" s="11">
        <v>340645310989</v>
      </c>
      <c r="M483" s="12">
        <v>28.15</v>
      </c>
      <c r="N483" s="11">
        <v>953735468141</v>
      </c>
      <c r="O483" s="12">
        <v>68.3</v>
      </c>
      <c r="P483" s="12">
        <v>67.040000000000006</v>
      </c>
      <c r="Q483" s="12">
        <v>1.33</v>
      </c>
      <c r="R483" s="11">
        <v>1044929590432</v>
      </c>
      <c r="S483" s="11">
        <v>14444472698</v>
      </c>
      <c r="T483" s="11">
        <v>7937919676</v>
      </c>
      <c r="U483" s="11">
        <v>1621808836</v>
      </c>
      <c r="V483" s="11">
        <v>4884744186</v>
      </c>
      <c r="W483" s="11">
        <v>1059374063130</v>
      </c>
      <c r="X483" s="11">
        <v>51675597286</v>
      </c>
      <c r="Y483" s="11">
        <v>6453063000</v>
      </c>
      <c r="Z483" s="11">
        <v>1117502723416</v>
      </c>
      <c r="AA483" s="11">
        <v>901209776124</v>
      </c>
      <c r="AB483" s="12">
        <v>17.55</v>
      </c>
      <c r="AC483" s="11">
        <v>444405320301</v>
      </c>
      <c r="AD483" s="11">
        <v>444405320301</v>
      </c>
      <c r="AE483" s="11">
        <v>0</v>
      </c>
      <c r="AF483" s="11">
        <v>0</v>
      </c>
      <c r="AG483" s="11">
        <v>0</v>
      </c>
      <c r="AH483" s="11">
        <v>0</v>
      </c>
      <c r="AI483" s="11">
        <v>3669794879</v>
      </c>
      <c r="AJ483" s="12">
        <v>0</v>
      </c>
      <c r="AK483" s="11">
        <v>0</v>
      </c>
      <c r="AL483" s="12">
        <v>2</v>
      </c>
      <c r="AM483" s="11">
        <v>1250000000</v>
      </c>
      <c r="AN483" s="12">
        <v>1</v>
      </c>
      <c r="AO483" s="11">
        <v>260974440</v>
      </c>
      <c r="AP483" s="11">
        <v>14444472698</v>
      </c>
      <c r="AQ483" s="11">
        <v>23915184125</v>
      </c>
      <c r="AR483" s="11">
        <v>-9470711427</v>
      </c>
      <c r="AS483" s="12">
        <v>-39.6</v>
      </c>
      <c r="AT483" s="11">
        <v>384322484064</v>
      </c>
      <c r="AU483" s="11">
        <v>81242027986</v>
      </c>
      <c r="AV483" s="11">
        <v>49970278570</v>
      </c>
      <c r="AW483" s="11">
        <v>226827941098</v>
      </c>
      <c r="AX483" s="11">
        <v>218481511236</v>
      </c>
      <c r="AY483" s="11">
        <v>1054661400000</v>
      </c>
      <c r="AZ483" s="11">
        <v>144810283430</v>
      </c>
      <c r="BA483" s="11">
        <v>1550964551898</v>
      </c>
      <c r="BB483" s="13">
        <v>70594</v>
      </c>
      <c r="BC483" s="11">
        <v>277821640662</v>
      </c>
      <c r="BD483" s="11">
        <v>218481511236</v>
      </c>
      <c r="BE483" s="11">
        <v>1054661400000</v>
      </c>
      <c r="BF483" s="11">
        <v>239753695999</v>
      </c>
      <c r="BG483" s="11">
        <v>204651624302</v>
      </c>
      <c r="BH483" s="11">
        <v>0</v>
      </c>
      <c r="BI483" s="11">
        <v>0</v>
      </c>
      <c r="BJ483" s="11">
        <v>0</v>
      </c>
      <c r="BK483" s="11">
        <v>0</v>
      </c>
      <c r="BL483" s="11">
        <v>0</v>
      </c>
      <c r="BM483" s="11">
        <v>0</v>
      </c>
    </row>
    <row r="484" spans="1:65" x14ac:dyDescent="0.25">
      <c r="A484" s="32"/>
      <c r="B484" s="10">
        <v>2909</v>
      </c>
      <c r="C484" s="10" t="s">
        <v>532</v>
      </c>
      <c r="D484" s="11">
        <v>748647414353</v>
      </c>
      <c r="E484" s="11">
        <v>2791209821</v>
      </c>
      <c r="F484" s="11">
        <v>0</v>
      </c>
      <c r="G484" s="11">
        <v>0</v>
      </c>
      <c r="H484" s="11">
        <v>751438624174</v>
      </c>
      <c r="I484" s="11">
        <v>60033462538</v>
      </c>
      <c r="J484" s="11">
        <v>691405161636</v>
      </c>
      <c r="K484" s="11">
        <v>681818282973</v>
      </c>
      <c r="L484" s="11">
        <v>69620341201</v>
      </c>
      <c r="M484" s="12">
        <v>10.210000000000001</v>
      </c>
      <c r="N484" s="11">
        <v>593025171194</v>
      </c>
      <c r="O484" s="12">
        <v>87.1</v>
      </c>
      <c r="P484" s="12">
        <v>85.77</v>
      </c>
      <c r="Q484" s="12">
        <v>1.56</v>
      </c>
      <c r="R484" s="11">
        <v>643564966711</v>
      </c>
      <c r="S484" s="11">
        <v>10940951923</v>
      </c>
      <c r="T484" s="11">
        <v>9612491300</v>
      </c>
      <c r="U484" s="11">
        <v>1256954504</v>
      </c>
      <c r="V484" s="11">
        <v>71506119</v>
      </c>
      <c r="W484" s="11">
        <v>654505918634</v>
      </c>
      <c r="X484" s="11">
        <v>38825363364</v>
      </c>
      <c r="Y484" s="11">
        <v>9520122139</v>
      </c>
      <c r="Z484" s="11">
        <v>702851404137</v>
      </c>
      <c r="AA484" s="11">
        <v>605856913620</v>
      </c>
      <c r="AB484" s="12">
        <v>8.0299999999999994</v>
      </c>
      <c r="AC484" s="11">
        <v>233437887566</v>
      </c>
      <c r="AD484" s="11">
        <v>211556737787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2">
        <v>0</v>
      </c>
      <c r="AK484" s="11">
        <v>0</v>
      </c>
      <c r="AL484" s="12">
        <v>7</v>
      </c>
      <c r="AM484" s="11">
        <v>30532000000</v>
      </c>
      <c r="AN484" s="12">
        <v>1</v>
      </c>
      <c r="AO484" s="11">
        <v>50000000</v>
      </c>
      <c r="AP484" s="11">
        <v>10940951923</v>
      </c>
      <c r="AQ484" s="11">
        <v>7923440520</v>
      </c>
      <c r="AR484" s="11">
        <v>3017511403</v>
      </c>
      <c r="AS484" s="12">
        <v>38.08</v>
      </c>
      <c r="AT484" s="11">
        <v>238740964567</v>
      </c>
      <c r="AU484" s="11">
        <v>109951698542</v>
      </c>
      <c r="AV484" s="11">
        <v>19104030273</v>
      </c>
      <c r="AW484" s="11">
        <v>98998118955</v>
      </c>
      <c r="AX484" s="11">
        <v>150043265125</v>
      </c>
      <c r="AY484" s="11">
        <v>480502000000</v>
      </c>
      <c r="AZ484" s="11">
        <v>94656593530</v>
      </c>
      <c r="BA484" s="11">
        <v>751438624174</v>
      </c>
      <c r="BB484" s="13">
        <v>36788</v>
      </c>
      <c r="BC484" s="11">
        <v>120893359049</v>
      </c>
      <c r="BD484" s="11">
        <v>150043265125</v>
      </c>
      <c r="BE484" s="11">
        <v>480502000000</v>
      </c>
      <c r="BF484" s="11">
        <v>232437887566</v>
      </c>
      <c r="BG484" s="11">
        <v>1000000000</v>
      </c>
      <c r="BH484" s="11">
        <v>0</v>
      </c>
      <c r="BI484" s="11">
        <v>0</v>
      </c>
      <c r="BJ484" s="11">
        <v>0</v>
      </c>
      <c r="BK484" s="11">
        <v>0</v>
      </c>
      <c r="BL484" s="11">
        <v>0</v>
      </c>
      <c r="BM484" s="11">
        <v>0</v>
      </c>
    </row>
    <row r="485" spans="1:65" x14ac:dyDescent="0.25">
      <c r="A485" s="32"/>
      <c r="B485" s="10">
        <v>2910</v>
      </c>
      <c r="C485" s="10" t="s">
        <v>533</v>
      </c>
      <c r="D485" s="11">
        <v>1767089346327</v>
      </c>
      <c r="E485" s="11">
        <v>5129031178</v>
      </c>
      <c r="F485" s="11">
        <v>0</v>
      </c>
      <c r="G485" s="11">
        <v>0</v>
      </c>
      <c r="H485" s="11">
        <v>1772218377505</v>
      </c>
      <c r="I485" s="11">
        <v>149971970119</v>
      </c>
      <c r="J485" s="11">
        <v>1622246407386</v>
      </c>
      <c r="K485" s="11">
        <v>1411101280438</v>
      </c>
      <c r="L485" s="11">
        <v>361117097067</v>
      </c>
      <c r="M485" s="12">
        <v>25.59</v>
      </c>
      <c r="N485" s="11">
        <v>805026294617</v>
      </c>
      <c r="O485" s="12">
        <v>51.29</v>
      </c>
      <c r="P485" s="12">
        <v>49.62</v>
      </c>
      <c r="Q485" s="12">
        <v>1.1200000000000001</v>
      </c>
      <c r="R485" s="11">
        <v>898087024792</v>
      </c>
      <c r="S485" s="11">
        <v>10832643927</v>
      </c>
      <c r="T485" s="11">
        <v>10509737787</v>
      </c>
      <c r="U485" s="11">
        <v>156709451</v>
      </c>
      <c r="V485" s="11">
        <v>166196689</v>
      </c>
      <c r="W485" s="11">
        <v>908919668719</v>
      </c>
      <c r="X485" s="11">
        <v>63535662647</v>
      </c>
      <c r="Y485" s="11">
        <v>11139000000</v>
      </c>
      <c r="Z485" s="11">
        <v>983594331366</v>
      </c>
      <c r="AA485" s="11">
        <v>777223368887</v>
      </c>
      <c r="AB485" s="12">
        <v>16.940000000000001</v>
      </c>
      <c r="AC485" s="11">
        <v>295340555369</v>
      </c>
      <c r="AD485" s="11">
        <v>295340555369</v>
      </c>
      <c r="AE485" s="11">
        <v>0</v>
      </c>
      <c r="AF485" s="11">
        <v>0</v>
      </c>
      <c r="AG485" s="11">
        <v>0</v>
      </c>
      <c r="AH485" s="11">
        <v>0</v>
      </c>
      <c r="AI485" s="11">
        <v>0</v>
      </c>
      <c r="AJ485" s="12">
        <v>0</v>
      </c>
      <c r="AK485" s="11">
        <v>0</v>
      </c>
      <c r="AL485" s="12">
        <v>8</v>
      </c>
      <c r="AM485" s="11">
        <v>49060000000</v>
      </c>
      <c r="AN485" s="12">
        <v>1</v>
      </c>
      <c r="AO485" s="11">
        <v>300000000</v>
      </c>
      <c r="AP485" s="11">
        <v>10832643927</v>
      </c>
      <c r="AQ485" s="11">
        <v>10320633000</v>
      </c>
      <c r="AR485" s="11">
        <v>512010927</v>
      </c>
      <c r="AS485" s="12">
        <v>4.96</v>
      </c>
      <c r="AT485" s="11">
        <v>259172238327</v>
      </c>
      <c r="AU485" s="11">
        <v>60683066674</v>
      </c>
      <c r="AV485" s="11">
        <v>27765102833</v>
      </c>
      <c r="AW485" s="11">
        <v>115592742280</v>
      </c>
      <c r="AX485" s="11">
        <v>236234201214</v>
      </c>
      <c r="AY485" s="11">
        <v>1387497300000</v>
      </c>
      <c r="AZ485" s="11">
        <v>138073464214</v>
      </c>
      <c r="BA485" s="11">
        <v>1772218377505</v>
      </c>
      <c r="BB485" s="13">
        <v>231340</v>
      </c>
      <c r="BC485" s="11">
        <v>148486876291</v>
      </c>
      <c r="BD485" s="11">
        <v>236234201214</v>
      </c>
      <c r="BE485" s="11">
        <v>1387497300000</v>
      </c>
      <c r="BF485" s="11">
        <v>279660555369</v>
      </c>
      <c r="BG485" s="11">
        <v>15680000000</v>
      </c>
      <c r="BH485" s="11">
        <v>0</v>
      </c>
      <c r="BI485" s="11">
        <v>0</v>
      </c>
      <c r="BJ485" s="11">
        <v>0</v>
      </c>
      <c r="BK485" s="11">
        <v>0</v>
      </c>
      <c r="BL485" s="11">
        <v>0</v>
      </c>
      <c r="BM485" s="11">
        <v>0</v>
      </c>
    </row>
    <row r="486" spans="1:65" x14ac:dyDescent="0.25">
      <c r="A486" s="32"/>
      <c r="B486" s="10">
        <v>2911</v>
      </c>
      <c r="C486" s="10" t="s">
        <v>534</v>
      </c>
      <c r="D486" s="11">
        <v>975551049806</v>
      </c>
      <c r="E486" s="11">
        <v>22399137209</v>
      </c>
      <c r="F486" s="11">
        <v>0</v>
      </c>
      <c r="G486" s="11">
        <v>0</v>
      </c>
      <c r="H486" s="11">
        <v>997950187015</v>
      </c>
      <c r="I486" s="11">
        <v>79076552340</v>
      </c>
      <c r="J486" s="11">
        <v>918873634675</v>
      </c>
      <c r="K486" s="11">
        <v>799924607944</v>
      </c>
      <c r="L486" s="11">
        <v>198025579071</v>
      </c>
      <c r="M486" s="12">
        <v>24.76</v>
      </c>
      <c r="N486" s="11">
        <v>1219371408321</v>
      </c>
      <c r="O486" s="12">
        <v>162.24</v>
      </c>
      <c r="P486" s="12">
        <v>132.69999999999999</v>
      </c>
      <c r="Q486" s="12">
        <v>0.87</v>
      </c>
      <c r="R486" s="11">
        <v>1606189499568</v>
      </c>
      <c r="S486" s="11">
        <v>12839841799</v>
      </c>
      <c r="T486" s="11">
        <v>8338842159</v>
      </c>
      <c r="U486" s="11">
        <v>122302442</v>
      </c>
      <c r="V486" s="11">
        <v>4378697198</v>
      </c>
      <c r="W486" s="11">
        <v>1619029341367</v>
      </c>
      <c r="X486" s="11">
        <v>94102147531</v>
      </c>
      <c r="Y486" s="11">
        <v>10199880000</v>
      </c>
      <c r="Z486" s="11">
        <v>1723331368898</v>
      </c>
      <c r="AA486" s="11">
        <v>1029717450791</v>
      </c>
      <c r="AB486" s="12">
        <v>57.23</v>
      </c>
      <c r="AC486" s="11">
        <v>771019690418</v>
      </c>
      <c r="AD486" s="11">
        <v>318853758459</v>
      </c>
      <c r="AE486" s="11">
        <v>0</v>
      </c>
      <c r="AF486" s="11">
        <v>0</v>
      </c>
      <c r="AG486" s="11">
        <v>0</v>
      </c>
      <c r="AH486" s="11">
        <v>0</v>
      </c>
      <c r="AI486" s="11">
        <v>0</v>
      </c>
      <c r="AJ486" s="12">
        <v>0</v>
      </c>
      <c r="AK486" s="11">
        <v>0</v>
      </c>
      <c r="AL486" s="12">
        <v>16</v>
      </c>
      <c r="AM486" s="11">
        <v>83302252118</v>
      </c>
      <c r="AN486" s="12">
        <v>11</v>
      </c>
      <c r="AO486" s="11">
        <v>33508857865</v>
      </c>
      <c r="AP486" s="11">
        <v>12839841799</v>
      </c>
      <c r="AQ486" s="11">
        <v>8673289267</v>
      </c>
      <c r="AR486" s="11">
        <v>4166552532</v>
      </c>
      <c r="AS486" s="12">
        <v>48.04</v>
      </c>
      <c r="AT486" s="11">
        <v>209927795456</v>
      </c>
      <c r="AU486" s="11">
        <v>42959057572</v>
      </c>
      <c r="AV486" s="11">
        <v>74484326276</v>
      </c>
      <c r="AW486" s="11">
        <v>123525576446</v>
      </c>
      <c r="AX486" s="11">
        <v>342061147084</v>
      </c>
      <c r="AY486" s="11">
        <v>435480000000</v>
      </c>
      <c r="AZ486" s="11">
        <v>283080600077</v>
      </c>
      <c r="BA486" s="11">
        <v>997950187015</v>
      </c>
      <c r="BB486" s="13">
        <v>99592</v>
      </c>
      <c r="BC486" s="11">
        <v>203361463250</v>
      </c>
      <c r="BD486" s="11">
        <v>342061147084</v>
      </c>
      <c r="BE486" s="11">
        <v>452527576681</v>
      </c>
      <c r="BF486" s="11">
        <v>698169752070</v>
      </c>
      <c r="BG486" s="11">
        <v>72849938348</v>
      </c>
      <c r="BH486" s="11">
        <v>0</v>
      </c>
      <c r="BI486" s="11">
        <v>0</v>
      </c>
      <c r="BJ486" s="11">
        <v>0</v>
      </c>
      <c r="BK486" s="11">
        <v>0</v>
      </c>
      <c r="BL486" s="11">
        <v>0</v>
      </c>
      <c r="BM486" s="11">
        <v>0</v>
      </c>
    </row>
    <row r="487" spans="1:65" x14ac:dyDescent="0.25">
      <c r="A487" s="32"/>
      <c r="B487" s="10">
        <v>2912</v>
      </c>
      <c r="C487" s="10" t="s">
        <v>535</v>
      </c>
      <c r="D487" s="11">
        <v>489647540116</v>
      </c>
      <c r="E487" s="11">
        <v>46874188377</v>
      </c>
      <c r="F487" s="11">
        <v>0</v>
      </c>
      <c r="G487" s="11">
        <v>0</v>
      </c>
      <c r="H487" s="11">
        <v>536521728493</v>
      </c>
      <c r="I487" s="11">
        <v>40267795472</v>
      </c>
      <c r="J487" s="11">
        <v>496253933021</v>
      </c>
      <c r="K487" s="11">
        <v>719801766023</v>
      </c>
      <c r="L487" s="11">
        <v>-183280037530</v>
      </c>
      <c r="M487" s="12">
        <v>-25.46</v>
      </c>
      <c r="N487" s="11">
        <v>1789208077569</v>
      </c>
      <c r="O487" s="12">
        <v>333.78</v>
      </c>
      <c r="P487" s="12">
        <v>360.54</v>
      </c>
      <c r="Q487" s="12">
        <v>2.35</v>
      </c>
      <c r="R487" s="11">
        <v>1745101239129</v>
      </c>
      <c r="S487" s="11">
        <v>45705048003</v>
      </c>
      <c r="T487" s="11">
        <v>9013908401</v>
      </c>
      <c r="U487" s="11">
        <v>35879785107</v>
      </c>
      <c r="V487" s="11">
        <v>811354495</v>
      </c>
      <c r="W487" s="11">
        <v>1790806287132</v>
      </c>
      <c r="X487" s="11">
        <v>160147623001</v>
      </c>
      <c r="Y487" s="11">
        <v>12703156150</v>
      </c>
      <c r="Z487" s="11">
        <v>1963657066283</v>
      </c>
      <c r="AA487" s="11">
        <v>1508628048708</v>
      </c>
      <c r="AB487" s="12">
        <v>18.7</v>
      </c>
      <c r="AC487" s="11">
        <v>422673827000</v>
      </c>
      <c r="AD487" s="11">
        <v>422673827000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2">
        <v>0</v>
      </c>
      <c r="AK487" s="11">
        <v>0</v>
      </c>
      <c r="AL487" s="12">
        <v>13</v>
      </c>
      <c r="AM487" s="11">
        <v>91465895000</v>
      </c>
      <c r="AN487" s="12">
        <v>44</v>
      </c>
      <c r="AO487" s="11">
        <v>638063902008</v>
      </c>
      <c r="AP487" s="11">
        <v>45705048003</v>
      </c>
      <c r="AQ487" s="11">
        <v>14166484727</v>
      </c>
      <c r="AR487" s="11">
        <v>31538563276</v>
      </c>
      <c r="AS487" s="12">
        <v>222.63</v>
      </c>
      <c r="AT487" s="11">
        <v>327421758978</v>
      </c>
      <c r="AU487" s="11">
        <v>62438809685</v>
      </c>
      <c r="AV487" s="11">
        <v>20806619611</v>
      </c>
      <c r="AW487" s="11">
        <v>130692147863</v>
      </c>
      <c r="AX487" s="11">
        <v>158751772642</v>
      </c>
      <c r="AY487" s="11">
        <v>179397000000</v>
      </c>
      <c r="AZ487" s="11">
        <v>109280103454</v>
      </c>
      <c r="BA487" s="11">
        <v>536521728493</v>
      </c>
      <c r="BB487" s="13">
        <v>40359</v>
      </c>
      <c r="BC487" s="11">
        <v>198372955851</v>
      </c>
      <c r="BD487" s="11">
        <v>158751772642</v>
      </c>
      <c r="BE487" s="11">
        <v>179397000000</v>
      </c>
      <c r="BF487" s="11">
        <v>255688840000</v>
      </c>
      <c r="BG487" s="11">
        <v>166984987000</v>
      </c>
      <c r="BH487" s="11">
        <v>0</v>
      </c>
      <c r="BI487" s="11">
        <v>0</v>
      </c>
      <c r="BJ487" s="11">
        <v>0</v>
      </c>
      <c r="BK487" s="11">
        <v>0</v>
      </c>
      <c r="BL487" s="11">
        <v>0</v>
      </c>
      <c r="BM487" s="11">
        <v>0</v>
      </c>
    </row>
    <row r="488" spans="1:65" x14ac:dyDescent="0.25">
      <c r="A488" s="32"/>
      <c r="B488" s="10">
        <v>2913</v>
      </c>
      <c r="C488" s="10" t="s">
        <v>536</v>
      </c>
      <c r="D488" s="11">
        <v>317963411493</v>
      </c>
      <c r="E488" s="11">
        <v>564180937</v>
      </c>
      <c r="F488" s="11">
        <v>0</v>
      </c>
      <c r="G488" s="11">
        <v>0</v>
      </c>
      <c r="H488" s="11">
        <v>318527592430</v>
      </c>
      <c r="I488" s="11">
        <v>25441843328</v>
      </c>
      <c r="J488" s="11">
        <v>293085749102</v>
      </c>
      <c r="K488" s="11">
        <v>212467085146</v>
      </c>
      <c r="L488" s="11">
        <v>106060507284</v>
      </c>
      <c r="M488" s="12">
        <v>49.92</v>
      </c>
      <c r="N488" s="11">
        <v>145284026755</v>
      </c>
      <c r="O488" s="12">
        <v>49.19</v>
      </c>
      <c r="P488" s="12">
        <v>49.57</v>
      </c>
      <c r="Q488" s="12">
        <v>0.16</v>
      </c>
      <c r="R488" s="11">
        <v>156400377311</v>
      </c>
      <c r="S488" s="11">
        <v>292040285</v>
      </c>
      <c r="T488" s="11">
        <v>292040285</v>
      </c>
      <c r="U488" s="11">
        <v>0</v>
      </c>
      <c r="V488" s="11">
        <v>0</v>
      </c>
      <c r="W488" s="11">
        <v>156692417596</v>
      </c>
      <c r="X488" s="11">
        <v>15945704129</v>
      </c>
      <c r="Y488" s="11">
        <v>4680000000</v>
      </c>
      <c r="Z488" s="11">
        <v>177318121725</v>
      </c>
      <c r="AA488" s="11">
        <v>58897380961</v>
      </c>
      <c r="AB488" s="12">
        <v>166.04</v>
      </c>
      <c r="AC488" s="11">
        <v>103551019900</v>
      </c>
      <c r="AD488" s="11">
        <v>103551019900</v>
      </c>
      <c r="AE488" s="11">
        <v>0</v>
      </c>
      <c r="AF488" s="11">
        <v>0</v>
      </c>
      <c r="AG488" s="11">
        <v>0</v>
      </c>
      <c r="AH488" s="11">
        <v>0</v>
      </c>
      <c r="AI488" s="11">
        <v>0</v>
      </c>
      <c r="AJ488" s="12">
        <v>0</v>
      </c>
      <c r="AK488" s="11">
        <v>0</v>
      </c>
      <c r="AL488" s="12">
        <v>0</v>
      </c>
      <c r="AM488" s="11">
        <v>0</v>
      </c>
      <c r="AN488" s="12">
        <v>0</v>
      </c>
      <c r="AO488" s="11">
        <v>0</v>
      </c>
      <c r="AP488" s="11">
        <v>292040285</v>
      </c>
      <c r="AQ488" s="11">
        <v>0</v>
      </c>
      <c r="AR488" s="11">
        <v>292040285</v>
      </c>
      <c r="AS488" s="12"/>
      <c r="AT488" s="11">
        <v>22478099447</v>
      </c>
      <c r="AU488" s="11">
        <v>83467247</v>
      </c>
      <c r="AV488" s="11">
        <v>13035811896</v>
      </c>
      <c r="AW488" s="11">
        <v>50532436679</v>
      </c>
      <c r="AX488" s="11">
        <v>45298162918</v>
      </c>
      <c r="AY488" s="11">
        <v>209097000000</v>
      </c>
      <c r="AZ488" s="11">
        <v>43299607297</v>
      </c>
      <c r="BA488" s="11">
        <v>318527592430</v>
      </c>
      <c r="BB488" s="13">
        <v>5296</v>
      </c>
      <c r="BC488" s="11">
        <v>64132429512</v>
      </c>
      <c r="BD488" s="11">
        <v>45298162918</v>
      </c>
      <c r="BE488" s="11">
        <v>209097000000</v>
      </c>
      <c r="BF488" s="11">
        <v>79251519900</v>
      </c>
      <c r="BG488" s="11">
        <v>24299500000</v>
      </c>
      <c r="BH488" s="11">
        <v>0</v>
      </c>
      <c r="BI488" s="11">
        <v>0</v>
      </c>
      <c r="BJ488" s="11">
        <v>0</v>
      </c>
      <c r="BK488" s="11">
        <v>0</v>
      </c>
      <c r="BL488" s="11">
        <v>0</v>
      </c>
      <c r="BM488" s="11">
        <v>0</v>
      </c>
    </row>
    <row r="489" spans="1:65" s="24" customFormat="1" x14ac:dyDescent="0.25">
      <c r="A489" s="32"/>
      <c r="B489" s="20">
        <v>2914</v>
      </c>
      <c r="C489" s="20" t="s">
        <v>537</v>
      </c>
      <c r="D489" s="21">
        <v>204540492708</v>
      </c>
      <c r="E489" s="21">
        <v>106586589</v>
      </c>
      <c r="F489" s="21">
        <v>0</v>
      </c>
      <c r="G489" s="21">
        <v>0</v>
      </c>
      <c r="H489" s="21">
        <v>204647079297</v>
      </c>
      <c r="I489" s="21">
        <v>16691804328</v>
      </c>
      <c r="J489" s="21">
        <v>187955274969</v>
      </c>
      <c r="K489" s="21">
        <v>173958458914</v>
      </c>
      <c r="L489" s="21">
        <v>30688620383</v>
      </c>
      <c r="M489" s="22">
        <v>17.64</v>
      </c>
      <c r="N489" s="21">
        <v>269517942733</v>
      </c>
      <c r="O489" s="22">
        <v>139.78</v>
      </c>
      <c r="P489" s="22">
        <v>143.38999999999999</v>
      </c>
      <c r="Q489" s="22">
        <v>0.41</v>
      </c>
      <c r="R489" s="21">
        <v>284758316596</v>
      </c>
      <c r="S489" s="21">
        <v>1291603181</v>
      </c>
      <c r="T489" s="21">
        <v>1291603181</v>
      </c>
      <c r="U489" s="21">
        <v>0</v>
      </c>
      <c r="V489" s="21">
        <v>0</v>
      </c>
      <c r="W489" s="21">
        <v>286049919777</v>
      </c>
      <c r="X489" s="21">
        <v>24545596318</v>
      </c>
      <c r="Y489" s="21">
        <v>7000000000</v>
      </c>
      <c r="Z489" s="21">
        <v>317595516095</v>
      </c>
      <c r="AA489" s="21">
        <v>50343572850</v>
      </c>
      <c r="AB489" s="22">
        <v>468.2</v>
      </c>
      <c r="AC489" s="21">
        <v>242178313322</v>
      </c>
      <c r="AD489" s="21">
        <v>242178313322</v>
      </c>
      <c r="AE489" s="21">
        <v>0</v>
      </c>
      <c r="AF489" s="21">
        <v>0</v>
      </c>
      <c r="AG489" s="21">
        <v>0</v>
      </c>
      <c r="AH489" s="21">
        <v>0</v>
      </c>
      <c r="AI489" s="21">
        <v>0</v>
      </c>
      <c r="AJ489" s="22">
        <v>0</v>
      </c>
      <c r="AK489" s="21">
        <v>0</v>
      </c>
      <c r="AL489" s="22">
        <v>3</v>
      </c>
      <c r="AM489" s="21">
        <v>1550000000</v>
      </c>
      <c r="AN489" s="12">
        <v>0</v>
      </c>
      <c r="AO489" s="11">
        <v>0</v>
      </c>
      <c r="AP489" s="21">
        <v>1291603181</v>
      </c>
      <c r="AQ489" s="21">
        <v>0</v>
      </c>
      <c r="AR489" s="21">
        <v>1291603181</v>
      </c>
      <c r="AS489" s="22"/>
      <c r="AT489" s="21">
        <v>28318734674</v>
      </c>
      <c r="AU489" s="21">
        <v>1812547527</v>
      </c>
      <c r="AV489" s="21">
        <v>7337440071</v>
      </c>
      <c r="AW489" s="21">
        <v>44961430846</v>
      </c>
      <c r="AX489" s="21">
        <v>132658621791</v>
      </c>
      <c r="AY489" s="21">
        <v>19583000000</v>
      </c>
      <c r="AZ489" s="21">
        <v>132557718232</v>
      </c>
      <c r="BA489" s="21">
        <v>204647079297</v>
      </c>
      <c r="BB489" s="23">
        <v>0</v>
      </c>
      <c r="BC489" s="21">
        <v>52405457506</v>
      </c>
      <c r="BD489" s="21">
        <v>132658621791</v>
      </c>
      <c r="BE489" s="21">
        <v>19583000000</v>
      </c>
      <c r="BF489" s="21">
        <v>209758313322</v>
      </c>
      <c r="BG489" s="21">
        <v>32420000000</v>
      </c>
      <c r="BH489" s="21">
        <v>0</v>
      </c>
      <c r="BI489" s="21">
        <v>0</v>
      </c>
      <c r="BJ489" s="21">
        <v>0</v>
      </c>
      <c r="BK489" s="21">
        <v>0</v>
      </c>
      <c r="BL489" s="21">
        <v>0</v>
      </c>
      <c r="BM489" s="21">
        <v>0</v>
      </c>
    </row>
    <row r="490" spans="1:65" x14ac:dyDescent="0.25">
      <c r="A490" s="32"/>
      <c r="B490" s="10">
        <v>2999</v>
      </c>
      <c r="C490" s="10" t="s">
        <v>538</v>
      </c>
      <c r="D490" s="11">
        <v>0</v>
      </c>
      <c r="E490" s="11">
        <v>9102432724</v>
      </c>
      <c r="F490" s="11">
        <v>0</v>
      </c>
      <c r="G490" s="11">
        <v>0</v>
      </c>
      <c r="H490" s="11">
        <v>9102432724</v>
      </c>
      <c r="I490" s="11">
        <v>733223284</v>
      </c>
      <c r="J490" s="11">
        <v>8369209440</v>
      </c>
      <c r="K490" s="11">
        <v>8883892265</v>
      </c>
      <c r="L490" s="11">
        <v>218540459</v>
      </c>
      <c r="M490" s="12">
        <v>2.46</v>
      </c>
      <c r="N490" s="11">
        <v>0</v>
      </c>
      <c r="O490" s="12">
        <v>0</v>
      </c>
      <c r="P490" s="12">
        <v>0</v>
      </c>
      <c r="Q490" s="12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2"/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2">
        <v>0</v>
      </c>
      <c r="AK490" s="11">
        <v>0</v>
      </c>
      <c r="AL490" s="12">
        <v>0</v>
      </c>
      <c r="AM490" s="11">
        <v>0</v>
      </c>
      <c r="AN490" s="12">
        <v>0</v>
      </c>
      <c r="AO490" s="11">
        <v>0</v>
      </c>
      <c r="AP490" s="11">
        <v>0</v>
      </c>
      <c r="AQ490" s="11">
        <v>0</v>
      </c>
      <c r="AR490" s="11">
        <v>0</v>
      </c>
      <c r="AS490" s="12"/>
      <c r="AT490" s="11">
        <v>0</v>
      </c>
      <c r="AU490" s="11">
        <v>0</v>
      </c>
      <c r="AV490" s="11">
        <v>0</v>
      </c>
      <c r="AW490" s="11">
        <v>0</v>
      </c>
      <c r="AX490" s="11">
        <v>0</v>
      </c>
      <c r="AY490" s="11">
        <v>0</v>
      </c>
      <c r="AZ490" s="11">
        <v>0</v>
      </c>
      <c r="BA490" s="11">
        <v>9102432724</v>
      </c>
      <c r="BB490" s="13">
        <v>0</v>
      </c>
      <c r="BC490" s="11">
        <v>9102432724</v>
      </c>
      <c r="BD490" s="11">
        <v>0</v>
      </c>
      <c r="BE490" s="11">
        <v>0</v>
      </c>
      <c r="BF490" s="11">
        <v>0</v>
      </c>
      <c r="BG490" s="11">
        <v>0</v>
      </c>
      <c r="BH490" s="11">
        <v>0</v>
      </c>
      <c r="BI490" s="11">
        <v>0</v>
      </c>
      <c r="BJ490" s="11">
        <v>0</v>
      </c>
      <c r="BK490" s="11">
        <v>0</v>
      </c>
      <c r="BL490" s="11">
        <v>0</v>
      </c>
      <c r="BM490" s="11">
        <v>0</v>
      </c>
    </row>
    <row r="491" spans="1:65" s="25" customFormat="1" x14ac:dyDescent="0.25">
      <c r="A491" s="14" t="s">
        <v>619</v>
      </c>
      <c r="B491" s="15"/>
      <c r="C491" s="15"/>
      <c r="D491" s="16">
        <v>14376152604333</v>
      </c>
      <c r="E491" s="16">
        <v>318343435581</v>
      </c>
      <c r="F491" s="16">
        <v>38820000000</v>
      </c>
      <c r="G491" s="16">
        <v>0</v>
      </c>
      <c r="H491" s="16">
        <v>14733316039914</v>
      </c>
      <c r="I491" s="16">
        <v>1203837958495</v>
      </c>
      <c r="J491" s="16">
        <v>13529478081419</v>
      </c>
      <c r="K491" s="16">
        <v>13522349768721</v>
      </c>
      <c r="L491" s="16">
        <v>1210966271193</v>
      </c>
      <c r="M491" s="17">
        <v>8.9600000000000009</v>
      </c>
      <c r="N491" s="16">
        <v>18854224484316</v>
      </c>
      <c r="O491" s="17">
        <v>147.28</v>
      </c>
      <c r="P491" s="17">
        <v>139.36000000000001</v>
      </c>
      <c r="Q491" s="17">
        <v>6.65</v>
      </c>
      <c r="R491" s="16">
        <v>20193747688406</v>
      </c>
      <c r="S491" s="16">
        <v>1505455429000</v>
      </c>
      <c r="T491" s="16">
        <v>290209094467</v>
      </c>
      <c r="U491" s="16">
        <v>1156286900668</v>
      </c>
      <c r="V491" s="16">
        <v>58959433865</v>
      </c>
      <c r="W491" s="16">
        <v>21699203117406</v>
      </c>
      <c r="X491" s="16">
        <v>1350080840008</v>
      </c>
      <c r="Y491" s="16">
        <v>162059570981</v>
      </c>
      <c r="Z491" s="16">
        <v>23211343528395</v>
      </c>
      <c r="AA491" s="16">
        <v>17615115263077</v>
      </c>
      <c r="AB491" s="17">
        <v>23.19</v>
      </c>
      <c r="AC491" s="16">
        <v>7624694579178</v>
      </c>
      <c r="AD491" s="16">
        <v>7019998078995</v>
      </c>
      <c r="AE491" s="16">
        <v>5594837040</v>
      </c>
      <c r="AF491" s="16">
        <v>5227200000</v>
      </c>
      <c r="AG491" s="16">
        <v>0</v>
      </c>
      <c r="AH491" s="16">
        <v>0</v>
      </c>
      <c r="AI491" s="16">
        <v>3669794879</v>
      </c>
      <c r="AJ491" s="17">
        <v>1</v>
      </c>
      <c r="AK491" s="16">
        <v>6993546300</v>
      </c>
      <c r="AL491" s="17">
        <v>214</v>
      </c>
      <c r="AM491" s="16">
        <v>1246552878391</v>
      </c>
      <c r="AN491" s="18">
        <f>SUM(AN475:AN490)</f>
        <v>81</v>
      </c>
      <c r="AO491" s="16">
        <f>SUM(AO475:AO490)</f>
        <v>803864007075</v>
      </c>
      <c r="AP491" s="16">
        <v>1505455429000</v>
      </c>
      <c r="AQ491" s="16">
        <v>234870659266</v>
      </c>
      <c r="AR491" s="16">
        <v>1270584769734</v>
      </c>
      <c r="AS491" s="17">
        <v>540.97</v>
      </c>
      <c r="AT491" s="16">
        <v>5326867948525</v>
      </c>
      <c r="AU491" s="16">
        <v>1062385187281</v>
      </c>
      <c r="AV491" s="16">
        <v>772816693327</v>
      </c>
      <c r="AW491" s="16">
        <v>2458959950178</v>
      </c>
      <c r="AX491" s="16">
        <v>2949261060828</v>
      </c>
      <c r="AY491" s="16">
        <v>8195114900000</v>
      </c>
      <c r="AZ491" s="16">
        <v>1900626703891</v>
      </c>
      <c r="BA491" s="16">
        <v>14733316039914</v>
      </c>
      <c r="BB491" s="18">
        <v>1379572</v>
      </c>
      <c r="BC491" s="16">
        <v>3410539701504</v>
      </c>
      <c r="BD491" s="16">
        <v>2988081060828</v>
      </c>
      <c r="BE491" s="16">
        <v>8334695277582</v>
      </c>
      <c r="BF491" s="16">
        <v>5838541912524</v>
      </c>
      <c r="BG491" s="16">
        <v>1786152666654</v>
      </c>
      <c r="BH491" s="16">
        <v>5594837040</v>
      </c>
      <c r="BI491" s="16">
        <v>0</v>
      </c>
      <c r="BJ491" s="16">
        <v>0</v>
      </c>
      <c r="BK491" s="16">
        <v>270000000</v>
      </c>
      <c r="BL491" s="16">
        <v>0</v>
      </c>
      <c r="BM491" s="16">
        <v>5223500011</v>
      </c>
    </row>
    <row r="492" spans="1:65" x14ac:dyDescent="0.25">
      <c r="A492" s="32" t="s">
        <v>539</v>
      </c>
      <c r="B492" s="10">
        <v>3000</v>
      </c>
      <c r="C492" s="10" t="s">
        <v>540</v>
      </c>
      <c r="D492" s="11">
        <v>849158010005</v>
      </c>
      <c r="E492" s="11">
        <v>346283866410</v>
      </c>
      <c r="F492" s="11">
        <v>0</v>
      </c>
      <c r="G492" s="11">
        <v>241126200</v>
      </c>
      <c r="H492" s="11">
        <v>1195683002615</v>
      </c>
      <c r="I492" s="11">
        <v>101570844307</v>
      </c>
      <c r="J492" s="11">
        <v>1094112158308</v>
      </c>
      <c r="K492" s="11">
        <v>1138658711017</v>
      </c>
      <c r="L492" s="11">
        <v>57024291598</v>
      </c>
      <c r="M492" s="12">
        <v>5.01</v>
      </c>
      <c r="N492" s="11">
        <v>2982012586087</v>
      </c>
      <c r="O492" s="12">
        <v>322.52</v>
      </c>
      <c r="P492" s="12">
        <v>272.55</v>
      </c>
      <c r="Q492" s="12">
        <v>8.6199999999999992</v>
      </c>
      <c r="R492" s="11">
        <v>3531461861577</v>
      </c>
      <c r="S492" s="11">
        <v>324822991867</v>
      </c>
      <c r="T492" s="11">
        <v>34925424966</v>
      </c>
      <c r="U492" s="11">
        <v>72809986226</v>
      </c>
      <c r="V492" s="11">
        <v>217087580675</v>
      </c>
      <c r="W492" s="11">
        <v>3856284853444</v>
      </c>
      <c r="X492" s="11">
        <v>271602052613</v>
      </c>
      <c r="Y492" s="11">
        <v>13887675000</v>
      </c>
      <c r="Z492" s="11">
        <v>4141774581057</v>
      </c>
      <c r="AA492" s="11">
        <v>3018410368159</v>
      </c>
      <c r="AB492" s="12">
        <v>27.76</v>
      </c>
      <c r="AC492" s="11">
        <v>1128863038020</v>
      </c>
      <c r="AD492" s="11">
        <v>1128863038020</v>
      </c>
      <c r="AE492" s="11">
        <v>0</v>
      </c>
      <c r="AF492" s="11">
        <v>21384887309</v>
      </c>
      <c r="AG492" s="11">
        <v>25228830796</v>
      </c>
      <c r="AH492" s="11">
        <v>0</v>
      </c>
      <c r="AI492" s="11">
        <v>0</v>
      </c>
      <c r="AJ492" s="12">
        <v>0</v>
      </c>
      <c r="AK492" s="11">
        <v>0</v>
      </c>
      <c r="AL492" s="12">
        <v>680</v>
      </c>
      <c r="AM492" s="11">
        <v>3613506640739</v>
      </c>
      <c r="AN492" s="12">
        <v>364</v>
      </c>
      <c r="AO492" s="11">
        <v>1098181588051</v>
      </c>
      <c r="AP492" s="11">
        <v>324822991867</v>
      </c>
      <c r="AQ492" s="11">
        <v>270847565767</v>
      </c>
      <c r="AR492" s="11">
        <v>53975426100</v>
      </c>
      <c r="AS492" s="12">
        <v>19.93</v>
      </c>
      <c r="AT492" s="11">
        <v>758006593939</v>
      </c>
      <c r="AU492" s="11">
        <v>140407325844</v>
      </c>
      <c r="AV492" s="11">
        <v>132119756944</v>
      </c>
      <c r="AW492" s="11">
        <v>301824028873</v>
      </c>
      <c r="AX492" s="11">
        <v>254301524188</v>
      </c>
      <c r="AY492" s="11">
        <v>160912700000</v>
      </c>
      <c r="AZ492" s="11">
        <v>138492843071</v>
      </c>
      <c r="BA492" s="11">
        <v>1195683002615</v>
      </c>
      <c r="BB492" s="13">
        <v>48655</v>
      </c>
      <c r="BC492" s="11">
        <v>750709786513</v>
      </c>
      <c r="BD492" s="11">
        <v>254301524188</v>
      </c>
      <c r="BE492" s="11">
        <v>190671691914</v>
      </c>
      <c r="BF492" s="11">
        <v>727048919435</v>
      </c>
      <c r="BG492" s="11">
        <v>401814118585</v>
      </c>
      <c r="BH492" s="11">
        <v>0</v>
      </c>
      <c r="BI492" s="11">
        <v>0</v>
      </c>
      <c r="BJ492" s="11">
        <v>0</v>
      </c>
      <c r="BK492" s="11">
        <v>19461784396</v>
      </c>
      <c r="BL492" s="11">
        <v>41205480047</v>
      </c>
      <c r="BM492" s="11">
        <v>1910967546</v>
      </c>
    </row>
    <row r="493" spans="1:65" x14ac:dyDescent="0.25">
      <c r="A493" s="32"/>
      <c r="B493" s="10">
        <v>3001</v>
      </c>
      <c r="C493" s="10" t="s">
        <v>541</v>
      </c>
      <c r="D493" s="11">
        <v>960657933428</v>
      </c>
      <c r="E493" s="11">
        <v>59870802881</v>
      </c>
      <c r="F493" s="11">
        <v>0</v>
      </c>
      <c r="G493" s="11">
        <v>0</v>
      </c>
      <c r="H493" s="11">
        <v>1020528736309</v>
      </c>
      <c r="I493" s="11">
        <v>79446572741</v>
      </c>
      <c r="J493" s="11">
        <v>941082163568</v>
      </c>
      <c r="K493" s="11">
        <v>1052952878849</v>
      </c>
      <c r="L493" s="11">
        <v>-32424142540</v>
      </c>
      <c r="M493" s="12">
        <v>-3.08</v>
      </c>
      <c r="N493" s="11">
        <v>1189174561508</v>
      </c>
      <c r="O493" s="12">
        <v>127.82</v>
      </c>
      <c r="P493" s="12">
        <v>126.36</v>
      </c>
      <c r="Q493" s="12">
        <v>6.71</v>
      </c>
      <c r="R493" s="11">
        <v>1210720663054</v>
      </c>
      <c r="S493" s="11">
        <v>93712552770</v>
      </c>
      <c r="T493" s="11">
        <v>45899047112</v>
      </c>
      <c r="U493" s="11">
        <v>42156897381</v>
      </c>
      <c r="V493" s="11">
        <v>5656608277</v>
      </c>
      <c r="W493" s="11">
        <v>1304433215824</v>
      </c>
      <c r="X493" s="11">
        <v>118545614389</v>
      </c>
      <c r="Y493" s="11">
        <v>9798630000</v>
      </c>
      <c r="Z493" s="11">
        <v>1432777460213</v>
      </c>
      <c r="AA493" s="11">
        <v>971368153789</v>
      </c>
      <c r="AB493" s="12">
        <v>34.29</v>
      </c>
      <c r="AC493" s="11">
        <v>654983418070</v>
      </c>
      <c r="AD493" s="11">
        <v>606211696979</v>
      </c>
      <c r="AE493" s="11">
        <v>22049668509</v>
      </c>
      <c r="AF493" s="11">
        <v>50630547</v>
      </c>
      <c r="AG493" s="11">
        <v>0</v>
      </c>
      <c r="AH493" s="11">
        <v>0</v>
      </c>
      <c r="AI493" s="11">
        <v>0</v>
      </c>
      <c r="AJ493" s="12">
        <v>3</v>
      </c>
      <c r="AK493" s="11">
        <v>80665153305</v>
      </c>
      <c r="AL493" s="12">
        <v>176</v>
      </c>
      <c r="AM493" s="11">
        <v>950690074398</v>
      </c>
      <c r="AN493" s="12">
        <v>79</v>
      </c>
      <c r="AO493" s="11">
        <v>227531411101</v>
      </c>
      <c r="AP493" s="11">
        <v>93712552770</v>
      </c>
      <c r="AQ493" s="11">
        <v>64115867161</v>
      </c>
      <c r="AR493" s="11">
        <v>29596685609</v>
      </c>
      <c r="AS493" s="12">
        <v>46.16</v>
      </c>
      <c r="AT493" s="11">
        <v>318527232939</v>
      </c>
      <c r="AU493" s="11">
        <v>90207862468</v>
      </c>
      <c r="AV493" s="11">
        <v>130399754802</v>
      </c>
      <c r="AW493" s="11">
        <v>248122435425</v>
      </c>
      <c r="AX493" s="11">
        <v>233032286504</v>
      </c>
      <c r="AY493" s="11">
        <v>349103456697</v>
      </c>
      <c r="AZ493" s="11">
        <v>119207372989</v>
      </c>
      <c r="BA493" s="11">
        <v>1020528736309</v>
      </c>
      <c r="BB493" s="13">
        <v>91555</v>
      </c>
      <c r="BC493" s="11">
        <v>438392993108</v>
      </c>
      <c r="BD493" s="11">
        <v>233032286504</v>
      </c>
      <c r="BE493" s="11">
        <v>349103456697</v>
      </c>
      <c r="BF493" s="11">
        <v>246126674993</v>
      </c>
      <c r="BG493" s="11">
        <v>408856743077</v>
      </c>
      <c r="BH493" s="11">
        <v>0</v>
      </c>
      <c r="BI493" s="11">
        <v>0</v>
      </c>
      <c r="BJ493" s="11">
        <v>22167213684</v>
      </c>
      <c r="BK493" s="11">
        <v>0</v>
      </c>
      <c r="BL493" s="11">
        <v>0</v>
      </c>
      <c r="BM493" s="11">
        <v>50924591</v>
      </c>
    </row>
    <row r="494" spans="1:65" x14ac:dyDescent="0.25">
      <c r="A494" s="32"/>
      <c r="B494" s="10">
        <v>3002</v>
      </c>
      <c r="C494" s="10" t="s">
        <v>542</v>
      </c>
      <c r="D494" s="11">
        <v>419348725069</v>
      </c>
      <c r="E494" s="11">
        <v>10471196389</v>
      </c>
      <c r="F494" s="11">
        <v>0</v>
      </c>
      <c r="G494" s="11">
        <v>0</v>
      </c>
      <c r="H494" s="11">
        <v>429819921458</v>
      </c>
      <c r="I494" s="11">
        <v>33782762845</v>
      </c>
      <c r="J494" s="11">
        <v>396037158613</v>
      </c>
      <c r="K494" s="11">
        <v>371741269002</v>
      </c>
      <c r="L494" s="11">
        <v>58078652456</v>
      </c>
      <c r="M494" s="12">
        <v>15.62</v>
      </c>
      <c r="N494" s="11">
        <v>1371245769600</v>
      </c>
      <c r="O494" s="12">
        <v>360.74</v>
      </c>
      <c r="P494" s="12">
        <v>346.24</v>
      </c>
      <c r="Q494" s="12">
        <v>3.13</v>
      </c>
      <c r="R494" s="11">
        <v>1501910320967</v>
      </c>
      <c r="S494" s="11">
        <v>48629695701</v>
      </c>
      <c r="T494" s="11">
        <v>17222888943</v>
      </c>
      <c r="U494" s="11">
        <v>21408518631</v>
      </c>
      <c r="V494" s="11">
        <v>9998288127</v>
      </c>
      <c r="W494" s="11">
        <v>1550540016668</v>
      </c>
      <c r="X494" s="11">
        <v>115937317445</v>
      </c>
      <c r="Y494" s="11">
        <v>22471987207</v>
      </c>
      <c r="Z494" s="11">
        <v>1688949321320</v>
      </c>
      <c r="AA494" s="11">
        <v>1193190891358</v>
      </c>
      <c r="AB494" s="12">
        <v>29.95</v>
      </c>
      <c r="AC494" s="11">
        <v>542242829664</v>
      </c>
      <c r="AD494" s="11">
        <v>537605766651</v>
      </c>
      <c r="AE494" s="11">
        <v>0</v>
      </c>
      <c r="AF494" s="11">
        <v>0</v>
      </c>
      <c r="AG494" s="11">
        <v>0</v>
      </c>
      <c r="AH494" s="11">
        <v>0</v>
      </c>
      <c r="AI494" s="11">
        <v>0</v>
      </c>
      <c r="AJ494" s="12">
        <v>0</v>
      </c>
      <c r="AK494" s="11">
        <v>0</v>
      </c>
      <c r="AL494" s="12">
        <v>60</v>
      </c>
      <c r="AM494" s="11">
        <v>251113630442</v>
      </c>
      <c r="AN494" s="12">
        <v>15</v>
      </c>
      <c r="AO494" s="11">
        <v>15645940843</v>
      </c>
      <c r="AP494" s="11">
        <v>48629695701</v>
      </c>
      <c r="AQ494" s="11">
        <v>42299946486</v>
      </c>
      <c r="AR494" s="11">
        <v>6329749215</v>
      </c>
      <c r="AS494" s="12">
        <v>14.96</v>
      </c>
      <c r="AT494" s="11">
        <v>296035068435</v>
      </c>
      <c r="AU494" s="11">
        <v>87076232612</v>
      </c>
      <c r="AV494" s="11">
        <v>32397891727</v>
      </c>
      <c r="AW494" s="11">
        <v>158436253947</v>
      </c>
      <c r="AX494" s="11">
        <v>156811579395</v>
      </c>
      <c r="AY494" s="11">
        <v>71703000000</v>
      </c>
      <c r="AZ494" s="11">
        <v>120576599410</v>
      </c>
      <c r="BA494" s="11">
        <v>429819921458</v>
      </c>
      <c r="BB494" s="13">
        <v>25272</v>
      </c>
      <c r="BC494" s="11">
        <v>201305342063</v>
      </c>
      <c r="BD494" s="11">
        <v>156811579395</v>
      </c>
      <c r="BE494" s="11">
        <v>71703000000</v>
      </c>
      <c r="BF494" s="11">
        <v>340967828509</v>
      </c>
      <c r="BG494" s="11">
        <v>201275001155</v>
      </c>
      <c r="BH494" s="11">
        <v>0</v>
      </c>
      <c r="BI494" s="11">
        <v>0</v>
      </c>
      <c r="BJ494" s="11">
        <v>0</v>
      </c>
      <c r="BK494" s="11">
        <v>0</v>
      </c>
      <c r="BL494" s="11">
        <v>0</v>
      </c>
      <c r="BM494" s="11">
        <v>0</v>
      </c>
    </row>
    <row r="495" spans="1:65" x14ac:dyDescent="0.25">
      <c r="A495" s="32"/>
      <c r="B495" s="10">
        <v>3003</v>
      </c>
      <c r="C495" s="10" t="s">
        <v>543</v>
      </c>
      <c r="D495" s="11">
        <v>706405774639</v>
      </c>
      <c r="E495" s="11">
        <v>135193333720</v>
      </c>
      <c r="F495" s="11">
        <v>0</v>
      </c>
      <c r="G495" s="11">
        <v>0</v>
      </c>
      <c r="H495" s="11">
        <v>841599108359</v>
      </c>
      <c r="I495" s="11">
        <v>67926296565</v>
      </c>
      <c r="J495" s="11">
        <v>773672811794</v>
      </c>
      <c r="K495" s="11">
        <v>1168355179214</v>
      </c>
      <c r="L495" s="11">
        <v>-326756070855</v>
      </c>
      <c r="M495" s="12">
        <v>-27.97</v>
      </c>
      <c r="N495" s="11">
        <v>1852318072860</v>
      </c>
      <c r="O495" s="12">
        <v>236.26</v>
      </c>
      <c r="P495" s="12">
        <v>239.42</v>
      </c>
      <c r="Q495" s="12">
        <v>4.62</v>
      </c>
      <c r="R495" s="11">
        <v>1887349504012</v>
      </c>
      <c r="S495" s="11">
        <v>101042004141</v>
      </c>
      <c r="T495" s="11">
        <v>57441850942</v>
      </c>
      <c r="U495" s="11">
        <v>28441611165</v>
      </c>
      <c r="V495" s="11">
        <v>15158542034</v>
      </c>
      <c r="W495" s="11">
        <v>1988391508153</v>
      </c>
      <c r="X495" s="11">
        <v>217135636166</v>
      </c>
      <c r="Y495" s="11">
        <v>38599373044</v>
      </c>
      <c r="Z495" s="11">
        <v>2244126517363</v>
      </c>
      <c r="AA495" s="11">
        <v>1517637933704</v>
      </c>
      <c r="AB495" s="12">
        <v>31.02</v>
      </c>
      <c r="AC495" s="11">
        <v>867491373206</v>
      </c>
      <c r="AD495" s="11">
        <v>863202770467</v>
      </c>
      <c r="AE495" s="11">
        <v>128492265097</v>
      </c>
      <c r="AF495" s="11">
        <v>4578499800</v>
      </c>
      <c r="AG495" s="11">
        <v>4600000000</v>
      </c>
      <c r="AH495" s="11">
        <v>0</v>
      </c>
      <c r="AI495" s="11">
        <v>0</v>
      </c>
      <c r="AJ495" s="12">
        <v>4</v>
      </c>
      <c r="AK495" s="11">
        <v>188624929000</v>
      </c>
      <c r="AL495" s="12">
        <v>299</v>
      </c>
      <c r="AM495" s="11">
        <v>1090472518380</v>
      </c>
      <c r="AN495" s="12">
        <v>155</v>
      </c>
      <c r="AO495" s="11">
        <v>313080795562</v>
      </c>
      <c r="AP495" s="11">
        <v>101042004141</v>
      </c>
      <c r="AQ495" s="11">
        <v>70138726717</v>
      </c>
      <c r="AR495" s="11">
        <v>30903277424</v>
      </c>
      <c r="AS495" s="12">
        <v>44.06</v>
      </c>
      <c r="AT495" s="11">
        <v>558871925995</v>
      </c>
      <c r="AU495" s="11">
        <v>183736358094</v>
      </c>
      <c r="AV495" s="11">
        <v>69343053169</v>
      </c>
      <c r="AW495" s="11">
        <v>197566357845</v>
      </c>
      <c r="AX495" s="11">
        <v>282622363625</v>
      </c>
      <c r="AY495" s="11">
        <v>156874000000</v>
      </c>
      <c r="AZ495" s="11">
        <v>231296195847</v>
      </c>
      <c r="BA495" s="11">
        <v>841599108359</v>
      </c>
      <c r="BB495" s="13">
        <v>43169</v>
      </c>
      <c r="BC495" s="11">
        <v>402102744734</v>
      </c>
      <c r="BD495" s="11">
        <v>282622363625</v>
      </c>
      <c r="BE495" s="11">
        <v>156874000000</v>
      </c>
      <c r="BF495" s="11">
        <v>785340720722</v>
      </c>
      <c r="BG495" s="11">
        <v>82150652484</v>
      </c>
      <c r="BH495" s="11">
        <v>1901673997</v>
      </c>
      <c r="BI495" s="11">
        <v>0</v>
      </c>
      <c r="BJ495" s="11">
        <v>121813052744</v>
      </c>
      <c r="BK495" s="11">
        <v>0</v>
      </c>
      <c r="BL495" s="11">
        <v>7028563384</v>
      </c>
      <c r="BM495" s="11">
        <v>7314120829</v>
      </c>
    </row>
    <row r="496" spans="1:65" x14ac:dyDescent="0.25">
      <c r="A496" s="32"/>
      <c r="B496" s="10">
        <v>3004</v>
      </c>
      <c r="C496" s="10" t="s">
        <v>544</v>
      </c>
      <c r="D496" s="11">
        <v>568699877787</v>
      </c>
      <c r="E496" s="11">
        <v>26641976144</v>
      </c>
      <c r="F496" s="11">
        <v>0</v>
      </c>
      <c r="G496" s="11">
        <v>0</v>
      </c>
      <c r="H496" s="11">
        <v>595341853931</v>
      </c>
      <c r="I496" s="11">
        <v>49063708510</v>
      </c>
      <c r="J496" s="11">
        <v>546278145421</v>
      </c>
      <c r="K496" s="11">
        <v>605277560847</v>
      </c>
      <c r="L496" s="11">
        <v>-9935706916</v>
      </c>
      <c r="M496" s="12">
        <v>-1.64</v>
      </c>
      <c r="N496" s="11">
        <v>1419405125145</v>
      </c>
      <c r="O496" s="12">
        <v>258.5</v>
      </c>
      <c r="P496" s="12">
        <v>259.83</v>
      </c>
      <c r="Q496" s="12">
        <v>3.46</v>
      </c>
      <c r="R496" s="11">
        <v>1483665950406</v>
      </c>
      <c r="S496" s="11">
        <v>55295068931</v>
      </c>
      <c r="T496" s="11">
        <v>24518817333</v>
      </c>
      <c r="U496" s="11">
        <v>21444030152</v>
      </c>
      <c r="V496" s="11">
        <v>9332221446</v>
      </c>
      <c r="W496" s="11">
        <v>1538961019337</v>
      </c>
      <c r="X496" s="11">
        <v>68293067827</v>
      </c>
      <c r="Y496" s="11">
        <v>7265683000</v>
      </c>
      <c r="Z496" s="11">
        <v>1614519770164</v>
      </c>
      <c r="AA496" s="11">
        <v>1202403348872</v>
      </c>
      <c r="AB496" s="12">
        <v>27.99</v>
      </c>
      <c r="AC496" s="11">
        <v>518619362306</v>
      </c>
      <c r="AD496" s="11">
        <v>518619362306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2">
        <v>0</v>
      </c>
      <c r="AK496" s="11">
        <v>0</v>
      </c>
      <c r="AL496" s="12">
        <v>85</v>
      </c>
      <c r="AM496" s="11">
        <v>450736276632</v>
      </c>
      <c r="AN496" s="12">
        <v>16</v>
      </c>
      <c r="AO496" s="11">
        <v>34418296844</v>
      </c>
      <c r="AP496" s="11">
        <v>55295068931</v>
      </c>
      <c r="AQ496" s="11">
        <v>36986674424</v>
      </c>
      <c r="AR496" s="11">
        <v>18308394507</v>
      </c>
      <c r="AS496" s="12">
        <v>49.5</v>
      </c>
      <c r="AT496" s="11">
        <v>305106506814</v>
      </c>
      <c r="AU496" s="11">
        <v>102552717404</v>
      </c>
      <c r="AV496" s="11">
        <v>69173121211</v>
      </c>
      <c r="AW496" s="11">
        <v>72193421877</v>
      </c>
      <c r="AX496" s="11">
        <v>172160434699</v>
      </c>
      <c r="AY496" s="11">
        <v>255172900000</v>
      </c>
      <c r="AZ496" s="11">
        <v>112280949951</v>
      </c>
      <c r="BA496" s="11">
        <v>595341853931</v>
      </c>
      <c r="BB496" s="13">
        <v>68166</v>
      </c>
      <c r="BC496" s="11">
        <v>168008519232</v>
      </c>
      <c r="BD496" s="11">
        <v>172160434699</v>
      </c>
      <c r="BE496" s="11">
        <v>255172900000</v>
      </c>
      <c r="BF496" s="11">
        <v>369850733906</v>
      </c>
      <c r="BG496" s="11">
        <v>148768628400</v>
      </c>
      <c r="BH496" s="11">
        <v>0</v>
      </c>
      <c r="BI496" s="11">
        <v>0</v>
      </c>
      <c r="BJ496" s="11">
        <v>0</v>
      </c>
      <c r="BK496" s="11">
        <v>0</v>
      </c>
      <c r="BL496" s="11">
        <v>0</v>
      </c>
      <c r="BM496" s="11">
        <v>0</v>
      </c>
    </row>
    <row r="497" spans="1:65" x14ac:dyDescent="0.25">
      <c r="A497" s="32"/>
      <c r="B497" s="10">
        <v>3005</v>
      </c>
      <c r="C497" s="10" t="s">
        <v>545</v>
      </c>
      <c r="D497" s="11">
        <v>563742741811</v>
      </c>
      <c r="E497" s="11">
        <v>220642941844</v>
      </c>
      <c r="F497" s="11">
        <v>0</v>
      </c>
      <c r="G497" s="11">
        <v>0</v>
      </c>
      <c r="H497" s="11">
        <v>784385683655</v>
      </c>
      <c r="I497" s="11">
        <v>60461466095</v>
      </c>
      <c r="J497" s="11">
        <v>723924217560</v>
      </c>
      <c r="K497" s="11">
        <v>723024484918</v>
      </c>
      <c r="L497" s="11">
        <v>61361198737</v>
      </c>
      <c r="M497" s="12">
        <v>8.49</v>
      </c>
      <c r="N497" s="11">
        <v>1479959730470</v>
      </c>
      <c r="O497" s="12">
        <v>209.2</v>
      </c>
      <c r="P497" s="12">
        <v>204.44</v>
      </c>
      <c r="Q497" s="12">
        <v>7.53</v>
      </c>
      <c r="R497" s="11">
        <v>1515068175421</v>
      </c>
      <c r="S497" s="11">
        <v>125882343306</v>
      </c>
      <c r="T497" s="11">
        <v>38333078065</v>
      </c>
      <c r="U497" s="11">
        <v>61913896553</v>
      </c>
      <c r="V497" s="11">
        <v>25635368688</v>
      </c>
      <c r="W497" s="11">
        <v>1640950518727</v>
      </c>
      <c r="X497" s="11">
        <v>127203417743</v>
      </c>
      <c r="Y497" s="11">
        <v>19265547000</v>
      </c>
      <c r="Z497" s="11">
        <v>1787419483470</v>
      </c>
      <c r="AA497" s="11">
        <v>1347184446113</v>
      </c>
      <c r="AB497" s="12">
        <v>21.81</v>
      </c>
      <c r="AC497" s="11">
        <v>587816514290</v>
      </c>
      <c r="AD497" s="11">
        <v>548006514290</v>
      </c>
      <c r="AE497" s="11">
        <v>0</v>
      </c>
      <c r="AF497" s="11">
        <v>531900000</v>
      </c>
      <c r="AG497" s="11">
        <v>9460000000</v>
      </c>
      <c r="AH497" s="11">
        <v>0</v>
      </c>
      <c r="AI497" s="11">
        <v>0</v>
      </c>
      <c r="AJ497" s="12">
        <v>0</v>
      </c>
      <c r="AK497" s="11">
        <v>0</v>
      </c>
      <c r="AL497" s="12">
        <v>97</v>
      </c>
      <c r="AM497" s="11">
        <v>675479561275</v>
      </c>
      <c r="AN497" s="12">
        <v>92</v>
      </c>
      <c r="AO497" s="11">
        <v>376408453266</v>
      </c>
      <c r="AP497" s="11">
        <v>125882343306</v>
      </c>
      <c r="AQ497" s="11">
        <v>115450708630</v>
      </c>
      <c r="AR497" s="11">
        <v>10431634676</v>
      </c>
      <c r="AS497" s="12">
        <v>9.0399999999999991</v>
      </c>
      <c r="AT497" s="11">
        <v>375806726261</v>
      </c>
      <c r="AU497" s="11">
        <v>157492971369</v>
      </c>
      <c r="AV497" s="11">
        <v>55078190930</v>
      </c>
      <c r="AW497" s="11">
        <v>132154023682</v>
      </c>
      <c r="AX497" s="11">
        <v>294652027199</v>
      </c>
      <c r="AY497" s="11">
        <v>81858500000</v>
      </c>
      <c r="AZ497" s="11">
        <v>143573207640</v>
      </c>
      <c r="BA497" s="11">
        <v>784385683655</v>
      </c>
      <c r="BB497" s="13">
        <v>161722</v>
      </c>
      <c r="BC497" s="11">
        <v>407875156456</v>
      </c>
      <c r="BD497" s="11">
        <v>294652027199</v>
      </c>
      <c r="BE497" s="11">
        <v>81858500000</v>
      </c>
      <c r="BF497" s="11">
        <v>506380125000</v>
      </c>
      <c r="BG497" s="11">
        <v>81436389290</v>
      </c>
      <c r="BH497" s="11">
        <v>0</v>
      </c>
      <c r="BI497" s="11">
        <v>0</v>
      </c>
      <c r="BJ497" s="11">
        <v>0</v>
      </c>
      <c r="BK497" s="11">
        <v>0</v>
      </c>
      <c r="BL497" s="11">
        <v>8479260001</v>
      </c>
      <c r="BM497" s="11">
        <v>532803501</v>
      </c>
    </row>
    <row r="498" spans="1:65" x14ac:dyDescent="0.25">
      <c r="A498" s="32"/>
      <c r="B498" s="10">
        <v>3099</v>
      </c>
      <c r="C498" s="10" t="s">
        <v>546</v>
      </c>
      <c r="D498" s="11">
        <v>125707672</v>
      </c>
      <c r="E498" s="11">
        <v>285737738</v>
      </c>
      <c r="F498" s="11">
        <v>0</v>
      </c>
      <c r="G498" s="11">
        <v>0</v>
      </c>
      <c r="H498" s="11">
        <v>411445410</v>
      </c>
      <c r="I498" s="11">
        <v>32919369</v>
      </c>
      <c r="J498" s="11">
        <v>378526041</v>
      </c>
      <c r="K498" s="11">
        <v>258945410</v>
      </c>
      <c r="L498" s="11">
        <v>152500000</v>
      </c>
      <c r="M498" s="12">
        <v>58.89</v>
      </c>
      <c r="N498" s="11">
        <v>0</v>
      </c>
      <c r="O498" s="12">
        <v>0</v>
      </c>
      <c r="P498" s="12">
        <v>0</v>
      </c>
      <c r="Q498" s="12">
        <v>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11">
        <v>0</v>
      </c>
      <c r="X498" s="11">
        <v>0</v>
      </c>
      <c r="Y498" s="11">
        <v>0</v>
      </c>
      <c r="Z498" s="11">
        <v>0</v>
      </c>
      <c r="AA498" s="11">
        <v>0</v>
      </c>
      <c r="AB498" s="12"/>
      <c r="AC498" s="11">
        <v>0</v>
      </c>
      <c r="AD498" s="11">
        <v>0</v>
      </c>
      <c r="AE498" s="11">
        <v>0</v>
      </c>
      <c r="AF498" s="11">
        <v>0</v>
      </c>
      <c r="AG498" s="11">
        <v>0</v>
      </c>
      <c r="AH498" s="11">
        <v>0</v>
      </c>
      <c r="AI498" s="11">
        <v>0</v>
      </c>
      <c r="AJ498" s="12">
        <v>0</v>
      </c>
      <c r="AK498" s="11">
        <v>0</v>
      </c>
      <c r="AL498" s="12">
        <v>0</v>
      </c>
      <c r="AM498" s="11">
        <v>0</v>
      </c>
      <c r="AN498" s="12">
        <v>0</v>
      </c>
      <c r="AO498" s="11">
        <v>0</v>
      </c>
      <c r="AP498" s="11">
        <v>0</v>
      </c>
      <c r="AQ498" s="11">
        <v>0</v>
      </c>
      <c r="AR498" s="11">
        <v>0</v>
      </c>
      <c r="AS498" s="12"/>
      <c r="AT498" s="11">
        <v>0</v>
      </c>
      <c r="AU498" s="11">
        <v>0</v>
      </c>
      <c r="AV498" s="11">
        <v>0</v>
      </c>
      <c r="AW498" s="11">
        <v>125707672</v>
      </c>
      <c r="AX498" s="11">
        <v>0</v>
      </c>
      <c r="AY498" s="11">
        <v>0</v>
      </c>
      <c r="AZ498" s="11">
        <v>0</v>
      </c>
      <c r="BA498" s="11">
        <v>411445410</v>
      </c>
      <c r="BB498" s="13">
        <v>0</v>
      </c>
      <c r="BC498" s="11">
        <v>411445410</v>
      </c>
      <c r="BD498" s="11">
        <v>0</v>
      </c>
      <c r="BE498" s="11">
        <v>0</v>
      </c>
      <c r="BF498" s="11">
        <v>0</v>
      </c>
      <c r="BG498" s="11">
        <v>0</v>
      </c>
      <c r="BH498" s="11">
        <v>0</v>
      </c>
      <c r="BI498" s="11">
        <v>0</v>
      </c>
      <c r="BJ498" s="11">
        <v>0</v>
      </c>
      <c r="BK498" s="11">
        <v>0</v>
      </c>
      <c r="BL498" s="11">
        <v>0</v>
      </c>
      <c r="BM498" s="11">
        <v>0</v>
      </c>
    </row>
    <row r="499" spans="1:65" s="25" customFormat="1" x14ac:dyDescent="0.25">
      <c r="A499" s="14" t="s">
        <v>620</v>
      </c>
      <c r="B499" s="15"/>
      <c r="C499" s="15"/>
      <c r="D499" s="16">
        <v>4068138770411</v>
      </c>
      <c r="E499" s="16">
        <v>799389855126</v>
      </c>
      <c r="F499" s="16">
        <v>0</v>
      </c>
      <c r="G499" s="16">
        <v>241126200</v>
      </c>
      <c r="H499" s="16">
        <v>4867769751737</v>
      </c>
      <c r="I499" s="16">
        <v>392284570432</v>
      </c>
      <c r="J499" s="16">
        <v>4475485181305</v>
      </c>
      <c r="K499" s="16">
        <v>5060269029257</v>
      </c>
      <c r="L499" s="16">
        <v>-192499277520</v>
      </c>
      <c r="M499" s="17">
        <v>-3.8</v>
      </c>
      <c r="N499" s="16">
        <v>10294115845670</v>
      </c>
      <c r="O499" s="17">
        <v>244.05</v>
      </c>
      <c r="P499" s="17">
        <v>230.01</v>
      </c>
      <c r="Q499" s="17">
        <v>6.2</v>
      </c>
      <c r="R499" s="16">
        <v>11130176475437</v>
      </c>
      <c r="S499" s="16">
        <v>749384656716</v>
      </c>
      <c r="T499" s="16">
        <v>218341107361</v>
      </c>
      <c r="U499" s="16">
        <v>248174940108</v>
      </c>
      <c r="V499" s="16">
        <v>282868609247</v>
      </c>
      <c r="W499" s="16">
        <v>11879561132153</v>
      </c>
      <c r="X499" s="16">
        <v>918717106183</v>
      </c>
      <c r="Y499" s="16">
        <v>111288895251</v>
      </c>
      <c r="Z499" s="16">
        <v>12909567133587</v>
      </c>
      <c r="AA499" s="16">
        <v>9250195141995</v>
      </c>
      <c r="AB499" s="17">
        <v>28.42</v>
      </c>
      <c r="AC499" s="16">
        <v>4300016535556</v>
      </c>
      <c r="AD499" s="16">
        <v>4202509148713</v>
      </c>
      <c r="AE499" s="16">
        <v>150541933606</v>
      </c>
      <c r="AF499" s="16">
        <v>26545917656</v>
      </c>
      <c r="AG499" s="16">
        <v>39288830796</v>
      </c>
      <c r="AH499" s="16">
        <v>0</v>
      </c>
      <c r="AI499" s="16">
        <v>0</v>
      </c>
      <c r="AJ499" s="17">
        <v>7</v>
      </c>
      <c r="AK499" s="16">
        <v>269290082305</v>
      </c>
      <c r="AL499" s="18">
        <v>1397</v>
      </c>
      <c r="AM499" s="16">
        <v>7031998701866</v>
      </c>
      <c r="AN499" s="18">
        <f>SUM(AN492:AN498)</f>
        <v>721</v>
      </c>
      <c r="AO499" s="16">
        <f>SUM(AO492:AO498)</f>
        <v>2065266485667</v>
      </c>
      <c r="AP499" s="16">
        <v>749384656716</v>
      </c>
      <c r="AQ499" s="16">
        <v>599839489185</v>
      </c>
      <c r="AR499" s="16">
        <v>149545167531</v>
      </c>
      <c r="AS499" s="17">
        <v>24.93</v>
      </c>
      <c r="AT499" s="16">
        <v>2612354054383</v>
      </c>
      <c r="AU499" s="16">
        <v>761473467791</v>
      </c>
      <c r="AV499" s="16">
        <v>488511768783</v>
      </c>
      <c r="AW499" s="16">
        <v>1110422229321</v>
      </c>
      <c r="AX499" s="16">
        <v>1393580215610</v>
      </c>
      <c r="AY499" s="16">
        <v>1075624556697</v>
      </c>
      <c r="AZ499" s="16">
        <v>865427168908</v>
      </c>
      <c r="BA499" s="16">
        <v>4867769751737</v>
      </c>
      <c r="BB499" s="18">
        <v>438539</v>
      </c>
      <c r="BC499" s="16">
        <v>2368805987516</v>
      </c>
      <c r="BD499" s="16">
        <v>1393580215610</v>
      </c>
      <c r="BE499" s="16">
        <v>1105383548611</v>
      </c>
      <c r="BF499" s="16">
        <v>2975715002565</v>
      </c>
      <c r="BG499" s="16">
        <v>1324301532991</v>
      </c>
      <c r="BH499" s="16">
        <v>1901673997</v>
      </c>
      <c r="BI499" s="16">
        <v>0</v>
      </c>
      <c r="BJ499" s="16">
        <v>143980266428</v>
      </c>
      <c r="BK499" s="16">
        <v>19461784396</v>
      </c>
      <c r="BL499" s="16">
        <v>56713303432</v>
      </c>
      <c r="BM499" s="16">
        <v>9808816467</v>
      </c>
    </row>
    <row r="500" spans="1:65" x14ac:dyDescent="0.25">
      <c r="A500" s="32" t="s">
        <v>547</v>
      </c>
      <c r="B500" s="10">
        <v>3100</v>
      </c>
      <c r="C500" s="10" t="s">
        <v>548</v>
      </c>
      <c r="D500" s="11">
        <v>5901830799382</v>
      </c>
      <c r="E500" s="11">
        <v>325336067778</v>
      </c>
      <c r="F500" s="11">
        <v>5440000000</v>
      </c>
      <c r="G500" s="11">
        <v>807404000</v>
      </c>
      <c r="H500" s="11">
        <v>6233414271160</v>
      </c>
      <c r="I500" s="11">
        <v>606830248314</v>
      </c>
      <c r="J500" s="11">
        <v>5626584022846</v>
      </c>
      <c r="K500" s="11">
        <v>2921040894032</v>
      </c>
      <c r="L500" s="11">
        <v>3312373377128</v>
      </c>
      <c r="M500" s="12">
        <v>113.4</v>
      </c>
      <c r="N500" s="11">
        <v>6864435680014</v>
      </c>
      <c r="O500" s="12">
        <v>147.31</v>
      </c>
      <c r="P500" s="12">
        <v>122</v>
      </c>
      <c r="Q500" s="12">
        <v>1.58</v>
      </c>
      <c r="R500" s="11">
        <v>9040873656105</v>
      </c>
      <c r="S500" s="11">
        <v>141438805978</v>
      </c>
      <c r="T500" s="11">
        <v>62110238099</v>
      </c>
      <c r="U500" s="11">
        <v>48689324561</v>
      </c>
      <c r="V500" s="11">
        <v>30639243318</v>
      </c>
      <c r="W500" s="11">
        <v>9182312462083</v>
      </c>
      <c r="X500" s="11">
        <v>331948651160</v>
      </c>
      <c r="Y500" s="11">
        <v>18989219619</v>
      </c>
      <c r="Z500" s="11">
        <v>9533250332862</v>
      </c>
      <c r="AA500" s="11">
        <v>6872680768843</v>
      </c>
      <c r="AB500" s="12">
        <v>33.61</v>
      </c>
      <c r="AC500" s="11">
        <v>3539957508211</v>
      </c>
      <c r="AD500" s="11">
        <v>3478507508211</v>
      </c>
      <c r="AE500" s="11">
        <v>109842985104</v>
      </c>
      <c r="AF500" s="11">
        <v>0</v>
      </c>
      <c r="AG500" s="11">
        <v>82741435759</v>
      </c>
      <c r="AH500" s="11">
        <v>0</v>
      </c>
      <c r="AI500" s="11">
        <v>0</v>
      </c>
      <c r="AJ500" s="12">
        <v>0</v>
      </c>
      <c r="AK500" s="11">
        <v>0</v>
      </c>
      <c r="AL500" s="12">
        <v>179</v>
      </c>
      <c r="AM500" s="11">
        <v>1952888162314</v>
      </c>
      <c r="AN500" s="12">
        <v>133</v>
      </c>
      <c r="AO500" s="11">
        <v>881035486366</v>
      </c>
      <c r="AP500" s="11">
        <v>141438805978</v>
      </c>
      <c r="AQ500" s="11">
        <v>142335079606</v>
      </c>
      <c r="AR500" s="11">
        <v>-896273628</v>
      </c>
      <c r="AS500" s="12">
        <v>-0.63</v>
      </c>
      <c r="AT500" s="11">
        <v>2483146646910</v>
      </c>
      <c r="AU500" s="11">
        <v>327086432200</v>
      </c>
      <c r="AV500" s="11">
        <v>725079400740</v>
      </c>
      <c r="AW500" s="11">
        <v>184643859039</v>
      </c>
      <c r="AX500" s="11">
        <v>859807039603</v>
      </c>
      <c r="AY500" s="11">
        <v>4132300500000</v>
      </c>
      <c r="AZ500" s="11">
        <v>513841852646</v>
      </c>
      <c r="BA500" s="11">
        <v>6233414271160</v>
      </c>
      <c r="BB500" s="13">
        <v>234347</v>
      </c>
      <c r="BC500" s="11">
        <v>1177152943888</v>
      </c>
      <c r="BD500" s="11">
        <v>865247039603</v>
      </c>
      <c r="BE500" s="11">
        <v>4191014287669</v>
      </c>
      <c r="BF500" s="11">
        <v>1919186957946</v>
      </c>
      <c r="BG500" s="11">
        <v>1620770550265</v>
      </c>
      <c r="BH500" s="11">
        <v>0</v>
      </c>
      <c r="BI500" s="11">
        <v>0</v>
      </c>
      <c r="BJ500" s="11">
        <v>115225888832</v>
      </c>
      <c r="BK500" s="11">
        <v>0</v>
      </c>
      <c r="BL500" s="11">
        <v>0</v>
      </c>
      <c r="BM500" s="11">
        <v>0</v>
      </c>
    </row>
    <row r="501" spans="1:65" x14ac:dyDescent="0.25">
      <c r="A501" s="32"/>
      <c r="B501" s="10">
        <v>3101</v>
      </c>
      <c r="C501" s="10" t="s">
        <v>549</v>
      </c>
      <c r="D501" s="11">
        <v>1803050137941</v>
      </c>
      <c r="E501" s="11">
        <v>56604274429</v>
      </c>
      <c r="F501" s="11">
        <v>0</v>
      </c>
      <c r="G501" s="11">
        <v>0</v>
      </c>
      <c r="H501" s="11">
        <v>1859654412370</v>
      </c>
      <c r="I501" s="11">
        <v>145152433242</v>
      </c>
      <c r="J501" s="11">
        <v>1714501979128</v>
      </c>
      <c r="K501" s="11">
        <v>1565190217750</v>
      </c>
      <c r="L501" s="11">
        <v>294464194620</v>
      </c>
      <c r="M501" s="12">
        <v>18.809999999999999</v>
      </c>
      <c r="N501" s="11">
        <v>2010203102846</v>
      </c>
      <c r="O501" s="12">
        <v>114.41</v>
      </c>
      <c r="P501" s="12">
        <v>117.25</v>
      </c>
      <c r="Q501" s="12">
        <v>1.52</v>
      </c>
      <c r="R501" s="11">
        <v>2097554302472</v>
      </c>
      <c r="S501" s="11">
        <v>30160295861</v>
      </c>
      <c r="T501" s="11">
        <v>12929271995</v>
      </c>
      <c r="U501" s="11">
        <v>1457025998</v>
      </c>
      <c r="V501" s="11">
        <v>15773997868</v>
      </c>
      <c r="W501" s="11">
        <v>2127714598333</v>
      </c>
      <c r="X501" s="11">
        <v>141396337437</v>
      </c>
      <c r="Y501" s="11">
        <v>23289428000</v>
      </c>
      <c r="Z501" s="11">
        <v>2292400363770</v>
      </c>
      <c r="AA501" s="11">
        <v>1609569825106</v>
      </c>
      <c r="AB501" s="12">
        <v>32.19</v>
      </c>
      <c r="AC501" s="11">
        <v>1222985298215</v>
      </c>
      <c r="AD501" s="11">
        <v>1222985298215</v>
      </c>
      <c r="AE501" s="11">
        <v>15729340000</v>
      </c>
      <c r="AF501" s="11">
        <v>0</v>
      </c>
      <c r="AG501" s="11">
        <v>30949826819</v>
      </c>
      <c r="AH501" s="11">
        <v>0</v>
      </c>
      <c r="AI501" s="11">
        <v>0</v>
      </c>
      <c r="AJ501" s="12">
        <v>3</v>
      </c>
      <c r="AK501" s="11">
        <v>96182502915</v>
      </c>
      <c r="AL501" s="12">
        <v>50</v>
      </c>
      <c r="AM501" s="11">
        <v>567636728921</v>
      </c>
      <c r="AN501" s="12">
        <v>34</v>
      </c>
      <c r="AO501" s="11">
        <v>174460620085</v>
      </c>
      <c r="AP501" s="11">
        <v>30160295861</v>
      </c>
      <c r="AQ501" s="11">
        <v>33159202466</v>
      </c>
      <c r="AR501" s="11">
        <v>-2998906605</v>
      </c>
      <c r="AS501" s="12">
        <v>-9.0399999999999991</v>
      </c>
      <c r="AT501" s="11">
        <v>893237981212</v>
      </c>
      <c r="AU501" s="11">
        <v>205322476460</v>
      </c>
      <c r="AV501" s="11">
        <v>297294917302</v>
      </c>
      <c r="AW501" s="11">
        <v>183931354724</v>
      </c>
      <c r="AX501" s="11">
        <v>784971965915</v>
      </c>
      <c r="AY501" s="11">
        <v>536851900000</v>
      </c>
      <c r="AZ501" s="11">
        <v>559079378243</v>
      </c>
      <c r="BA501" s="11">
        <v>1859654412370</v>
      </c>
      <c r="BB501" s="13">
        <v>58269</v>
      </c>
      <c r="BC501" s="11">
        <v>537830546455</v>
      </c>
      <c r="BD501" s="11">
        <v>784971965915</v>
      </c>
      <c r="BE501" s="11">
        <v>536851900000</v>
      </c>
      <c r="BF501" s="11">
        <v>1065378089038</v>
      </c>
      <c r="BG501" s="11">
        <v>157607209177</v>
      </c>
      <c r="BH501" s="11">
        <v>0</v>
      </c>
      <c r="BI501" s="11">
        <v>0</v>
      </c>
      <c r="BJ501" s="11">
        <v>17110777827</v>
      </c>
      <c r="BK501" s="11">
        <v>0</v>
      </c>
      <c r="BL501" s="11">
        <v>0</v>
      </c>
      <c r="BM501" s="11">
        <v>0</v>
      </c>
    </row>
    <row r="502" spans="1:65" x14ac:dyDescent="0.25">
      <c r="A502" s="32"/>
      <c r="B502" s="10">
        <v>3102</v>
      </c>
      <c r="C502" s="10" t="s">
        <v>550</v>
      </c>
      <c r="D502" s="11">
        <v>889124457157</v>
      </c>
      <c r="E502" s="11">
        <v>17620994512</v>
      </c>
      <c r="F502" s="11">
        <v>0</v>
      </c>
      <c r="G502" s="11">
        <v>0</v>
      </c>
      <c r="H502" s="11">
        <v>906745451669</v>
      </c>
      <c r="I502" s="11">
        <v>63328506084</v>
      </c>
      <c r="J502" s="11">
        <v>843416945585</v>
      </c>
      <c r="K502" s="11">
        <v>637212191755</v>
      </c>
      <c r="L502" s="11">
        <v>269533259914</v>
      </c>
      <c r="M502" s="12">
        <v>42.3</v>
      </c>
      <c r="N502" s="11">
        <v>1399016908521</v>
      </c>
      <c r="O502" s="12">
        <v>180.46</v>
      </c>
      <c r="P502" s="12">
        <v>165.87</v>
      </c>
      <c r="Q502" s="12">
        <v>0.96</v>
      </c>
      <c r="R502" s="11">
        <v>1620975667838</v>
      </c>
      <c r="S502" s="11">
        <v>15335698156</v>
      </c>
      <c r="T502" s="11">
        <v>7552961502</v>
      </c>
      <c r="U502" s="11">
        <v>6092962423</v>
      </c>
      <c r="V502" s="11">
        <v>1689774231</v>
      </c>
      <c r="W502" s="11">
        <v>1636311365994</v>
      </c>
      <c r="X502" s="11">
        <v>61424962859</v>
      </c>
      <c r="Y502" s="11">
        <v>6500000000</v>
      </c>
      <c r="Z502" s="11">
        <v>1704236328853</v>
      </c>
      <c r="AA502" s="11">
        <v>1144416941103</v>
      </c>
      <c r="AB502" s="12">
        <v>42.98</v>
      </c>
      <c r="AC502" s="11">
        <v>755913725532</v>
      </c>
      <c r="AD502" s="11">
        <v>606351949774</v>
      </c>
      <c r="AE502" s="11">
        <v>0</v>
      </c>
      <c r="AF502" s="11">
        <v>0</v>
      </c>
      <c r="AG502" s="11">
        <v>13885265848</v>
      </c>
      <c r="AH502" s="11">
        <v>37485500000</v>
      </c>
      <c r="AI502" s="11">
        <v>0</v>
      </c>
      <c r="AJ502" s="12">
        <v>0</v>
      </c>
      <c r="AK502" s="11">
        <v>0</v>
      </c>
      <c r="AL502" s="12">
        <v>6</v>
      </c>
      <c r="AM502" s="11">
        <v>123395000000</v>
      </c>
      <c r="AN502" s="12">
        <v>8</v>
      </c>
      <c r="AO502" s="11">
        <v>16854779016</v>
      </c>
      <c r="AP502" s="11">
        <v>15335698156</v>
      </c>
      <c r="AQ502" s="11">
        <v>20569328993</v>
      </c>
      <c r="AR502" s="11">
        <v>-5233630837</v>
      </c>
      <c r="AS502" s="12">
        <v>-25.44</v>
      </c>
      <c r="AT502" s="11">
        <v>476682844518</v>
      </c>
      <c r="AU502" s="11">
        <v>98334852734</v>
      </c>
      <c r="AV502" s="11">
        <v>309432551371</v>
      </c>
      <c r="AW502" s="11">
        <v>191839020350</v>
      </c>
      <c r="AX502" s="11">
        <v>175314885436</v>
      </c>
      <c r="AY502" s="11">
        <v>212538000000</v>
      </c>
      <c r="AZ502" s="11">
        <v>135296332801</v>
      </c>
      <c r="BA502" s="11">
        <v>906745451669</v>
      </c>
      <c r="BB502" s="13">
        <v>119141</v>
      </c>
      <c r="BC502" s="11">
        <v>518889775693</v>
      </c>
      <c r="BD502" s="11">
        <v>175314885436</v>
      </c>
      <c r="BE502" s="11">
        <v>212540790540</v>
      </c>
      <c r="BF502" s="11">
        <v>548878725758</v>
      </c>
      <c r="BG502" s="11">
        <v>207034999774</v>
      </c>
      <c r="BH502" s="11">
        <v>0</v>
      </c>
      <c r="BI502" s="11">
        <v>0</v>
      </c>
      <c r="BJ502" s="11">
        <v>0</v>
      </c>
      <c r="BK502" s="11">
        <v>0</v>
      </c>
      <c r="BL502" s="11">
        <v>0</v>
      </c>
      <c r="BM502" s="11">
        <v>0</v>
      </c>
    </row>
    <row r="503" spans="1:65" x14ac:dyDescent="0.25">
      <c r="A503" s="32"/>
      <c r="B503" s="10">
        <v>3103</v>
      </c>
      <c r="C503" s="10" t="s">
        <v>551</v>
      </c>
      <c r="D503" s="11">
        <v>1366250606272</v>
      </c>
      <c r="E503" s="11">
        <v>91924931493</v>
      </c>
      <c r="F503" s="11">
        <v>0</v>
      </c>
      <c r="G503" s="11">
        <v>0</v>
      </c>
      <c r="H503" s="11">
        <v>1458175537765</v>
      </c>
      <c r="I503" s="11">
        <v>113195491427</v>
      </c>
      <c r="J503" s="11">
        <v>1344980046338</v>
      </c>
      <c r="K503" s="11">
        <v>1093202968104</v>
      </c>
      <c r="L503" s="11">
        <v>364972569661</v>
      </c>
      <c r="M503" s="12">
        <v>33.39</v>
      </c>
      <c r="N503" s="11">
        <v>1262366462266</v>
      </c>
      <c r="O503" s="12">
        <v>100.21</v>
      </c>
      <c r="P503" s="12">
        <v>93.86</v>
      </c>
      <c r="Q503" s="12">
        <v>0.87</v>
      </c>
      <c r="R503" s="11">
        <v>1453306053965</v>
      </c>
      <c r="S503" s="11">
        <v>7878740925</v>
      </c>
      <c r="T503" s="11">
        <v>3944002322</v>
      </c>
      <c r="U503" s="11">
        <v>1352512204</v>
      </c>
      <c r="V503" s="11">
        <v>2582226399</v>
      </c>
      <c r="W503" s="11">
        <v>1461184794890</v>
      </c>
      <c r="X503" s="11">
        <v>73792478374</v>
      </c>
      <c r="Y503" s="11">
        <v>9485330000</v>
      </c>
      <c r="Z503" s="11">
        <v>1544462603264</v>
      </c>
      <c r="AA503" s="11">
        <v>1016084512793</v>
      </c>
      <c r="AB503" s="12">
        <v>43.81</v>
      </c>
      <c r="AC503" s="11">
        <v>683151474713</v>
      </c>
      <c r="AD503" s="11">
        <v>629171474713</v>
      </c>
      <c r="AE503" s="11">
        <v>0</v>
      </c>
      <c r="AF503" s="11">
        <v>0</v>
      </c>
      <c r="AG503" s="11">
        <v>0</v>
      </c>
      <c r="AH503" s="11">
        <v>0</v>
      </c>
      <c r="AI503" s="11">
        <v>0</v>
      </c>
      <c r="AJ503" s="12">
        <v>0</v>
      </c>
      <c r="AK503" s="11">
        <v>0</v>
      </c>
      <c r="AL503" s="12">
        <v>125</v>
      </c>
      <c r="AM503" s="11">
        <v>397844273155</v>
      </c>
      <c r="AN503" s="12">
        <v>156</v>
      </c>
      <c r="AO503" s="11">
        <v>614937176130</v>
      </c>
      <c r="AP503" s="11">
        <v>7878740925</v>
      </c>
      <c r="AQ503" s="11">
        <v>6739777904</v>
      </c>
      <c r="AR503" s="11">
        <v>1138963021</v>
      </c>
      <c r="AS503" s="12">
        <v>16.899999999999999</v>
      </c>
      <c r="AT503" s="11">
        <v>412483101609</v>
      </c>
      <c r="AU503" s="11">
        <v>55604652888</v>
      </c>
      <c r="AV503" s="11">
        <v>107820044364</v>
      </c>
      <c r="AW503" s="11">
        <v>114003206098</v>
      </c>
      <c r="AX503" s="11">
        <v>360555355810</v>
      </c>
      <c r="AY503" s="11">
        <v>783872000000</v>
      </c>
      <c r="AZ503" s="11">
        <v>268957407136</v>
      </c>
      <c r="BA503" s="11">
        <v>1458175537765</v>
      </c>
      <c r="BB503" s="13">
        <v>42818</v>
      </c>
      <c r="BC503" s="11">
        <v>313748181955</v>
      </c>
      <c r="BD503" s="11">
        <v>360555355810</v>
      </c>
      <c r="BE503" s="11">
        <v>783872000000</v>
      </c>
      <c r="BF503" s="11">
        <v>617560040958</v>
      </c>
      <c r="BG503" s="11">
        <v>65591433755</v>
      </c>
      <c r="BH503" s="11">
        <v>0</v>
      </c>
      <c r="BI503" s="11">
        <v>0</v>
      </c>
      <c r="BJ503" s="11">
        <v>0</v>
      </c>
      <c r="BK503" s="11">
        <v>0</v>
      </c>
      <c r="BL503" s="11">
        <v>0</v>
      </c>
      <c r="BM503" s="11">
        <v>0</v>
      </c>
    </row>
    <row r="504" spans="1:65" x14ac:dyDescent="0.25">
      <c r="A504" s="32"/>
      <c r="B504" s="10">
        <v>3104</v>
      </c>
      <c r="C504" s="10" t="s">
        <v>552</v>
      </c>
      <c r="D504" s="11">
        <v>1350497852520</v>
      </c>
      <c r="E504" s="11">
        <v>176475498180</v>
      </c>
      <c r="F504" s="11">
        <v>0</v>
      </c>
      <c r="G504" s="11">
        <v>0</v>
      </c>
      <c r="H504" s="11">
        <v>1526973350700</v>
      </c>
      <c r="I504" s="11">
        <v>145084062073</v>
      </c>
      <c r="J504" s="11">
        <v>1381889288627</v>
      </c>
      <c r="K504" s="11">
        <v>964101636804</v>
      </c>
      <c r="L504" s="11">
        <v>562871713896</v>
      </c>
      <c r="M504" s="12">
        <v>58.38</v>
      </c>
      <c r="N504" s="11">
        <v>1551359175912</v>
      </c>
      <c r="O504" s="12">
        <v>107.72</v>
      </c>
      <c r="P504" s="12">
        <v>112.26</v>
      </c>
      <c r="Q504" s="12">
        <v>4.96</v>
      </c>
      <c r="R504" s="11">
        <v>1562342427956</v>
      </c>
      <c r="S504" s="11">
        <v>82505243521</v>
      </c>
      <c r="T504" s="11">
        <v>14884777448</v>
      </c>
      <c r="U504" s="11">
        <v>65087909246</v>
      </c>
      <c r="V504" s="11">
        <v>2532556827</v>
      </c>
      <c r="W504" s="11">
        <v>1644847671477</v>
      </c>
      <c r="X504" s="11">
        <v>110442413896</v>
      </c>
      <c r="Y504" s="11">
        <v>7316011000</v>
      </c>
      <c r="Z504" s="11">
        <v>1762606096373</v>
      </c>
      <c r="AA504" s="11">
        <v>992043345391</v>
      </c>
      <c r="AB504" s="12">
        <v>65.8</v>
      </c>
      <c r="AC504" s="11">
        <v>1434989537484</v>
      </c>
      <c r="AD504" s="11">
        <v>1427546182964</v>
      </c>
      <c r="AE504" s="11">
        <v>605725427673</v>
      </c>
      <c r="AF504" s="11">
        <v>0</v>
      </c>
      <c r="AG504" s="11">
        <v>28953016153</v>
      </c>
      <c r="AH504" s="11">
        <v>0</v>
      </c>
      <c r="AI504" s="11">
        <v>0</v>
      </c>
      <c r="AJ504" s="12">
        <v>3</v>
      </c>
      <c r="AK504" s="11">
        <v>717091500000</v>
      </c>
      <c r="AL504" s="12">
        <v>44</v>
      </c>
      <c r="AM504" s="11">
        <v>969632159089</v>
      </c>
      <c r="AN504" s="12">
        <v>44</v>
      </c>
      <c r="AO504" s="11">
        <v>635673053641</v>
      </c>
      <c r="AP504" s="11">
        <v>82505243521</v>
      </c>
      <c r="AQ504" s="11">
        <v>72442262913</v>
      </c>
      <c r="AR504" s="11">
        <v>10062980608</v>
      </c>
      <c r="AS504" s="12">
        <v>13.89</v>
      </c>
      <c r="AT504" s="11">
        <v>960569928891</v>
      </c>
      <c r="AU504" s="11">
        <v>82493726163</v>
      </c>
      <c r="AV504" s="11">
        <v>353155618939</v>
      </c>
      <c r="AW504" s="11">
        <v>91855577707</v>
      </c>
      <c r="AX504" s="11">
        <v>244084155874</v>
      </c>
      <c r="AY504" s="11">
        <v>661402500000</v>
      </c>
      <c r="AZ504" s="11">
        <v>149933481020</v>
      </c>
      <c r="BA504" s="11">
        <v>1526973350700</v>
      </c>
      <c r="BB504" s="13">
        <v>26824</v>
      </c>
      <c r="BC504" s="11">
        <v>621486694826</v>
      </c>
      <c r="BD504" s="11">
        <v>244084155874</v>
      </c>
      <c r="BE504" s="11">
        <v>661402500000</v>
      </c>
      <c r="BF504" s="11">
        <v>1266961367484</v>
      </c>
      <c r="BG504" s="11">
        <v>168028170000</v>
      </c>
      <c r="BH504" s="11">
        <v>0</v>
      </c>
      <c r="BI504" s="11">
        <v>0</v>
      </c>
      <c r="BJ504" s="11">
        <v>616826144121</v>
      </c>
      <c r="BK504" s="11">
        <v>0</v>
      </c>
      <c r="BL504" s="11">
        <v>0</v>
      </c>
      <c r="BM504" s="11">
        <v>0</v>
      </c>
    </row>
    <row r="505" spans="1:65" x14ac:dyDescent="0.25">
      <c r="A505" s="32"/>
      <c r="B505" s="10">
        <v>3105</v>
      </c>
      <c r="C505" s="10" t="s">
        <v>553</v>
      </c>
      <c r="D505" s="11">
        <v>1083380970917</v>
      </c>
      <c r="E505" s="11">
        <v>6530366630</v>
      </c>
      <c r="F505" s="11">
        <v>0</v>
      </c>
      <c r="G505" s="11">
        <v>0</v>
      </c>
      <c r="H505" s="11">
        <v>1089911337547</v>
      </c>
      <c r="I505" s="11">
        <v>77283578324</v>
      </c>
      <c r="J505" s="11">
        <v>1012627759223</v>
      </c>
      <c r="K505" s="11">
        <v>659661037955</v>
      </c>
      <c r="L505" s="11">
        <v>430250299592</v>
      </c>
      <c r="M505" s="12">
        <v>65.22</v>
      </c>
      <c r="N505" s="11">
        <v>1174692533367</v>
      </c>
      <c r="O505" s="12">
        <v>113.94</v>
      </c>
      <c r="P505" s="12">
        <v>116</v>
      </c>
      <c r="Q505" s="12">
        <v>3.29</v>
      </c>
      <c r="R505" s="11">
        <v>1199636178252</v>
      </c>
      <c r="S505" s="11">
        <v>42247568758</v>
      </c>
      <c r="T505" s="11">
        <v>2039013758</v>
      </c>
      <c r="U505" s="11">
        <v>40208555000</v>
      </c>
      <c r="V505" s="11">
        <v>0</v>
      </c>
      <c r="W505" s="11">
        <v>1241883747010</v>
      </c>
      <c r="X505" s="11">
        <v>64884173173</v>
      </c>
      <c r="Y505" s="11">
        <v>3500000000</v>
      </c>
      <c r="Z505" s="11">
        <v>1310267920183</v>
      </c>
      <c r="AA505" s="11">
        <v>890204442031</v>
      </c>
      <c r="AB505" s="12">
        <v>39.51</v>
      </c>
      <c r="AC505" s="11">
        <v>684923110594</v>
      </c>
      <c r="AD505" s="11">
        <v>684923110594</v>
      </c>
      <c r="AE505" s="11">
        <v>0</v>
      </c>
      <c r="AF505" s="11">
        <v>0</v>
      </c>
      <c r="AG505" s="11">
        <v>6058438356</v>
      </c>
      <c r="AH505" s="11">
        <v>0</v>
      </c>
      <c r="AI505" s="11">
        <v>0</v>
      </c>
      <c r="AJ505" s="12">
        <v>0</v>
      </c>
      <c r="AK505" s="11">
        <v>0</v>
      </c>
      <c r="AL505" s="12">
        <v>15</v>
      </c>
      <c r="AM505" s="11">
        <v>49347229200</v>
      </c>
      <c r="AN505" s="12">
        <v>5</v>
      </c>
      <c r="AO505" s="11">
        <v>2040282969</v>
      </c>
      <c r="AP505" s="11">
        <v>42247568758</v>
      </c>
      <c r="AQ505" s="11">
        <v>18760748877</v>
      </c>
      <c r="AR505" s="11">
        <v>23486819881</v>
      </c>
      <c r="AS505" s="12">
        <v>125.19</v>
      </c>
      <c r="AT505" s="11">
        <v>440643241279</v>
      </c>
      <c r="AU505" s="11">
        <v>92873248292</v>
      </c>
      <c r="AV505" s="11">
        <v>143741871280</v>
      </c>
      <c r="AW505" s="11">
        <v>286413800614</v>
      </c>
      <c r="AX505" s="11">
        <v>433104699023</v>
      </c>
      <c r="AY505" s="11">
        <v>220120600000</v>
      </c>
      <c r="AZ505" s="11">
        <v>241028148779</v>
      </c>
      <c r="BA505" s="11">
        <v>1089911337547</v>
      </c>
      <c r="BB505" s="13">
        <v>68388</v>
      </c>
      <c r="BC505" s="11">
        <v>436686038524</v>
      </c>
      <c r="BD505" s="11">
        <v>433104699023</v>
      </c>
      <c r="BE505" s="11">
        <v>220120600000</v>
      </c>
      <c r="BF505" s="11">
        <v>593383880594</v>
      </c>
      <c r="BG505" s="11">
        <v>91539230000</v>
      </c>
      <c r="BH505" s="11">
        <v>0</v>
      </c>
      <c r="BI505" s="11">
        <v>0</v>
      </c>
      <c r="BJ505" s="11">
        <v>0</v>
      </c>
      <c r="BK505" s="11">
        <v>0</v>
      </c>
      <c r="BL505" s="11">
        <v>0</v>
      </c>
      <c r="BM505" s="11">
        <v>0</v>
      </c>
    </row>
    <row r="506" spans="1:65" x14ac:dyDescent="0.25">
      <c r="A506" s="32"/>
      <c r="B506" s="10">
        <v>3106</v>
      </c>
      <c r="C506" s="10" t="s">
        <v>554</v>
      </c>
      <c r="D506" s="11">
        <v>790971812538</v>
      </c>
      <c r="E506" s="11">
        <v>113054463713</v>
      </c>
      <c r="F506" s="11">
        <v>0</v>
      </c>
      <c r="G506" s="11">
        <v>0</v>
      </c>
      <c r="H506" s="11">
        <v>904026276251</v>
      </c>
      <c r="I506" s="11">
        <v>72552520959</v>
      </c>
      <c r="J506" s="11">
        <v>831473755292</v>
      </c>
      <c r="K506" s="11">
        <v>715615465280</v>
      </c>
      <c r="L506" s="11">
        <v>188410810971</v>
      </c>
      <c r="M506" s="12">
        <v>26.33</v>
      </c>
      <c r="N506" s="11">
        <v>808653580897</v>
      </c>
      <c r="O506" s="12">
        <v>104.17</v>
      </c>
      <c r="P506" s="12">
        <v>97.26</v>
      </c>
      <c r="Q506" s="12">
        <v>1.51</v>
      </c>
      <c r="R506" s="11">
        <v>926788299413</v>
      </c>
      <c r="S506" s="11">
        <v>14921390013</v>
      </c>
      <c r="T506" s="11">
        <v>13204408822</v>
      </c>
      <c r="U506" s="11">
        <v>1282106404</v>
      </c>
      <c r="V506" s="11">
        <v>434874787</v>
      </c>
      <c r="W506" s="11">
        <v>941709689426</v>
      </c>
      <c r="X506" s="11">
        <v>47884174156</v>
      </c>
      <c r="Y506" s="11">
        <v>7500000000</v>
      </c>
      <c r="Z506" s="11">
        <v>997093863582</v>
      </c>
      <c r="AA506" s="11">
        <v>806139854511</v>
      </c>
      <c r="AB506" s="12">
        <v>16.82</v>
      </c>
      <c r="AC506" s="11">
        <v>308260051493</v>
      </c>
      <c r="AD506" s="11">
        <v>308260051493</v>
      </c>
      <c r="AE506" s="11">
        <v>0</v>
      </c>
      <c r="AF506" s="11">
        <v>0</v>
      </c>
      <c r="AG506" s="11">
        <v>0</v>
      </c>
      <c r="AH506" s="11">
        <v>0</v>
      </c>
      <c r="AI506" s="11">
        <v>0</v>
      </c>
      <c r="AJ506" s="12">
        <v>0</v>
      </c>
      <c r="AK506" s="11">
        <v>0</v>
      </c>
      <c r="AL506" s="12">
        <v>101</v>
      </c>
      <c r="AM506" s="11">
        <v>967616240841</v>
      </c>
      <c r="AN506" s="12">
        <v>100</v>
      </c>
      <c r="AO506" s="11">
        <v>441655868023</v>
      </c>
      <c r="AP506" s="11">
        <v>14921390013</v>
      </c>
      <c r="AQ506" s="11">
        <v>21303931644</v>
      </c>
      <c r="AR506" s="11">
        <v>-6382541631</v>
      </c>
      <c r="AS506" s="12">
        <v>-29.96</v>
      </c>
      <c r="AT506" s="11">
        <v>283478788298</v>
      </c>
      <c r="AU506" s="11">
        <v>82487709508</v>
      </c>
      <c r="AV506" s="11">
        <v>92302137695</v>
      </c>
      <c r="AW506" s="11">
        <v>88532137213</v>
      </c>
      <c r="AX506" s="11">
        <v>227239637630</v>
      </c>
      <c r="AY506" s="11">
        <v>382897900000</v>
      </c>
      <c r="AZ506" s="11">
        <v>121008280949</v>
      </c>
      <c r="BA506" s="11">
        <v>904026276251</v>
      </c>
      <c r="BB506" s="13">
        <v>28673</v>
      </c>
      <c r="BC506" s="11">
        <v>293888738621</v>
      </c>
      <c r="BD506" s="11">
        <v>227239637630</v>
      </c>
      <c r="BE506" s="11">
        <v>382897900000</v>
      </c>
      <c r="BF506" s="11">
        <v>245040051493</v>
      </c>
      <c r="BG506" s="11">
        <v>63220000000</v>
      </c>
      <c r="BH506" s="11">
        <v>0</v>
      </c>
      <c r="BI506" s="11">
        <v>0</v>
      </c>
      <c r="BJ506" s="11">
        <v>0</v>
      </c>
      <c r="BK506" s="11">
        <v>0</v>
      </c>
      <c r="BL506" s="11">
        <v>0</v>
      </c>
      <c r="BM506" s="11">
        <v>0</v>
      </c>
    </row>
    <row r="507" spans="1:65" x14ac:dyDescent="0.25">
      <c r="A507" s="32"/>
      <c r="B507" s="10">
        <v>3107</v>
      </c>
      <c r="C507" s="10" t="s">
        <v>555</v>
      </c>
      <c r="D507" s="11">
        <v>946499032735</v>
      </c>
      <c r="E507" s="11">
        <v>15607564028</v>
      </c>
      <c r="F507" s="11">
        <v>0</v>
      </c>
      <c r="G507" s="11">
        <v>0</v>
      </c>
      <c r="H507" s="11">
        <v>962106596763</v>
      </c>
      <c r="I507" s="11">
        <v>74200516898</v>
      </c>
      <c r="J507" s="11">
        <v>887906079865</v>
      </c>
      <c r="K507" s="11">
        <v>632142781411</v>
      </c>
      <c r="L507" s="11">
        <v>329963815352</v>
      </c>
      <c r="M507" s="12">
        <v>52.2</v>
      </c>
      <c r="N507" s="11">
        <v>1127783322942</v>
      </c>
      <c r="O507" s="12">
        <v>131.88999999999999</v>
      </c>
      <c r="P507" s="12">
        <v>127.02</v>
      </c>
      <c r="Q507" s="12">
        <v>2</v>
      </c>
      <c r="R507" s="11">
        <v>1242656103636</v>
      </c>
      <c r="S507" s="11">
        <v>26312206250</v>
      </c>
      <c r="T507" s="11">
        <v>10813862991</v>
      </c>
      <c r="U507" s="11">
        <v>6967047109</v>
      </c>
      <c r="V507" s="11">
        <v>8531296150</v>
      </c>
      <c r="W507" s="11">
        <v>1268968309886</v>
      </c>
      <c r="X507" s="11">
        <v>52958763626</v>
      </c>
      <c r="Y507" s="11">
        <v>7034950000</v>
      </c>
      <c r="Z507" s="11">
        <v>1328962023512</v>
      </c>
      <c r="AA507" s="11">
        <v>890670638761</v>
      </c>
      <c r="AB507" s="12">
        <v>42.47</v>
      </c>
      <c r="AC507" s="11">
        <v>1673213917914</v>
      </c>
      <c r="AD507" s="11">
        <v>1655213917914</v>
      </c>
      <c r="AE507" s="11">
        <v>1009395537612</v>
      </c>
      <c r="AF507" s="11">
        <v>0</v>
      </c>
      <c r="AG507" s="11">
        <v>0</v>
      </c>
      <c r="AH507" s="11">
        <v>0</v>
      </c>
      <c r="AI507" s="11">
        <v>0</v>
      </c>
      <c r="AJ507" s="12">
        <v>8</v>
      </c>
      <c r="AK507" s="11">
        <v>628173936966</v>
      </c>
      <c r="AL507" s="12">
        <v>26</v>
      </c>
      <c r="AM507" s="11">
        <v>52980736002</v>
      </c>
      <c r="AN507" s="12">
        <v>12</v>
      </c>
      <c r="AO507" s="11">
        <v>11271629813</v>
      </c>
      <c r="AP507" s="11">
        <v>26312206250</v>
      </c>
      <c r="AQ507" s="11">
        <v>16756683363</v>
      </c>
      <c r="AR507" s="11">
        <v>9555522887</v>
      </c>
      <c r="AS507" s="12">
        <v>57.03</v>
      </c>
      <c r="AT507" s="11">
        <v>1467338389442</v>
      </c>
      <c r="AU507" s="11">
        <v>273469739441</v>
      </c>
      <c r="AV507" s="11">
        <v>110476700970</v>
      </c>
      <c r="AW507" s="11">
        <v>70580999188</v>
      </c>
      <c r="AX507" s="11">
        <v>532960332577</v>
      </c>
      <c r="AY507" s="11">
        <v>232481000000</v>
      </c>
      <c r="AZ507" s="11">
        <v>494563839332</v>
      </c>
      <c r="BA507" s="11">
        <v>962106596763</v>
      </c>
      <c r="BB507" s="13">
        <v>56127</v>
      </c>
      <c r="BC507" s="11">
        <v>196665264186</v>
      </c>
      <c r="BD507" s="11">
        <v>532960332577</v>
      </c>
      <c r="BE507" s="11">
        <v>232481000000</v>
      </c>
      <c r="BF507" s="11">
        <v>291070737830</v>
      </c>
      <c r="BG507" s="11">
        <v>1382143180084</v>
      </c>
      <c r="BH507" s="11">
        <v>62016064000</v>
      </c>
      <c r="BI507" s="11">
        <v>0</v>
      </c>
      <c r="BJ507" s="11">
        <v>1136712945289</v>
      </c>
      <c r="BK507" s="11">
        <v>0</v>
      </c>
      <c r="BL507" s="11">
        <v>0</v>
      </c>
      <c r="BM507" s="11">
        <v>0</v>
      </c>
    </row>
    <row r="508" spans="1:65" x14ac:dyDescent="0.25">
      <c r="A508" s="32"/>
      <c r="B508" s="10">
        <v>3108</v>
      </c>
      <c r="C508" s="10" t="s">
        <v>556</v>
      </c>
      <c r="D508" s="11">
        <v>743018361324</v>
      </c>
      <c r="E508" s="11">
        <v>14197362293</v>
      </c>
      <c r="F508" s="11">
        <v>0</v>
      </c>
      <c r="G508" s="11">
        <v>0</v>
      </c>
      <c r="H508" s="11">
        <v>757215723617</v>
      </c>
      <c r="I508" s="11">
        <v>62276162867</v>
      </c>
      <c r="J508" s="11">
        <v>694939560750</v>
      </c>
      <c r="K508" s="11">
        <v>650096360125</v>
      </c>
      <c r="L508" s="11">
        <v>107119363492</v>
      </c>
      <c r="M508" s="12">
        <v>16.48</v>
      </c>
      <c r="N508" s="11">
        <v>1384438233198</v>
      </c>
      <c r="O508" s="12">
        <v>192.53</v>
      </c>
      <c r="P508" s="12">
        <v>199.22</v>
      </c>
      <c r="Q508" s="12">
        <v>1.94</v>
      </c>
      <c r="R508" s="11">
        <v>1428582111381</v>
      </c>
      <c r="S508" s="11">
        <v>29283130964</v>
      </c>
      <c r="T508" s="11">
        <v>11667792477</v>
      </c>
      <c r="U508" s="11">
        <v>6688478988</v>
      </c>
      <c r="V508" s="11">
        <v>10926859499</v>
      </c>
      <c r="W508" s="11">
        <v>1457865242345</v>
      </c>
      <c r="X508" s="11">
        <v>98885841103</v>
      </c>
      <c r="Y508" s="11">
        <v>11000000000</v>
      </c>
      <c r="Z508" s="11">
        <v>1567751083448</v>
      </c>
      <c r="AA508" s="11">
        <v>943175746121</v>
      </c>
      <c r="AB508" s="12">
        <v>54.57</v>
      </c>
      <c r="AC508" s="11">
        <v>1099756546561</v>
      </c>
      <c r="AD508" s="11">
        <v>1071636546561</v>
      </c>
      <c r="AE508" s="11">
        <v>435968058559</v>
      </c>
      <c r="AF508" s="11">
        <v>0</v>
      </c>
      <c r="AG508" s="11">
        <v>0</v>
      </c>
      <c r="AH508" s="11">
        <v>0</v>
      </c>
      <c r="AI508" s="11">
        <v>0</v>
      </c>
      <c r="AJ508" s="12">
        <v>12</v>
      </c>
      <c r="AK508" s="11">
        <v>533492127169</v>
      </c>
      <c r="AL508" s="12">
        <v>11</v>
      </c>
      <c r="AM508" s="11">
        <v>19770210448</v>
      </c>
      <c r="AN508" s="12">
        <v>0</v>
      </c>
      <c r="AO508" s="11">
        <v>0</v>
      </c>
      <c r="AP508" s="11">
        <v>29283130964</v>
      </c>
      <c r="AQ508" s="11">
        <v>32531103264</v>
      </c>
      <c r="AR508" s="11">
        <v>-3247972300</v>
      </c>
      <c r="AS508" s="12">
        <v>-9.98</v>
      </c>
      <c r="AT508" s="11">
        <v>727501305010</v>
      </c>
      <c r="AU508" s="11">
        <v>153686985573</v>
      </c>
      <c r="AV508" s="11">
        <v>173744236567</v>
      </c>
      <c r="AW508" s="11">
        <v>192819223984</v>
      </c>
      <c r="AX508" s="11">
        <v>252212900773</v>
      </c>
      <c r="AY508" s="11">
        <v>124242000000</v>
      </c>
      <c r="AZ508" s="11">
        <v>210167296408</v>
      </c>
      <c r="BA508" s="11">
        <v>757215723617</v>
      </c>
      <c r="BB508" s="13">
        <v>52003</v>
      </c>
      <c r="BC508" s="11">
        <v>380760822844</v>
      </c>
      <c r="BD508" s="11">
        <v>252212900773</v>
      </c>
      <c r="BE508" s="11">
        <v>124242000000</v>
      </c>
      <c r="BF508" s="11">
        <v>284535194622</v>
      </c>
      <c r="BG508" s="11">
        <v>815221351939</v>
      </c>
      <c r="BH508" s="11">
        <v>79573088045</v>
      </c>
      <c r="BI508" s="11">
        <v>0</v>
      </c>
      <c r="BJ508" s="11">
        <v>363280230282</v>
      </c>
      <c r="BK508" s="11">
        <v>0</v>
      </c>
      <c r="BL508" s="11">
        <v>0</v>
      </c>
      <c r="BM508" s="11">
        <v>0</v>
      </c>
    </row>
    <row r="509" spans="1:65" x14ac:dyDescent="0.25">
      <c r="A509" s="32"/>
      <c r="B509" s="10">
        <v>3109</v>
      </c>
      <c r="C509" s="10" t="s">
        <v>557</v>
      </c>
      <c r="D509" s="11">
        <v>451197173439</v>
      </c>
      <c r="E509" s="11">
        <v>2510141089</v>
      </c>
      <c r="F509" s="11">
        <v>0</v>
      </c>
      <c r="G509" s="11">
        <v>0</v>
      </c>
      <c r="H509" s="11">
        <v>453707314528</v>
      </c>
      <c r="I509" s="11">
        <v>40361247448</v>
      </c>
      <c r="J509" s="11">
        <v>413346067080</v>
      </c>
      <c r="K509" s="11">
        <v>746561079978</v>
      </c>
      <c r="L509" s="11">
        <v>-292853765450</v>
      </c>
      <c r="M509" s="12">
        <v>-39.229999999999997</v>
      </c>
      <c r="N509" s="11">
        <v>1285181862209</v>
      </c>
      <c r="O509" s="12">
        <v>308.32</v>
      </c>
      <c r="P509" s="12">
        <v>310.92</v>
      </c>
      <c r="Q509" s="12">
        <v>0.63</v>
      </c>
      <c r="R509" s="11">
        <v>1390129391665</v>
      </c>
      <c r="S509" s="11">
        <v>8731704080</v>
      </c>
      <c r="T509" s="11">
        <v>5936380353</v>
      </c>
      <c r="U509" s="11">
        <v>2678508041</v>
      </c>
      <c r="V509" s="11">
        <v>116815686</v>
      </c>
      <c r="W509" s="11">
        <v>1398861095745</v>
      </c>
      <c r="X509" s="11">
        <v>33682017040</v>
      </c>
      <c r="Y509" s="11">
        <v>1840000000</v>
      </c>
      <c r="Z509" s="11">
        <v>1434383112785</v>
      </c>
      <c r="AA509" s="11">
        <v>861241104515</v>
      </c>
      <c r="AB509" s="12">
        <v>62.42</v>
      </c>
      <c r="AC509" s="11">
        <v>655187114591</v>
      </c>
      <c r="AD509" s="11">
        <v>620187114591</v>
      </c>
      <c r="AE509" s="11">
        <v>0</v>
      </c>
      <c r="AF509" s="11">
        <v>6037114591</v>
      </c>
      <c r="AG509" s="11">
        <v>0</v>
      </c>
      <c r="AH509" s="11">
        <v>0</v>
      </c>
      <c r="AI509" s="11">
        <v>0</v>
      </c>
      <c r="AJ509" s="12">
        <v>0</v>
      </c>
      <c r="AK509" s="11">
        <v>0</v>
      </c>
      <c r="AL509" s="12">
        <v>6</v>
      </c>
      <c r="AM509" s="11">
        <v>64306523102</v>
      </c>
      <c r="AN509" s="12">
        <v>1</v>
      </c>
      <c r="AO509" s="11">
        <v>862400000</v>
      </c>
      <c r="AP509" s="11">
        <v>8731704080</v>
      </c>
      <c r="AQ509" s="11">
        <v>4816571272</v>
      </c>
      <c r="AR509" s="11">
        <v>3915132808</v>
      </c>
      <c r="AS509" s="12">
        <v>81.28</v>
      </c>
      <c r="AT509" s="11">
        <v>354600700682</v>
      </c>
      <c r="AU509" s="11">
        <v>28759385280</v>
      </c>
      <c r="AV509" s="11">
        <v>12518767613</v>
      </c>
      <c r="AW509" s="11">
        <v>35138065464</v>
      </c>
      <c r="AX509" s="11">
        <v>211463340362</v>
      </c>
      <c r="AY509" s="11">
        <v>192077000000</v>
      </c>
      <c r="AZ509" s="11">
        <v>166122501939</v>
      </c>
      <c r="BA509" s="11">
        <v>453707314528</v>
      </c>
      <c r="BB509" s="13">
        <v>13082</v>
      </c>
      <c r="BC509" s="11">
        <v>50166974166</v>
      </c>
      <c r="BD509" s="11">
        <v>211463340362</v>
      </c>
      <c r="BE509" s="11">
        <v>192077000000</v>
      </c>
      <c r="BF509" s="11">
        <v>156900000000</v>
      </c>
      <c r="BG509" s="11">
        <v>498287114591</v>
      </c>
      <c r="BH509" s="11">
        <v>0</v>
      </c>
      <c r="BI509" s="11">
        <v>0</v>
      </c>
      <c r="BJ509" s="11">
        <v>0</v>
      </c>
      <c r="BK509" s="11">
        <v>0</v>
      </c>
      <c r="BL509" s="11">
        <v>0</v>
      </c>
      <c r="BM509" s="11">
        <v>6037114591</v>
      </c>
    </row>
    <row r="510" spans="1:65" x14ac:dyDescent="0.25">
      <c r="A510" s="32"/>
      <c r="B510" s="10">
        <v>3110</v>
      </c>
      <c r="C510" s="10" t="s">
        <v>558</v>
      </c>
      <c r="D510" s="11">
        <v>588179641014</v>
      </c>
      <c r="E510" s="11">
        <v>4554070631</v>
      </c>
      <c r="F510" s="11">
        <v>0</v>
      </c>
      <c r="G510" s="11">
        <v>0</v>
      </c>
      <c r="H510" s="11">
        <v>592733711645</v>
      </c>
      <c r="I510" s="11">
        <v>48752477934</v>
      </c>
      <c r="J510" s="11">
        <v>543981233711</v>
      </c>
      <c r="K510" s="11">
        <v>493336274963</v>
      </c>
      <c r="L510" s="11">
        <v>99397436682</v>
      </c>
      <c r="M510" s="12">
        <v>20.149999999999999</v>
      </c>
      <c r="N510" s="11">
        <v>824067017283</v>
      </c>
      <c r="O510" s="12">
        <v>149.68</v>
      </c>
      <c r="P510" s="12">
        <v>151.49</v>
      </c>
      <c r="Q510" s="12">
        <v>3.85</v>
      </c>
      <c r="R510" s="11">
        <v>849600371082</v>
      </c>
      <c r="S510" s="11">
        <v>37624630030</v>
      </c>
      <c r="T510" s="11">
        <v>16533499756</v>
      </c>
      <c r="U510" s="11">
        <v>12197007892</v>
      </c>
      <c r="V510" s="11">
        <v>8894122382</v>
      </c>
      <c r="W510" s="11">
        <v>887225001112</v>
      </c>
      <c r="X510" s="11">
        <v>85812324671</v>
      </c>
      <c r="Y510" s="11">
        <v>25960000000</v>
      </c>
      <c r="Z510" s="11">
        <v>998997325783</v>
      </c>
      <c r="AA510" s="11">
        <v>697396490989</v>
      </c>
      <c r="AB510" s="12">
        <v>27.22</v>
      </c>
      <c r="AC510" s="11">
        <v>342595208246</v>
      </c>
      <c r="AD510" s="11">
        <v>342595208246</v>
      </c>
      <c r="AE510" s="11">
        <v>0</v>
      </c>
      <c r="AF510" s="11">
        <v>0</v>
      </c>
      <c r="AG510" s="11">
        <v>0</v>
      </c>
      <c r="AH510" s="11">
        <v>0</v>
      </c>
      <c r="AI510" s="11">
        <v>0</v>
      </c>
      <c r="AJ510" s="12">
        <v>0</v>
      </c>
      <c r="AK510" s="11">
        <v>0</v>
      </c>
      <c r="AL510" s="12">
        <v>3</v>
      </c>
      <c r="AM510" s="11">
        <v>6351000000</v>
      </c>
      <c r="AN510" s="12">
        <v>4</v>
      </c>
      <c r="AO510" s="11">
        <v>10000000000</v>
      </c>
      <c r="AP510" s="11">
        <v>37624630030</v>
      </c>
      <c r="AQ510" s="11">
        <v>38339688758</v>
      </c>
      <c r="AR510" s="11">
        <v>-715058728</v>
      </c>
      <c r="AS510" s="12">
        <v>-1.87</v>
      </c>
      <c r="AT510" s="11">
        <v>241800940710</v>
      </c>
      <c r="AU510" s="11">
        <v>85866783505</v>
      </c>
      <c r="AV510" s="11">
        <v>207542058178</v>
      </c>
      <c r="AW510" s="11">
        <v>218945260998</v>
      </c>
      <c r="AX510" s="11">
        <v>125576321838</v>
      </c>
      <c r="AY510" s="11">
        <v>36116000000</v>
      </c>
      <c r="AZ510" s="11">
        <v>104872213552</v>
      </c>
      <c r="BA510" s="11">
        <v>592733711645</v>
      </c>
      <c r="BB510" s="13">
        <v>239672</v>
      </c>
      <c r="BC510" s="11">
        <v>431041389807</v>
      </c>
      <c r="BD510" s="11">
        <v>125576321838</v>
      </c>
      <c r="BE510" s="11">
        <v>36116000000</v>
      </c>
      <c r="BF510" s="11">
        <v>339945208246</v>
      </c>
      <c r="BG510" s="11">
        <v>2650000000</v>
      </c>
      <c r="BH510" s="11">
        <v>0</v>
      </c>
      <c r="BI510" s="11">
        <v>0</v>
      </c>
      <c r="BJ510" s="11">
        <v>0</v>
      </c>
      <c r="BK510" s="11">
        <v>0</v>
      </c>
      <c r="BL510" s="11">
        <v>0</v>
      </c>
      <c r="BM510" s="11">
        <v>0</v>
      </c>
    </row>
    <row r="511" spans="1:65" x14ac:dyDescent="0.25">
      <c r="A511" s="32"/>
      <c r="B511" s="10">
        <v>3111</v>
      </c>
      <c r="C511" s="10" t="s">
        <v>559</v>
      </c>
      <c r="D511" s="11">
        <v>1517353436659</v>
      </c>
      <c r="E511" s="11">
        <v>26344566149</v>
      </c>
      <c r="F511" s="11">
        <v>0</v>
      </c>
      <c r="G511" s="11">
        <v>0</v>
      </c>
      <c r="H511" s="11">
        <v>1543698002808</v>
      </c>
      <c r="I511" s="11">
        <v>125129749919</v>
      </c>
      <c r="J511" s="11">
        <v>1418568252889</v>
      </c>
      <c r="K511" s="11">
        <v>1315755027427</v>
      </c>
      <c r="L511" s="11">
        <v>227942975381</v>
      </c>
      <c r="M511" s="12">
        <v>17.32</v>
      </c>
      <c r="N511" s="11">
        <v>1440224750424</v>
      </c>
      <c r="O511" s="12">
        <v>104.69</v>
      </c>
      <c r="P511" s="12">
        <v>101.53</v>
      </c>
      <c r="Q511" s="12">
        <v>3.11</v>
      </c>
      <c r="R511" s="11">
        <v>1564833559276</v>
      </c>
      <c r="S511" s="11">
        <v>51186730181</v>
      </c>
      <c r="T511" s="11">
        <v>46986585685</v>
      </c>
      <c r="U511" s="11">
        <v>808728241</v>
      </c>
      <c r="V511" s="11">
        <v>3391416255</v>
      </c>
      <c r="W511" s="11">
        <v>1616020289457</v>
      </c>
      <c r="X511" s="11">
        <v>87591366998</v>
      </c>
      <c r="Y511" s="11">
        <v>15996029000</v>
      </c>
      <c r="Z511" s="11">
        <v>1719607685455</v>
      </c>
      <c r="AA511" s="11">
        <v>1231405324296</v>
      </c>
      <c r="AB511" s="12">
        <v>31.23</v>
      </c>
      <c r="AC511" s="11">
        <v>814899657209</v>
      </c>
      <c r="AD511" s="11">
        <v>814899657209</v>
      </c>
      <c r="AE511" s="11">
        <v>0</v>
      </c>
      <c r="AF511" s="11">
        <v>0</v>
      </c>
      <c r="AG511" s="11">
        <v>37100000000</v>
      </c>
      <c r="AH511" s="11">
        <v>0</v>
      </c>
      <c r="AI511" s="11">
        <v>0</v>
      </c>
      <c r="AJ511" s="12">
        <v>0</v>
      </c>
      <c r="AK511" s="11">
        <v>0</v>
      </c>
      <c r="AL511" s="12">
        <v>35</v>
      </c>
      <c r="AM511" s="11">
        <v>299732899824</v>
      </c>
      <c r="AN511" s="12">
        <v>1</v>
      </c>
      <c r="AO511" s="11">
        <v>1152484000</v>
      </c>
      <c r="AP511" s="11">
        <v>51186730181</v>
      </c>
      <c r="AQ511" s="11">
        <v>11821844085</v>
      </c>
      <c r="AR511" s="11">
        <v>39364886096</v>
      </c>
      <c r="AS511" s="12">
        <v>332.98</v>
      </c>
      <c r="AT511" s="11">
        <v>578987395006</v>
      </c>
      <c r="AU511" s="11">
        <v>123155708379</v>
      </c>
      <c r="AV511" s="11">
        <v>337402870527</v>
      </c>
      <c r="AW511" s="11">
        <v>95039404667</v>
      </c>
      <c r="AX511" s="11">
        <v>384380061465</v>
      </c>
      <c r="AY511" s="11">
        <v>700531100000</v>
      </c>
      <c r="AZ511" s="11">
        <v>303406194085</v>
      </c>
      <c r="BA511" s="11">
        <v>1543698002808</v>
      </c>
      <c r="BB511" s="13">
        <v>71758</v>
      </c>
      <c r="BC511" s="11">
        <v>458786841343</v>
      </c>
      <c r="BD511" s="11">
        <v>384380061465</v>
      </c>
      <c r="BE511" s="11">
        <v>700531100000</v>
      </c>
      <c r="BF511" s="11">
        <v>725984846883</v>
      </c>
      <c r="BG511" s="11">
        <v>88914810326</v>
      </c>
      <c r="BH511" s="11">
        <v>0</v>
      </c>
      <c r="BI511" s="11">
        <v>0</v>
      </c>
      <c r="BJ511" s="11">
        <v>0</v>
      </c>
      <c r="BK511" s="11">
        <v>0</v>
      </c>
      <c r="BL511" s="11">
        <v>0</v>
      </c>
      <c r="BM511" s="11">
        <v>0</v>
      </c>
    </row>
    <row r="512" spans="1:65" x14ac:dyDescent="0.25">
      <c r="A512" s="32"/>
      <c r="B512" s="10">
        <v>3112</v>
      </c>
      <c r="C512" s="10" t="s">
        <v>560</v>
      </c>
      <c r="D512" s="11">
        <v>2006875067794</v>
      </c>
      <c r="E512" s="11">
        <v>169289584633</v>
      </c>
      <c r="F512" s="11">
        <v>0</v>
      </c>
      <c r="G512" s="11">
        <v>0</v>
      </c>
      <c r="H512" s="11">
        <v>2176164652427</v>
      </c>
      <c r="I512" s="11">
        <v>160439199710</v>
      </c>
      <c r="J512" s="11">
        <v>2015725452717</v>
      </c>
      <c r="K512" s="11">
        <v>1822902562623</v>
      </c>
      <c r="L512" s="11">
        <v>353262089804</v>
      </c>
      <c r="M512" s="12">
        <v>19.38</v>
      </c>
      <c r="N512" s="11">
        <v>2396666056128</v>
      </c>
      <c r="O512" s="12">
        <v>121.8</v>
      </c>
      <c r="P512" s="12">
        <v>118.9</v>
      </c>
      <c r="Q512" s="12">
        <v>1.1599999999999999</v>
      </c>
      <c r="R512" s="11">
        <v>2628514504148</v>
      </c>
      <c r="S512" s="11">
        <v>22151274893</v>
      </c>
      <c r="T512" s="11">
        <v>18778520202</v>
      </c>
      <c r="U512" s="11">
        <v>2657097530</v>
      </c>
      <c r="V512" s="11">
        <v>715657161</v>
      </c>
      <c r="W512" s="11">
        <v>2650665779041</v>
      </c>
      <c r="X512" s="11">
        <v>145222677226</v>
      </c>
      <c r="Y512" s="11">
        <v>15727900000</v>
      </c>
      <c r="Z512" s="11">
        <v>2811616356267</v>
      </c>
      <c r="AA512" s="11">
        <v>2004026050704</v>
      </c>
      <c r="AB512" s="12">
        <v>32.270000000000003</v>
      </c>
      <c r="AC512" s="11">
        <v>1615108094339</v>
      </c>
      <c r="AD512" s="11">
        <v>1615108094339</v>
      </c>
      <c r="AE512" s="11">
        <v>217230345044</v>
      </c>
      <c r="AF512" s="11">
        <v>0</v>
      </c>
      <c r="AG512" s="11">
        <v>91540000000</v>
      </c>
      <c r="AH512" s="11">
        <v>0</v>
      </c>
      <c r="AI512" s="11">
        <v>0</v>
      </c>
      <c r="AJ512" s="12">
        <v>7</v>
      </c>
      <c r="AK512" s="11">
        <v>310878403580</v>
      </c>
      <c r="AL512" s="12">
        <v>176</v>
      </c>
      <c r="AM512" s="11">
        <v>1292365561954</v>
      </c>
      <c r="AN512" s="12">
        <v>78</v>
      </c>
      <c r="AO512" s="11">
        <v>279778491193</v>
      </c>
      <c r="AP512" s="11">
        <v>22151274893</v>
      </c>
      <c r="AQ512" s="11">
        <v>14382997382</v>
      </c>
      <c r="AR512" s="11">
        <v>7768277511</v>
      </c>
      <c r="AS512" s="12">
        <v>54.01</v>
      </c>
      <c r="AT512" s="11">
        <v>1119570065971</v>
      </c>
      <c r="AU512" s="11">
        <v>205878707406</v>
      </c>
      <c r="AV512" s="11">
        <v>361314406672</v>
      </c>
      <c r="AW512" s="11">
        <v>264077322202</v>
      </c>
      <c r="AX512" s="11">
        <v>717891838920</v>
      </c>
      <c r="AY512" s="11">
        <v>663591500000</v>
      </c>
      <c r="AZ512" s="11">
        <v>610147224853</v>
      </c>
      <c r="BA512" s="11">
        <v>2176164652427</v>
      </c>
      <c r="BB512" s="13">
        <v>31376</v>
      </c>
      <c r="BC512" s="11">
        <v>779530528105</v>
      </c>
      <c r="BD512" s="11">
        <v>717891838920</v>
      </c>
      <c r="BE512" s="11">
        <v>678742285402</v>
      </c>
      <c r="BF512" s="11">
        <v>1057296982680</v>
      </c>
      <c r="BG512" s="11">
        <v>557811111659</v>
      </c>
      <c r="BH512" s="11">
        <v>0</v>
      </c>
      <c r="BI512" s="11">
        <v>0</v>
      </c>
      <c r="BJ512" s="11">
        <v>219868898661</v>
      </c>
      <c r="BK512" s="11">
        <v>0</v>
      </c>
      <c r="BL512" s="11">
        <v>0</v>
      </c>
      <c r="BM512" s="11">
        <v>0</v>
      </c>
    </row>
    <row r="513" spans="1:65" x14ac:dyDescent="0.25">
      <c r="A513" s="32"/>
      <c r="B513" s="10">
        <v>3113</v>
      </c>
      <c r="C513" s="10" t="s">
        <v>561</v>
      </c>
      <c r="D513" s="11">
        <v>537841725718</v>
      </c>
      <c r="E513" s="11">
        <v>341625832</v>
      </c>
      <c r="F513" s="11">
        <v>0</v>
      </c>
      <c r="G513" s="11">
        <v>0</v>
      </c>
      <c r="H513" s="11">
        <v>538183351550</v>
      </c>
      <c r="I513" s="11">
        <v>44810221025</v>
      </c>
      <c r="J513" s="11">
        <v>493373130525</v>
      </c>
      <c r="K513" s="11">
        <v>529792810181</v>
      </c>
      <c r="L513" s="11">
        <v>8390541369</v>
      </c>
      <c r="M513" s="12">
        <v>1.58</v>
      </c>
      <c r="N513" s="11">
        <v>345420117385</v>
      </c>
      <c r="O513" s="12">
        <v>79.94</v>
      </c>
      <c r="P513" s="12">
        <v>70.010000000000005</v>
      </c>
      <c r="Q513" s="12">
        <v>0.44</v>
      </c>
      <c r="R513" s="11">
        <v>428191089089</v>
      </c>
      <c r="S513" s="11">
        <v>2050451387</v>
      </c>
      <c r="T513" s="11">
        <v>2050451387</v>
      </c>
      <c r="U513" s="11">
        <v>0</v>
      </c>
      <c r="V513" s="11">
        <v>0</v>
      </c>
      <c r="W513" s="11">
        <v>430241540476</v>
      </c>
      <c r="X513" s="11">
        <v>25697540263</v>
      </c>
      <c r="Y513" s="11">
        <v>5038644550</v>
      </c>
      <c r="Z513" s="11">
        <v>460977725289</v>
      </c>
      <c r="AA513" s="11">
        <v>123933091985</v>
      </c>
      <c r="AB513" s="12">
        <v>247.16</v>
      </c>
      <c r="AC513" s="11">
        <v>292488570000</v>
      </c>
      <c r="AD513" s="11">
        <v>292488570000</v>
      </c>
      <c r="AE513" s="11">
        <v>0</v>
      </c>
      <c r="AF513" s="11">
        <v>0</v>
      </c>
      <c r="AG513" s="11">
        <v>0</v>
      </c>
      <c r="AH513" s="11">
        <v>0</v>
      </c>
      <c r="AI513" s="11">
        <v>0</v>
      </c>
      <c r="AJ513" s="12">
        <v>0</v>
      </c>
      <c r="AK513" s="11">
        <v>0</v>
      </c>
      <c r="AL513" s="12">
        <v>0</v>
      </c>
      <c r="AM513" s="11">
        <v>0</v>
      </c>
      <c r="AN513" s="12">
        <v>0</v>
      </c>
      <c r="AO513" s="11">
        <v>0</v>
      </c>
      <c r="AP513" s="11">
        <v>2050451387</v>
      </c>
      <c r="AQ513" s="11">
        <v>0</v>
      </c>
      <c r="AR513" s="11">
        <v>2050451387</v>
      </c>
      <c r="AS513" s="12"/>
      <c r="AT513" s="11">
        <v>63819557846</v>
      </c>
      <c r="AU513" s="11">
        <v>4166782947</v>
      </c>
      <c r="AV513" s="11">
        <v>6740287305</v>
      </c>
      <c r="AW513" s="11">
        <v>141541378768</v>
      </c>
      <c r="AX513" s="11">
        <v>145669059645</v>
      </c>
      <c r="AY513" s="11">
        <v>243891000000</v>
      </c>
      <c r="AZ513" s="11">
        <v>126998207699</v>
      </c>
      <c r="BA513" s="11">
        <v>538183351550</v>
      </c>
      <c r="BB513" s="13">
        <v>18846</v>
      </c>
      <c r="BC513" s="11">
        <v>148623291905</v>
      </c>
      <c r="BD513" s="11">
        <v>145669059645</v>
      </c>
      <c r="BE513" s="11">
        <v>243891000000</v>
      </c>
      <c r="BF513" s="11">
        <v>225458570000</v>
      </c>
      <c r="BG513" s="11">
        <v>67030000000</v>
      </c>
      <c r="BH513" s="11">
        <v>0</v>
      </c>
      <c r="BI513" s="11">
        <v>0</v>
      </c>
      <c r="BJ513" s="11">
        <v>0</v>
      </c>
      <c r="BK513" s="11">
        <v>0</v>
      </c>
      <c r="BL513" s="11">
        <v>0</v>
      </c>
      <c r="BM513" s="11">
        <v>0</v>
      </c>
    </row>
    <row r="514" spans="1:65" x14ac:dyDescent="0.25">
      <c r="A514" s="32"/>
      <c r="B514" s="10">
        <v>3199</v>
      </c>
      <c r="C514" s="10" t="s">
        <v>562</v>
      </c>
      <c r="D514" s="11">
        <v>0</v>
      </c>
      <c r="E514" s="11">
        <v>28806528648</v>
      </c>
      <c r="F514" s="11">
        <v>0</v>
      </c>
      <c r="G514" s="11">
        <v>0</v>
      </c>
      <c r="H514" s="11">
        <v>28806528648</v>
      </c>
      <c r="I514" s="11">
        <v>2301822552</v>
      </c>
      <c r="J514" s="11">
        <v>26504706096</v>
      </c>
      <c r="K514" s="11">
        <v>3116764502</v>
      </c>
      <c r="L514" s="11">
        <v>25689764146</v>
      </c>
      <c r="M514" s="12">
        <v>824.24</v>
      </c>
      <c r="N514" s="11">
        <v>0</v>
      </c>
      <c r="O514" s="12">
        <v>0</v>
      </c>
      <c r="P514" s="12">
        <v>0</v>
      </c>
      <c r="Q514" s="12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2"/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2">
        <v>0</v>
      </c>
      <c r="AK514" s="11">
        <v>0</v>
      </c>
      <c r="AL514" s="12">
        <v>0</v>
      </c>
      <c r="AM514" s="11">
        <v>0</v>
      </c>
      <c r="AN514" s="12">
        <v>0</v>
      </c>
      <c r="AO514" s="11">
        <v>0</v>
      </c>
      <c r="AP514" s="11">
        <v>0</v>
      </c>
      <c r="AQ514" s="11">
        <v>0</v>
      </c>
      <c r="AR514" s="11">
        <v>0</v>
      </c>
      <c r="AS514" s="12"/>
      <c r="AT514" s="11">
        <v>0</v>
      </c>
      <c r="AU514" s="11">
        <v>0</v>
      </c>
      <c r="AV514" s="11">
        <v>0</v>
      </c>
      <c r="AW514" s="11">
        <v>0</v>
      </c>
      <c r="AX514" s="11">
        <v>0</v>
      </c>
      <c r="AY514" s="11">
        <v>0</v>
      </c>
      <c r="AZ514" s="11">
        <v>0</v>
      </c>
      <c r="BA514" s="11">
        <v>28806528648</v>
      </c>
      <c r="BB514" s="13">
        <v>0</v>
      </c>
      <c r="BC514" s="11">
        <v>28806528648</v>
      </c>
      <c r="BD514" s="11">
        <v>0</v>
      </c>
      <c r="BE514" s="11">
        <v>0</v>
      </c>
      <c r="BF514" s="11">
        <v>0</v>
      </c>
      <c r="BG514" s="11">
        <v>0</v>
      </c>
      <c r="BH514" s="11">
        <v>0</v>
      </c>
      <c r="BI514" s="11">
        <v>0</v>
      </c>
      <c r="BJ514" s="11">
        <v>0</v>
      </c>
      <c r="BK514" s="11">
        <v>0</v>
      </c>
      <c r="BL514" s="11">
        <v>0</v>
      </c>
      <c r="BM514" s="11">
        <v>0</v>
      </c>
    </row>
    <row r="515" spans="1:65" x14ac:dyDescent="0.25">
      <c r="A515" s="14" t="s">
        <v>621</v>
      </c>
      <c r="B515" s="15"/>
      <c r="C515" s="15"/>
      <c r="D515" s="16">
        <v>19976071075410</v>
      </c>
      <c r="E515" s="16">
        <v>1049198040038</v>
      </c>
      <c r="F515" s="16">
        <v>5440000000</v>
      </c>
      <c r="G515" s="16">
        <v>807404000</v>
      </c>
      <c r="H515" s="16">
        <v>21031516519448</v>
      </c>
      <c r="I515" s="16">
        <v>1781698238776</v>
      </c>
      <c r="J515" s="16">
        <v>19249818280672</v>
      </c>
      <c r="K515" s="16">
        <v>14749728072890</v>
      </c>
      <c r="L515" s="16">
        <v>6281788446558</v>
      </c>
      <c r="M515" s="17">
        <v>42.59</v>
      </c>
      <c r="N515" s="16">
        <v>23874508803392</v>
      </c>
      <c r="O515" s="17">
        <v>132.88</v>
      </c>
      <c r="P515" s="17">
        <v>124.02</v>
      </c>
      <c r="Q515" s="17">
        <v>1.88</v>
      </c>
      <c r="R515" s="16">
        <v>27433983716278</v>
      </c>
      <c r="S515" s="16">
        <v>511827870997</v>
      </c>
      <c r="T515" s="16">
        <v>229431766797</v>
      </c>
      <c r="U515" s="16">
        <v>196167263637</v>
      </c>
      <c r="V515" s="16">
        <v>86228840563</v>
      </c>
      <c r="W515" s="16">
        <v>27945811587275</v>
      </c>
      <c r="X515" s="16">
        <v>1361623721982</v>
      </c>
      <c r="Y515" s="16">
        <v>159177512169</v>
      </c>
      <c r="Z515" s="16">
        <v>29466612821426</v>
      </c>
      <c r="AA515" s="16">
        <v>20082988137149</v>
      </c>
      <c r="AB515" s="17">
        <v>39.15</v>
      </c>
      <c r="AC515" s="16">
        <v>15123429815102</v>
      </c>
      <c r="AD515" s="16">
        <v>14769874684824</v>
      </c>
      <c r="AE515" s="16">
        <v>2393891693992</v>
      </c>
      <c r="AF515" s="16">
        <v>6037114591</v>
      </c>
      <c r="AG515" s="16">
        <v>291227982935</v>
      </c>
      <c r="AH515" s="16">
        <v>37485500000</v>
      </c>
      <c r="AI515" s="16">
        <v>0</v>
      </c>
      <c r="AJ515" s="17">
        <v>33</v>
      </c>
      <c r="AK515" s="16">
        <v>2285818470630</v>
      </c>
      <c r="AL515" s="17">
        <v>777</v>
      </c>
      <c r="AM515" s="16">
        <v>6763866724850</v>
      </c>
      <c r="AN515" s="18">
        <f>SUM(AN500:AN514)</f>
        <v>576</v>
      </c>
      <c r="AO515" s="16">
        <f>SUM(AO500:AO514)</f>
        <v>3069722271236</v>
      </c>
      <c r="AP515" s="16">
        <v>511827870997</v>
      </c>
      <c r="AQ515" s="16">
        <v>433959220527</v>
      </c>
      <c r="AR515" s="16">
        <v>77868650470</v>
      </c>
      <c r="AS515" s="17">
        <v>17.940000000000001</v>
      </c>
      <c r="AT515" s="16">
        <v>10503860887384</v>
      </c>
      <c r="AU515" s="16">
        <v>1819187190776</v>
      </c>
      <c r="AV515" s="16">
        <v>3238565869523</v>
      </c>
      <c r="AW515" s="16">
        <v>2159360611016</v>
      </c>
      <c r="AX515" s="16">
        <v>5455231594871</v>
      </c>
      <c r="AY515" s="16">
        <v>9122913000000</v>
      </c>
      <c r="AZ515" s="16">
        <v>4005422359442</v>
      </c>
      <c r="BA515" s="16">
        <v>21031516519448</v>
      </c>
      <c r="BB515" s="18">
        <v>1061324</v>
      </c>
      <c r="BC515" s="16">
        <v>6374064560966</v>
      </c>
      <c r="BD515" s="16">
        <v>5460671594871</v>
      </c>
      <c r="BE515" s="16">
        <v>9196780363611</v>
      </c>
      <c r="BF515" s="16">
        <v>9337580653532</v>
      </c>
      <c r="BG515" s="16">
        <v>5785849161570</v>
      </c>
      <c r="BH515" s="16">
        <v>141589152045</v>
      </c>
      <c r="BI515" s="16">
        <v>0</v>
      </c>
      <c r="BJ515" s="16">
        <v>2469024885012</v>
      </c>
      <c r="BK515" s="16">
        <v>0</v>
      </c>
      <c r="BL515" s="16">
        <v>0</v>
      </c>
      <c r="BM515" s="16">
        <v>6037114591</v>
      </c>
    </row>
    <row r="516" spans="1:65" x14ac:dyDescent="0.25">
      <c r="A516" s="32" t="s">
        <v>563</v>
      </c>
      <c r="B516" s="10">
        <v>3200</v>
      </c>
      <c r="C516" s="10" t="s">
        <v>564</v>
      </c>
      <c r="D516" s="11">
        <v>2266475435534</v>
      </c>
      <c r="E516" s="11">
        <v>408131997590</v>
      </c>
      <c r="F516" s="11">
        <v>34500000000</v>
      </c>
      <c r="G516" s="11">
        <v>45854690289</v>
      </c>
      <c r="H516" s="11">
        <v>2754962123413</v>
      </c>
      <c r="I516" s="11">
        <v>221965321639</v>
      </c>
      <c r="J516" s="11">
        <v>2532996801774</v>
      </c>
      <c r="K516" s="11">
        <v>2236915122074</v>
      </c>
      <c r="L516" s="11">
        <v>518047001339</v>
      </c>
      <c r="M516" s="12">
        <v>23.16</v>
      </c>
      <c r="N516" s="11">
        <v>5697371575568</v>
      </c>
      <c r="O516" s="12">
        <v>270.17</v>
      </c>
      <c r="P516" s="12">
        <v>224.93</v>
      </c>
      <c r="Q516" s="12">
        <v>1.1499999999999999</v>
      </c>
      <c r="R516" s="11">
        <v>7372990112621</v>
      </c>
      <c r="S516" s="11">
        <v>70104235349</v>
      </c>
      <c r="T516" s="11">
        <v>18997540518</v>
      </c>
      <c r="U516" s="11">
        <v>10548722390</v>
      </c>
      <c r="V516" s="11">
        <v>40557972441</v>
      </c>
      <c r="W516" s="11">
        <v>7443094347970</v>
      </c>
      <c r="X516" s="11">
        <v>334168499756</v>
      </c>
      <c r="Y516" s="11">
        <v>22981741117</v>
      </c>
      <c r="Z516" s="11">
        <v>7800244588843</v>
      </c>
      <c r="AA516" s="11">
        <v>5393570801795</v>
      </c>
      <c r="AB516" s="12">
        <v>38</v>
      </c>
      <c r="AC516" s="11">
        <v>4167480863200</v>
      </c>
      <c r="AD516" s="11">
        <v>4008918051151</v>
      </c>
      <c r="AE516" s="11">
        <v>1613095342119</v>
      </c>
      <c r="AF516" s="11">
        <v>48365515</v>
      </c>
      <c r="AG516" s="11">
        <v>0</v>
      </c>
      <c r="AH516" s="11">
        <v>0</v>
      </c>
      <c r="AI516" s="11">
        <v>0</v>
      </c>
      <c r="AJ516" s="12">
        <v>19</v>
      </c>
      <c r="AK516" s="11">
        <v>4197827427674</v>
      </c>
      <c r="AL516" s="12">
        <v>59</v>
      </c>
      <c r="AM516" s="11">
        <v>507847494937</v>
      </c>
      <c r="AN516" s="12">
        <v>36</v>
      </c>
      <c r="AO516" s="11">
        <v>285626092852</v>
      </c>
      <c r="AP516" s="11">
        <v>70104235349</v>
      </c>
      <c r="AQ516" s="11">
        <v>39838395737</v>
      </c>
      <c r="AR516" s="11">
        <v>30265839612</v>
      </c>
      <c r="AS516" s="12">
        <v>75.97</v>
      </c>
      <c r="AT516" s="11">
        <v>2639433529961</v>
      </c>
      <c r="AU516" s="11">
        <v>217799549620</v>
      </c>
      <c r="AV516" s="11">
        <v>796260262294</v>
      </c>
      <c r="AW516" s="11">
        <v>220199567916</v>
      </c>
      <c r="AX516" s="11">
        <v>428947605324</v>
      </c>
      <c r="AY516" s="11">
        <v>821068000000</v>
      </c>
      <c r="AZ516" s="11">
        <v>136721685072</v>
      </c>
      <c r="BA516" s="11">
        <v>2754962123413</v>
      </c>
      <c r="BB516" s="13">
        <v>67778</v>
      </c>
      <c r="BC516" s="11">
        <v>1316083244348</v>
      </c>
      <c r="BD516" s="11">
        <v>463447605324</v>
      </c>
      <c r="BE516" s="11">
        <v>975431273741</v>
      </c>
      <c r="BF516" s="11">
        <v>3063005891948</v>
      </c>
      <c r="BG516" s="11">
        <v>1104474971252</v>
      </c>
      <c r="BH516" s="11">
        <v>813373039604</v>
      </c>
      <c r="BI516" s="11">
        <v>26797660246</v>
      </c>
      <c r="BJ516" s="11">
        <v>647351245472</v>
      </c>
      <c r="BK516" s="11">
        <v>0</v>
      </c>
      <c r="BL516" s="11">
        <v>0</v>
      </c>
      <c r="BM516" s="11">
        <v>49310298</v>
      </c>
    </row>
    <row r="517" spans="1:65" x14ac:dyDescent="0.25">
      <c r="A517" s="32"/>
      <c r="B517" s="10">
        <v>3201</v>
      </c>
      <c r="C517" s="10" t="s">
        <v>565</v>
      </c>
      <c r="D517" s="11">
        <v>855915208610</v>
      </c>
      <c r="E517" s="11">
        <v>5824500614</v>
      </c>
      <c r="F517" s="11">
        <v>0</v>
      </c>
      <c r="G517" s="11">
        <v>0</v>
      </c>
      <c r="H517" s="11">
        <v>861739709224</v>
      </c>
      <c r="I517" s="11">
        <v>67571496559</v>
      </c>
      <c r="J517" s="11">
        <v>794168212665</v>
      </c>
      <c r="K517" s="11">
        <v>817482950232</v>
      </c>
      <c r="L517" s="11">
        <v>44256758992</v>
      </c>
      <c r="M517" s="12">
        <v>5.41</v>
      </c>
      <c r="N517" s="11">
        <v>923804772394</v>
      </c>
      <c r="O517" s="12">
        <v>113.43</v>
      </c>
      <c r="P517" s="12">
        <v>116.32</v>
      </c>
      <c r="Q517" s="12">
        <v>8.31</v>
      </c>
      <c r="R517" s="11">
        <v>892992568084</v>
      </c>
      <c r="S517" s="11">
        <v>84499784721</v>
      </c>
      <c r="T517" s="11">
        <v>70720370854</v>
      </c>
      <c r="U517" s="11">
        <v>12457120393</v>
      </c>
      <c r="V517" s="11">
        <v>1322293474</v>
      </c>
      <c r="W517" s="11">
        <v>977492352805</v>
      </c>
      <c r="X517" s="11">
        <v>43239238367</v>
      </c>
      <c r="Y517" s="11">
        <v>5570000000</v>
      </c>
      <c r="Z517" s="11">
        <v>1026301591172</v>
      </c>
      <c r="AA517" s="11">
        <v>868276144349</v>
      </c>
      <c r="AB517" s="12">
        <v>12.58</v>
      </c>
      <c r="AC517" s="11">
        <v>398344007560</v>
      </c>
      <c r="AD517" s="11">
        <v>398344007560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2">
        <v>0</v>
      </c>
      <c r="AK517" s="11">
        <v>0</v>
      </c>
      <c r="AL517" s="12">
        <v>8</v>
      </c>
      <c r="AM517" s="11">
        <v>22133307567</v>
      </c>
      <c r="AN517" s="12">
        <v>0</v>
      </c>
      <c r="AO517" s="11">
        <v>0</v>
      </c>
      <c r="AP517" s="11">
        <v>84499784721</v>
      </c>
      <c r="AQ517" s="11">
        <v>19102280783</v>
      </c>
      <c r="AR517" s="11">
        <v>65397503938</v>
      </c>
      <c r="AS517" s="12">
        <v>342.35</v>
      </c>
      <c r="AT517" s="11">
        <v>373381910509</v>
      </c>
      <c r="AU517" s="11">
        <v>69126058645</v>
      </c>
      <c r="AV517" s="11">
        <v>123819689313</v>
      </c>
      <c r="AW517" s="11">
        <v>122123890883</v>
      </c>
      <c r="AX517" s="11">
        <v>175035828414</v>
      </c>
      <c r="AY517" s="11">
        <v>434935800000</v>
      </c>
      <c r="AZ517" s="11">
        <v>73865952885</v>
      </c>
      <c r="BA517" s="11">
        <v>861739709224</v>
      </c>
      <c r="BB517" s="13">
        <v>105647</v>
      </c>
      <c r="BC517" s="11">
        <v>251768080810</v>
      </c>
      <c r="BD517" s="11">
        <v>175035828414</v>
      </c>
      <c r="BE517" s="11">
        <v>434935800000</v>
      </c>
      <c r="BF517" s="11">
        <v>194444007560</v>
      </c>
      <c r="BG517" s="11">
        <v>203900000000</v>
      </c>
      <c r="BH517" s="11">
        <v>0</v>
      </c>
      <c r="BI517" s="11">
        <v>0</v>
      </c>
      <c r="BJ517" s="11">
        <v>0</v>
      </c>
      <c r="BK517" s="11">
        <v>0</v>
      </c>
      <c r="BL517" s="11">
        <v>0</v>
      </c>
      <c r="BM517" s="11">
        <v>0</v>
      </c>
    </row>
    <row r="518" spans="1:65" x14ac:dyDescent="0.25">
      <c r="A518" s="32"/>
      <c r="B518" s="10">
        <v>3202</v>
      </c>
      <c r="C518" s="10" t="s">
        <v>566</v>
      </c>
      <c r="D518" s="11">
        <v>784805066631</v>
      </c>
      <c r="E518" s="11">
        <v>285062515529</v>
      </c>
      <c r="F518" s="11">
        <v>0</v>
      </c>
      <c r="G518" s="11">
        <v>0</v>
      </c>
      <c r="H518" s="11">
        <v>1069867582160</v>
      </c>
      <c r="I518" s="11">
        <v>98854055171</v>
      </c>
      <c r="J518" s="11">
        <v>971013526989</v>
      </c>
      <c r="K518" s="11">
        <v>855792074161</v>
      </c>
      <c r="L518" s="11">
        <v>214075507999</v>
      </c>
      <c r="M518" s="12">
        <v>25.01</v>
      </c>
      <c r="N518" s="11">
        <v>526885724383</v>
      </c>
      <c r="O518" s="12">
        <v>52.2</v>
      </c>
      <c r="P518" s="12">
        <v>54.26</v>
      </c>
      <c r="Q518" s="12">
        <v>3.04</v>
      </c>
      <c r="R518" s="11">
        <v>543632187899</v>
      </c>
      <c r="S518" s="11">
        <v>14886376685</v>
      </c>
      <c r="T518" s="11">
        <v>7539804449</v>
      </c>
      <c r="U518" s="11">
        <v>962497063</v>
      </c>
      <c r="V518" s="11">
        <v>6384075173</v>
      </c>
      <c r="W518" s="11">
        <v>558518564584</v>
      </c>
      <c r="X518" s="11">
        <v>41719815284</v>
      </c>
      <c r="Y518" s="11">
        <v>6075566170</v>
      </c>
      <c r="Z518" s="11">
        <v>606313946038</v>
      </c>
      <c r="AA518" s="11">
        <v>525133518227</v>
      </c>
      <c r="AB518" s="12">
        <v>6.36</v>
      </c>
      <c r="AC518" s="11">
        <v>232566531631</v>
      </c>
      <c r="AD518" s="11">
        <v>223413063140</v>
      </c>
      <c r="AE518" s="11">
        <v>9188558354</v>
      </c>
      <c r="AF518" s="11">
        <v>2817234142</v>
      </c>
      <c r="AG518" s="11">
        <v>0</v>
      </c>
      <c r="AH518" s="11">
        <v>0</v>
      </c>
      <c r="AI518" s="11">
        <v>0</v>
      </c>
      <c r="AJ518" s="12">
        <v>2</v>
      </c>
      <c r="AK518" s="11">
        <v>101500000000</v>
      </c>
      <c r="AL518" s="12">
        <v>48</v>
      </c>
      <c r="AM518" s="11">
        <v>2101751520162</v>
      </c>
      <c r="AN518" s="12">
        <v>7</v>
      </c>
      <c r="AO518" s="11">
        <v>891396169632</v>
      </c>
      <c r="AP518" s="11">
        <v>14886376685</v>
      </c>
      <c r="AQ518" s="11">
        <v>15291521502</v>
      </c>
      <c r="AR518" s="11">
        <v>-405144817</v>
      </c>
      <c r="AS518" s="12">
        <v>-2.65</v>
      </c>
      <c r="AT518" s="11">
        <v>249867732845</v>
      </c>
      <c r="AU518" s="11">
        <v>28149087270</v>
      </c>
      <c r="AV518" s="11">
        <v>205542537089</v>
      </c>
      <c r="AW518" s="11">
        <v>94593381874</v>
      </c>
      <c r="AX518" s="11">
        <v>174385147668</v>
      </c>
      <c r="AY518" s="11">
        <v>310284000000</v>
      </c>
      <c r="AZ518" s="11">
        <v>89821127227</v>
      </c>
      <c r="BA518" s="11">
        <v>1069867582160</v>
      </c>
      <c r="BB518" s="13">
        <v>83845</v>
      </c>
      <c r="BC518" s="11">
        <v>585198434492</v>
      </c>
      <c r="BD518" s="11">
        <v>174385147668</v>
      </c>
      <c r="BE518" s="11">
        <v>310284000000</v>
      </c>
      <c r="BF518" s="11">
        <v>177591968353</v>
      </c>
      <c r="BG518" s="11">
        <v>54974563278</v>
      </c>
      <c r="BH518" s="11">
        <v>0</v>
      </c>
      <c r="BI518" s="11">
        <v>0</v>
      </c>
      <c r="BJ518" s="11">
        <v>9244129465</v>
      </c>
      <c r="BK518" s="11">
        <v>0</v>
      </c>
      <c r="BL518" s="11">
        <v>0</v>
      </c>
      <c r="BM518" s="11">
        <v>2941655551</v>
      </c>
    </row>
    <row r="519" spans="1:65" x14ac:dyDescent="0.25">
      <c r="A519" s="32"/>
      <c r="B519" s="10">
        <v>3203</v>
      </c>
      <c r="C519" s="10" t="s">
        <v>567</v>
      </c>
      <c r="D519" s="11">
        <v>947745104532</v>
      </c>
      <c r="E519" s="11">
        <v>38350966171</v>
      </c>
      <c r="F519" s="11">
        <v>0</v>
      </c>
      <c r="G519" s="11">
        <v>0</v>
      </c>
      <c r="H519" s="11">
        <v>986096070703</v>
      </c>
      <c r="I519" s="11">
        <v>82469725961</v>
      </c>
      <c r="J519" s="11">
        <v>903626344742</v>
      </c>
      <c r="K519" s="11">
        <v>969578321439</v>
      </c>
      <c r="L519" s="11">
        <v>16517749264</v>
      </c>
      <c r="M519" s="12">
        <v>1.7</v>
      </c>
      <c r="N519" s="11">
        <v>1172478580461</v>
      </c>
      <c r="O519" s="12">
        <v>123.61</v>
      </c>
      <c r="P519" s="12">
        <v>129.75</v>
      </c>
      <c r="Q519" s="12">
        <v>7.28</v>
      </c>
      <c r="R519" s="11">
        <v>1126593062923</v>
      </c>
      <c r="S519" s="11">
        <v>92299964433</v>
      </c>
      <c r="T519" s="11">
        <v>35876739974</v>
      </c>
      <c r="U519" s="11">
        <v>29509116843</v>
      </c>
      <c r="V519" s="11">
        <v>26914107616</v>
      </c>
      <c r="W519" s="11">
        <v>1218893027356</v>
      </c>
      <c r="X519" s="11">
        <v>70007781911</v>
      </c>
      <c r="Y519" s="11">
        <v>5054000000</v>
      </c>
      <c r="Z519" s="11">
        <v>1293954809267</v>
      </c>
      <c r="AA519" s="11">
        <v>1131094553593</v>
      </c>
      <c r="AB519" s="12">
        <v>7.76</v>
      </c>
      <c r="AC519" s="11">
        <v>407163820412</v>
      </c>
      <c r="AD519" s="11">
        <v>407163820412</v>
      </c>
      <c r="AE519" s="11">
        <v>0</v>
      </c>
      <c r="AF519" s="11">
        <v>403365159</v>
      </c>
      <c r="AG519" s="11">
        <v>0</v>
      </c>
      <c r="AH519" s="11">
        <v>0</v>
      </c>
      <c r="AI519" s="11">
        <v>0</v>
      </c>
      <c r="AJ519" s="12">
        <v>0</v>
      </c>
      <c r="AK519" s="11">
        <v>0</v>
      </c>
      <c r="AL519" s="12">
        <v>23</v>
      </c>
      <c r="AM519" s="11">
        <v>265703989029</v>
      </c>
      <c r="AN519" s="12">
        <v>20</v>
      </c>
      <c r="AO519" s="11">
        <v>915469534640</v>
      </c>
      <c r="AP519" s="11">
        <v>92299964433</v>
      </c>
      <c r="AQ519" s="11">
        <v>94791981560</v>
      </c>
      <c r="AR519" s="11">
        <v>-2492017127</v>
      </c>
      <c r="AS519" s="12">
        <v>-2.63</v>
      </c>
      <c r="AT519" s="11">
        <v>423765731828</v>
      </c>
      <c r="AU519" s="11">
        <v>234258536325</v>
      </c>
      <c r="AV519" s="11">
        <v>130137263249</v>
      </c>
      <c r="AW519" s="11">
        <v>130140205297</v>
      </c>
      <c r="AX519" s="11">
        <v>147853635986</v>
      </c>
      <c r="AY519" s="11">
        <v>539614000000</v>
      </c>
      <c r="AZ519" s="11">
        <v>56786515609</v>
      </c>
      <c r="BA519" s="11">
        <v>986096070703</v>
      </c>
      <c r="BB519" s="13">
        <v>31403</v>
      </c>
      <c r="BC519" s="11">
        <v>298628434717</v>
      </c>
      <c r="BD519" s="11">
        <v>147853635986</v>
      </c>
      <c r="BE519" s="11">
        <v>539614000000</v>
      </c>
      <c r="BF519" s="11">
        <v>401263820412</v>
      </c>
      <c r="BG519" s="11">
        <v>5900000000</v>
      </c>
      <c r="BH519" s="11">
        <v>0</v>
      </c>
      <c r="BI519" s="11">
        <v>0</v>
      </c>
      <c r="BJ519" s="11">
        <v>0</v>
      </c>
      <c r="BK519" s="11">
        <v>0</v>
      </c>
      <c r="BL519" s="11">
        <v>0</v>
      </c>
      <c r="BM519" s="11">
        <v>406448415</v>
      </c>
    </row>
    <row r="520" spans="1:65" x14ac:dyDescent="0.25">
      <c r="A520" s="32"/>
      <c r="B520" s="10">
        <v>3204</v>
      </c>
      <c r="C520" s="10" t="s">
        <v>568</v>
      </c>
      <c r="D520" s="11">
        <v>762579275538</v>
      </c>
      <c r="E520" s="11">
        <v>2192161417</v>
      </c>
      <c r="F520" s="11">
        <v>0</v>
      </c>
      <c r="G520" s="11">
        <v>0</v>
      </c>
      <c r="H520" s="11">
        <v>764771436955</v>
      </c>
      <c r="I520" s="11">
        <v>63575536278</v>
      </c>
      <c r="J520" s="11">
        <v>701195900677</v>
      </c>
      <c r="K520" s="11">
        <v>591708268187</v>
      </c>
      <c r="L520" s="11">
        <v>173063168768</v>
      </c>
      <c r="M520" s="12">
        <v>29.25</v>
      </c>
      <c r="N520" s="11">
        <v>533745173431</v>
      </c>
      <c r="O520" s="12">
        <v>72.25</v>
      </c>
      <c r="P520" s="12">
        <v>76.12</v>
      </c>
      <c r="Q520" s="12">
        <v>6.56</v>
      </c>
      <c r="R520" s="11">
        <v>526192327267</v>
      </c>
      <c r="S520" s="11">
        <v>26335028102</v>
      </c>
      <c r="T520" s="11">
        <v>6583402098</v>
      </c>
      <c r="U520" s="11">
        <v>6085312278</v>
      </c>
      <c r="V520" s="11">
        <v>13666313726</v>
      </c>
      <c r="W520" s="11">
        <v>552527355369</v>
      </c>
      <c r="X520" s="11">
        <v>50644741668</v>
      </c>
      <c r="Y520" s="11">
        <v>5865684800</v>
      </c>
      <c r="Z520" s="11">
        <v>609037781837</v>
      </c>
      <c r="AA520" s="11">
        <v>448800442930</v>
      </c>
      <c r="AB520" s="12">
        <v>23.11</v>
      </c>
      <c r="AC520" s="11">
        <v>250417307500</v>
      </c>
      <c r="AD520" s="11">
        <v>250417307500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2">
        <v>0</v>
      </c>
      <c r="AK520" s="11">
        <v>0</v>
      </c>
      <c r="AL520" s="12">
        <v>3</v>
      </c>
      <c r="AM520" s="11">
        <v>12671487500</v>
      </c>
      <c r="AN520" s="12">
        <v>3</v>
      </c>
      <c r="AO520" s="11">
        <v>1732000000</v>
      </c>
      <c r="AP520" s="11">
        <v>26335028102</v>
      </c>
      <c r="AQ520" s="11">
        <v>25684282370</v>
      </c>
      <c r="AR520" s="11">
        <v>650745732</v>
      </c>
      <c r="AS520" s="12">
        <v>2.5299999999999998</v>
      </c>
      <c r="AT520" s="11">
        <v>197978993001</v>
      </c>
      <c r="AU520" s="11">
        <v>43630138504</v>
      </c>
      <c r="AV520" s="11">
        <v>97083606668</v>
      </c>
      <c r="AW520" s="11">
        <v>95803306892</v>
      </c>
      <c r="AX520" s="11">
        <v>221794361978</v>
      </c>
      <c r="AY520" s="11">
        <v>347898000000</v>
      </c>
      <c r="AZ520" s="11">
        <v>94868999627</v>
      </c>
      <c r="BA520" s="11">
        <v>764771436955</v>
      </c>
      <c r="BB520" s="13">
        <v>18764</v>
      </c>
      <c r="BC520" s="11">
        <v>195079074977</v>
      </c>
      <c r="BD520" s="11">
        <v>221794361978</v>
      </c>
      <c r="BE520" s="11">
        <v>347898000000</v>
      </c>
      <c r="BF520" s="11">
        <v>207927197500</v>
      </c>
      <c r="BG520" s="11">
        <v>42490110000</v>
      </c>
      <c r="BH520" s="11">
        <v>0</v>
      </c>
      <c r="BI520" s="11">
        <v>0</v>
      </c>
      <c r="BJ520" s="11">
        <v>0</v>
      </c>
      <c r="BK520" s="11">
        <v>0</v>
      </c>
      <c r="BL520" s="11">
        <v>0</v>
      </c>
      <c r="BM520" s="11">
        <v>0</v>
      </c>
    </row>
    <row r="521" spans="1:65" x14ac:dyDescent="0.25">
      <c r="A521" s="32"/>
      <c r="B521" s="10">
        <v>3205</v>
      </c>
      <c r="C521" s="10" t="s">
        <v>569</v>
      </c>
      <c r="D521" s="11">
        <v>1474961036424</v>
      </c>
      <c r="E521" s="11">
        <v>10469906464</v>
      </c>
      <c r="F521" s="11">
        <v>0</v>
      </c>
      <c r="G521" s="11">
        <v>0</v>
      </c>
      <c r="H521" s="11">
        <v>1485430942888</v>
      </c>
      <c r="I521" s="11">
        <v>123519584648</v>
      </c>
      <c r="J521" s="11">
        <v>1361911358240</v>
      </c>
      <c r="K521" s="11">
        <v>1434943343542</v>
      </c>
      <c r="L521" s="11">
        <v>50487599346</v>
      </c>
      <c r="M521" s="12">
        <v>3.52</v>
      </c>
      <c r="N521" s="11">
        <v>1143035278914</v>
      </c>
      <c r="O521" s="12">
        <v>84.71</v>
      </c>
      <c r="P521" s="12">
        <v>83.93</v>
      </c>
      <c r="Q521" s="12">
        <v>5.73</v>
      </c>
      <c r="R521" s="11">
        <v>1181465777582</v>
      </c>
      <c r="S521" s="11">
        <v>76824826601</v>
      </c>
      <c r="T521" s="11">
        <v>27146385119</v>
      </c>
      <c r="U521" s="11">
        <v>49137463077</v>
      </c>
      <c r="V521" s="11">
        <v>540978405</v>
      </c>
      <c r="W521" s="11">
        <v>1258290604183</v>
      </c>
      <c r="X521" s="11">
        <v>81715611895</v>
      </c>
      <c r="Y521" s="11">
        <v>8319996989</v>
      </c>
      <c r="Z521" s="11">
        <v>1348326213067</v>
      </c>
      <c r="AA521" s="11">
        <v>1250426975596</v>
      </c>
      <c r="AB521" s="12">
        <v>0.63</v>
      </c>
      <c r="AC521" s="11">
        <v>477422244696</v>
      </c>
      <c r="AD521" s="11">
        <v>477422244696</v>
      </c>
      <c r="AE521" s="11">
        <v>0</v>
      </c>
      <c r="AF521" s="11">
        <v>0</v>
      </c>
      <c r="AG521" s="11">
        <v>6135000000</v>
      </c>
      <c r="AH521" s="11">
        <v>0</v>
      </c>
      <c r="AI521" s="11">
        <v>0</v>
      </c>
      <c r="AJ521" s="12">
        <v>0</v>
      </c>
      <c r="AK521" s="11">
        <v>0</v>
      </c>
      <c r="AL521" s="12">
        <v>2</v>
      </c>
      <c r="AM521" s="11">
        <v>9718985335</v>
      </c>
      <c r="AN521" s="12">
        <v>3</v>
      </c>
      <c r="AO521" s="11">
        <v>16558985335</v>
      </c>
      <c r="AP521" s="11">
        <v>76824826601</v>
      </c>
      <c r="AQ521" s="11">
        <v>14537544286</v>
      </c>
      <c r="AR521" s="11">
        <v>62287282315</v>
      </c>
      <c r="AS521" s="12">
        <v>428.46</v>
      </c>
      <c r="AT521" s="11">
        <v>601390659539</v>
      </c>
      <c r="AU521" s="11">
        <v>105600980177</v>
      </c>
      <c r="AV521" s="11">
        <v>156910523229</v>
      </c>
      <c r="AW521" s="11">
        <v>197844647515</v>
      </c>
      <c r="AX521" s="11">
        <v>337744865680</v>
      </c>
      <c r="AY521" s="11">
        <v>782461000000</v>
      </c>
      <c r="AZ521" s="11">
        <v>160576978047</v>
      </c>
      <c r="BA521" s="11">
        <v>1485430942888</v>
      </c>
      <c r="BB521" s="13">
        <v>242966</v>
      </c>
      <c r="BC521" s="11">
        <v>365225077208</v>
      </c>
      <c r="BD521" s="11">
        <v>336994865680</v>
      </c>
      <c r="BE521" s="11">
        <v>783211000000</v>
      </c>
      <c r="BF521" s="11">
        <v>408922306644</v>
      </c>
      <c r="BG521" s="11">
        <v>68499938052</v>
      </c>
      <c r="BH521" s="11">
        <v>0</v>
      </c>
      <c r="BI521" s="11">
        <v>0</v>
      </c>
      <c r="BJ521" s="11">
        <v>0</v>
      </c>
      <c r="BK521" s="11">
        <v>0</v>
      </c>
      <c r="BL521" s="11">
        <v>0</v>
      </c>
      <c r="BM521" s="11">
        <v>0</v>
      </c>
    </row>
    <row r="522" spans="1:65" x14ac:dyDescent="0.25">
      <c r="A522" s="32"/>
      <c r="B522" s="10">
        <v>3206</v>
      </c>
      <c r="C522" s="10" t="s">
        <v>570</v>
      </c>
      <c r="D522" s="11">
        <v>1377231372529</v>
      </c>
      <c r="E522" s="11">
        <v>39756292225</v>
      </c>
      <c r="F522" s="11">
        <v>0</v>
      </c>
      <c r="G522" s="11">
        <v>0</v>
      </c>
      <c r="H522" s="11">
        <v>1416987664754</v>
      </c>
      <c r="I522" s="11">
        <v>112239971670</v>
      </c>
      <c r="J522" s="11">
        <v>1304747693084</v>
      </c>
      <c r="K522" s="11">
        <v>985973648088</v>
      </c>
      <c r="L522" s="11">
        <v>431014016666</v>
      </c>
      <c r="M522" s="12">
        <v>43.71</v>
      </c>
      <c r="N522" s="11">
        <v>797235747359</v>
      </c>
      <c r="O522" s="12">
        <v>60.24</v>
      </c>
      <c r="P522" s="12">
        <v>61.1</v>
      </c>
      <c r="Q522" s="12">
        <v>2.21</v>
      </c>
      <c r="R522" s="11">
        <v>832988919171</v>
      </c>
      <c r="S522" s="11">
        <v>20604349557</v>
      </c>
      <c r="T522" s="11">
        <v>15616351950</v>
      </c>
      <c r="U522" s="11">
        <v>4743440096</v>
      </c>
      <c r="V522" s="11">
        <v>244557511</v>
      </c>
      <c r="W522" s="11">
        <v>853593268728</v>
      </c>
      <c r="X522" s="11">
        <v>65845694872</v>
      </c>
      <c r="Y522" s="11">
        <v>15955935348</v>
      </c>
      <c r="Z522" s="11">
        <v>935394898948</v>
      </c>
      <c r="AA522" s="11">
        <v>427399125556</v>
      </c>
      <c r="AB522" s="12">
        <v>99.72</v>
      </c>
      <c r="AC522" s="11">
        <v>540748210400</v>
      </c>
      <c r="AD522" s="11">
        <v>533954579716</v>
      </c>
      <c r="AE522" s="11">
        <v>0</v>
      </c>
      <c r="AF522" s="11">
        <v>0</v>
      </c>
      <c r="AG522" s="11">
        <v>0</v>
      </c>
      <c r="AH522" s="11">
        <v>0</v>
      </c>
      <c r="AI522" s="11">
        <v>0</v>
      </c>
      <c r="AJ522" s="12">
        <v>0</v>
      </c>
      <c r="AK522" s="11">
        <v>0</v>
      </c>
      <c r="AL522" s="12">
        <v>11</v>
      </c>
      <c r="AM522" s="11">
        <v>327529835718</v>
      </c>
      <c r="AN522" s="12">
        <v>2</v>
      </c>
      <c r="AO522" s="11">
        <v>1000000000</v>
      </c>
      <c r="AP522" s="11">
        <v>20604349557</v>
      </c>
      <c r="AQ522" s="11">
        <v>12692065507</v>
      </c>
      <c r="AR522" s="11">
        <v>7912284050</v>
      </c>
      <c r="AS522" s="12">
        <v>62.34</v>
      </c>
      <c r="AT522" s="11">
        <v>198931878765</v>
      </c>
      <c r="AU522" s="11">
        <v>46298557791</v>
      </c>
      <c r="AV522" s="11">
        <v>139671259632</v>
      </c>
      <c r="AW522" s="11">
        <v>127840458606</v>
      </c>
      <c r="AX522" s="11">
        <v>329026654291</v>
      </c>
      <c r="AY522" s="11">
        <v>780693000000</v>
      </c>
      <c r="AZ522" s="11">
        <v>97277139764</v>
      </c>
      <c r="BA522" s="11">
        <v>1416987664754</v>
      </c>
      <c r="BB522" s="13">
        <v>94403</v>
      </c>
      <c r="BC522" s="11">
        <v>307268010463</v>
      </c>
      <c r="BD522" s="11">
        <v>329026654291</v>
      </c>
      <c r="BE522" s="11">
        <v>780693000000</v>
      </c>
      <c r="BF522" s="11">
        <v>272491091740</v>
      </c>
      <c r="BG522" s="11">
        <v>268257118660</v>
      </c>
      <c r="BH522" s="11">
        <v>0</v>
      </c>
      <c r="BI522" s="11">
        <v>0</v>
      </c>
      <c r="BJ522" s="11">
        <v>0</v>
      </c>
      <c r="BK522" s="11">
        <v>0</v>
      </c>
      <c r="BL522" s="11">
        <v>0</v>
      </c>
      <c r="BM522" s="11">
        <v>0</v>
      </c>
    </row>
    <row r="523" spans="1:65" x14ac:dyDescent="0.25">
      <c r="A523" s="32"/>
      <c r="B523" s="10">
        <v>3207</v>
      </c>
      <c r="C523" s="10" t="s">
        <v>571</v>
      </c>
      <c r="D523" s="11">
        <v>2143793311836</v>
      </c>
      <c r="E523" s="11">
        <v>28502784788</v>
      </c>
      <c r="F523" s="11">
        <v>0</v>
      </c>
      <c r="G523" s="11">
        <v>0</v>
      </c>
      <c r="H523" s="11">
        <v>2172296096624</v>
      </c>
      <c r="I523" s="11">
        <v>179176033679</v>
      </c>
      <c r="J523" s="11">
        <v>1993120062945</v>
      </c>
      <c r="K523" s="11">
        <v>2011375774296</v>
      </c>
      <c r="L523" s="11">
        <v>160920322328</v>
      </c>
      <c r="M523" s="12">
        <v>8</v>
      </c>
      <c r="N523" s="11">
        <v>1666862006264</v>
      </c>
      <c r="O523" s="12">
        <v>78.19</v>
      </c>
      <c r="P523" s="12">
        <v>83.63</v>
      </c>
      <c r="Q523" s="12">
        <v>0.9</v>
      </c>
      <c r="R523" s="11">
        <v>1682427279066</v>
      </c>
      <c r="S523" s="11">
        <v>16138568077</v>
      </c>
      <c r="T523" s="11">
        <v>12897992725</v>
      </c>
      <c r="U523" s="11">
        <v>3109450036</v>
      </c>
      <c r="V523" s="11">
        <v>131125316</v>
      </c>
      <c r="W523" s="11">
        <v>1698565847143</v>
      </c>
      <c r="X523" s="11">
        <v>135186102111</v>
      </c>
      <c r="Y523" s="11">
        <v>11400000000</v>
      </c>
      <c r="Z523" s="11">
        <v>1845151949254</v>
      </c>
      <c r="AA523" s="11">
        <v>1494481454850</v>
      </c>
      <c r="AB523" s="12">
        <v>13.66</v>
      </c>
      <c r="AC523" s="11">
        <v>756068480116</v>
      </c>
      <c r="AD523" s="11">
        <v>756068480116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2">
        <v>0</v>
      </c>
      <c r="AK523" s="11">
        <v>0</v>
      </c>
      <c r="AL523" s="12">
        <v>75</v>
      </c>
      <c r="AM523" s="11">
        <v>360551547242</v>
      </c>
      <c r="AN523" s="12">
        <v>15</v>
      </c>
      <c r="AO523" s="11">
        <v>88249460671</v>
      </c>
      <c r="AP523" s="11">
        <v>16138568077</v>
      </c>
      <c r="AQ523" s="11">
        <v>7349710177</v>
      </c>
      <c r="AR523" s="11">
        <v>8788857900</v>
      </c>
      <c r="AS523" s="12">
        <v>119.58</v>
      </c>
      <c r="AT523" s="11">
        <v>828385688003</v>
      </c>
      <c r="AU523" s="11">
        <v>160812294723</v>
      </c>
      <c r="AV523" s="11">
        <v>342269073035</v>
      </c>
      <c r="AW523" s="11">
        <v>309465811594</v>
      </c>
      <c r="AX523" s="11">
        <v>453140027207</v>
      </c>
      <c r="AY523" s="11">
        <v>1038918400000</v>
      </c>
      <c r="AZ523" s="11">
        <v>213605753007</v>
      </c>
      <c r="BA523" s="11">
        <v>2172296096624</v>
      </c>
      <c r="BB523" s="13">
        <v>89518</v>
      </c>
      <c r="BC523" s="11">
        <v>680237669417</v>
      </c>
      <c r="BD523" s="11">
        <v>451840027207</v>
      </c>
      <c r="BE523" s="11">
        <v>1040218400000</v>
      </c>
      <c r="BF523" s="11">
        <v>456617205661</v>
      </c>
      <c r="BG523" s="11">
        <v>299451274455</v>
      </c>
      <c r="BH523" s="11">
        <v>0</v>
      </c>
      <c r="BI523" s="11">
        <v>0</v>
      </c>
      <c r="BJ523" s="11">
        <v>0</v>
      </c>
      <c r="BK523" s="11">
        <v>0</v>
      </c>
      <c r="BL523" s="11">
        <v>0</v>
      </c>
      <c r="BM523" s="11">
        <v>0</v>
      </c>
    </row>
    <row r="524" spans="1:65" x14ac:dyDescent="0.25">
      <c r="A524" s="32"/>
      <c r="B524" s="10">
        <v>3208</v>
      </c>
      <c r="C524" s="10" t="s">
        <v>572</v>
      </c>
      <c r="D524" s="11">
        <v>702053363987</v>
      </c>
      <c r="E524" s="11">
        <v>5297830866</v>
      </c>
      <c r="F524" s="11">
        <v>0</v>
      </c>
      <c r="G524" s="11">
        <v>0</v>
      </c>
      <c r="H524" s="11">
        <v>707351194853</v>
      </c>
      <c r="I524" s="11">
        <v>58432983758</v>
      </c>
      <c r="J524" s="11">
        <v>648918211095</v>
      </c>
      <c r="K524" s="11">
        <v>787486947992</v>
      </c>
      <c r="L524" s="11">
        <v>-80135753139</v>
      </c>
      <c r="M524" s="12">
        <v>-10.18</v>
      </c>
      <c r="N524" s="11">
        <v>573259458553</v>
      </c>
      <c r="O524" s="12">
        <v>87.25</v>
      </c>
      <c r="P524" s="12">
        <v>88.34</v>
      </c>
      <c r="Q524" s="12">
        <v>3.96</v>
      </c>
      <c r="R524" s="11">
        <v>592389794908</v>
      </c>
      <c r="S524" s="11">
        <v>24742726999</v>
      </c>
      <c r="T524" s="11">
        <v>11195192222</v>
      </c>
      <c r="U524" s="11">
        <v>4447295361</v>
      </c>
      <c r="V524" s="11">
        <v>9100239416</v>
      </c>
      <c r="W524" s="11">
        <v>617132521907</v>
      </c>
      <c r="X524" s="11">
        <v>42155072143</v>
      </c>
      <c r="Y524" s="11">
        <v>4748732000</v>
      </c>
      <c r="Z524" s="11">
        <v>664036326050</v>
      </c>
      <c r="AA524" s="11">
        <v>606292356033</v>
      </c>
      <c r="AB524" s="12">
        <v>1.79</v>
      </c>
      <c r="AC524" s="11">
        <v>191985018698</v>
      </c>
      <c r="AD524" s="11">
        <v>191985018698</v>
      </c>
      <c r="AE524" s="11">
        <v>0</v>
      </c>
      <c r="AF524" s="11">
        <v>0</v>
      </c>
      <c r="AG524" s="11">
        <v>0</v>
      </c>
      <c r="AH524" s="11">
        <v>0</v>
      </c>
      <c r="AI524" s="11">
        <v>0</v>
      </c>
      <c r="AJ524" s="12">
        <v>0</v>
      </c>
      <c r="AK524" s="11">
        <v>0</v>
      </c>
      <c r="AL524" s="12">
        <v>1</v>
      </c>
      <c r="AM524" s="11">
        <v>1000000000</v>
      </c>
      <c r="AN524" s="12">
        <v>45</v>
      </c>
      <c r="AO524" s="11">
        <v>25765253346</v>
      </c>
      <c r="AP524" s="11">
        <v>24742726999</v>
      </c>
      <c r="AQ524" s="11">
        <v>20325252370</v>
      </c>
      <c r="AR524" s="11">
        <v>4417474629</v>
      </c>
      <c r="AS524" s="12">
        <v>21.73</v>
      </c>
      <c r="AT524" s="11">
        <v>228644447648</v>
      </c>
      <c r="AU524" s="11">
        <v>37907645309</v>
      </c>
      <c r="AV524" s="11">
        <v>184307933383</v>
      </c>
      <c r="AW524" s="11">
        <v>62026566054</v>
      </c>
      <c r="AX524" s="11">
        <v>165927864550</v>
      </c>
      <c r="AY524" s="11">
        <v>289791000000</v>
      </c>
      <c r="AZ524" s="11">
        <v>87146336707</v>
      </c>
      <c r="BA524" s="11">
        <v>707351194853</v>
      </c>
      <c r="BB524" s="13">
        <v>37503</v>
      </c>
      <c r="BC524" s="11">
        <v>251632330303</v>
      </c>
      <c r="BD524" s="11">
        <v>165927864550</v>
      </c>
      <c r="BE524" s="11">
        <v>289791000000</v>
      </c>
      <c r="BF524" s="11">
        <v>169218490094</v>
      </c>
      <c r="BG524" s="11">
        <v>22766528604</v>
      </c>
      <c r="BH524" s="11">
        <v>0</v>
      </c>
      <c r="BI524" s="11">
        <v>0</v>
      </c>
      <c r="BJ524" s="11">
        <v>0</v>
      </c>
      <c r="BK524" s="11">
        <v>0</v>
      </c>
      <c r="BL524" s="11">
        <v>0</v>
      </c>
      <c r="BM524" s="11">
        <v>0</v>
      </c>
    </row>
    <row r="525" spans="1:65" x14ac:dyDescent="0.25">
      <c r="A525" s="32"/>
      <c r="B525" s="10">
        <v>3209</v>
      </c>
      <c r="C525" s="10" t="s">
        <v>573</v>
      </c>
      <c r="D525" s="11">
        <v>652179047596</v>
      </c>
      <c r="E525" s="11">
        <v>25148630529</v>
      </c>
      <c r="F525" s="11">
        <v>0</v>
      </c>
      <c r="G525" s="11">
        <v>0</v>
      </c>
      <c r="H525" s="11">
        <v>677327678125</v>
      </c>
      <c r="I525" s="11">
        <v>58638942384</v>
      </c>
      <c r="J525" s="11">
        <v>618688735741</v>
      </c>
      <c r="K525" s="11">
        <v>547292254092</v>
      </c>
      <c r="L525" s="11">
        <v>130035424033</v>
      </c>
      <c r="M525" s="12">
        <v>23.76</v>
      </c>
      <c r="N525" s="11">
        <v>1332885197108</v>
      </c>
      <c r="O525" s="12">
        <v>223.5</v>
      </c>
      <c r="P525" s="12">
        <v>215.44</v>
      </c>
      <c r="Q525" s="12">
        <v>3.35</v>
      </c>
      <c r="R525" s="11">
        <v>1462420498806</v>
      </c>
      <c r="S525" s="11">
        <v>51377124925</v>
      </c>
      <c r="T525" s="11">
        <v>31632861904</v>
      </c>
      <c r="U525" s="11">
        <v>15966544572</v>
      </c>
      <c r="V525" s="11">
        <v>3777718449</v>
      </c>
      <c r="W525" s="11">
        <v>1513797623731</v>
      </c>
      <c r="X525" s="11">
        <v>68751051562</v>
      </c>
      <c r="Y525" s="11">
        <v>6321820000</v>
      </c>
      <c r="Z525" s="11">
        <v>1588870495293</v>
      </c>
      <c r="AA525" s="11">
        <v>818936385878</v>
      </c>
      <c r="AB525" s="12">
        <v>84.85</v>
      </c>
      <c r="AC525" s="11">
        <v>1059851540023</v>
      </c>
      <c r="AD525" s="11">
        <v>696278243128</v>
      </c>
      <c r="AE525" s="11">
        <v>0</v>
      </c>
      <c r="AF525" s="11">
        <v>0</v>
      </c>
      <c r="AG525" s="11">
        <v>0</v>
      </c>
      <c r="AH525" s="11">
        <v>0</v>
      </c>
      <c r="AI525" s="11">
        <v>5000000000</v>
      </c>
      <c r="AJ525" s="12">
        <v>0</v>
      </c>
      <c r="AK525" s="11">
        <v>0</v>
      </c>
      <c r="AL525" s="12">
        <v>27</v>
      </c>
      <c r="AM525" s="11">
        <v>256361981034</v>
      </c>
      <c r="AN525" s="12">
        <v>21</v>
      </c>
      <c r="AO525" s="11">
        <v>151094568287</v>
      </c>
      <c r="AP525" s="11">
        <v>51377124925</v>
      </c>
      <c r="AQ525" s="11">
        <v>42736235865</v>
      </c>
      <c r="AR525" s="11">
        <v>8640889060</v>
      </c>
      <c r="AS525" s="12">
        <v>20.22</v>
      </c>
      <c r="AT525" s="11">
        <v>419196366336</v>
      </c>
      <c r="AU525" s="11">
        <v>194530184188</v>
      </c>
      <c r="AV525" s="11">
        <v>82602076225</v>
      </c>
      <c r="AW525" s="11">
        <v>63411683338</v>
      </c>
      <c r="AX525" s="11">
        <v>105726288033</v>
      </c>
      <c r="AY525" s="11">
        <v>400439000000</v>
      </c>
      <c r="AZ525" s="11">
        <v>43481774584</v>
      </c>
      <c r="BA525" s="11">
        <v>677327678125</v>
      </c>
      <c r="BB525" s="13">
        <v>23054</v>
      </c>
      <c r="BC525" s="11">
        <v>171162390092</v>
      </c>
      <c r="BD525" s="11">
        <v>105726288033</v>
      </c>
      <c r="BE525" s="11">
        <v>400439000000</v>
      </c>
      <c r="BF525" s="11">
        <v>1023377540023</v>
      </c>
      <c r="BG525" s="11">
        <v>36474000000</v>
      </c>
      <c r="BH525" s="11">
        <v>0</v>
      </c>
      <c r="BI525" s="11">
        <v>0</v>
      </c>
      <c r="BJ525" s="11">
        <v>0</v>
      </c>
      <c r="BK525" s="11">
        <v>0</v>
      </c>
      <c r="BL525" s="11">
        <v>0</v>
      </c>
      <c r="BM525" s="11">
        <v>0</v>
      </c>
    </row>
    <row r="526" spans="1:65" x14ac:dyDescent="0.25">
      <c r="A526" s="32"/>
      <c r="B526" s="10">
        <v>3210</v>
      </c>
      <c r="C526" s="10" t="s">
        <v>574</v>
      </c>
      <c r="D526" s="11">
        <v>568883961941</v>
      </c>
      <c r="E526" s="11">
        <v>3007060349</v>
      </c>
      <c r="F526" s="11">
        <v>0</v>
      </c>
      <c r="G526" s="11">
        <v>0</v>
      </c>
      <c r="H526" s="11">
        <v>571891022290</v>
      </c>
      <c r="I526" s="11">
        <v>40999677975</v>
      </c>
      <c r="J526" s="11">
        <v>530891344315</v>
      </c>
      <c r="K526" s="11">
        <v>494124031208</v>
      </c>
      <c r="L526" s="11">
        <v>77766991082</v>
      </c>
      <c r="M526" s="12">
        <v>15.74</v>
      </c>
      <c r="N526" s="11">
        <v>453126033513</v>
      </c>
      <c r="O526" s="12">
        <v>80.03</v>
      </c>
      <c r="P526" s="12">
        <v>85.35</v>
      </c>
      <c r="Q526" s="12">
        <v>3.44</v>
      </c>
      <c r="R526" s="11">
        <v>443067192056</v>
      </c>
      <c r="S526" s="11">
        <v>14634254826</v>
      </c>
      <c r="T526" s="11">
        <v>8613681877</v>
      </c>
      <c r="U526" s="11">
        <v>4343622207</v>
      </c>
      <c r="V526" s="11">
        <v>1676950742</v>
      </c>
      <c r="W526" s="11">
        <v>457701446882</v>
      </c>
      <c r="X526" s="11">
        <v>38821361397</v>
      </c>
      <c r="Y526" s="11">
        <v>4901000000</v>
      </c>
      <c r="Z526" s="11">
        <v>501423808279</v>
      </c>
      <c r="AA526" s="11">
        <v>347006024872</v>
      </c>
      <c r="AB526" s="12">
        <v>31.9</v>
      </c>
      <c r="AC526" s="11">
        <v>234831576507</v>
      </c>
      <c r="AD526" s="11">
        <v>234831576507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2">
        <v>0</v>
      </c>
      <c r="AK526" s="11">
        <v>0</v>
      </c>
      <c r="AL526" s="12">
        <v>0</v>
      </c>
      <c r="AM526" s="11">
        <v>0</v>
      </c>
      <c r="AN526" s="12">
        <v>0</v>
      </c>
      <c r="AO526" s="11">
        <v>0</v>
      </c>
      <c r="AP526" s="11">
        <v>14634254826</v>
      </c>
      <c r="AQ526" s="11">
        <v>6508771316</v>
      </c>
      <c r="AR526" s="11">
        <v>8125483510</v>
      </c>
      <c r="AS526" s="12">
        <v>124.84</v>
      </c>
      <c r="AT526" s="11">
        <v>127469198177</v>
      </c>
      <c r="AU526" s="11">
        <v>40266862500</v>
      </c>
      <c r="AV526" s="11">
        <v>122096037588</v>
      </c>
      <c r="AW526" s="11">
        <v>129628319481</v>
      </c>
      <c r="AX526" s="11">
        <v>107751604872</v>
      </c>
      <c r="AY526" s="11">
        <v>209408000000</v>
      </c>
      <c r="AZ526" s="11">
        <v>65382674558</v>
      </c>
      <c r="BA526" s="11">
        <v>571891022290</v>
      </c>
      <c r="BB526" s="13">
        <v>21462</v>
      </c>
      <c r="BC526" s="11">
        <v>254731417418</v>
      </c>
      <c r="BD526" s="11">
        <v>107751604872</v>
      </c>
      <c r="BE526" s="11">
        <v>209408000000</v>
      </c>
      <c r="BF526" s="11">
        <v>201357787803</v>
      </c>
      <c r="BG526" s="11">
        <v>33473788704</v>
      </c>
      <c r="BH526" s="11">
        <v>0</v>
      </c>
      <c r="BI526" s="11">
        <v>0</v>
      </c>
      <c r="BJ526" s="11">
        <v>0</v>
      </c>
      <c r="BK526" s="11">
        <v>0</v>
      </c>
      <c r="BL526" s="11">
        <v>0</v>
      </c>
      <c r="BM526" s="11">
        <v>0</v>
      </c>
    </row>
    <row r="527" spans="1:65" x14ac:dyDescent="0.25">
      <c r="A527" s="32"/>
      <c r="B527" s="10">
        <v>3211</v>
      </c>
      <c r="C527" s="10" t="s">
        <v>575</v>
      </c>
      <c r="D527" s="11">
        <v>641312413030</v>
      </c>
      <c r="E527" s="11">
        <v>4875261181</v>
      </c>
      <c r="F527" s="11">
        <v>0</v>
      </c>
      <c r="G527" s="11">
        <v>0</v>
      </c>
      <c r="H527" s="11">
        <v>646187674211</v>
      </c>
      <c r="I527" s="11">
        <v>54319372647</v>
      </c>
      <c r="J527" s="11">
        <v>591868301564</v>
      </c>
      <c r="K527" s="11">
        <v>611569239287</v>
      </c>
      <c r="L527" s="11">
        <v>34618434924</v>
      </c>
      <c r="M527" s="12">
        <v>5.66</v>
      </c>
      <c r="N527" s="11">
        <v>463195547027</v>
      </c>
      <c r="O527" s="12">
        <v>72.25</v>
      </c>
      <c r="P527" s="12">
        <v>78.260000000000005</v>
      </c>
      <c r="Q527" s="12">
        <v>7.63</v>
      </c>
      <c r="R527" s="11">
        <v>427438113835</v>
      </c>
      <c r="S527" s="11">
        <v>39408085665</v>
      </c>
      <c r="T527" s="11">
        <v>16973895336</v>
      </c>
      <c r="U527" s="11">
        <v>3817930525</v>
      </c>
      <c r="V527" s="11">
        <v>18616259804</v>
      </c>
      <c r="W527" s="11">
        <v>466846199500</v>
      </c>
      <c r="X527" s="11">
        <v>42960074846</v>
      </c>
      <c r="Y527" s="11">
        <v>7000000000</v>
      </c>
      <c r="Z527" s="11">
        <v>516806274346</v>
      </c>
      <c r="AA527" s="11">
        <v>423954879520</v>
      </c>
      <c r="AB527" s="12">
        <v>10.119999999999999</v>
      </c>
      <c r="AC527" s="11">
        <v>200647359207</v>
      </c>
      <c r="AD527" s="11">
        <v>200647359207</v>
      </c>
      <c r="AE527" s="11">
        <v>0</v>
      </c>
      <c r="AF527" s="11">
        <v>18000000000</v>
      </c>
      <c r="AG527" s="11">
        <v>0</v>
      </c>
      <c r="AH527" s="11">
        <v>0</v>
      </c>
      <c r="AI527" s="11">
        <v>0</v>
      </c>
      <c r="AJ527" s="12">
        <v>0</v>
      </c>
      <c r="AK527" s="11">
        <v>0</v>
      </c>
      <c r="AL527" s="12">
        <v>2</v>
      </c>
      <c r="AM527" s="11">
        <v>20450000000</v>
      </c>
      <c r="AN527" s="12">
        <v>0</v>
      </c>
      <c r="AO527" s="11">
        <v>0</v>
      </c>
      <c r="AP527" s="11">
        <v>39408085665</v>
      </c>
      <c r="AQ527" s="11">
        <v>9015239026</v>
      </c>
      <c r="AR527" s="11">
        <v>30392846639</v>
      </c>
      <c r="AS527" s="12">
        <v>337.13</v>
      </c>
      <c r="AT527" s="11">
        <v>191639153170</v>
      </c>
      <c r="AU527" s="11">
        <v>74969212813</v>
      </c>
      <c r="AV527" s="11">
        <v>70325754996</v>
      </c>
      <c r="AW527" s="11">
        <v>38594915568</v>
      </c>
      <c r="AX527" s="11">
        <v>204959142466</v>
      </c>
      <c r="AY527" s="11">
        <v>327432600000</v>
      </c>
      <c r="AZ527" s="11">
        <v>90818622918</v>
      </c>
      <c r="BA527" s="11">
        <v>646187674211</v>
      </c>
      <c r="BB527" s="13">
        <v>76290</v>
      </c>
      <c r="BC527" s="11">
        <v>113795931745</v>
      </c>
      <c r="BD527" s="11">
        <v>204859142466</v>
      </c>
      <c r="BE527" s="11">
        <v>327532600000</v>
      </c>
      <c r="BF527" s="11">
        <v>153558982527</v>
      </c>
      <c r="BG527" s="11">
        <v>47088376680</v>
      </c>
      <c r="BH527" s="11">
        <v>0</v>
      </c>
      <c r="BI527" s="11">
        <v>0</v>
      </c>
      <c r="BJ527" s="11">
        <v>0</v>
      </c>
      <c r="BK527" s="11">
        <v>0</v>
      </c>
      <c r="BL527" s="11">
        <v>18000000000</v>
      </c>
      <c r="BM527" s="11">
        <v>0</v>
      </c>
    </row>
    <row r="528" spans="1:65" x14ac:dyDescent="0.25">
      <c r="A528" s="32"/>
      <c r="B528" s="10">
        <v>3212</v>
      </c>
      <c r="C528" s="10" t="s">
        <v>576</v>
      </c>
      <c r="D528" s="11">
        <v>635967008587</v>
      </c>
      <c r="E528" s="11">
        <v>42170545486</v>
      </c>
      <c r="F528" s="11">
        <v>0</v>
      </c>
      <c r="G528" s="11">
        <v>0</v>
      </c>
      <c r="H528" s="11">
        <v>678137554073</v>
      </c>
      <c r="I528" s="11">
        <v>56877225061</v>
      </c>
      <c r="J528" s="11">
        <v>621260329012</v>
      </c>
      <c r="K528" s="11">
        <v>840689860995</v>
      </c>
      <c r="L528" s="11">
        <v>-162552306922</v>
      </c>
      <c r="M528" s="12">
        <v>-19.34</v>
      </c>
      <c r="N528" s="11">
        <v>719445135793</v>
      </c>
      <c r="O528" s="12">
        <v>118.47</v>
      </c>
      <c r="P528" s="12">
        <v>115.8</v>
      </c>
      <c r="Q528" s="12">
        <v>5.69</v>
      </c>
      <c r="R528" s="11">
        <v>767244941454</v>
      </c>
      <c r="S528" s="11">
        <v>36157481433</v>
      </c>
      <c r="T528" s="11">
        <v>25859950262</v>
      </c>
      <c r="U528" s="11">
        <v>3098041472</v>
      </c>
      <c r="V528" s="11">
        <v>7199489699</v>
      </c>
      <c r="W528" s="11">
        <v>803402422887</v>
      </c>
      <c r="X528" s="11">
        <v>60687156661</v>
      </c>
      <c r="Y528" s="11">
        <v>6466963800</v>
      </c>
      <c r="Z528" s="11">
        <v>870556543348</v>
      </c>
      <c r="AA528" s="11">
        <v>876263263823</v>
      </c>
      <c r="AB528" s="12">
        <v>-8.31</v>
      </c>
      <c r="AC528" s="11">
        <v>226231275153</v>
      </c>
      <c r="AD528" s="11">
        <v>226231275153</v>
      </c>
      <c r="AE528" s="11">
        <v>12210658816</v>
      </c>
      <c r="AF528" s="11">
        <v>279240953</v>
      </c>
      <c r="AG528" s="11">
        <v>0</v>
      </c>
      <c r="AH528" s="11">
        <v>0</v>
      </c>
      <c r="AI528" s="11">
        <v>0</v>
      </c>
      <c r="AJ528" s="12">
        <v>7</v>
      </c>
      <c r="AK528" s="11">
        <v>127544156775</v>
      </c>
      <c r="AL528" s="12">
        <v>15</v>
      </c>
      <c r="AM528" s="11">
        <v>205373135030</v>
      </c>
      <c r="AN528" s="12">
        <v>6</v>
      </c>
      <c r="AO528" s="11">
        <v>58674000000</v>
      </c>
      <c r="AP528" s="11">
        <v>36157481433</v>
      </c>
      <c r="AQ528" s="11">
        <v>14973206755</v>
      </c>
      <c r="AR528" s="11">
        <v>21184274678</v>
      </c>
      <c r="AS528" s="12">
        <v>141.47999999999999</v>
      </c>
      <c r="AT528" s="11">
        <v>352464492636</v>
      </c>
      <c r="AU528" s="11">
        <v>65495440896</v>
      </c>
      <c r="AV528" s="11">
        <v>121933918890</v>
      </c>
      <c r="AW528" s="11">
        <v>64291872280</v>
      </c>
      <c r="AX528" s="11">
        <v>160200717417</v>
      </c>
      <c r="AY528" s="11">
        <v>289540500000</v>
      </c>
      <c r="AZ528" s="11">
        <v>37715309156</v>
      </c>
      <c r="BA528" s="11">
        <v>678137554073</v>
      </c>
      <c r="BB528" s="13">
        <v>33729</v>
      </c>
      <c r="BC528" s="11">
        <v>228396336656</v>
      </c>
      <c r="BD528" s="11">
        <v>160200717417</v>
      </c>
      <c r="BE528" s="11">
        <v>289540500000</v>
      </c>
      <c r="BF528" s="11">
        <v>198731275153</v>
      </c>
      <c r="BG528" s="11">
        <v>27500000000</v>
      </c>
      <c r="BH528" s="11">
        <v>3517514880</v>
      </c>
      <c r="BI528" s="11">
        <v>0</v>
      </c>
      <c r="BJ528" s="11">
        <v>8740733554</v>
      </c>
      <c r="BK528" s="11">
        <v>0</v>
      </c>
      <c r="BL528" s="11">
        <v>0</v>
      </c>
      <c r="BM528" s="11">
        <v>279478116</v>
      </c>
    </row>
    <row r="529" spans="1:65" x14ac:dyDescent="0.25">
      <c r="A529" s="32"/>
      <c r="B529" s="10">
        <v>3213</v>
      </c>
      <c r="C529" s="10" t="s">
        <v>577</v>
      </c>
      <c r="D529" s="11">
        <v>729752118713</v>
      </c>
      <c r="E529" s="11">
        <v>1208527188</v>
      </c>
      <c r="F529" s="11">
        <v>0</v>
      </c>
      <c r="G529" s="11">
        <v>0</v>
      </c>
      <c r="H529" s="11">
        <v>730960645901</v>
      </c>
      <c r="I529" s="11">
        <v>59731819869</v>
      </c>
      <c r="J529" s="11">
        <v>671228826032</v>
      </c>
      <c r="K529" s="11">
        <v>623924266746</v>
      </c>
      <c r="L529" s="11">
        <v>107036379155</v>
      </c>
      <c r="M529" s="12">
        <v>17.16</v>
      </c>
      <c r="N529" s="11">
        <v>694810619300</v>
      </c>
      <c r="O529" s="12">
        <v>99.52</v>
      </c>
      <c r="P529" s="12">
        <v>103.51</v>
      </c>
      <c r="Q529" s="12">
        <v>4.66</v>
      </c>
      <c r="R529" s="11">
        <v>692232070129</v>
      </c>
      <c r="S529" s="11">
        <v>35188619476</v>
      </c>
      <c r="T529" s="11">
        <v>17735439566</v>
      </c>
      <c r="U529" s="11">
        <v>11978849601</v>
      </c>
      <c r="V529" s="11">
        <v>5474330309</v>
      </c>
      <c r="W529" s="11">
        <v>727420689605</v>
      </c>
      <c r="X529" s="11">
        <v>50160924231</v>
      </c>
      <c r="Y529" s="11">
        <v>2650000000</v>
      </c>
      <c r="Z529" s="11">
        <v>780231613836</v>
      </c>
      <c r="AA529" s="11">
        <v>648633119017</v>
      </c>
      <c r="AB529" s="12">
        <v>12.15</v>
      </c>
      <c r="AC529" s="11">
        <v>287042563260</v>
      </c>
      <c r="AD529" s="11">
        <v>287042563260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2">
        <v>0</v>
      </c>
      <c r="AK529" s="11">
        <v>0</v>
      </c>
      <c r="AL529" s="12">
        <v>3</v>
      </c>
      <c r="AM529" s="11">
        <v>56076800000</v>
      </c>
      <c r="AN529" s="12">
        <v>1</v>
      </c>
      <c r="AO529" s="11">
        <v>9000000000</v>
      </c>
      <c r="AP529" s="11">
        <v>35188619476</v>
      </c>
      <c r="AQ529" s="11">
        <v>28261786267</v>
      </c>
      <c r="AR529" s="11">
        <v>6926833209</v>
      </c>
      <c r="AS529" s="12">
        <v>24.51</v>
      </c>
      <c r="AT529" s="11">
        <v>285112996945</v>
      </c>
      <c r="AU529" s="11">
        <v>68067977879</v>
      </c>
      <c r="AV529" s="11">
        <v>183866779734</v>
      </c>
      <c r="AW529" s="11">
        <v>111858773462</v>
      </c>
      <c r="AX529" s="11">
        <v>213409165517</v>
      </c>
      <c r="AY529" s="11">
        <v>220617400000</v>
      </c>
      <c r="AZ529" s="11">
        <v>97116217340</v>
      </c>
      <c r="BA529" s="11">
        <v>730960645901</v>
      </c>
      <c r="BB529" s="13">
        <v>44397</v>
      </c>
      <c r="BC529" s="11">
        <v>296934080384</v>
      </c>
      <c r="BD529" s="11">
        <v>213409165517</v>
      </c>
      <c r="BE529" s="11">
        <v>220617400000</v>
      </c>
      <c r="BF529" s="11">
        <v>261943263260</v>
      </c>
      <c r="BG529" s="11">
        <v>25099300000</v>
      </c>
      <c r="BH529" s="11">
        <v>0</v>
      </c>
      <c r="BI529" s="11">
        <v>0</v>
      </c>
      <c r="BJ529" s="11">
        <v>0</v>
      </c>
      <c r="BK529" s="11">
        <v>0</v>
      </c>
      <c r="BL529" s="11">
        <v>0</v>
      </c>
      <c r="BM529" s="11">
        <v>0</v>
      </c>
    </row>
    <row r="530" spans="1:65" x14ac:dyDescent="0.25">
      <c r="A530" s="32"/>
      <c r="B530" s="10">
        <v>3214</v>
      </c>
      <c r="C530" s="10" t="s">
        <v>578</v>
      </c>
      <c r="D530" s="11">
        <v>519705265672</v>
      </c>
      <c r="E530" s="11">
        <v>3415556253</v>
      </c>
      <c r="F530" s="11">
        <v>0</v>
      </c>
      <c r="G530" s="11">
        <v>0</v>
      </c>
      <c r="H530" s="11">
        <v>523120821925</v>
      </c>
      <c r="I530" s="11">
        <v>42361787373</v>
      </c>
      <c r="J530" s="11">
        <v>480759034552</v>
      </c>
      <c r="K530" s="11">
        <v>570978071595</v>
      </c>
      <c r="L530" s="11">
        <v>-47857249670</v>
      </c>
      <c r="M530" s="12">
        <v>-8.3800000000000008</v>
      </c>
      <c r="N530" s="11">
        <v>332825921072</v>
      </c>
      <c r="O530" s="12">
        <v>64.86</v>
      </c>
      <c r="P530" s="12">
        <v>69.23</v>
      </c>
      <c r="Q530" s="12">
        <v>3.32</v>
      </c>
      <c r="R530" s="11">
        <v>330170054065</v>
      </c>
      <c r="S530" s="11">
        <v>9110248434</v>
      </c>
      <c r="T530" s="11">
        <v>3842008464</v>
      </c>
      <c r="U530" s="11">
        <v>2932373842</v>
      </c>
      <c r="V530" s="11">
        <v>2335866128</v>
      </c>
      <c r="W530" s="11">
        <v>339280302499</v>
      </c>
      <c r="X530" s="11">
        <v>34074227442</v>
      </c>
      <c r="Y530" s="11">
        <v>5499330206</v>
      </c>
      <c r="Z530" s="11">
        <v>378853860147</v>
      </c>
      <c r="AA530" s="11">
        <v>319143885701</v>
      </c>
      <c r="AB530" s="12">
        <v>6.31</v>
      </c>
      <c r="AC530" s="11">
        <v>106986107027</v>
      </c>
      <c r="AD530" s="11">
        <v>106986107027</v>
      </c>
      <c r="AE530" s="11">
        <v>0</v>
      </c>
      <c r="AF530" s="11">
        <v>0</v>
      </c>
      <c r="AG530" s="11">
        <v>0</v>
      </c>
      <c r="AH530" s="11">
        <v>0</v>
      </c>
      <c r="AI530" s="11">
        <v>0</v>
      </c>
      <c r="AJ530" s="12">
        <v>0</v>
      </c>
      <c r="AK530" s="11">
        <v>0</v>
      </c>
      <c r="AL530" s="12">
        <v>1</v>
      </c>
      <c r="AM530" s="11">
        <v>220000000</v>
      </c>
      <c r="AN530" s="12">
        <v>0</v>
      </c>
      <c r="AO530" s="11">
        <v>0</v>
      </c>
      <c r="AP530" s="11">
        <v>9110248434</v>
      </c>
      <c r="AQ530" s="11">
        <v>15499960113</v>
      </c>
      <c r="AR530" s="11">
        <v>-6389711679</v>
      </c>
      <c r="AS530" s="19">
        <v>-41.22</v>
      </c>
      <c r="AT530" s="11">
        <v>120469960597</v>
      </c>
      <c r="AU530" s="11">
        <v>42748195429</v>
      </c>
      <c r="AV530" s="11">
        <v>53541265536</v>
      </c>
      <c r="AW530" s="11">
        <v>139455946863</v>
      </c>
      <c r="AX530" s="11">
        <v>89426053273</v>
      </c>
      <c r="AY530" s="11">
        <v>237282000000</v>
      </c>
      <c r="AZ530" s="11">
        <v>19525004293</v>
      </c>
      <c r="BA530" s="11">
        <v>523120821925</v>
      </c>
      <c r="BB530" s="13">
        <v>19652</v>
      </c>
      <c r="BC530" s="11">
        <v>196412768652</v>
      </c>
      <c r="BD530" s="11">
        <v>89426053273</v>
      </c>
      <c r="BE530" s="11">
        <v>237282000000</v>
      </c>
      <c r="BF530" s="11">
        <v>76798845000</v>
      </c>
      <c r="BG530" s="11">
        <v>30187262027</v>
      </c>
      <c r="BH530" s="11">
        <v>0</v>
      </c>
      <c r="BI530" s="11">
        <v>0</v>
      </c>
      <c r="BJ530" s="11">
        <v>0</v>
      </c>
      <c r="BK530" s="11">
        <v>0</v>
      </c>
      <c r="BL530" s="11">
        <v>0</v>
      </c>
      <c r="BM530" s="11">
        <v>0</v>
      </c>
    </row>
    <row r="531" spans="1:65" x14ac:dyDescent="0.25">
      <c r="A531" s="32"/>
      <c r="B531" s="10">
        <v>3215</v>
      </c>
      <c r="C531" s="10" t="s">
        <v>579</v>
      </c>
      <c r="D531" s="11">
        <v>1356369649929</v>
      </c>
      <c r="E531" s="11">
        <v>482710287322</v>
      </c>
      <c r="F531" s="11">
        <v>0</v>
      </c>
      <c r="G531" s="11">
        <v>0</v>
      </c>
      <c r="H531" s="11">
        <v>1839079937251</v>
      </c>
      <c r="I531" s="11">
        <v>154707054206</v>
      </c>
      <c r="J531" s="11">
        <v>1684372883045</v>
      </c>
      <c r="K531" s="11">
        <v>1776994865475</v>
      </c>
      <c r="L531" s="11">
        <v>62085071776</v>
      </c>
      <c r="M531" s="12">
        <v>3.49</v>
      </c>
      <c r="N531" s="11">
        <v>3507727059264</v>
      </c>
      <c r="O531" s="12">
        <v>202.54</v>
      </c>
      <c r="P531" s="12">
        <v>208.25</v>
      </c>
      <c r="Q531" s="12">
        <v>0.97</v>
      </c>
      <c r="R531" s="11">
        <v>3694133565943</v>
      </c>
      <c r="S531" s="11">
        <v>30797041640</v>
      </c>
      <c r="T531" s="11">
        <v>9430475619</v>
      </c>
      <c r="U531" s="11">
        <v>15995694936</v>
      </c>
      <c r="V531" s="11">
        <v>5370871085</v>
      </c>
      <c r="W531" s="11">
        <v>3724930607583</v>
      </c>
      <c r="X531" s="11">
        <v>248608163010</v>
      </c>
      <c r="Y531" s="11">
        <v>20759861034</v>
      </c>
      <c r="Z531" s="11">
        <v>3994298631627</v>
      </c>
      <c r="AA531" s="11">
        <v>2438911515727</v>
      </c>
      <c r="AB531" s="12">
        <v>52.73</v>
      </c>
      <c r="AC531" s="11">
        <v>2524885411532</v>
      </c>
      <c r="AD531" s="11">
        <v>2524885411532</v>
      </c>
      <c r="AE531" s="11">
        <v>361386242846</v>
      </c>
      <c r="AF531" s="11">
        <v>0</v>
      </c>
      <c r="AG531" s="11">
        <v>0</v>
      </c>
      <c r="AH531" s="11">
        <v>0</v>
      </c>
      <c r="AI531" s="11">
        <v>0</v>
      </c>
      <c r="AJ531" s="12">
        <v>5</v>
      </c>
      <c r="AK531" s="11">
        <v>517590608480</v>
      </c>
      <c r="AL531" s="12">
        <v>30</v>
      </c>
      <c r="AM531" s="11">
        <v>251269419599</v>
      </c>
      <c r="AN531" s="12">
        <v>22</v>
      </c>
      <c r="AO531" s="11">
        <v>509644613653</v>
      </c>
      <c r="AP531" s="11">
        <v>30797041640</v>
      </c>
      <c r="AQ531" s="11">
        <v>26831681805</v>
      </c>
      <c r="AR531" s="11">
        <v>3965359835</v>
      </c>
      <c r="AS531" s="12">
        <v>14.78</v>
      </c>
      <c r="AT531" s="11">
        <v>1574089425178</v>
      </c>
      <c r="AU531" s="11">
        <v>80858522438</v>
      </c>
      <c r="AV531" s="11">
        <v>607352104137</v>
      </c>
      <c r="AW531" s="11">
        <v>156381253678</v>
      </c>
      <c r="AX531" s="11">
        <v>323297292114</v>
      </c>
      <c r="AY531" s="11">
        <v>269339000000</v>
      </c>
      <c r="AZ531" s="11">
        <v>136781360269</v>
      </c>
      <c r="BA531" s="11">
        <v>1839079937251</v>
      </c>
      <c r="BB531" s="13">
        <v>73835</v>
      </c>
      <c r="BC531" s="11">
        <v>970354167904</v>
      </c>
      <c r="BD531" s="11">
        <v>322597292114</v>
      </c>
      <c r="BE531" s="11">
        <v>546128477233</v>
      </c>
      <c r="BF531" s="11">
        <v>1831168753828</v>
      </c>
      <c r="BG531" s="11">
        <v>693716657704</v>
      </c>
      <c r="BH531" s="11">
        <v>19087210406</v>
      </c>
      <c r="BI531" s="11">
        <v>0</v>
      </c>
      <c r="BJ531" s="11">
        <v>361576978292</v>
      </c>
      <c r="BK531" s="11">
        <v>0</v>
      </c>
      <c r="BL531" s="11">
        <v>0</v>
      </c>
      <c r="BM531" s="11">
        <v>0</v>
      </c>
    </row>
    <row r="532" spans="1:65" x14ac:dyDescent="0.25">
      <c r="A532" s="32"/>
      <c r="B532" s="10">
        <v>3216</v>
      </c>
      <c r="C532" s="10" t="s">
        <v>580</v>
      </c>
      <c r="D532" s="11">
        <v>1868349720432</v>
      </c>
      <c r="E532" s="11">
        <v>45726069766</v>
      </c>
      <c r="F532" s="11">
        <v>0</v>
      </c>
      <c r="G532" s="11">
        <v>0</v>
      </c>
      <c r="H532" s="11">
        <v>1914075790198</v>
      </c>
      <c r="I532" s="11">
        <v>145075961508</v>
      </c>
      <c r="J532" s="11">
        <v>1768999828690</v>
      </c>
      <c r="K532" s="11">
        <v>1283118222290</v>
      </c>
      <c r="L532" s="11">
        <v>630957567908</v>
      </c>
      <c r="M532" s="12">
        <v>49.17</v>
      </c>
      <c r="N532" s="11">
        <v>4263907130699</v>
      </c>
      <c r="O532" s="12">
        <v>224.49</v>
      </c>
      <c r="P532" s="12">
        <v>241.03</v>
      </c>
      <c r="Q532" s="12">
        <v>65.39</v>
      </c>
      <c r="R532" s="11">
        <v>1400077155815</v>
      </c>
      <c r="S532" s="11">
        <v>2896901838051</v>
      </c>
      <c r="T532" s="11">
        <v>3419961847</v>
      </c>
      <c r="U532" s="11">
        <v>4580029938</v>
      </c>
      <c r="V532" s="11">
        <v>2888901846266</v>
      </c>
      <c r="W532" s="11">
        <v>4296978993866</v>
      </c>
      <c r="X532" s="11">
        <v>191893928875</v>
      </c>
      <c r="Y532" s="11">
        <v>5794897616</v>
      </c>
      <c r="Z532" s="11">
        <v>4494667820357</v>
      </c>
      <c r="AA532" s="11">
        <v>1114038676426</v>
      </c>
      <c r="AB532" s="12">
        <v>285.70999999999998</v>
      </c>
      <c r="AC532" s="11">
        <v>4211358961192</v>
      </c>
      <c r="AD532" s="11">
        <v>4139061733796</v>
      </c>
      <c r="AE532" s="11">
        <v>3254369271125</v>
      </c>
      <c r="AF532" s="11">
        <v>99168543008</v>
      </c>
      <c r="AG532" s="11">
        <v>1367000000000</v>
      </c>
      <c r="AH532" s="11">
        <v>0</v>
      </c>
      <c r="AI532" s="11">
        <v>0</v>
      </c>
      <c r="AJ532" s="12">
        <v>12</v>
      </c>
      <c r="AK532" s="11">
        <v>3964990885609</v>
      </c>
      <c r="AL532" s="12">
        <v>30</v>
      </c>
      <c r="AM532" s="11">
        <v>555490602127</v>
      </c>
      <c r="AN532" s="12">
        <v>7</v>
      </c>
      <c r="AO532" s="11">
        <v>120488775900</v>
      </c>
      <c r="AP532" s="11">
        <v>2896901838051</v>
      </c>
      <c r="AQ532" s="11">
        <v>6859155268</v>
      </c>
      <c r="AR532" s="11">
        <v>2890042682783</v>
      </c>
      <c r="AS532" s="19">
        <v>42134.09</v>
      </c>
      <c r="AT532" s="11">
        <v>862745885982</v>
      </c>
      <c r="AU532" s="11">
        <v>309027612081</v>
      </c>
      <c r="AV532" s="11">
        <v>559395018527</v>
      </c>
      <c r="AW532" s="11">
        <v>136941010355</v>
      </c>
      <c r="AX532" s="11">
        <v>529526291550</v>
      </c>
      <c r="AY532" s="11">
        <v>642487400000</v>
      </c>
      <c r="AZ532" s="11">
        <v>407730704161</v>
      </c>
      <c r="BA532" s="11">
        <v>1914075790198</v>
      </c>
      <c r="BB532" s="13">
        <v>21576</v>
      </c>
      <c r="BC532" s="11">
        <v>742062098648</v>
      </c>
      <c r="BD532" s="11">
        <v>529526291550</v>
      </c>
      <c r="BE532" s="11">
        <v>642487400000</v>
      </c>
      <c r="BF532" s="11">
        <v>3948458961192</v>
      </c>
      <c r="BG532" s="11">
        <v>262900000000</v>
      </c>
      <c r="BH532" s="11">
        <v>0</v>
      </c>
      <c r="BI532" s="11">
        <v>1521901846266</v>
      </c>
      <c r="BJ532" s="11">
        <v>243360884301</v>
      </c>
      <c r="BK532" s="11">
        <v>0</v>
      </c>
      <c r="BL532" s="11">
        <v>0</v>
      </c>
      <c r="BM532" s="11">
        <v>99863294857</v>
      </c>
    </row>
    <row r="533" spans="1:65" x14ac:dyDescent="0.25">
      <c r="A533" s="32"/>
      <c r="B533" s="10">
        <v>3217</v>
      </c>
      <c r="C533" s="10" t="s">
        <v>581</v>
      </c>
      <c r="D533" s="11">
        <v>450500347423</v>
      </c>
      <c r="E533" s="11">
        <v>1405563278</v>
      </c>
      <c r="F533" s="11">
        <v>0</v>
      </c>
      <c r="G533" s="11">
        <v>0</v>
      </c>
      <c r="H533" s="11">
        <v>451905910701</v>
      </c>
      <c r="I533" s="11">
        <v>38797187331</v>
      </c>
      <c r="J533" s="11">
        <v>413108723370</v>
      </c>
      <c r="K533" s="11">
        <v>248033433469</v>
      </c>
      <c r="L533" s="11">
        <v>203872477232</v>
      </c>
      <c r="M533" s="12">
        <v>82.2</v>
      </c>
      <c r="N533" s="11">
        <v>159822405032</v>
      </c>
      <c r="O533" s="12">
        <v>40.1</v>
      </c>
      <c r="P533" s="12">
        <v>38.69</v>
      </c>
      <c r="Q533" s="12">
        <v>0.05</v>
      </c>
      <c r="R533" s="11">
        <v>181098422989</v>
      </c>
      <c r="S533" s="11">
        <v>109110448</v>
      </c>
      <c r="T533" s="11">
        <v>109110448</v>
      </c>
      <c r="U533" s="11">
        <v>0</v>
      </c>
      <c r="V533" s="11">
        <v>0</v>
      </c>
      <c r="W533" s="11">
        <v>181207533437</v>
      </c>
      <c r="X533" s="11">
        <v>17879293002</v>
      </c>
      <c r="Y533" s="11">
        <v>3000000000</v>
      </c>
      <c r="Z533" s="11">
        <v>202086826439</v>
      </c>
      <c r="AA533" s="11">
        <v>47353950527</v>
      </c>
      <c r="AB533" s="12">
        <v>282.67</v>
      </c>
      <c r="AC533" s="11">
        <v>140898087880</v>
      </c>
      <c r="AD533" s="11">
        <v>140898087880</v>
      </c>
      <c r="AE533" s="11">
        <v>0</v>
      </c>
      <c r="AF533" s="11">
        <v>0</v>
      </c>
      <c r="AG533" s="11">
        <v>0</v>
      </c>
      <c r="AH533" s="11">
        <v>0</v>
      </c>
      <c r="AI533" s="11">
        <v>0</v>
      </c>
      <c r="AJ533" s="12">
        <v>0</v>
      </c>
      <c r="AK533" s="11">
        <v>0</v>
      </c>
      <c r="AL533" s="12">
        <v>14</v>
      </c>
      <c r="AM533" s="11">
        <v>16734062692</v>
      </c>
      <c r="AN533" s="12">
        <v>0</v>
      </c>
      <c r="AO533" s="11">
        <v>0</v>
      </c>
      <c r="AP533" s="11">
        <v>109110448</v>
      </c>
      <c r="AQ533" s="11">
        <v>0</v>
      </c>
      <c r="AR533" s="11">
        <v>109110448</v>
      </c>
      <c r="AS533" s="19"/>
      <c r="AT533" s="11">
        <v>29519063266</v>
      </c>
      <c r="AU533" s="11">
        <v>382625967</v>
      </c>
      <c r="AV533" s="11">
        <v>42697512944</v>
      </c>
      <c r="AW533" s="11">
        <v>22188341322</v>
      </c>
      <c r="AX533" s="11">
        <v>138434493157</v>
      </c>
      <c r="AY533" s="11">
        <v>247180000000</v>
      </c>
      <c r="AZ533" s="11">
        <v>138416760574</v>
      </c>
      <c r="BA533" s="11">
        <v>451905910701</v>
      </c>
      <c r="BB533" s="13">
        <v>0</v>
      </c>
      <c r="BC533" s="11">
        <v>66291417544</v>
      </c>
      <c r="BD533" s="11">
        <v>138434493157</v>
      </c>
      <c r="BE533" s="11">
        <v>247180000000</v>
      </c>
      <c r="BF533" s="11">
        <v>111398267255</v>
      </c>
      <c r="BG533" s="11">
        <v>29499820625</v>
      </c>
      <c r="BH533" s="11">
        <v>0</v>
      </c>
      <c r="BI533" s="11">
        <v>0</v>
      </c>
      <c r="BJ533" s="11">
        <v>0</v>
      </c>
      <c r="BK533" s="11">
        <v>0</v>
      </c>
      <c r="BL533" s="11">
        <v>0</v>
      </c>
      <c r="BM533" s="11">
        <v>0</v>
      </c>
    </row>
    <row r="534" spans="1:65" x14ac:dyDescent="0.25">
      <c r="A534" s="32"/>
      <c r="B534" s="10">
        <v>3299</v>
      </c>
      <c r="C534" s="10" t="s">
        <v>582</v>
      </c>
      <c r="D534" s="11">
        <v>0</v>
      </c>
      <c r="E534" s="11">
        <v>5227680352</v>
      </c>
      <c r="F534" s="11">
        <v>0</v>
      </c>
      <c r="G534" s="11">
        <v>0</v>
      </c>
      <c r="H534" s="11">
        <v>5227680352</v>
      </c>
      <c r="I534" s="11">
        <v>428680791</v>
      </c>
      <c r="J534" s="11">
        <v>4798999561</v>
      </c>
      <c r="K534" s="11">
        <v>1942110696</v>
      </c>
      <c r="L534" s="11">
        <v>3285569656</v>
      </c>
      <c r="M534" s="12">
        <v>169.18</v>
      </c>
      <c r="N534" s="11">
        <v>0</v>
      </c>
      <c r="O534" s="12">
        <v>0</v>
      </c>
      <c r="P534" s="12">
        <v>0</v>
      </c>
      <c r="Q534" s="12">
        <v>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11">
        <v>0</v>
      </c>
      <c r="X534" s="11">
        <v>0</v>
      </c>
      <c r="Y534" s="11">
        <v>0</v>
      </c>
      <c r="Z534" s="11">
        <v>0</v>
      </c>
      <c r="AA534" s="11">
        <v>0</v>
      </c>
      <c r="AB534" s="12"/>
      <c r="AC534" s="11">
        <v>0</v>
      </c>
      <c r="AD534" s="11">
        <v>0</v>
      </c>
      <c r="AE534" s="11">
        <v>0</v>
      </c>
      <c r="AF534" s="11">
        <v>0</v>
      </c>
      <c r="AG534" s="11">
        <v>0</v>
      </c>
      <c r="AH534" s="11">
        <v>0</v>
      </c>
      <c r="AI534" s="11">
        <v>0</v>
      </c>
      <c r="AJ534" s="12">
        <v>0</v>
      </c>
      <c r="AK534" s="11">
        <v>0</v>
      </c>
      <c r="AL534" s="12">
        <v>0</v>
      </c>
      <c r="AM534" s="11">
        <v>0</v>
      </c>
      <c r="AN534" s="12">
        <v>0</v>
      </c>
      <c r="AO534" s="11">
        <v>0</v>
      </c>
      <c r="AP534" s="11">
        <v>0</v>
      </c>
      <c r="AQ534" s="11">
        <v>0</v>
      </c>
      <c r="AR534" s="11">
        <v>0</v>
      </c>
      <c r="AS534" s="19"/>
      <c r="AT534" s="11">
        <v>0</v>
      </c>
      <c r="AU534" s="11">
        <v>0</v>
      </c>
      <c r="AV534" s="11">
        <v>0</v>
      </c>
      <c r="AW534" s="11">
        <v>0</v>
      </c>
      <c r="AX534" s="11">
        <v>0</v>
      </c>
      <c r="AY534" s="11">
        <v>0</v>
      </c>
      <c r="AZ534" s="11">
        <v>0</v>
      </c>
      <c r="BA534" s="11">
        <v>5227680352</v>
      </c>
      <c r="BB534" s="13">
        <v>0</v>
      </c>
      <c r="BC534" s="11">
        <v>5227680352</v>
      </c>
      <c r="BD534" s="11">
        <v>0</v>
      </c>
      <c r="BE534" s="11">
        <v>0</v>
      </c>
      <c r="BF534" s="11">
        <v>0</v>
      </c>
      <c r="BG534" s="11">
        <v>0</v>
      </c>
      <c r="BH534" s="11">
        <v>0</v>
      </c>
      <c r="BI534" s="11">
        <v>0</v>
      </c>
      <c r="BJ534" s="11">
        <v>0</v>
      </c>
      <c r="BK534" s="11">
        <v>0</v>
      </c>
      <c r="BL534" s="11">
        <v>0</v>
      </c>
      <c r="BM534" s="11">
        <v>0</v>
      </c>
    </row>
    <row r="535" spans="1:65" x14ac:dyDescent="0.25">
      <c r="A535" s="14" t="s">
        <v>622</v>
      </c>
      <c r="B535" s="15"/>
      <c r="C535" s="15"/>
      <c r="D535" s="16">
        <v>18738578708944</v>
      </c>
      <c r="E535" s="16">
        <v>1438484137368</v>
      </c>
      <c r="F535" s="16">
        <v>34500000000</v>
      </c>
      <c r="G535" s="16">
        <v>45854690289</v>
      </c>
      <c r="H535" s="16">
        <v>20257417536601</v>
      </c>
      <c r="I535" s="16">
        <v>1659742418508</v>
      </c>
      <c r="J535" s="16">
        <v>18597675118093</v>
      </c>
      <c r="K535" s="16">
        <v>17689922805864</v>
      </c>
      <c r="L535" s="16">
        <v>2567494730737</v>
      </c>
      <c r="M535" s="17">
        <v>14.51</v>
      </c>
      <c r="N535" s="16">
        <v>24962423366135</v>
      </c>
      <c r="O535" s="17">
        <v>136.69</v>
      </c>
      <c r="P535" s="17">
        <v>134.22</v>
      </c>
      <c r="Q535" s="17">
        <v>12.4</v>
      </c>
      <c r="R535" s="16">
        <v>24149554044613</v>
      </c>
      <c r="S535" s="16">
        <v>3540119665422</v>
      </c>
      <c r="T535" s="16">
        <v>324191165232</v>
      </c>
      <c r="U535" s="16">
        <v>183713504630</v>
      </c>
      <c r="V535" s="16">
        <v>3032214995560</v>
      </c>
      <c r="W535" s="16">
        <v>27689673710035</v>
      </c>
      <c r="X535" s="16">
        <v>1618518739033</v>
      </c>
      <c r="Y535" s="16">
        <v>148365529080</v>
      </c>
      <c r="Z535" s="16">
        <v>29456557978148</v>
      </c>
      <c r="AA535" s="16">
        <v>19179717074420</v>
      </c>
      <c r="AB535" s="17">
        <v>44.37</v>
      </c>
      <c r="AC535" s="16">
        <v>16414929365994</v>
      </c>
      <c r="AD535" s="16">
        <v>15804548930479</v>
      </c>
      <c r="AE535" s="16">
        <v>5250250073260</v>
      </c>
      <c r="AF535" s="16">
        <v>120716748777</v>
      </c>
      <c r="AG535" s="16">
        <v>1373135000000</v>
      </c>
      <c r="AH535" s="16">
        <v>0</v>
      </c>
      <c r="AI535" s="16">
        <v>5000000000</v>
      </c>
      <c r="AJ535" s="17">
        <v>45</v>
      </c>
      <c r="AK535" s="16">
        <v>8909453078538</v>
      </c>
      <c r="AL535" s="17">
        <v>352</v>
      </c>
      <c r="AM535" s="16">
        <v>4970884167972</v>
      </c>
      <c r="AN535" s="18">
        <f>SUM(AN516:AN534)</f>
        <v>188</v>
      </c>
      <c r="AO535" s="16">
        <f>SUM(AO516:AO534)</f>
        <v>3074699454316</v>
      </c>
      <c r="AP535" s="16">
        <v>3540119665422</v>
      </c>
      <c r="AQ535" s="16">
        <v>400299070707</v>
      </c>
      <c r="AR535" s="16">
        <v>3139820594715</v>
      </c>
      <c r="AS535" s="17">
        <v>784.37</v>
      </c>
      <c r="AT535" s="16">
        <v>9704487114386</v>
      </c>
      <c r="AU535" s="16">
        <v>1819929482555</v>
      </c>
      <c r="AV535" s="16">
        <v>4019812616469</v>
      </c>
      <c r="AW535" s="16">
        <v>2222789952978</v>
      </c>
      <c r="AX535" s="16">
        <v>4306587039497</v>
      </c>
      <c r="AY535" s="16">
        <v>8189389100000</v>
      </c>
      <c r="AZ535" s="16">
        <v>2047638915798</v>
      </c>
      <c r="BA535" s="16">
        <v>20257417536601</v>
      </c>
      <c r="BB535" s="18">
        <v>1085822</v>
      </c>
      <c r="BC535" s="16">
        <v>7296488646130</v>
      </c>
      <c r="BD535" s="16">
        <v>4338237039497</v>
      </c>
      <c r="BE535" s="16">
        <v>8622691850974</v>
      </c>
      <c r="BF535" s="16">
        <v>13158275655953</v>
      </c>
      <c r="BG535" s="16">
        <v>3256653710041</v>
      </c>
      <c r="BH535" s="16">
        <v>835977764890</v>
      </c>
      <c r="BI535" s="16">
        <v>1548699506512</v>
      </c>
      <c r="BJ535" s="16">
        <v>1270273971084</v>
      </c>
      <c r="BK535" s="16">
        <v>0</v>
      </c>
      <c r="BL535" s="16">
        <v>18000000000</v>
      </c>
      <c r="BM535" s="16">
        <v>103540187237</v>
      </c>
    </row>
    <row r="536" spans="1:65" x14ac:dyDescent="0.25">
      <c r="A536" s="26" t="s">
        <v>583</v>
      </c>
      <c r="B536" s="27"/>
      <c r="C536" s="27"/>
      <c r="D536" s="28">
        <v>762256037902846</v>
      </c>
      <c r="E536" s="28">
        <v>58538600135724</v>
      </c>
      <c r="F536" s="28">
        <v>28461050533511</v>
      </c>
      <c r="G536" s="28">
        <v>23418963052299</v>
      </c>
      <c r="H536" s="28">
        <v>872674651624380</v>
      </c>
      <c r="I536" s="28">
        <v>68696392000000</v>
      </c>
      <c r="J536" s="28">
        <v>803978259624380</v>
      </c>
      <c r="K536" s="28">
        <v>738286221108813</v>
      </c>
      <c r="L536" s="28">
        <v>134388430515567</v>
      </c>
      <c r="M536" s="27">
        <v>18.2</v>
      </c>
      <c r="N536" s="28">
        <v>813042753202725</v>
      </c>
      <c r="O536" s="27">
        <v>106.69</v>
      </c>
      <c r="P536" s="27">
        <v>101.13</v>
      </c>
      <c r="Q536" s="27">
        <v>5.5</v>
      </c>
      <c r="R536" s="28">
        <v>883567006931112</v>
      </c>
      <c r="S536" s="28">
        <v>47475995875950</v>
      </c>
      <c r="T536" s="28">
        <v>12667679787795</v>
      </c>
      <c r="U536" s="28">
        <v>7532274474778</v>
      </c>
      <c r="V536" s="28">
        <v>27276041613377</v>
      </c>
      <c r="W536" s="28">
        <v>931043002807062</v>
      </c>
      <c r="X536" s="28">
        <v>66892090123898</v>
      </c>
      <c r="Y536" s="28">
        <v>6046473307785</v>
      </c>
      <c r="Z536" s="28">
        <v>1003981566238750</v>
      </c>
      <c r="AA536" s="28">
        <v>729356184834281</v>
      </c>
      <c r="AB536" s="27">
        <v>27.65</v>
      </c>
      <c r="AC536" s="28">
        <v>556173049342267</v>
      </c>
      <c r="AD536" s="28">
        <v>540233306171245</v>
      </c>
      <c r="AE536" s="28">
        <v>180535096054808</v>
      </c>
      <c r="AF536" s="28">
        <v>7360307813654</v>
      </c>
      <c r="AG536" s="28">
        <v>6472862905558</v>
      </c>
      <c r="AH536" s="28">
        <v>251485500000</v>
      </c>
      <c r="AI536" s="28">
        <v>7660573802730</v>
      </c>
      <c r="AJ536" s="29">
        <f>1968+1</f>
        <v>1969</v>
      </c>
      <c r="AK536" s="28">
        <f>283805125342608+2151754615343</f>
        <v>285956879957951</v>
      </c>
      <c r="AL536" s="29">
        <v>29038</v>
      </c>
      <c r="AM536" s="28">
        <v>297880929553048</v>
      </c>
      <c r="AN536" s="29">
        <v>15021</v>
      </c>
      <c r="AO536" s="28">
        <v>138883477738970</v>
      </c>
      <c r="AP536" s="28">
        <v>47475995875950</v>
      </c>
      <c r="AQ536" s="28">
        <v>21584273358094</v>
      </c>
      <c r="AR536" s="28">
        <v>25891722517856</v>
      </c>
      <c r="AS536" s="27">
        <v>119.96</v>
      </c>
      <c r="AT536" s="28">
        <v>455561161603168</v>
      </c>
      <c r="AU536" s="28">
        <v>91932197420247</v>
      </c>
      <c r="AV536" s="28">
        <v>130947745504426</v>
      </c>
      <c r="AW536" s="28">
        <v>95165294568046</v>
      </c>
      <c r="AX536" s="28">
        <v>157990555640735</v>
      </c>
      <c r="AY536" s="28">
        <v>378100787508539</v>
      </c>
      <c r="AZ536" s="28">
        <v>88420774607641</v>
      </c>
      <c r="BA536" s="28">
        <v>809713508041370</v>
      </c>
      <c r="BB536" s="29">
        <v>39457555</v>
      </c>
      <c r="BC536" s="28">
        <v>301115153509343</v>
      </c>
      <c r="BD536" s="28">
        <v>186401410254246</v>
      </c>
      <c r="BE536" s="28">
        <v>385158087860791</v>
      </c>
      <c r="BF536" s="28">
        <v>394195100449422</v>
      </c>
      <c r="BG536" s="28">
        <v>161977948892845</v>
      </c>
      <c r="BH536" s="28">
        <v>28818315391111</v>
      </c>
      <c r="BI536" s="28">
        <v>17512528151382</v>
      </c>
      <c r="BJ536" s="28">
        <v>160616822729586</v>
      </c>
      <c r="BK536" s="28">
        <v>1749214584557</v>
      </c>
      <c r="BL536" s="28">
        <v>1084911456275</v>
      </c>
      <c r="BM536" s="28">
        <v>6058870330875</v>
      </c>
    </row>
  </sheetData>
  <mergeCells count="33">
    <mergeCell ref="A1:L1"/>
    <mergeCell ref="A205:A212"/>
    <mergeCell ref="A3:A25"/>
    <mergeCell ref="A27:A41"/>
    <mergeCell ref="A43:A54"/>
    <mergeCell ref="A56:A85"/>
    <mergeCell ref="A87:A97"/>
    <mergeCell ref="A99:A107"/>
    <mergeCell ref="A109:A121"/>
    <mergeCell ref="A123:A165"/>
    <mergeCell ref="A167:A178"/>
    <mergeCell ref="A180:A203"/>
    <mergeCell ref="A291:A314"/>
    <mergeCell ref="A214:A235"/>
    <mergeCell ref="A237:A245"/>
    <mergeCell ref="A247:A264"/>
    <mergeCell ref="A266:A274"/>
    <mergeCell ref="A276:A287"/>
    <mergeCell ref="A316:A323"/>
    <mergeCell ref="A325:A330"/>
    <mergeCell ref="A332:A342"/>
    <mergeCell ref="A344:A366"/>
    <mergeCell ref="A368:A382"/>
    <mergeCell ref="A475:A490"/>
    <mergeCell ref="A492:A498"/>
    <mergeCell ref="A500:A514"/>
    <mergeCell ref="A516:A534"/>
    <mergeCell ref="A384:A396"/>
    <mergeCell ref="A398:A411"/>
    <mergeCell ref="A413:A425"/>
    <mergeCell ref="A427:A435"/>
    <mergeCell ref="A437:A448"/>
    <mergeCell ref="A450:A47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احسان مهرورزان</dc:creator>
  <cp:lastModifiedBy>Mohsen Jalali</cp:lastModifiedBy>
  <dcterms:created xsi:type="dcterms:W3CDTF">2024-11-21T06:38:35Z</dcterms:created>
  <dcterms:modified xsi:type="dcterms:W3CDTF">2026-09-14T11:03:10Z</dcterms:modified>
</cp:coreProperties>
</file>
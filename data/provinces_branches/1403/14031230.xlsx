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  <sheet name="Sheet2" sheetId="2" r:id="rId2"/>
  </sheets>
  <definedNames>
    <definedName name="_xlnm._FilterDatabase" localSheetId="0" hidden="1">Sheet1!$A$2:$BO$539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41" i="1" l="1"/>
  <c r="F541" i="1"/>
  <c r="G541" i="1"/>
  <c r="H541" i="1"/>
  <c r="I541" i="1"/>
  <c r="J541" i="1"/>
  <c r="K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U541" i="1"/>
  <c r="AV541" i="1"/>
  <c r="AW541" i="1"/>
  <c r="AX541" i="1"/>
  <c r="AY541" i="1"/>
  <c r="AZ541" i="1"/>
  <c r="BA541" i="1"/>
  <c r="BB541" i="1"/>
  <c r="BC541" i="1"/>
  <c r="BD541" i="1"/>
  <c r="BE541" i="1"/>
  <c r="BF541" i="1"/>
  <c r="BG541" i="1"/>
  <c r="BH541" i="1"/>
  <c r="BI541" i="1"/>
  <c r="BJ541" i="1"/>
  <c r="BK541" i="1"/>
  <c r="BL541" i="1"/>
  <c r="BM541" i="1"/>
  <c r="BN541" i="1"/>
  <c r="BO541" i="1"/>
  <c r="R540" i="1"/>
  <c r="Q540" i="1"/>
  <c r="P540" i="1"/>
  <c r="D541" i="1"/>
  <c r="C8" i="2"/>
  <c r="B8" i="2"/>
  <c r="C6" i="2"/>
  <c r="B6" i="2"/>
</calcChain>
</file>

<file path=xl/sharedStrings.xml><?xml version="1.0" encoding="utf-8"?>
<sst xmlns="http://schemas.openxmlformats.org/spreadsheetml/2006/main" count="1401" uniqueCount="639">
  <si>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</si>
  <si>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</si>
  <si>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</si>
  <si>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</si>
  <si>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</si>
  <si>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</si>
  <si>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</si>
  <si>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</si>
  <si>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</si>
  <si>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</si>
  <si>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</si>
  <si>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</si>
  <si>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</si>
  <si>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</si>
  <si>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</si>
  <si>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</si>
  <si>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</si>
  <si>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</si>
  <si>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</si>
  <si>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</si>
  <si>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</si>
  <si>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</si>
  <si>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</si>
  <si>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</si>
  <si>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</si>
  <si>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</si>
  <si>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</si>
  <si>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</si>
  <si>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</si>
  <si>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</si>
  <si>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</si>
  <si>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</si>
  <si>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</si>
  <si>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</si>
  <si>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</si>
  <si>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</si>
  <si>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مانده مطالبات غیرجاری درپایان سال 1402</t>
  </si>
  <si>
    <t>مبلغ رشد/کاهش مطالبات غیرجاری نسبت به پایان سال قبل</t>
  </si>
  <si>
    <t>درصد رشد/کاهش مطالبات غیرجاری نسبت به پایان سال قبل</t>
  </si>
  <si>
    <t>وصولی</t>
  </si>
  <si>
    <t>وصولی غیرجاری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</si>
  <si>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</si>
  <si>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</si>
  <si>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</si>
  <si>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</si>
  <si>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</si>
  <si>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</si>
  <si>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</si>
  <si>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</si>
  <si>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</si>
  <si>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</si>
  <si>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</si>
  <si>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</si>
  <si>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</si>
  <si>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</si>
  <si>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وصولی اعتبارات اسنادی</t>
  </si>
  <si>
    <t>ضمانت نامه های صادره از محل بدهکاران داخلی</t>
  </si>
  <si>
    <t>مشکوک الوصول ضمانت نامه</t>
  </si>
  <si>
    <t>وصولی ضمانت نامه ها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</si>
  <si>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</si>
  <si>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</si>
  <si>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</si>
  <si>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</si>
  <si>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</si>
  <si>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</si>
  <si>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</si>
  <si>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</si>
  <si>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</si>
  <si>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</si>
  <si>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</si>
  <si>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</si>
  <si>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</si>
  <si>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</si>
  <si>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</si>
  <si>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</si>
  <si>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</si>
  <si>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</si>
  <si>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</si>
  <si>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</si>
  <si>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</si>
  <si>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</si>
  <si>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</si>
  <si>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</si>
  <si>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آذربايجان غربي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</si>
  <si>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</si>
  <si>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</si>
  <si>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</si>
  <si>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</si>
  <si>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</si>
  <si>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</si>
  <si>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</si>
  <si>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</si>
  <si>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</si>
  <si>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</si>
  <si>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</si>
  <si>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</si>
  <si>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</si>
  <si>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</si>
  <si>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</si>
  <si>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</si>
  <si>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</si>
  <si>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</si>
  <si>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</si>
  <si>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</si>
  <si>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</si>
  <si>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</si>
  <si>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</si>
  <si>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</si>
  <si>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</si>
  <si>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</si>
  <si>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</si>
  <si>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</si>
  <si>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</si>
  <si>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</si>
  <si>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</si>
  <si>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</si>
  <si>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</si>
  <si>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</si>
  <si>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</si>
  <si>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</si>
  <si>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</si>
  <si>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</si>
  <si>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</si>
  <si>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</si>
  <si>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</si>
  <si>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</si>
  <si>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</si>
  <si>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</si>
  <si>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</si>
  <si>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</si>
  <si>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</si>
  <si>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</si>
  <si>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</si>
  <si>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</si>
  <si>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</si>
  <si>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</si>
  <si>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</si>
  <si>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</si>
  <si>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</si>
  <si>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</si>
  <si>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</si>
  <si>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البرز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</si>
  <si>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</si>
  <si>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</si>
  <si>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</si>
  <si>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</si>
  <si>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</si>
  <si>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</si>
  <si>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</si>
  <si>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</si>
  <si>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</si>
  <si>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</si>
  <si>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</si>
  <si>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</si>
  <si>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</si>
  <si>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</si>
  <si>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</si>
  <si>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</si>
  <si>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</si>
  <si>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</si>
  <si>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</si>
  <si>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</si>
  <si>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</si>
  <si>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</si>
  <si>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</si>
  <si>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</si>
  <si>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</si>
  <si>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</si>
  <si>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</si>
  <si>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</si>
  <si>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</si>
  <si>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</si>
  <si>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</si>
  <si>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</si>
  <si>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</si>
  <si>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تهران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</si>
  <si>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</si>
  <si>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</si>
  <si>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</si>
  <si>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</si>
  <si>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</si>
  <si>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</si>
  <si>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</si>
  <si>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</si>
  <si>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</si>
  <si>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</si>
  <si>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</si>
  <si>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</si>
  <si>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</si>
  <si>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</si>
  <si>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</si>
  <si>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</si>
  <si>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</si>
  <si>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</si>
  <si>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</si>
  <si>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</si>
  <si>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</si>
  <si>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</si>
  <si>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</si>
  <si>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</si>
  <si>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</si>
  <si>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</si>
  <si>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</si>
  <si>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</si>
  <si>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</si>
  <si>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</si>
  <si>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</si>
  <si>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</si>
  <si>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</si>
  <si>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</si>
  <si>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</si>
  <si>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</si>
  <si>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</si>
  <si>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</si>
  <si>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</si>
  <si>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</si>
  <si>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</si>
  <si>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</si>
  <si>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</si>
  <si>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خراسان جنوبي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</si>
  <si>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</si>
  <si>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</si>
  <si>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</si>
  <si>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</si>
  <si>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</si>
  <si>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</si>
  <si>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</si>
  <si>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</si>
  <si>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</si>
  <si>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</si>
  <si>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</si>
  <si>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</si>
  <si>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خراسان رضوي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</si>
  <si>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</si>
  <si>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</si>
  <si>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</si>
  <si>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</si>
  <si>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</si>
  <si>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</si>
  <si>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</si>
  <si>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</si>
  <si>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</si>
  <si>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</si>
  <si>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</si>
  <si>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</si>
  <si>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</si>
  <si>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</si>
  <si>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</si>
  <si>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</si>
  <si>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</si>
  <si>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</si>
  <si>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</si>
  <si>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</si>
  <si>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</si>
  <si>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</si>
  <si>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</si>
  <si>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خراسان شمالي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</si>
  <si>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</si>
  <si>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</si>
  <si>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</si>
  <si>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</si>
  <si>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</si>
  <si>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</si>
  <si>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</si>
  <si>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</si>
  <si>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خوزستان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</si>
  <si>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</si>
  <si>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</si>
  <si>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</si>
  <si>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</si>
  <si>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</si>
  <si>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</si>
  <si>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</si>
  <si>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</si>
  <si>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</si>
  <si>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</si>
  <si>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</si>
  <si>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</si>
  <si>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</si>
  <si>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</si>
  <si>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</si>
  <si>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</si>
  <si>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</si>
  <si>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</si>
  <si>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</si>
  <si>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</si>
  <si>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</si>
  <si>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</si>
  <si>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</si>
  <si>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</si>
  <si>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</si>
  <si>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</si>
  <si>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</si>
  <si>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</si>
  <si>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</si>
  <si>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</si>
  <si>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</si>
  <si>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ستاد-امورمالی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</si>
  <si>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</si>
  <si>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</si>
  <si>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</si>
  <si>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</si>
  <si>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</si>
  <si>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</si>
  <si>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</si>
  <si>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</si>
  <si>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</si>
  <si>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</si>
  <si>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</si>
  <si>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</si>
  <si>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</si>
  <si>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</si>
  <si>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</si>
  <si>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</si>
  <si>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</si>
  <si>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</si>
  <si>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</si>
  <si>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</si>
  <si>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</si>
  <si>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</si>
  <si>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</si>
  <si>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</si>
  <si>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</si>
  <si>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</si>
  <si>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</si>
  <si>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سيستان وبلوچستان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</si>
  <si>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</si>
  <si>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</si>
  <si>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</si>
  <si>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</si>
  <si>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</si>
  <si>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</si>
  <si>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</si>
  <si>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</si>
  <si>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</si>
  <si>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</si>
  <si>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</si>
  <si>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</si>
  <si>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شعبه مستقل مرکزی</t>
  </si>
  <si>
    <t>مستقل مركزي</t>
  </si>
  <si>
    <t>فارس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</si>
  <si>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</si>
  <si>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</si>
  <si>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</si>
  <si>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</si>
  <si>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</si>
  <si>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</si>
  <si>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</si>
  <si>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</si>
  <si>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</si>
  <si>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</si>
  <si>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</si>
  <si>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</si>
  <si>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</si>
  <si>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</si>
  <si>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</si>
  <si>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</si>
  <si>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</si>
  <si>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</si>
  <si>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</si>
  <si>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</si>
  <si>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</si>
  <si>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</si>
  <si>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</si>
  <si>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</si>
  <si>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</si>
  <si>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</si>
  <si>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</si>
  <si>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</si>
  <si>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</si>
  <si>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</si>
  <si>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</si>
  <si>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</si>
  <si>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</si>
  <si>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</si>
  <si>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</si>
  <si>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</si>
  <si>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</si>
  <si>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</si>
  <si>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لرستان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</si>
  <si>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</si>
  <si>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</si>
  <si>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</si>
  <si>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</si>
  <si>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</si>
  <si>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</si>
  <si>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</si>
  <si>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</si>
  <si>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</si>
  <si>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</si>
  <si>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</si>
  <si>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مازندران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</si>
  <si>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</si>
  <si>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</si>
  <si>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</si>
  <si>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</si>
  <si>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</si>
  <si>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</si>
  <si>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</si>
  <si>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</si>
  <si>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</si>
  <si>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</si>
  <si>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</si>
  <si>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</si>
  <si>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</si>
  <si>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</si>
  <si>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</si>
  <si>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</si>
  <si>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</si>
  <si>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</si>
  <si>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</si>
  <si>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</si>
  <si>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</si>
  <si>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</si>
  <si>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</si>
  <si>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مرکزي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</si>
  <si>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</si>
  <si>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</si>
  <si>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</si>
  <si>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</si>
  <si>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</si>
  <si>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</si>
  <si>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</si>
  <si>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</si>
  <si>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</si>
  <si>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</si>
  <si>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</si>
  <si>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</si>
  <si>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</si>
  <si>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</si>
  <si>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</si>
  <si>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هرمزگان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</si>
  <si>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</si>
  <si>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</si>
  <si>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</si>
  <si>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</si>
  <si>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</si>
  <si>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</si>
  <si>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</si>
  <si>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</si>
  <si>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</si>
  <si>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</si>
  <si>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</si>
  <si>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</si>
  <si>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</si>
  <si>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همدان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</si>
  <si>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</si>
  <si>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</si>
  <si>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</si>
  <si>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</si>
  <si>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</si>
  <si>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</si>
  <si>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</si>
  <si>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</si>
  <si>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</si>
  <si>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</si>
  <si>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</si>
  <si>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</si>
  <si>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</si>
  <si>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</si>
  <si>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</si>
  <si>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</si>
  <si>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</si>
  <si>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</si>
  <si>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</si>
  <si>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</si>
  <si>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</si>
  <si>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</si>
  <si>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</si>
  <si>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</si>
  <si>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</si>
  <si>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</si>
  <si>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</si>
  <si>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چهارمحال وبختياري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</si>
  <si>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</si>
  <si>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</si>
  <si>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</si>
  <si>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</si>
  <si>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</si>
  <si>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</si>
  <si>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</si>
  <si>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</si>
  <si>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</si>
  <si>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کردستان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</si>
  <si>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</si>
  <si>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</si>
  <si>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</si>
  <si>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</si>
  <si>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</si>
  <si>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</si>
  <si>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</si>
  <si>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</si>
  <si>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</si>
  <si>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</si>
  <si>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</si>
  <si>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</si>
  <si>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</si>
  <si>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</si>
  <si>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</si>
  <si>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</si>
  <si>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</si>
  <si>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</si>
  <si>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</si>
  <si>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</si>
  <si>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</si>
  <si>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</si>
  <si>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</si>
  <si>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</si>
  <si>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</si>
  <si>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</si>
  <si>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</si>
  <si>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</si>
  <si>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</si>
  <si>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</si>
  <si>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</si>
  <si>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</si>
  <si>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</si>
  <si>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</si>
  <si>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</si>
  <si>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</si>
  <si>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</si>
  <si>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</si>
  <si>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</si>
  <si>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</si>
  <si>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</si>
  <si>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</si>
  <si>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</si>
  <si>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</si>
  <si>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</si>
  <si>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</si>
  <si>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</si>
  <si>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</si>
  <si>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</si>
  <si>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</si>
  <si>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</si>
  <si>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</si>
  <si>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کهگيلويه وبويراحمد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</si>
  <si>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</si>
  <si>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</si>
  <si>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</si>
  <si>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</si>
  <si>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</si>
  <si>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</si>
  <si>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</si>
  <si>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گلستان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</si>
  <si>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</si>
  <si>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</si>
  <si>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</si>
  <si>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</si>
  <si>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</si>
  <si>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</si>
  <si>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</si>
  <si>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</si>
  <si>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</si>
  <si>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</si>
  <si>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</si>
  <si>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</si>
  <si>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</si>
  <si>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</si>
  <si>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</si>
  <si>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گيلان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</si>
  <si>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</si>
  <si>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</si>
  <si>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</si>
  <si>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</si>
  <si>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</si>
  <si>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</si>
  <si>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</si>
  <si>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</si>
  <si>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</si>
  <si>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</si>
  <si>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</si>
  <si>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</si>
  <si>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</si>
  <si>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</si>
  <si>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</si>
  <si>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</si>
  <si>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</si>
  <si>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</si>
  <si>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</si>
  <si>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جمع کل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</si>
  <si>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</si>
  <si>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</si>
  <si>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</si>
  <si>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</si>
  <si>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</si>
  <si>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</si>
  <si>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</si>
  <si>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</si>
  <si>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</si>
  <si>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</si>
  <si>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</si>
  <si>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امور شعب تهران</t>
  </si>
  <si>
    <t xml:space="preserve"> </t>
  </si>
  <si>
    <t>عملکرد شعب منتهی به 1403/12/30</t>
  </si>
  <si>
    <t>-</t>
  </si>
  <si>
    <t xml:space="preserve">گلستان جمع </t>
  </si>
  <si>
    <t xml:space="preserve">کهگيلويه وبويراحمد جمع </t>
  </si>
  <si>
    <t xml:space="preserve">کرمانشاه جمع </t>
  </si>
  <si>
    <t xml:space="preserve">کرمان جمع </t>
  </si>
  <si>
    <t xml:space="preserve">کردستان جمع </t>
  </si>
  <si>
    <t xml:space="preserve">چهارمحال وبختياري جمع </t>
  </si>
  <si>
    <t xml:space="preserve">يزد جمع </t>
  </si>
  <si>
    <t xml:space="preserve">همدان جمع </t>
  </si>
  <si>
    <t xml:space="preserve">هرمزگان جمع </t>
  </si>
  <si>
    <t xml:space="preserve">مرکزي جمع </t>
  </si>
  <si>
    <t xml:space="preserve">مازندران جمع </t>
  </si>
  <si>
    <t xml:space="preserve">لرستان جمع </t>
  </si>
  <si>
    <t xml:space="preserve">قم جمع </t>
  </si>
  <si>
    <t xml:space="preserve">قزوين جمع </t>
  </si>
  <si>
    <t xml:space="preserve">فارس جمع </t>
  </si>
  <si>
    <t xml:space="preserve">شعبه مستقل مرکزی جمع </t>
  </si>
  <si>
    <t xml:space="preserve">سيستان وبلوچستان جمع </t>
  </si>
  <si>
    <t xml:space="preserve">سمنان جمع </t>
  </si>
  <si>
    <t xml:space="preserve">ستاد-امورمالی جمع </t>
  </si>
  <si>
    <t xml:space="preserve">زنجان جمع </t>
  </si>
  <si>
    <t xml:space="preserve">خوزستان جمع </t>
  </si>
  <si>
    <t xml:space="preserve">خراسان شمالي جمع </t>
  </si>
  <si>
    <t xml:space="preserve">خراسان رضوي جمع </t>
  </si>
  <si>
    <t xml:space="preserve">خراسان جنوبي جمع </t>
  </si>
  <si>
    <t xml:space="preserve">تهران جمع </t>
  </si>
  <si>
    <t xml:space="preserve">بوشهر جمع </t>
  </si>
  <si>
    <t xml:space="preserve">ايلام جمع </t>
  </si>
  <si>
    <t xml:space="preserve">البرز جمع </t>
  </si>
  <si>
    <t xml:space="preserve">اصفهان جمع </t>
  </si>
  <si>
    <t xml:space="preserve">اردبيل جمع </t>
  </si>
  <si>
    <t xml:space="preserve">آذربايجان غربي جمع </t>
  </si>
  <si>
    <t xml:space="preserve">آذربايجان شرقي جمع </t>
  </si>
  <si>
    <t xml:space="preserve"> گيلان جمع </t>
  </si>
  <si>
    <t>عنوان</t>
  </si>
  <si>
    <t>پایان سال 1403</t>
  </si>
  <si>
    <t>جمع چهار سپرده اصلی</t>
  </si>
  <si>
    <t>جمع کل منابع</t>
  </si>
  <si>
    <t xml:space="preserve"> سپرده قرض الحسنه جاری</t>
  </si>
  <si>
    <t xml:space="preserve"> سپرده قرض الحسنه پس انداز</t>
  </si>
  <si>
    <t xml:space="preserve"> سپرده کوتاه مدت</t>
  </si>
  <si>
    <t xml:space="preserve"> سپرده بلندمدت</t>
  </si>
  <si>
    <t>سایر منابع</t>
  </si>
  <si>
    <t>1404/02/26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</si>
</sst>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,,"/>
    <numFmt numFmtId="165" formatCode="#,##0,,,"/>
    <numFmt numFmtId="166" formatCode="#,##0.000000,,"/>
  </numFmts>
  <fonts count="12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B Lotus"/>
      <charset val="178"/>
    </font>
  </fonts>
  <fills count="9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6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4" fontId="3" fillId="0" borderId="2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2" fontId="3" fillId="3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165" fontId="4" fillId="4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 wrapText="1"/>
    </xf>
    <xf numFmtId="165" fontId="4" fillId="8" borderId="2" xfId="0" applyNumberFormat="1" applyFont="1" applyFill="1" applyBorder="1" applyAlignment="1">
      <alignment horizontal="center" vertical="center"/>
    </xf>
    <xf numFmtId="165" fontId="1" fillId="0" borderId="2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43"/>
  <sheetViews>
    <sheetView rightToLeft="1" tabSelected="1" topLeftCell="A483" zoomScale="55" zoomScaleNormal="55" workbookViewId="0">
      <selection activeCell="AV541" sqref="AV541"/>
    </sheetView>
  </sheetViews>
  <sheetFormatPr defaultColWidth="33.42578125" defaultRowHeight="39.75" x14ac:dyDescent="0.25"/>
  <cols>
    <col min="1" max="1" width="40.85546875" style="8" bestFit="1" customWidth="1"/>
    <col min="2" max="2" width="33.42578125" style="8"/>
    <col min="3" max="3" width="45.140625" style="8" bestFit="1" customWidth="1"/>
    <col min="4" max="7" width="33.42578125" style="8"/>
    <col min="8" max="8" width="37.140625" style="8" bestFit="1" customWidth="1"/>
    <col min="9" max="9" width="34.140625" style="8" bestFit="1" customWidth="1"/>
    <col min="10" max="11" width="33.42578125" style="8"/>
    <col min="12" max="12" width="37.140625" bestFit="1" customWidth="1"/>
    <col min="16" max="23" width="33.42578125" style="8"/>
    <col min="24" max="24" width="37.140625" style="8" bestFit="1" customWidth="1"/>
    <col min="25" max="27" width="33.42578125" style="8"/>
    <col min="28" max="28" width="37.140625" style="8" bestFit="1" customWidth="1"/>
    <col min="29" max="29" width="37.140625" style="30" bestFit="1" customWidth="1"/>
    <col min="30" max="30" width="33.42578125" style="30"/>
    <col min="31" max="38" width="33.42578125" style="8"/>
    <col min="39" max="39" width="34.140625" style="8" bestFit="1" customWidth="1"/>
    <col min="40" max="41" width="33.42578125" style="8"/>
    <col min="42" max="42" width="33.42578125" style="32"/>
    <col min="43" max="67" width="33.42578125" style="8"/>
    <col min="68" max="16384" width="33.42578125" style="30"/>
  </cols>
  <sheetData>
    <row r="1" spans="1:67" ht="96.75" x14ac:dyDescent="0.25">
      <c r="A1" s="61" t="s">
        <v>594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44" t="s">
        <v>581</v>
      </c>
      <c r="O1" s="6"/>
      <c r="P1" s="7"/>
      <c r="Q1" s="7"/>
      <c r="R1" s="7"/>
      <c r="S1" s="7"/>
      <c r="T1" s="7"/>
      <c r="U1" s="7"/>
      <c r="V1" s="7"/>
      <c r="W1" s="7"/>
      <c r="X1" s="7"/>
      <c r="Y1" s="36"/>
      <c r="Z1" s="7"/>
      <c r="AA1" s="7"/>
      <c r="AB1" s="7"/>
      <c r="AC1" s="7"/>
      <c r="AD1" s="49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35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s="31" customFormat="1" ht="261" x14ac:dyDescent="0.25">
      <c r="A2" s="1" t="s">
        <v>59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589</v>
      </c>
      <c r="K2" s="1" t="s">
        <v>590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38" t="s">
        <v>582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39" t="s">
        <v>591</v>
      </c>
      <c r="Z2" s="3" t="s">
        <v>583</v>
      </c>
      <c r="AA2" s="3" t="s">
        <v>584</v>
      </c>
      <c r="AB2" s="3" t="s">
        <v>585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4" t="s">
        <v>27</v>
      </c>
      <c r="AK2" s="5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4" t="s">
        <v>33</v>
      </c>
      <c r="AQ2" s="4" t="s">
        <v>34</v>
      </c>
      <c r="AR2" s="1" t="s">
        <v>35</v>
      </c>
      <c r="AS2" s="1" t="s">
        <v>36</v>
      </c>
      <c r="AT2" s="1" t="s">
        <v>37</v>
      </c>
      <c r="AU2" s="1" t="s">
        <v>38</v>
      </c>
      <c r="AV2" s="1" t="s">
        <v>39</v>
      </c>
      <c r="AW2" s="1" t="s">
        <v>40</v>
      </c>
      <c r="AX2" s="1" t="s">
        <v>41</v>
      </c>
      <c r="AY2" s="1" t="s">
        <v>42</v>
      </c>
      <c r="AZ2" s="1" t="s">
        <v>43</v>
      </c>
      <c r="BA2" s="1" t="s">
        <v>44</v>
      </c>
      <c r="BB2" s="1" t="s">
        <v>45</v>
      </c>
      <c r="BC2" s="1" t="s">
        <v>46</v>
      </c>
      <c r="BD2" s="1" t="s">
        <v>47</v>
      </c>
      <c r="BE2" s="1" t="s">
        <v>48</v>
      </c>
      <c r="BF2" s="1" t="s">
        <v>49</v>
      </c>
      <c r="BG2" s="1" t="s">
        <v>50</v>
      </c>
      <c r="BH2" s="1" t="s">
        <v>51</v>
      </c>
      <c r="BI2" s="1" t="s">
        <v>52</v>
      </c>
      <c r="BJ2" s="1" t="s">
        <v>53</v>
      </c>
      <c r="BK2" s="1" t="s">
        <v>54</v>
      </c>
      <c r="BL2" s="1" t="s">
        <v>55</v>
      </c>
      <c r="BM2" s="1" t="s">
        <v>56</v>
      </c>
      <c r="BN2" s="1" t="s">
        <v>57</v>
      </c>
      <c r="BO2" s="1" t="s">
        <v>58</v>
      </c>
    </row>
    <row r="3" spans="1:67" x14ac:dyDescent="0.25">
      <c r="A3" s="25" t="s">
        <v>59</v>
      </c>
      <c r="B3" s="9">
        <v>1100</v>
      </c>
      <c r="C3" s="9" t="s">
        <v>60</v>
      </c>
      <c r="D3" s="10">
        <v>3664204165033</v>
      </c>
      <c r="E3" s="10">
        <v>471602098648</v>
      </c>
      <c r="F3" s="10">
        <v>505000000000</v>
      </c>
      <c r="G3" s="10">
        <v>92942698788</v>
      </c>
      <c r="H3" s="10">
        <v>4733748962469</v>
      </c>
      <c r="I3" s="10">
        <v>459080657514</v>
      </c>
      <c r="J3" s="10">
        <v>63174882242</v>
      </c>
      <c r="K3" s="10">
        <v>4211493422713</v>
      </c>
      <c r="L3" s="10">
        <v>3103327026232</v>
      </c>
      <c r="M3" s="10">
        <v>1630421936237</v>
      </c>
      <c r="N3" s="46">
        <v>52.537870564567179</v>
      </c>
      <c r="O3" s="10">
        <v>6388688039130</v>
      </c>
      <c r="P3" s="11">
        <v>197.6</v>
      </c>
      <c r="Q3" s="11">
        <v>151.69999999999999</v>
      </c>
      <c r="R3" s="11">
        <v>5.24</v>
      </c>
      <c r="S3" s="10">
        <v>8528463260844</v>
      </c>
      <c r="T3" s="10">
        <v>311103423261</v>
      </c>
      <c r="U3" s="10">
        <v>13941808860</v>
      </c>
      <c r="V3" s="10">
        <v>54210720890</v>
      </c>
      <c r="W3" s="10">
        <v>242950893511</v>
      </c>
      <c r="X3" s="10">
        <v>8839566684105</v>
      </c>
      <c r="Y3" s="10">
        <v>178996073907</v>
      </c>
      <c r="Z3" s="10">
        <v>484863909242</v>
      </c>
      <c r="AA3" s="10">
        <v>29471972024</v>
      </c>
      <c r="AB3" s="10">
        <v>9353902565371</v>
      </c>
      <c r="AC3" s="10">
        <v>6388214000360</v>
      </c>
      <c r="AD3" s="46">
        <v>38.37305205503224</v>
      </c>
      <c r="AE3" s="10">
        <v>6803156256882</v>
      </c>
      <c r="AF3" s="10">
        <v>6776771664554</v>
      </c>
      <c r="AG3" s="10">
        <v>1659493193507</v>
      </c>
      <c r="AH3" s="10">
        <v>20101420336</v>
      </c>
      <c r="AI3" s="10">
        <v>0</v>
      </c>
      <c r="AJ3" s="10">
        <v>0</v>
      </c>
      <c r="AK3" s="10">
        <v>0</v>
      </c>
      <c r="AL3" s="11">
        <v>9</v>
      </c>
      <c r="AM3" s="10">
        <v>1630230034300</v>
      </c>
      <c r="AN3" s="11">
        <v>133</v>
      </c>
      <c r="AO3" s="10">
        <v>583334679144</v>
      </c>
      <c r="AP3" s="12">
        <v>77</v>
      </c>
      <c r="AQ3" s="10">
        <v>994793107177</v>
      </c>
      <c r="AR3" s="10">
        <v>311103423261</v>
      </c>
      <c r="AS3" s="10">
        <v>269008508239</v>
      </c>
      <c r="AT3" s="10">
        <v>42094915022</v>
      </c>
      <c r="AU3" s="11">
        <v>15.65</v>
      </c>
      <c r="AV3" s="10">
        <v>5113987612437</v>
      </c>
      <c r="AW3" s="10">
        <v>1255332639489</v>
      </c>
      <c r="AX3" s="10">
        <v>578403399612</v>
      </c>
      <c r="AY3" s="10">
        <v>1019456563871</v>
      </c>
      <c r="AZ3" s="10">
        <v>981254009860</v>
      </c>
      <c r="BA3" s="10">
        <v>1085090191690</v>
      </c>
      <c r="BB3" s="10">
        <v>428266957410</v>
      </c>
      <c r="BC3" s="10">
        <v>4733748962469</v>
      </c>
      <c r="BD3" s="12">
        <v>126064</v>
      </c>
      <c r="BE3" s="10">
        <v>2068831015233</v>
      </c>
      <c r="BF3" s="10">
        <v>1486254009860</v>
      </c>
      <c r="BG3" s="10">
        <v>1178663937376</v>
      </c>
      <c r="BH3" s="10">
        <v>5393390707674</v>
      </c>
      <c r="BI3" s="10">
        <v>1409765549208</v>
      </c>
      <c r="BJ3" s="10">
        <v>177171269725</v>
      </c>
      <c r="BK3" s="10">
        <v>233685695290</v>
      </c>
      <c r="BL3" s="10">
        <v>1825456304668</v>
      </c>
      <c r="BM3" s="10">
        <v>0</v>
      </c>
      <c r="BN3" s="10">
        <v>0</v>
      </c>
      <c r="BO3" s="10">
        <v>20101420336</v>
      </c>
    </row>
    <row r="4" spans="1:67" x14ac:dyDescent="0.25">
      <c r="A4" s="25" t="s">
        <v>59</v>
      </c>
      <c r="B4" s="9">
        <v>1101</v>
      </c>
      <c r="C4" s="9" t="s">
        <v>61</v>
      </c>
      <c r="D4" s="10">
        <v>1768092443012</v>
      </c>
      <c r="E4" s="10">
        <v>20435644519</v>
      </c>
      <c r="F4" s="10">
        <v>0</v>
      </c>
      <c r="G4" s="10">
        <v>0</v>
      </c>
      <c r="H4" s="10">
        <v>1788528087531</v>
      </c>
      <c r="I4" s="10">
        <v>122400916350</v>
      </c>
      <c r="J4" s="10">
        <v>971877923</v>
      </c>
      <c r="K4" s="10">
        <v>1665155293258</v>
      </c>
      <c r="L4" s="10">
        <v>883257723181</v>
      </c>
      <c r="M4" s="10">
        <v>905270364350</v>
      </c>
      <c r="N4" s="46">
        <v>102.4922104377104</v>
      </c>
      <c r="O4" s="10">
        <v>1721366056869</v>
      </c>
      <c r="P4" s="11">
        <v>105.2</v>
      </c>
      <c r="Q4" s="11">
        <v>103.38</v>
      </c>
      <c r="R4" s="11">
        <v>3.72</v>
      </c>
      <c r="S4" s="10">
        <v>1705536639872</v>
      </c>
      <c r="T4" s="10">
        <v>49660349292</v>
      </c>
      <c r="U4" s="10">
        <v>18737778723</v>
      </c>
      <c r="V4" s="10">
        <v>14290319632</v>
      </c>
      <c r="W4" s="10">
        <v>16632250937</v>
      </c>
      <c r="X4" s="10">
        <v>1755196989164</v>
      </c>
      <c r="Y4" s="10">
        <v>20272894735</v>
      </c>
      <c r="Z4" s="10">
        <v>107222340669</v>
      </c>
      <c r="AA4" s="10">
        <v>19188690551</v>
      </c>
      <c r="AB4" s="10">
        <v>1881608020384</v>
      </c>
      <c r="AC4" s="10">
        <v>866541615417</v>
      </c>
      <c r="AD4" s="46">
        <v>102.55195572106001</v>
      </c>
      <c r="AE4" s="10">
        <v>1177798042601</v>
      </c>
      <c r="AF4" s="10">
        <v>1177798042601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1">
        <v>2</v>
      </c>
      <c r="AM4" s="10">
        <v>58200000000</v>
      </c>
      <c r="AN4" s="11">
        <v>46</v>
      </c>
      <c r="AO4" s="10">
        <v>204234724409</v>
      </c>
      <c r="AP4" s="12">
        <v>42</v>
      </c>
      <c r="AQ4" s="10">
        <v>75595630930</v>
      </c>
      <c r="AR4" s="10">
        <v>49660349292</v>
      </c>
      <c r="AS4" s="10">
        <v>45977674741</v>
      </c>
      <c r="AT4" s="10">
        <v>3682674551</v>
      </c>
      <c r="AU4" s="11">
        <v>8.01</v>
      </c>
      <c r="AV4" s="10">
        <v>326181814779</v>
      </c>
      <c r="AW4" s="10">
        <v>119292757469</v>
      </c>
      <c r="AX4" s="10">
        <v>567194058493</v>
      </c>
      <c r="AY4" s="10">
        <v>345411732385</v>
      </c>
      <c r="AZ4" s="10">
        <v>360584152134</v>
      </c>
      <c r="BA4" s="10">
        <v>494902500000</v>
      </c>
      <c r="BB4" s="10">
        <v>137008045232</v>
      </c>
      <c r="BC4" s="10">
        <v>1788528087531</v>
      </c>
      <c r="BD4" s="12">
        <v>49697</v>
      </c>
      <c r="BE4" s="10">
        <v>933041435397</v>
      </c>
      <c r="BF4" s="10">
        <v>360584152134</v>
      </c>
      <c r="BG4" s="10">
        <v>494902500000</v>
      </c>
      <c r="BH4" s="10">
        <v>1094399742601</v>
      </c>
      <c r="BI4" s="10">
        <v>83398300000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</row>
    <row r="5" spans="1:67" x14ac:dyDescent="0.25">
      <c r="A5" s="25" t="s">
        <v>59</v>
      </c>
      <c r="B5" s="9">
        <v>1102</v>
      </c>
      <c r="C5" s="9" t="s">
        <v>62</v>
      </c>
      <c r="D5" s="10">
        <v>1176348559768</v>
      </c>
      <c r="E5" s="10">
        <v>3377018992</v>
      </c>
      <c r="F5" s="10">
        <v>0</v>
      </c>
      <c r="G5" s="10">
        <v>0</v>
      </c>
      <c r="H5" s="10">
        <v>1179725578760</v>
      </c>
      <c r="I5" s="10">
        <v>95443545233</v>
      </c>
      <c r="J5" s="10">
        <v>1376419871</v>
      </c>
      <c r="K5" s="10">
        <v>1082905613656</v>
      </c>
      <c r="L5" s="10">
        <v>837238314419</v>
      </c>
      <c r="M5" s="10">
        <v>342487264341</v>
      </c>
      <c r="N5" s="46">
        <v>40.906783462086111</v>
      </c>
      <c r="O5" s="10">
        <v>1016348581043</v>
      </c>
      <c r="P5" s="11">
        <v>97.3</v>
      </c>
      <c r="Q5" s="11">
        <v>93.85</v>
      </c>
      <c r="R5" s="11">
        <v>1.4</v>
      </c>
      <c r="S5" s="10">
        <v>1063030123315</v>
      </c>
      <c r="T5" s="10">
        <v>15426221546</v>
      </c>
      <c r="U5" s="10">
        <v>12143387521</v>
      </c>
      <c r="V5" s="10">
        <v>3078755103</v>
      </c>
      <c r="W5" s="10">
        <v>204078922</v>
      </c>
      <c r="X5" s="10">
        <v>1078456344861</v>
      </c>
      <c r="Y5" s="10">
        <v>646361552</v>
      </c>
      <c r="Z5" s="10">
        <v>47908675366</v>
      </c>
      <c r="AA5" s="10">
        <v>21475925109</v>
      </c>
      <c r="AB5" s="10">
        <v>1147840945336</v>
      </c>
      <c r="AC5" s="10">
        <v>826599180304</v>
      </c>
      <c r="AD5" s="46">
        <v>30.469079882752119</v>
      </c>
      <c r="AE5" s="10">
        <v>594243665453</v>
      </c>
      <c r="AF5" s="10">
        <v>594243665453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0</v>
      </c>
      <c r="AM5" s="10">
        <v>0</v>
      </c>
      <c r="AN5" s="11">
        <v>11</v>
      </c>
      <c r="AO5" s="10">
        <v>37214291813</v>
      </c>
      <c r="AP5" s="12">
        <v>5</v>
      </c>
      <c r="AQ5" s="10">
        <v>1999800000</v>
      </c>
      <c r="AR5" s="10">
        <v>15426221546</v>
      </c>
      <c r="AS5" s="10">
        <v>13472171271</v>
      </c>
      <c r="AT5" s="10">
        <v>1954050275</v>
      </c>
      <c r="AU5" s="11">
        <v>14.5</v>
      </c>
      <c r="AV5" s="10">
        <v>347396089985</v>
      </c>
      <c r="AW5" s="10">
        <v>90394550101</v>
      </c>
      <c r="AX5" s="10">
        <v>344540232795</v>
      </c>
      <c r="AY5" s="10">
        <v>212438065697</v>
      </c>
      <c r="AZ5" s="10">
        <v>264847257167</v>
      </c>
      <c r="BA5" s="10">
        <v>354523004109</v>
      </c>
      <c r="BB5" s="10">
        <v>182461854384</v>
      </c>
      <c r="BC5" s="10">
        <v>1179725578760</v>
      </c>
      <c r="BD5" s="12">
        <v>8822</v>
      </c>
      <c r="BE5" s="10">
        <v>560355317484</v>
      </c>
      <c r="BF5" s="10">
        <v>264847257167</v>
      </c>
      <c r="BG5" s="10">
        <v>354523004109</v>
      </c>
      <c r="BH5" s="10">
        <v>543843665453</v>
      </c>
      <c r="BI5" s="10">
        <v>50400000000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</row>
    <row r="6" spans="1:67" x14ac:dyDescent="0.25">
      <c r="A6" s="25" t="s">
        <v>59</v>
      </c>
      <c r="B6" s="9">
        <v>1103</v>
      </c>
      <c r="C6" s="9" t="s">
        <v>63</v>
      </c>
      <c r="D6" s="10">
        <v>1694661887824</v>
      </c>
      <c r="E6" s="10">
        <v>16915499696</v>
      </c>
      <c r="F6" s="10">
        <v>0</v>
      </c>
      <c r="G6" s="10">
        <v>0</v>
      </c>
      <c r="H6" s="10">
        <v>1711577387520</v>
      </c>
      <c r="I6" s="10">
        <v>128315068814</v>
      </c>
      <c r="J6" s="10">
        <v>918639935</v>
      </c>
      <c r="K6" s="10">
        <v>1582343678771</v>
      </c>
      <c r="L6" s="10">
        <v>1273922326516</v>
      </c>
      <c r="M6" s="10">
        <v>437655061004</v>
      </c>
      <c r="N6" s="46">
        <v>34.354925091934419</v>
      </c>
      <c r="O6" s="10">
        <v>1255470119224</v>
      </c>
      <c r="P6" s="11">
        <v>83.37</v>
      </c>
      <c r="Q6" s="11">
        <v>79.34</v>
      </c>
      <c r="R6" s="11">
        <v>1.44</v>
      </c>
      <c r="S6" s="10">
        <v>1280212334257</v>
      </c>
      <c r="T6" s="10">
        <v>17388839206</v>
      </c>
      <c r="U6" s="10">
        <v>12285758056</v>
      </c>
      <c r="V6" s="10">
        <v>1628509685</v>
      </c>
      <c r="W6" s="10">
        <v>3474571465</v>
      </c>
      <c r="X6" s="10">
        <v>1297601173463</v>
      </c>
      <c r="Y6" s="10">
        <v>3181993155</v>
      </c>
      <c r="Z6" s="10">
        <v>81368041292</v>
      </c>
      <c r="AA6" s="10">
        <v>47889533279</v>
      </c>
      <c r="AB6" s="10">
        <v>1426858748034</v>
      </c>
      <c r="AC6" s="10">
        <v>828493934066</v>
      </c>
      <c r="AD6" s="46">
        <v>56.621686666402283</v>
      </c>
      <c r="AE6" s="10">
        <v>747695054239</v>
      </c>
      <c r="AF6" s="10">
        <v>747695054239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1">
        <v>0</v>
      </c>
      <c r="AM6" s="10">
        <v>0</v>
      </c>
      <c r="AN6" s="11">
        <v>57</v>
      </c>
      <c r="AO6" s="10">
        <v>158507442196</v>
      </c>
      <c r="AP6" s="12">
        <v>35</v>
      </c>
      <c r="AQ6" s="10">
        <v>94570622201</v>
      </c>
      <c r="AR6" s="10">
        <v>17388839206</v>
      </c>
      <c r="AS6" s="10">
        <v>19977458207</v>
      </c>
      <c r="AT6" s="10">
        <v>-2588619001</v>
      </c>
      <c r="AU6" s="11">
        <v>-12.96</v>
      </c>
      <c r="AV6" s="10">
        <v>332134693505</v>
      </c>
      <c r="AW6" s="10">
        <v>76308911508</v>
      </c>
      <c r="AX6" s="10">
        <v>193225555375</v>
      </c>
      <c r="AY6" s="10">
        <v>144153947023</v>
      </c>
      <c r="AZ6" s="10">
        <v>477381485426</v>
      </c>
      <c r="BA6" s="10">
        <v>879900900000</v>
      </c>
      <c r="BB6" s="10">
        <v>259118440075</v>
      </c>
      <c r="BC6" s="10">
        <v>1711577387520</v>
      </c>
      <c r="BD6" s="12">
        <v>40095</v>
      </c>
      <c r="BE6" s="10">
        <v>354295002094</v>
      </c>
      <c r="BF6" s="10">
        <v>477381485426</v>
      </c>
      <c r="BG6" s="10">
        <v>879900900000</v>
      </c>
      <c r="BH6" s="10">
        <v>597726844009</v>
      </c>
      <c r="BI6" s="10">
        <v>149968210230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 x14ac:dyDescent="0.25">
      <c r="A7" s="25" t="s">
        <v>59</v>
      </c>
      <c r="B7" s="9">
        <v>1104</v>
      </c>
      <c r="C7" s="9" t="s">
        <v>64</v>
      </c>
      <c r="D7" s="10">
        <v>953302579471</v>
      </c>
      <c r="E7" s="10">
        <v>3662984243</v>
      </c>
      <c r="F7" s="10">
        <v>0</v>
      </c>
      <c r="G7" s="10">
        <v>0</v>
      </c>
      <c r="H7" s="10">
        <v>956965563714</v>
      </c>
      <c r="I7" s="10">
        <v>75170956766</v>
      </c>
      <c r="J7" s="10">
        <v>1805498711</v>
      </c>
      <c r="K7" s="10">
        <v>879989108237</v>
      </c>
      <c r="L7" s="10">
        <v>914650269024</v>
      </c>
      <c r="M7" s="10">
        <v>42315294690</v>
      </c>
      <c r="N7" s="46">
        <v>4.6263906678946887</v>
      </c>
      <c r="O7" s="10">
        <v>769058010055</v>
      </c>
      <c r="P7" s="11">
        <v>90.73</v>
      </c>
      <c r="Q7" s="11">
        <v>87.39</v>
      </c>
      <c r="R7" s="11">
        <v>2.93</v>
      </c>
      <c r="S7" s="10">
        <v>773282875760</v>
      </c>
      <c r="T7" s="10">
        <v>24252344002</v>
      </c>
      <c r="U7" s="10">
        <v>13239771636</v>
      </c>
      <c r="V7" s="10">
        <v>7257329499</v>
      </c>
      <c r="W7" s="10">
        <v>3755242867</v>
      </c>
      <c r="X7" s="10">
        <v>797535219762</v>
      </c>
      <c r="Y7" s="10">
        <v>1219330536</v>
      </c>
      <c r="Z7" s="10">
        <v>52635220293</v>
      </c>
      <c r="AA7" s="10">
        <v>18100000000</v>
      </c>
      <c r="AB7" s="10">
        <v>868270440055</v>
      </c>
      <c r="AC7" s="10">
        <v>646113863013</v>
      </c>
      <c r="AD7" s="46">
        <v>23.435707762542368</v>
      </c>
      <c r="AE7" s="10">
        <v>446257633520</v>
      </c>
      <c r="AF7" s="10">
        <v>446257633520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1">
        <v>0</v>
      </c>
      <c r="AM7" s="10">
        <v>0</v>
      </c>
      <c r="AN7" s="11">
        <v>44</v>
      </c>
      <c r="AO7" s="10">
        <v>141443073109</v>
      </c>
      <c r="AP7" s="12">
        <v>13</v>
      </c>
      <c r="AQ7" s="10">
        <v>12053820480</v>
      </c>
      <c r="AR7" s="10">
        <v>24252344002</v>
      </c>
      <c r="AS7" s="10">
        <v>19754385149</v>
      </c>
      <c r="AT7" s="10">
        <v>4497958853</v>
      </c>
      <c r="AU7" s="11">
        <v>22.77</v>
      </c>
      <c r="AV7" s="10">
        <v>297930570817</v>
      </c>
      <c r="AW7" s="10">
        <v>93332199667</v>
      </c>
      <c r="AX7" s="10">
        <v>143873748705</v>
      </c>
      <c r="AY7" s="10">
        <v>177591275533</v>
      </c>
      <c r="AZ7" s="10">
        <v>202355381124</v>
      </c>
      <c r="BA7" s="10">
        <v>429482174109</v>
      </c>
      <c r="BB7" s="10">
        <v>76822686316</v>
      </c>
      <c r="BC7" s="10">
        <v>956965563714</v>
      </c>
      <c r="BD7" s="12">
        <v>7350</v>
      </c>
      <c r="BE7" s="10">
        <v>325128008481</v>
      </c>
      <c r="BF7" s="10">
        <v>202355381124</v>
      </c>
      <c r="BG7" s="10">
        <v>429482174109</v>
      </c>
      <c r="BH7" s="10">
        <v>308329010770</v>
      </c>
      <c r="BI7" s="10">
        <v>137928622750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</row>
    <row r="8" spans="1:67" x14ac:dyDescent="0.25">
      <c r="A8" s="25" t="s">
        <v>59</v>
      </c>
      <c r="B8" s="9">
        <v>1105</v>
      </c>
      <c r="C8" s="9" t="s">
        <v>65</v>
      </c>
      <c r="D8" s="10">
        <v>818380535317</v>
      </c>
      <c r="E8" s="10">
        <v>1202077834</v>
      </c>
      <c r="F8" s="10">
        <v>0</v>
      </c>
      <c r="G8" s="10">
        <v>0</v>
      </c>
      <c r="H8" s="10">
        <v>819582613151</v>
      </c>
      <c r="I8" s="10">
        <v>58770335197</v>
      </c>
      <c r="J8" s="10">
        <v>1362351029</v>
      </c>
      <c r="K8" s="10">
        <v>759449926925</v>
      </c>
      <c r="L8" s="10">
        <v>597031777057</v>
      </c>
      <c r="M8" s="10">
        <v>222550836094</v>
      </c>
      <c r="N8" s="46">
        <v>37.276212866095491</v>
      </c>
      <c r="O8" s="10">
        <v>576027342926</v>
      </c>
      <c r="P8" s="11">
        <v>75.41</v>
      </c>
      <c r="Q8" s="11">
        <v>75.849999999999994</v>
      </c>
      <c r="R8" s="11">
        <v>0.28999999999999998</v>
      </c>
      <c r="S8" s="10">
        <v>566574917234</v>
      </c>
      <c r="T8" s="10">
        <v>1807331484</v>
      </c>
      <c r="U8" s="10">
        <v>1473188840</v>
      </c>
      <c r="V8" s="10">
        <v>334142644</v>
      </c>
      <c r="W8" s="10">
        <v>0</v>
      </c>
      <c r="X8" s="10">
        <v>568382248718</v>
      </c>
      <c r="Y8" s="10">
        <v>0</v>
      </c>
      <c r="Z8" s="10">
        <v>30553796436</v>
      </c>
      <c r="AA8" s="10">
        <v>19085933562</v>
      </c>
      <c r="AB8" s="10">
        <v>618021978716</v>
      </c>
      <c r="AC8" s="10">
        <v>427961088549</v>
      </c>
      <c r="AD8" s="46">
        <v>32.811665342075202</v>
      </c>
      <c r="AE8" s="10">
        <v>371353469629</v>
      </c>
      <c r="AF8" s="10">
        <v>371353469629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1">
        <v>0</v>
      </c>
      <c r="AM8" s="10">
        <v>0</v>
      </c>
      <c r="AN8" s="11">
        <v>0</v>
      </c>
      <c r="AO8" s="10">
        <v>0</v>
      </c>
      <c r="AP8" s="12">
        <v>0</v>
      </c>
      <c r="AQ8" s="10">
        <v>0</v>
      </c>
      <c r="AR8" s="10">
        <v>1807331484</v>
      </c>
      <c r="AS8" s="10">
        <v>3449002646</v>
      </c>
      <c r="AT8" s="10">
        <v>-1641671162</v>
      </c>
      <c r="AU8" s="11">
        <v>-47.6</v>
      </c>
      <c r="AV8" s="10">
        <v>234170964069</v>
      </c>
      <c r="AW8" s="10">
        <v>43666412100</v>
      </c>
      <c r="AX8" s="10">
        <v>123001952651</v>
      </c>
      <c r="AY8" s="10">
        <v>147433089358</v>
      </c>
      <c r="AZ8" s="10">
        <v>254263893308</v>
      </c>
      <c r="BA8" s="10">
        <v>293681600000</v>
      </c>
      <c r="BB8" s="10">
        <v>180446289197</v>
      </c>
      <c r="BC8" s="10">
        <v>819582613151</v>
      </c>
      <c r="BD8" s="12">
        <v>13053</v>
      </c>
      <c r="BE8" s="10">
        <v>271637119843</v>
      </c>
      <c r="BF8" s="10">
        <v>254263893308</v>
      </c>
      <c r="BG8" s="10">
        <v>293681600000</v>
      </c>
      <c r="BH8" s="10">
        <v>311303470069</v>
      </c>
      <c r="BI8" s="10">
        <v>60049999560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 x14ac:dyDescent="0.25">
      <c r="A9" s="25" t="s">
        <v>59</v>
      </c>
      <c r="B9" s="9">
        <v>1106</v>
      </c>
      <c r="C9" s="9" t="s">
        <v>66</v>
      </c>
      <c r="D9" s="10">
        <v>1258334854860</v>
      </c>
      <c r="E9" s="10">
        <v>6691689714</v>
      </c>
      <c r="F9" s="10">
        <v>0</v>
      </c>
      <c r="G9" s="10">
        <v>0</v>
      </c>
      <c r="H9" s="10">
        <v>1265026544574</v>
      </c>
      <c r="I9" s="10">
        <v>100679330193</v>
      </c>
      <c r="J9" s="10">
        <v>853906837</v>
      </c>
      <c r="K9" s="10">
        <v>1163493307544</v>
      </c>
      <c r="L9" s="10">
        <v>1175275509274</v>
      </c>
      <c r="M9" s="10">
        <v>89751035300</v>
      </c>
      <c r="N9" s="46">
        <v>7.6365953848082553</v>
      </c>
      <c r="O9" s="10">
        <v>972463505502</v>
      </c>
      <c r="P9" s="11">
        <v>85.64</v>
      </c>
      <c r="Q9" s="11">
        <v>83.58</v>
      </c>
      <c r="R9" s="11">
        <v>0.91</v>
      </c>
      <c r="S9" s="10">
        <v>1005462556458</v>
      </c>
      <c r="T9" s="10">
        <v>9620344378</v>
      </c>
      <c r="U9" s="10">
        <v>9054645453</v>
      </c>
      <c r="V9" s="10">
        <v>448698925</v>
      </c>
      <c r="W9" s="10">
        <v>117000000</v>
      </c>
      <c r="X9" s="10">
        <v>1015082900836</v>
      </c>
      <c r="Y9" s="10">
        <v>242334247</v>
      </c>
      <c r="Z9" s="10">
        <v>41783565450</v>
      </c>
      <c r="AA9" s="10">
        <v>26537438021</v>
      </c>
      <c r="AB9" s="10">
        <v>1083403904307</v>
      </c>
      <c r="AC9" s="10">
        <v>795276225273</v>
      </c>
      <c r="AD9" s="46">
        <v>27.639035165114539</v>
      </c>
      <c r="AE9" s="10">
        <v>492057143443</v>
      </c>
      <c r="AF9" s="10">
        <v>492057143443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1">
        <v>0</v>
      </c>
      <c r="AM9" s="10">
        <v>0</v>
      </c>
      <c r="AN9" s="11">
        <v>68</v>
      </c>
      <c r="AO9" s="10">
        <v>146805521393</v>
      </c>
      <c r="AP9" s="12">
        <v>14</v>
      </c>
      <c r="AQ9" s="10">
        <v>36786521827</v>
      </c>
      <c r="AR9" s="10">
        <v>9620344378</v>
      </c>
      <c r="AS9" s="10">
        <v>10309536123</v>
      </c>
      <c r="AT9" s="10">
        <v>-689191745</v>
      </c>
      <c r="AU9" s="11">
        <v>-6.68</v>
      </c>
      <c r="AV9" s="10">
        <v>275488937862</v>
      </c>
      <c r="AW9" s="10">
        <v>55901923330</v>
      </c>
      <c r="AX9" s="10">
        <v>188006755952</v>
      </c>
      <c r="AY9" s="10">
        <v>290499257342</v>
      </c>
      <c r="AZ9" s="10">
        <v>214205641566</v>
      </c>
      <c r="BA9" s="10">
        <v>565623200000</v>
      </c>
      <c r="BB9" s="10">
        <v>74792921965</v>
      </c>
      <c r="BC9" s="10">
        <v>1265026544574</v>
      </c>
      <c r="BD9" s="12">
        <v>24877</v>
      </c>
      <c r="BE9" s="10">
        <v>485197703008</v>
      </c>
      <c r="BF9" s="10">
        <v>213910641566</v>
      </c>
      <c r="BG9" s="10">
        <v>565918200000</v>
      </c>
      <c r="BH9" s="10">
        <v>406907143443</v>
      </c>
      <c r="BI9" s="10">
        <v>85150000000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</row>
    <row r="10" spans="1:67" x14ac:dyDescent="0.25">
      <c r="A10" s="25" t="s">
        <v>59</v>
      </c>
      <c r="B10" s="9">
        <v>1107</v>
      </c>
      <c r="C10" s="9" t="s">
        <v>67</v>
      </c>
      <c r="D10" s="10">
        <v>1152279332553</v>
      </c>
      <c r="E10" s="10">
        <v>11032380577</v>
      </c>
      <c r="F10" s="10">
        <v>0</v>
      </c>
      <c r="G10" s="10">
        <v>0</v>
      </c>
      <c r="H10" s="10">
        <v>1163311713130</v>
      </c>
      <c r="I10" s="10">
        <v>103588539424</v>
      </c>
      <c r="J10" s="10">
        <v>1819263643</v>
      </c>
      <c r="K10" s="10">
        <v>1057903910063</v>
      </c>
      <c r="L10" s="10">
        <v>613096611356</v>
      </c>
      <c r="M10" s="10">
        <v>550215101774</v>
      </c>
      <c r="N10" s="46">
        <v>89.743621410184687</v>
      </c>
      <c r="O10" s="10">
        <v>768898560226</v>
      </c>
      <c r="P10" s="11">
        <v>74.540000000000006</v>
      </c>
      <c r="Q10" s="11">
        <v>72.680000000000007</v>
      </c>
      <c r="R10" s="11">
        <v>0.87</v>
      </c>
      <c r="S10" s="10">
        <v>774745953785</v>
      </c>
      <c r="T10" s="10">
        <v>7456921734</v>
      </c>
      <c r="U10" s="10">
        <v>7167070906</v>
      </c>
      <c r="V10" s="10">
        <v>289850828</v>
      </c>
      <c r="W10" s="10">
        <v>0</v>
      </c>
      <c r="X10" s="10">
        <v>782202875519</v>
      </c>
      <c r="Y10" s="10">
        <v>101286131</v>
      </c>
      <c r="Z10" s="10">
        <v>62846179321</v>
      </c>
      <c r="AA10" s="10">
        <v>22033016143</v>
      </c>
      <c r="AB10" s="10">
        <v>867082070983</v>
      </c>
      <c r="AC10" s="10">
        <v>496847103867</v>
      </c>
      <c r="AD10" s="46">
        <v>57.433316895892851</v>
      </c>
      <c r="AE10" s="10">
        <v>670022338262</v>
      </c>
      <c r="AF10" s="10">
        <v>670022338262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1">
        <v>0</v>
      </c>
      <c r="AM10" s="10">
        <v>0</v>
      </c>
      <c r="AN10" s="11">
        <v>11</v>
      </c>
      <c r="AO10" s="10">
        <v>21743315000</v>
      </c>
      <c r="AP10" s="12">
        <v>17</v>
      </c>
      <c r="AQ10" s="10">
        <v>36262852978</v>
      </c>
      <c r="AR10" s="10">
        <v>7456921734</v>
      </c>
      <c r="AS10" s="10">
        <v>12941089249</v>
      </c>
      <c r="AT10" s="10">
        <v>-5484167515</v>
      </c>
      <c r="AU10" s="11">
        <v>-42.38</v>
      </c>
      <c r="AV10" s="10">
        <v>295132265705</v>
      </c>
      <c r="AW10" s="10">
        <v>90840854931</v>
      </c>
      <c r="AX10" s="10">
        <v>203971868870</v>
      </c>
      <c r="AY10" s="10">
        <v>95316051367</v>
      </c>
      <c r="AZ10" s="10">
        <v>263352408316</v>
      </c>
      <c r="BA10" s="10">
        <v>589639004000</v>
      </c>
      <c r="BB10" s="10">
        <v>133082021030</v>
      </c>
      <c r="BC10" s="10">
        <v>1163311713130</v>
      </c>
      <c r="BD10" s="12">
        <v>32075</v>
      </c>
      <c r="BE10" s="10">
        <v>310320300814</v>
      </c>
      <c r="BF10" s="10">
        <v>263352408316</v>
      </c>
      <c r="BG10" s="10">
        <v>589639004000</v>
      </c>
      <c r="BH10" s="10">
        <v>458085444646</v>
      </c>
      <c r="BI10" s="10">
        <v>211936893616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</row>
    <row r="11" spans="1:67" x14ac:dyDescent="0.25">
      <c r="A11" s="25" t="s">
        <v>59</v>
      </c>
      <c r="B11" s="9">
        <v>1108</v>
      </c>
      <c r="C11" s="9" t="s">
        <v>68</v>
      </c>
      <c r="D11" s="10">
        <v>738853584609</v>
      </c>
      <c r="E11" s="10">
        <v>5124999378</v>
      </c>
      <c r="F11" s="10">
        <v>0</v>
      </c>
      <c r="G11" s="10">
        <v>0</v>
      </c>
      <c r="H11" s="10">
        <v>743978583987</v>
      </c>
      <c r="I11" s="10">
        <v>60798954946</v>
      </c>
      <c r="J11" s="10">
        <v>416159556</v>
      </c>
      <c r="K11" s="10">
        <v>682763469485</v>
      </c>
      <c r="L11" s="10">
        <v>683016364861</v>
      </c>
      <c r="M11" s="10">
        <v>60962219126</v>
      </c>
      <c r="N11" s="46">
        <v>8.9254404817088631</v>
      </c>
      <c r="O11" s="10">
        <v>1131330982055</v>
      </c>
      <c r="P11" s="11">
        <v>177.35</v>
      </c>
      <c r="Q11" s="11">
        <v>165.7</v>
      </c>
      <c r="R11" s="11">
        <v>1.95</v>
      </c>
      <c r="S11" s="10">
        <v>1223111269413</v>
      </c>
      <c r="T11" s="10">
        <v>25661990700</v>
      </c>
      <c r="U11" s="10">
        <v>18544357488</v>
      </c>
      <c r="V11" s="10">
        <v>5962385389</v>
      </c>
      <c r="W11" s="10">
        <v>1155247823</v>
      </c>
      <c r="X11" s="10">
        <v>1248773260113</v>
      </c>
      <c r="Y11" s="10">
        <v>83605602</v>
      </c>
      <c r="Z11" s="10">
        <v>46406078440</v>
      </c>
      <c r="AA11" s="10">
        <v>24267861700</v>
      </c>
      <c r="AB11" s="10">
        <v>1319447200253</v>
      </c>
      <c r="AC11" s="10">
        <v>897740093319</v>
      </c>
      <c r="AD11" s="46">
        <v>39.101870285887415</v>
      </c>
      <c r="AE11" s="10">
        <v>717183482026</v>
      </c>
      <c r="AF11" s="10">
        <v>616147201952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1">
        <v>0</v>
      </c>
      <c r="AM11" s="10">
        <v>0</v>
      </c>
      <c r="AN11" s="11">
        <v>17</v>
      </c>
      <c r="AO11" s="10">
        <v>10727599933</v>
      </c>
      <c r="AP11" s="12">
        <v>16</v>
      </c>
      <c r="AQ11" s="10">
        <v>36286796200</v>
      </c>
      <c r="AR11" s="10">
        <v>25661990700</v>
      </c>
      <c r="AS11" s="10">
        <v>21666217024</v>
      </c>
      <c r="AT11" s="10">
        <v>3995773676</v>
      </c>
      <c r="AU11" s="11">
        <v>18.440000000000001</v>
      </c>
      <c r="AV11" s="10">
        <v>345752241183</v>
      </c>
      <c r="AW11" s="10">
        <v>102982872169</v>
      </c>
      <c r="AX11" s="10">
        <v>107785997481</v>
      </c>
      <c r="AY11" s="10">
        <v>165769937650</v>
      </c>
      <c r="AZ11" s="10">
        <v>180461549478</v>
      </c>
      <c r="BA11" s="10">
        <v>284836100000</v>
      </c>
      <c r="BB11" s="10">
        <v>83762059294</v>
      </c>
      <c r="BC11" s="10">
        <v>743978583987</v>
      </c>
      <c r="BD11" s="12">
        <v>43198</v>
      </c>
      <c r="BE11" s="10">
        <v>278680934509</v>
      </c>
      <c r="BF11" s="10">
        <v>180461549478</v>
      </c>
      <c r="BG11" s="10">
        <v>284836100000</v>
      </c>
      <c r="BH11" s="10">
        <v>555302249151</v>
      </c>
      <c r="BI11" s="10">
        <v>161881232875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</row>
    <row r="12" spans="1:67" x14ac:dyDescent="0.25">
      <c r="A12" s="25" t="s">
        <v>59</v>
      </c>
      <c r="B12" s="9">
        <v>1109</v>
      </c>
      <c r="C12" s="9" t="s">
        <v>69</v>
      </c>
      <c r="D12" s="10">
        <v>696899061015</v>
      </c>
      <c r="E12" s="10">
        <v>11433062934</v>
      </c>
      <c r="F12" s="10">
        <v>0</v>
      </c>
      <c r="G12" s="10">
        <v>0</v>
      </c>
      <c r="H12" s="10">
        <v>708332123949</v>
      </c>
      <c r="I12" s="10">
        <v>57519358816</v>
      </c>
      <c r="J12" s="10">
        <v>2960988128</v>
      </c>
      <c r="K12" s="10">
        <v>647851777005</v>
      </c>
      <c r="L12" s="10">
        <v>936298332835</v>
      </c>
      <c r="M12" s="10">
        <v>-227966208886</v>
      </c>
      <c r="N12" s="46">
        <v>-24.347603844999426</v>
      </c>
      <c r="O12" s="10">
        <v>615373453158</v>
      </c>
      <c r="P12" s="11">
        <v>96.41</v>
      </c>
      <c r="Q12" s="11">
        <v>94.99</v>
      </c>
      <c r="R12" s="11">
        <v>3.33</v>
      </c>
      <c r="S12" s="10">
        <v>599401252494</v>
      </c>
      <c r="T12" s="10">
        <v>22495190388</v>
      </c>
      <c r="U12" s="10">
        <v>16112428007</v>
      </c>
      <c r="V12" s="10">
        <v>4696748370</v>
      </c>
      <c r="W12" s="10">
        <v>1686014011</v>
      </c>
      <c r="X12" s="10">
        <v>621896442882</v>
      </c>
      <c r="Y12" s="10">
        <v>275005283</v>
      </c>
      <c r="Z12" s="10">
        <v>36332689796</v>
      </c>
      <c r="AA12" s="10">
        <v>24688751408</v>
      </c>
      <c r="AB12" s="10">
        <v>682917884086</v>
      </c>
      <c r="AC12" s="10">
        <v>546880900353</v>
      </c>
      <c r="AD12" s="46">
        <v>13.716979781261159</v>
      </c>
      <c r="AE12" s="10">
        <v>330937103688</v>
      </c>
      <c r="AF12" s="10">
        <v>330937103688</v>
      </c>
      <c r="AG12" s="10">
        <v>0</v>
      </c>
      <c r="AH12" s="10">
        <v>156000000</v>
      </c>
      <c r="AI12" s="10">
        <v>0</v>
      </c>
      <c r="AJ12" s="10">
        <v>0</v>
      </c>
      <c r="AK12" s="10">
        <v>0</v>
      </c>
      <c r="AL12" s="11">
        <v>0</v>
      </c>
      <c r="AM12" s="10">
        <v>0</v>
      </c>
      <c r="AN12" s="11">
        <v>67</v>
      </c>
      <c r="AO12" s="10">
        <v>161876544323</v>
      </c>
      <c r="AP12" s="12">
        <v>47</v>
      </c>
      <c r="AQ12" s="10">
        <v>51666183979</v>
      </c>
      <c r="AR12" s="10">
        <v>22495190388</v>
      </c>
      <c r="AS12" s="10">
        <v>31689863345</v>
      </c>
      <c r="AT12" s="10">
        <v>-9194672957</v>
      </c>
      <c r="AU12" s="11">
        <v>-29.01</v>
      </c>
      <c r="AV12" s="10">
        <v>243388085673</v>
      </c>
      <c r="AW12" s="10">
        <v>106162304301</v>
      </c>
      <c r="AX12" s="10">
        <v>139388150555</v>
      </c>
      <c r="AY12" s="10">
        <v>235835769727</v>
      </c>
      <c r="AZ12" s="10">
        <v>115497640733</v>
      </c>
      <c r="BA12" s="10">
        <v>206177500000</v>
      </c>
      <c r="BB12" s="10">
        <v>19260543255</v>
      </c>
      <c r="BC12" s="10">
        <v>708332123949</v>
      </c>
      <c r="BD12" s="12">
        <v>44129</v>
      </c>
      <c r="BE12" s="10">
        <v>386656983216</v>
      </c>
      <c r="BF12" s="10">
        <v>115497640733</v>
      </c>
      <c r="BG12" s="10">
        <v>206177500000</v>
      </c>
      <c r="BH12" s="10">
        <v>265497958775</v>
      </c>
      <c r="BI12" s="10">
        <v>65439144913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156000000</v>
      </c>
    </row>
    <row r="13" spans="1:67" x14ac:dyDescent="0.25">
      <c r="A13" s="25" t="s">
        <v>59</v>
      </c>
      <c r="B13" s="9">
        <v>1110</v>
      </c>
      <c r="C13" s="9" t="s">
        <v>70</v>
      </c>
      <c r="D13" s="10">
        <v>414773680261</v>
      </c>
      <c r="E13" s="10">
        <v>2303741816</v>
      </c>
      <c r="F13" s="10">
        <v>0</v>
      </c>
      <c r="G13" s="10">
        <v>0</v>
      </c>
      <c r="H13" s="10">
        <v>417077422077</v>
      </c>
      <c r="I13" s="10">
        <v>35165540520</v>
      </c>
      <c r="J13" s="10">
        <v>2610725447</v>
      </c>
      <c r="K13" s="10">
        <v>379301156110</v>
      </c>
      <c r="L13" s="10">
        <v>393587952346</v>
      </c>
      <c r="M13" s="10">
        <v>23489469731</v>
      </c>
      <c r="N13" s="46">
        <v>5.9680357569356177</v>
      </c>
      <c r="O13" s="10">
        <v>1260438983307</v>
      </c>
      <c r="P13" s="11">
        <v>381.4</v>
      </c>
      <c r="Q13" s="11">
        <v>332.31</v>
      </c>
      <c r="R13" s="11">
        <v>73.45</v>
      </c>
      <c r="S13" s="10">
        <v>357697430365</v>
      </c>
      <c r="T13" s="10">
        <v>957498818883</v>
      </c>
      <c r="U13" s="10">
        <v>3732448682</v>
      </c>
      <c r="V13" s="10">
        <v>23699865932</v>
      </c>
      <c r="W13" s="10">
        <v>930066504269</v>
      </c>
      <c r="X13" s="10">
        <v>1315196249248</v>
      </c>
      <c r="Y13" s="10">
        <v>210890320683</v>
      </c>
      <c r="Z13" s="10">
        <v>268245270347</v>
      </c>
      <c r="AA13" s="10">
        <v>7298020000</v>
      </c>
      <c r="AB13" s="10">
        <v>1590739539595</v>
      </c>
      <c r="AC13" s="10">
        <v>814067571917</v>
      </c>
      <c r="AD13" s="46">
        <v>61.55860945927639</v>
      </c>
      <c r="AE13" s="10">
        <v>287542058326</v>
      </c>
      <c r="AF13" s="10">
        <v>287542058326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1">
        <v>0</v>
      </c>
      <c r="AM13" s="10">
        <v>0</v>
      </c>
      <c r="AN13" s="11">
        <v>3</v>
      </c>
      <c r="AO13" s="10">
        <v>13091590658</v>
      </c>
      <c r="AP13" s="12">
        <v>2</v>
      </c>
      <c r="AQ13" s="10">
        <v>890000000</v>
      </c>
      <c r="AR13" s="10">
        <v>957498818883</v>
      </c>
      <c r="AS13" s="10">
        <v>555100069416</v>
      </c>
      <c r="AT13" s="10">
        <v>402398749467</v>
      </c>
      <c r="AU13" s="11">
        <v>72.489999999999995</v>
      </c>
      <c r="AV13" s="10">
        <v>136095703116</v>
      </c>
      <c r="AW13" s="10">
        <v>55126169269</v>
      </c>
      <c r="AX13" s="10">
        <v>150693768193</v>
      </c>
      <c r="AY13" s="10">
        <v>57566115204</v>
      </c>
      <c r="AZ13" s="10">
        <v>87375796864</v>
      </c>
      <c r="BA13" s="10">
        <v>119138000000</v>
      </c>
      <c r="BB13" s="10">
        <v>57708046629</v>
      </c>
      <c r="BC13" s="10">
        <v>417077422077</v>
      </c>
      <c r="BD13" s="12">
        <v>1100</v>
      </c>
      <c r="BE13" s="10">
        <v>210563625213</v>
      </c>
      <c r="BF13" s="10">
        <v>87375796864</v>
      </c>
      <c r="BG13" s="10">
        <v>119138000000</v>
      </c>
      <c r="BH13" s="10">
        <v>223548624902</v>
      </c>
      <c r="BI13" s="10">
        <v>63993433424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</row>
    <row r="14" spans="1:67" x14ac:dyDescent="0.25">
      <c r="A14" s="25" t="s">
        <v>59</v>
      </c>
      <c r="B14" s="9">
        <v>1111</v>
      </c>
      <c r="C14" s="9" t="s">
        <v>71</v>
      </c>
      <c r="D14" s="10">
        <v>1934799896287</v>
      </c>
      <c r="E14" s="10">
        <v>3899456213</v>
      </c>
      <c r="F14" s="10">
        <v>0</v>
      </c>
      <c r="G14" s="10">
        <v>0</v>
      </c>
      <c r="H14" s="10">
        <v>1938699352500</v>
      </c>
      <c r="I14" s="10">
        <v>202080505223</v>
      </c>
      <c r="J14" s="10">
        <v>1154448122</v>
      </c>
      <c r="K14" s="10">
        <v>1735464399155</v>
      </c>
      <c r="L14" s="10">
        <v>739646400146</v>
      </c>
      <c r="M14" s="10">
        <v>1199052952354</v>
      </c>
      <c r="N14" s="46">
        <v>162.11164579687227</v>
      </c>
      <c r="O14" s="10">
        <v>994103232846</v>
      </c>
      <c r="P14" s="11">
        <v>57.26</v>
      </c>
      <c r="Q14" s="11">
        <v>57.28</v>
      </c>
      <c r="R14" s="11">
        <v>0.28000000000000003</v>
      </c>
      <c r="S14" s="10">
        <v>1044504834767</v>
      </c>
      <c r="T14" s="10">
        <v>3059089246</v>
      </c>
      <c r="U14" s="10">
        <v>2985931971</v>
      </c>
      <c r="V14" s="10">
        <v>73157275</v>
      </c>
      <c r="W14" s="10">
        <v>0</v>
      </c>
      <c r="X14" s="10">
        <v>1047563924013</v>
      </c>
      <c r="Y14" s="10">
        <v>0</v>
      </c>
      <c r="Z14" s="10">
        <v>38432410162</v>
      </c>
      <c r="AA14" s="10">
        <v>24073152000</v>
      </c>
      <c r="AB14" s="10">
        <v>1110069486175</v>
      </c>
      <c r="AC14" s="10">
        <v>775023669516</v>
      </c>
      <c r="AD14" s="46">
        <v>35.165410453489834</v>
      </c>
      <c r="AE14" s="10">
        <v>1134517160725</v>
      </c>
      <c r="AF14" s="10">
        <v>1134517160725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1">
        <v>0</v>
      </c>
      <c r="AM14" s="10">
        <v>0</v>
      </c>
      <c r="AN14" s="11">
        <v>4</v>
      </c>
      <c r="AO14" s="10">
        <v>10600000000</v>
      </c>
      <c r="AP14" s="12">
        <v>1</v>
      </c>
      <c r="AQ14" s="10">
        <v>840000000</v>
      </c>
      <c r="AR14" s="10">
        <v>3059089246</v>
      </c>
      <c r="AS14" s="10">
        <v>3551723082</v>
      </c>
      <c r="AT14" s="10">
        <v>-492633836</v>
      </c>
      <c r="AU14" s="11">
        <v>-13.87</v>
      </c>
      <c r="AV14" s="10">
        <v>879645954630</v>
      </c>
      <c r="AW14" s="10">
        <v>36066486278</v>
      </c>
      <c r="AX14" s="10">
        <v>146716461591</v>
      </c>
      <c r="AY14" s="10">
        <v>790064041703</v>
      </c>
      <c r="AZ14" s="10">
        <v>626929392993</v>
      </c>
      <c r="BA14" s="10">
        <v>371090000000</v>
      </c>
      <c r="BB14" s="10">
        <v>513380947209</v>
      </c>
      <c r="BC14" s="10">
        <v>1938699352500</v>
      </c>
      <c r="BD14" s="12">
        <v>13940</v>
      </c>
      <c r="BE14" s="10">
        <v>940679959507</v>
      </c>
      <c r="BF14" s="10">
        <v>626929392993</v>
      </c>
      <c r="BG14" s="10">
        <v>371090000000</v>
      </c>
      <c r="BH14" s="10">
        <v>346301145095</v>
      </c>
      <c r="BI14" s="10">
        <v>788216015630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</row>
    <row r="15" spans="1:67" x14ac:dyDescent="0.25">
      <c r="A15" s="25" t="s">
        <v>59</v>
      </c>
      <c r="B15" s="9">
        <v>1112</v>
      </c>
      <c r="C15" s="9" t="s">
        <v>72</v>
      </c>
      <c r="D15" s="10">
        <v>1754255792233</v>
      </c>
      <c r="E15" s="10">
        <v>34998833937</v>
      </c>
      <c r="F15" s="10">
        <v>0</v>
      </c>
      <c r="G15" s="10">
        <v>0</v>
      </c>
      <c r="H15" s="10">
        <v>1789254626170</v>
      </c>
      <c r="I15" s="10">
        <v>130099476183</v>
      </c>
      <c r="J15" s="10">
        <v>3141528547</v>
      </c>
      <c r="K15" s="10">
        <v>1656013621440</v>
      </c>
      <c r="L15" s="10">
        <v>576200609102</v>
      </c>
      <c r="M15" s="10">
        <v>1213054017068</v>
      </c>
      <c r="N15" s="46">
        <v>210.52633369453159</v>
      </c>
      <c r="O15" s="10">
        <v>816491657396</v>
      </c>
      <c r="P15" s="11">
        <v>51.35</v>
      </c>
      <c r="Q15" s="11">
        <v>49.3</v>
      </c>
      <c r="R15" s="11">
        <v>5.84</v>
      </c>
      <c r="S15" s="10">
        <v>801154588980</v>
      </c>
      <c r="T15" s="10">
        <v>46340911959</v>
      </c>
      <c r="U15" s="10">
        <v>2597755484</v>
      </c>
      <c r="V15" s="10">
        <v>53828418</v>
      </c>
      <c r="W15" s="10">
        <v>43689328057</v>
      </c>
      <c r="X15" s="10">
        <v>847495500939</v>
      </c>
      <c r="Y15" s="10">
        <v>7305712830</v>
      </c>
      <c r="Z15" s="10">
        <v>57319594731</v>
      </c>
      <c r="AA15" s="10">
        <v>13890579247</v>
      </c>
      <c r="AB15" s="10">
        <v>918705674917</v>
      </c>
      <c r="AC15" s="10">
        <v>608119864079</v>
      </c>
      <c r="AD15" s="46">
        <v>39.363232645349512</v>
      </c>
      <c r="AE15" s="10">
        <v>688558067223</v>
      </c>
      <c r="AF15" s="10">
        <v>688558067223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1">
        <v>0</v>
      </c>
      <c r="AM15" s="10">
        <v>0</v>
      </c>
      <c r="AN15" s="11">
        <v>96</v>
      </c>
      <c r="AO15" s="10">
        <v>395843364020</v>
      </c>
      <c r="AP15" s="12">
        <v>11</v>
      </c>
      <c r="AQ15" s="10">
        <v>20013618959</v>
      </c>
      <c r="AR15" s="10">
        <v>46340911959</v>
      </c>
      <c r="AS15" s="10">
        <v>47954566537</v>
      </c>
      <c r="AT15" s="10">
        <v>-1613654578</v>
      </c>
      <c r="AU15" s="11">
        <v>-3.36</v>
      </c>
      <c r="AV15" s="10">
        <v>471121270526</v>
      </c>
      <c r="AW15" s="10">
        <v>38602528399</v>
      </c>
      <c r="AX15" s="10">
        <v>488954275874</v>
      </c>
      <c r="AY15" s="10">
        <v>96641083147</v>
      </c>
      <c r="AZ15" s="10">
        <v>290613433212</v>
      </c>
      <c r="BA15" s="10">
        <v>878047000000</v>
      </c>
      <c r="BB15" s="10">
        <v>194418372781</v>
      </c>
      <c r="BC15" s="10">
        <v>1789254626170</v>
      </c>
      <c r="BD15" s="12">
        <v>21685</v>
      </c>
      <c r="BE15" s="10">
        <v>620594192958</v>
      </c>
      <c r="BF15" s="10">
        <v>290613433212</v>
      </c>
      <c r="BG15" s="10">
        <v>878047000000</v>
      </c>
      <c r="BH15" s="10">
        <v>442634148239</v>
      </c>
      <c r="BI15" s="10">
        <v>245923918984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</row>
    <row r="16" spans="1:67" x14ac:dyDescent="0.25">
      <c r="A16" s="25" t="s">
        <v>59</v>
      </c>
      <c r="B16" s="9">
        <v>1113</v>
      </c>
      <c r="C16" s="9" t="s">
        <v>73</v>
      </c>
      <c r="D16" s="10">
        <v>1154595264646</v>
      </c>
      <c r="E16" s="10">
        <v>7361726742</v>
      </c>
      <c r="F16" s="10">
        <v>0</v>
      </c>
      <c r="G16" s="10">
        <v>0</v>
      </c>
      <c r="H16" s="10">
        <v>1161956991388</v>
      </c>
      <c r="I16" s="10">
        <v>90168981752</v>
      </c>
      <c r="J16" s="10">
        <v>533434391</v>
      </c>
      <c r="K16" s="10">
        <v>1071254575245</v>
      </c>
      <c r="L16" s="10">
        <v>1036454899249</v>
      </c>
      <c r="M16" s="10">
        <v>125502092139</v>
      </c>
      <c r="N16" s="46">
        <v>12.108784688068624</v>
      </c>
      <c r="O16" s="10">
        <v>1073307386649</v>
      </c>
      <c r="P16" s="11">
        <v>103.32</v>
      </c>
      <c r="Q16" s="11">
        <v>100.19</v>
      </c>
      <c r="R16" s="11">
        <v>1.28</v>
      </c>
      <c r="S16" s="10">
        <v>1087058634738</v>
      </c>
      <c r="T16" s="10">
        <v>15049762628</v>
      </c>
      <c r="U16" s="10">
        <v>14520321369</v>
      </c>
      <c r="V16" s="10">
        <v>340936291</v>
      </c>
      <c r="W16" s="10">
        <v>188504968</v>
      </c>
      <c r="X16" s="10">
        <v>1102108397366</v>
      </c>
      <c r="Y16" s="10">
        <v>355515205</v>
      </c>
      <c r="Z16" s="10">
        <v>42014938140</v>
      </c>
      <c r="AA16" s="10">
        <v>56356539300</v>
      </c>
      <c r="AB16" s="10">
        <v>1200479874806</v>
      </c>
      <c r="AC16" s="10">
        <v>730704571499</v>
      </c>
      <c r="AD16" s="46">
        <v>50.82817876793704</v>
      </c>
      <c r="AE16" s="10">
        <v>779862856847</v>
      </c>
      <c r="AF16" s="10">
        <v>779862856847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1">
        <v>0</v>
      </c>
      <c r="AM16" s="10">
        <v>0</v>
      </c>
      <c r="AN16" s="11">
        <v>3</v>
      </c>
      <c r="AO16" s="10">
        <v>8700000000</v>
      </c>
      <c r="AP16" s="12">
        <v>8</v>
      </c>
      <c r="AQ16" s="10">
        <v>10994700000</v>
      </c>
      <c r="AR16" s="10">
        <v>15049762628</v>
      </c>
      <c r="AS16" s="10">
        <v>8639963011</v>
      </c>
      <c r="AT16" s="10">
        <v>6409799617</v>
      </c>
      <c r="AU16" s="11">
        <v>74.19</v>
      </c>
      <c r="AV16" s="10">
        <v>404164710272</v>
      </c>
      <c r="AW16" s="10">
        <v>73206193012</v>
      </c>
      <c r="AX16" s="10">
        <v>248902862346</v>
      </c>
      <c r="AY16" s="10">
        <v>267164452804</v>
      </c>
      <c r="AZ16" s="10">
        <v>206310449496</v>
      </c>
      <c r="BA16" s="10">
        <v>432217500000</v>
      </c>
      <c r="BB16" s="10">
        <v>116881912863</v>
      </c>
      <c r="BC16" s="10">
        <v>1161956991388</v>
      </c>
      <c r="BD16" s="12">
        <v>10534</v>
      </c>
      <c r="BE16" s="10">
        <v>523429041892</v>
      </c>
      <c r="BF16" s="10">
        <v>206310449496</v>
      </c>
      <c r="BG16" s="10">
        <v>432217500000</v>
      </c>
      <c r="BH16" s="10">
        <v>675291827847</v>
      </c>
      <c r="BI16" s="10">
        <v>104571029000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</row>
    <row r="17" spans="1:67" x14ac:dyDescent="0.25">
      <c r="A17" s="25" t="s">
        <v>59</v>
      </c>
      <c r="B17" s="9">
        <v>1114</v>
      </c>
      <c r="C17" s="9" t="s">
        <v>74</v>
      </c>
      <c r="D17" s="10">
        <v>781674114157</v>
      </c>
      <c r="E17" s="10">
        <v>3144131919</v>
      </c>
      <c r="F17" s="10">
        <v>0</v>
      </c>
      <c r="G17" s="10">
        <v>0</v>
      </c>
      <c r="H17" s="10">
        <v>784818246076</v>
      </c>
      <c r="I17" s="10">
        <v>56957054447</v>
      </c>
      <c r="J17" s="10">
        <v>940692445</v>
      </c>
      <c r="K17" s="10">
        <v>726920499184</v>
      </c>
      <c r="L17" s="10">
        <v>562894733006</v>
      </c>
      <c r="M17" s="10">
        <v>221923513070</v>
      </c>
      <c r="N17" s="46">
        <v>39.425402310103777</v>
      </c>
      <c r="O17" s="10">
        <v>566834915818</v>
      </c>
      <c r="P17" s="11">
        <v>79.349999999999994</v>
      </c>
      <c r="Q17" s="11">
        <v>77.98</v>
      </c>
      <c r="R17" s="11">
        <v>0.7</v>
      </c>
      <c r="S17" s="10">
        <v>568931588331</v>
      </c>
      <c r="T17" s="10">
        <v>4262574101</v>
      </c>
      <c r="U17" s="10">
        <v>3786357964</v>
      </c>
      <c r="V17" s="10">
        <v>355191198</v>
      </c>
      <c r="W17" s="10">
        <v>121024939</v>
      </c>
      <c r="X17" s="10">
        <v>573194162432</v>
      </c>
      <c r="Y17" s="10">
        <v>73503692</v>
      </c>
      <c r="Z17" s="10">
        <v>32388583084</v>
      </c>
      <c r="AA17" s="10">
        <v>17187681000</v>
      </c>
      <c r="AB17" s="10">
        <v>622770426516</v>
      </c>
      <c r="AC17" s="10">
        <v>479931871027</v>
      </c>
      <c r="AD17" s="46">
        <v>19.432402187716608</v>
      </c>
      <c r="AE17" s="10">
        <v>300107355887</v>
      </c>
      <c r="AF17" s="10">
        <v>300107355887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1">
        <v>0</v>
      </c>
      <c r="AM17" s="10">
        <v>0</v>
      </c>
      <c r="AN17" s="11">
        <v>32</v>
      </c>
      <c r="AO17" s="10">
        <v>226190215000</v>
      </c>
      <c r="AP17" s="12">
        <v>7</v>
      </c>
      <c r="AQ17" s="10">
        <v>4507500000</v>
      </c>
      <c r="AR17" s="10">
        <v>4262574101</v>
      </c>
      <c r="AS17" s="10">
        <v>9481041524</v>
      </c>
      <c r="AT17" s="10">
        <v>-5218467423</v>
      </c>
      <c r="AU17" s="11">
        <v>-55.04</v>
      </c>
      <c r="AV17" s="10">
        <v>213110834612</v>
      </c>
      <c r="AW17" s="10">
        <v>51906930005</v>
      </c>
      <c r="AX17" s="10">
        <v>55017209147</v>
      </c>
      <c r="AY17" s="10">
        <v>171942792383</v>
      </c>
      <c r="AZ17" s="10">
        <v>111473114491</v>
      </c>
      <c r="BA17" s="10">
        <v>443240998136</v>
      </c>
      <c r="BB17" s="10">
        <v>42623191816</v>
      </c>
      <c r="BC17" s="10">
        <v>784818246076</v>
      </c>
      <c r="BD17" s="12">
        <v>85847</v>
      </c>
      <c r="BE17" s="10">
        <v>230104133449</v>
      </c>
      <c r="BF17" s="10">
        <v>111473114491</v>
      </c>
      <c r="BG17" s="10">
        <v>443240998136</v>
      </c>
      <c r="BH17" s="10">
        <v>187973979998</v>
      </c>
      <c r="BI17" s="10">
        <v>112133375889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</row>
    <row r="18" spans="1:67" x14ac:dyDescent="0.25">
      <c r="A18" s="25" t="s">
        <v>59</v>
      </c>
      <c r="B18" s="9">
        <v>1115</v>
      </c>
      <c r="C18" s="9" t="s">
        <v>75</v>
      </c>
      <c r="D18" s="10">
        <v>1679333891565</v>
      </c>
      <c r="E18" s="10">
        <v>9535379781</v>
      </c>
      <c r="F18" s="10">
        <v>0</v>
      </c>
      <c r="G18" s="10">
        <v>0</v>
      </c>
      <c r="H18" s="10">
        <v>1688869271346</v>
      </c>
      <c r="I18" s="10">
        <v>131066311309</v>
      </c>
      <c r="J18" s="10">
        <v>2287277457</v>
      </c>
      <c r="K18" s="10">
        <v>1555515682580</v>
      </c>
      <c r="L18" s="10">
        <v>572416017598</v>
      </c>
      <c r="M18" s="10">
        <v>1116453253748</v>
      </c>
      <c r="N18" s="46">
        <v>195.04228033885488</v>
      </c>
      <c r="O18" s="10">
        <v>803553476373</v>
      </c>
      <c r="P18" s="11">
        <v>59.39</v>
      </c>
      <c r="Q18" s="11">
        <v>51.66</v>
      </c>
      <c r="R18" s="11">
        <v>36.659999999999997</v>
      </c>
      <c r="S18" s="10">
        <v>528249085156</v>
      </c>
      <c r="T18" s="10">
        <v>233504466306</v>
      </c>
      <c r="U18" s="10">
        <v>1967792774</v>
      </c>
      <c r="V18" s="10">
        <v>0</v>
      </c>
      <c r="W18" s="10">
        <v>231536673532</v>
      </c>
      <c r="X18" s="10">
        <v>761753551462</v>
      </c>
      <c r="Y18" s="10">
        <v>134187255298</v>
      </c>
      <c r="Z18" s="10">
        <v>231295283744</v>
      </c>
      <c r="AA18" s="10">
        <v>10018300918</v>
      </c>
      <c r="AB18" s="10">
        <v>1003067136124</v>
      </c>
      <c r="AC18" s="10">
        <v>578210116294</v>
      </c>
      <c r="AD18" s="46">
        <v>31.743380130463589</v>
      </c>
      <c r="AE18" s="10">
        <v>359693490625</v>
      </c>
      <c r="AF18" s="10">
        <v>359693490625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1">
        <v>0</v>
      </c>
      <c r="AM18" s="10">
        <v>0</v>
      </c>
      <c r="AN18" s="11">
        <v>1</v>
      </c>
      <c r="AO18" s="10">
        <v>3100000000</v>
      </c>
      <c r="AP18" s="12">
        <v>2</v>
      </c>
      <c r="AQ18" s="10">
        <v>4080000000</v>
      </c>
      <c r="AR18" s="10">
        <v>233504466306</v>
      </c>
      <c r="AS18" s="10">
        <v>235131191505</v>
      </c>
      <c r="AT18" s="10">
        <v>-1626725199</v>
      </c>
      <c r="AU18" s="11">
        <v>-0.69</v>
      </c>
      <c r="AV18" s="10">
        <v>181507888276</v>
      </c>
      <c r="AW18" s="10">
        <v>25200207775</v>
      </c>
      <c r="AX18" s="10">
        <v>324471344116</v>
      </c>
      <c r="AY18" s="10">
        <v>45025026227</v>
      </c>
      <c r="AZ18" s="10">
        <v>201433517798</v>
      </c>
      <c r="BA18" s="10">
        <v>1108404003424</v>
      </c>
      <c r="BB18" s="10">
        <v>141885113357</v>
      </c>
      <c r="BC18" s="10">
        <v>1688869271346</v>
      </c>
      <c r="BD18" s="12">
        <v>39878</v>
      </c>
      <c r="BE18" s="10">
        <v>379031750124</v>
      </c>
      <c r="BF18" s="10">
        <v>201433517798</v>
      </c>
      <c r="BG18" s="10">
        <v>1108404003424</v>
      </c>
      <c r="BH18" s="10">
        <v>263842012675</v>
      </c>
      <c r="BI18" s="10">
        <v>95851477950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</row>
    <row r="19" spans="1:67" x14ac:dyDescent="0.25">
      <c r="A19" s="25" t="s">
        <v>59</v>
      </c>
      <c r="B19" s="9">
        <v>1116</v>
      </c>
      <c r="C19" s="9" t="s">
        <v>76</v>
      </c>
      <c r="D19" s="10">
        <v>1491561314469</v>
      </c>
      <c r="E19" s="10">
        <v>92977655329</v>
      </c>
      <c r="F19" s="10">
        <v>0</v>
      </c>
      <c r="G19" s="10">
        <v>0</v>
      </c>
      <c r="H19" s="10">
        <v>1584538969798</v>
      </c>
      <c r="I19" s="10">
        <v>111043371197</v>
      </c>
      <c r="J19" s="10">
        <v>5436304541</v>
      </c>
      <c r="K19" s="10">
        <v>1468059294060</v>
      </c>
      <c r="L19" s="10">
        <v>1115018944066</v>
      </c>
      <c r="M19" s="10">
        <v>469520025732</v>
      </c>
      <c r="N19" s="46">
        <v>42.108703913124565</v>
      </c>
      <c r="O19" s="10">
        <v>1340171371296</v>
      </c>
      <c r="P19" s="11">
        <v>96.87</v>
      </c>
      <c r="Q19" s="11">
        <v>91.29</v>
      </c>
      <c r="R19" s="11">
        <v>0.38</v>
      </c>
      <c r="S19" s="10">
        <v>1443340049889</v>
      </c>
      <c r="T19" s="10">
        <v>5808418602</v>
      </c>
      <c r="U19" s="10">
        <v>5196111962</v>
      </c>
      <c r="V19" s="10">
        <v>612306640</v>
      </c>
      <c r="W19" s="10">
        <v>0</v>
      </c>
      <c r="X19" s="10">
        <v>1449148468491</v>
      </c>
      <c r="Y19" s="10">
        <v>0</v>
      </c>
      <c r="Z19" s="10">
        <v>67184152002</v>
      </c>
      <c r="AA19" s="10">
        <v>18601535000</v>
      </c>
      <c r="AB19" s="10">
        <v>1534934155493</v>
      </c>
      <c r="AC19" s="10">
        <v>811165600774</v>
      </c>
      <c r="AD19" s="46">
        <v>78.650138406787462</v>
      </c>
      <c r="AE19" s="10">
        <v>2532995597439</v>
      </c>
      <c r="AF19" s="10">
        <v>2532995597439</v>
      </c>
      <c r="AG19" s="10">
        <v>1695837085740</v>
      </c>
      <c r="AH19" s="10">
        <v>691200000</v>
      </c>
      <c r="AI19" s="10">
        <v>0</v>
      </c>
      <c r="AJ19" s="10">
        <v>0</v>
      </c>
      <c r="AK19" s="10">
        <v>0</v>
      </c>
      <c r="AL19" s="11">
        <v>23</v>
      </c>
      <c r="AM19" s="10">
        <v>2121352443419</v>
      </c>
      <c r="AN19" s="11">
        <v>17</v>
      </c>
      <c r="AO19" s="10">
        <v>26712586861</v>
      </c>
      <c r="AP19" s="12">
        <v>5</v>
      </c>
      <c r="AQ19" s="10">
        <v>82864000000</v>
      </c>
      <c r="AR19" s="10">
        <v>5808418602</v>
      </c>
      <c r="AS19" s="10">
        <v>1993539775</v>
      </c>
      <c r="AT19" s="10">
        <v>3814878827</v>
      </c>
      <c r="AU19" s="11">
        <v>191.36</v>
      </c>
      <c r="AV19" s="10">
        <v>2012716484810</v>
      </c>
      <c r="AW19" s="10">
        <v>140298040763</v>
      </c>
      <c r="AX19" s="10">
        <v>421432280132</v>
      </c>
      <c r="AY19" s="10">
        <v>185494959007</v>
      </c>
      <c r="AZ19" s="10">
        <v>365921802622</v>
      </c>
      <c r="BA19" s="10">
        <v>518712272708</v>
      </c>
      <c r="BB19" s="10">
        <v>164415904944</v>
      </c>
      <c r="BC19" s="10">
        <v>1584538969798</v>
      </c>
      <c r="BD19" s="12">
        <v>11101</v>
      </c>
      <c r="BE19" s="10">
        <v>700018718476</v>
      </c>
      <c r="BF19" s="10">
        <v>365921802622</v>
      </c>
      <c r="BG19" s="10">
        <v>518598448700</v>
      </c>
      <c r="BH19" s="10">
        <v>562109834604</v>
      </c>
      <c r="BI19" s="10">
        <v>1970885762835</v>
      </c>
      <c r="BJ19" s="10">
        <v>265372958451</v>
      </c>
      <c r="BK19" s="10">
        <v>0</v>
      </c>
      <c r="BL19" s="10">
        <v>1464529460098</v>
      </c>
      <c r="BM19" s="10">
        <v>0</v>
      </c>
      <c r="BN19" s="10">
        <v>0</v>
      </c>
      <c r="BO19" s="10">
        <v>691200000</v>
      </c>
    </row>
    <row r="20" spans="1:67" x14ac:dyDescent="0.25">
      <c r="A20" s="25" t="s">
        <v>59</v>
      </c>
      <c r="B20" s="9">
        <v>1117</v>
      </c>
      <c r="C20" s="9" t="s">
        <v>77</v>
      </c>
      <c r="D20" s="10">
        <v>2747807337467</v>
      </c>
      <c r="E20" s="10">
        <v>192930987689</v>
      </c>
      <c r="F20" s="10">
        <v>0</v>
      </c>
      <c r="G20" s="10">
        <v>0</v>
      </c>
      <c r="H20" s="10">
        <v>2940738325156</v>
      </c>
      <c r="I20" s="10">
        <v>187931303423</v>
      </c>
      <c r="J20" s="10">
        <v>79398971078</v>
      </c>
      <c r="K20" s="10">
        <v>2673408050655</v>
      </c>
      <c r="L20" s="10">
        <v>1987111832275</v>
      </c>
      <c r="M20" s="10">
        <v>953626492881</v>
      </c>
      <c r="N20" s="46">
        <v>47.990579965960663</v>
      </c>
      <c r="O20" s="10">
        <v>3180481485343</v>
      </c>
      <c r="P20" s="11">
        <v>120.25</v>
      </c>
      <c r="Q20" s="11">
        <v>118.97</v>
      </c>
      <c r="R20" s="11">
        <v>0.97</v>
      </c>
      <c r="S20" s="10">
        <v>3320740345154</v>
      </c>
      <c r="T20" s="10">
        <v>25697296916</v>
      </c>
      <c r="U20" s="10">
        <v>18109887382</v>
      </c>
      <c r="V20" s="10">
        <v>4453247534</v>
      </c>
      <c r="W20" s="10">
        <v>3134162000</v>
      </c>
      <c r="X20" s="10">
        <v>3346437642070</v>
      </c>
      <c r="Y20" s="10">
        <v>8751462826</v>
      </c>
      <c r="Z20" s="10">
        <v>165871750167</v>
      </c>
      <c r="AA20" s="10">
        <v>24014330166</v>
      </c>
      <c r="AB20" s="10">
        <v>3536323722403</v>
      </c>
      <c r="AC20" s="10">
        <v>1798170523700</v>
      </c>
      <c r="AD20" s="46">
        <v>86.102352249897464</v>
      </c>
      <c r="AE20" s="10">
        <v>3172048180021</v>
      </c>
      <c r="AF20" s="10">
        <v>3172048180021</v>
      </c>
      <c r="AG20" s="10">
        <v>54766592966</v>
      </c>
      <c r="AH20" s="10">
        <v>0</v>
      </c>
      <c r="AI20" s="10">
        <v>0</v>
      </c>
      <c r="AJ20" s="10">
        <v>0</v>
      </c>
      <c r="AK20" s="10">
        <v>0</v>
      </c>
      <c r="AL20" s="11">
        <v>7</v>
      </c>
      <c r="AM20" s="10">
        <v>196982747884</v>
      </c>
      <c r="AN20" s="11">
        <v>74</v>
      </c>
      <c r="AO20" s="10">
        <v>1555131551757</v>
      </c>
      <c r="AP20" s="12">
        <v>41</v>
      </c>
      <c r="AQ20" s="10">
        <v>191121988318</v>
      </c>
      <c r="AR20" s="10">
        <v>25697296916</v>
      </c>
      <c r="AS20" s="10">
        <v>40377006052</v>
      </c>
      <c r="AT20" s="10">
        <v>-14679709136</v>
      </c>
      <c r="AU20" s="11">
        <v>-36.36</v>
      </c>
      <c r="AV20" s="10">
        <v>1709972509308</v>
      </c>
      <c r="AW20" s="10">
        <v>234407120954</v>
      </c>
      <c r="AX20" s="10">
        <v>1188487578417</v>
      </c>
      <c r="AY20" s="10">
        <v>306894177780</v>
      </c>
      <c r="AZ20" s="10">
        <v>423386580190</v>
      </c>
      <c r="BA20" s="10">
        <v>829039001080</v>
      </c>
      <c r="BB20" s="10">
        <v>182505312743</v>
      </c>
      <c r="BC20" s="10">
        <v>2940738325156</v>
      </c>
      <c r="BD20" s="12">
        <v>52307</v>
      </c>
      <c r="BE20" s="10">
        <v>1612478207284</v>
      </c>
      <c r="BF20" s="10">
        <v>423386580190</v>
      </c>
      <c r="BG20" s="10">
        <v>904873537682</v>
      </c>
      <c r="BH20" s="10">
        <v>1274599729113</v>
      </c>
      <c r="BI20" s="10">
        <v>1897448450908</v>
      </c>
      <c r="BJ20" s="10">
        <v>37218208692</v>
      </c>
      <c r="BK20" s="10">
        <v>0</v>
      </c>
      <c r="BL20" s="10">
        <v>26528933472</v>
      </c>
      <c r="BM20" s="10">
        <v>0</v>
      </c>
      <c r="BN20" s="10">
        <v>0</v>
      </c>
      <c r="BO20" s="10">
        <v>0</v>
      </c>
    </row>
    <row r="21" spans="1:67" x14ac:dyDescent="0.25">
      <c r="A21" s="25" t="s">
        <v>59</v>
      </c>
      <c r="B21" s="9">
        <v>1118</v>
      </c>
      <c r="C21" s="9" t="s">
        <v>78</v>
      </c>
      <c r="D21" s="10">
        <v>716312038620</v>
      </c>
      <c r="E21" s="10">
        <v>879200893</v>
      </c>
      <c r="F21" s="10">
        <v>0</v>
      </c>
      <c r="G21" s="10">
        <v>0</v>
      </c>
      <c r="H21" s="10">
        <v>717191239513</v>
      </c>
      <c r="I21" s="10">
        <v>57502114913</v>
      </c>
      <c r="J21" s="10">
        <v>946480641</v>
      </c>
      <c r="K21" s="10">
        <v>658742643959</v>
      </c>
      <c r="L21" s="10">
        <v>520745914708</v>
      </c>
      <c r="M21" s="10">
        <v>196445324805</v>
      </c>
      <c r="N21" s="46">
        <v>37.72383407273653</v>
      </c>
      <c r="O21" s="10">
        <v>555310443775</v>
      </c>
      <c r="P21" s="11">
        <v>84.26</v>
      </c>
      <c r="Q21" s="11">
        <v>84.3</v>
      </c>
      <c r="R21" s="11">
        <v>7.11</v>
      </c>
      <c r="S21" s="10">
        <v>514238101724</v>
      </c>
      <c r="T21" s="10">
        <v>39011267246</v>
      </c>
      <c r="U21" s="10">
        <v>8514499862</v>
      </c>
      <c r="V21" s="10">
        <v>2070210299</v>
      </c>
      <c r="W21" s="10">
        <v>28426557085</v>
      </c>
      <c r="X21" s="10">
        <v>553249368970</v>
      </c>
      <c r="Y21" s="10">
        <v>3969897103</v>
      </c>
      <c r="Z21" s="10">
        <v>44954245151</v>
      </c>
      <c r="AA21" s="10">
        <v>6072432800</v>
      </c>
      <c r="AB21" s="10">
        <v>604276046921</v>
      </c>
      <c r="AC21" s="10">
        <v>450424165808</v>
      </c>
      <c r="AD21" s="46">
        <v>22.828527190042191</v>
      </c>
      <c r="AE21" s="10">
        <v>266555472976</v>
      </c>
      <c r="AF21" s="10">
        <v>266555472976</v>
      </c>
      <c r="AG21" s="10">
        <v>0</v>
      </c>
      <c r="AH21" s="10">
        <v>353160000</v>
      </c>
      <c r="AI21" s="10">
        <v>1500000000</v>
      </c>
      <c r="AJ21" s="10">
        <v>0</v>
      </c>
      <c r="AK21" s="10">
        <v>0</v>
      </c>
      <c r="AL21" s="11">
        <v>0</v>
      </c>
      <c r="AM21" s="10">
        <v>0</v>
      </c>
      <c r="AN21" s="11">
        <v>1</v>
      </c>
      <c r="AO21" s="10">
        <v>510000000</v>
      </c>
      <c r="AP21" s="12">
        <v>3</v>
      </c>
      <c r="AQ21" s="10">
        <v>1344200000</v>
      </c>
      <c r="AR21" s="10">
        <v>39011267246</v>
      </c>
      <c r="AS21" s="10">
        <v>39240893321</v>
      </c>
      <c r="AT21" s="10">
        <v>-229626075</v>
      </c>
      <c r="AU21" s="11">
        <v>-0.59</v>
      </c>
      <c r="AV21" s="10">
        <v>162422702199</v>
      </c>
      <c r="AW21" s="10">
        <v>60229678317</v>
      </c>
      <c r="AX21" s="10">
        <v>43562929059</v>
      </c>
      <c r="AY21" s="10">
        <v>176507320687</v>
      </c>
      <c r="AZ21" s="10">
        <v>143006225038</v>
      </c>
      <c r="BA21" s="10">
        <v>353235563836</v>
      </c>
      <c r="BB21" s="10">
        <v>54955749174</v>
      </c>
      <c r="BC21" s="10">
        <v>717191239513</v>
      </c>
      <c r="BD21" s="12">
        <v>16056</v>
      </c>
      <c r="BE21" s="10">
        <v>220949450639</v>
      </c>
      <c r="BF21" s="10">
        <v>143006225038</v>
      </c>
      <c r="BG21" s="10">
        <v>353235563836</v>
      </c>
      <c r="BH21" s="10">
        <v>248375700784</v>
      </c>
      <c r="BI21" s="10">
        <v>18179772192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353160000</v>
      </c>
    </row>
    <row r="22" spans="1:67" x14ac:dyDescent="0.25">
      <c r="A22" s="25" t="s">
        <v>59</v>
      </c>
      <c r="B22" s="9">
        <v>1119</v>
      </c>
      <c r="C22" s="9" t="s">
        <v>79</v>
      </c>
      <c r="D22" s="10">
        <v>890301365528</v>
      </c>
      <c r="E22" s="10">
        <v>2493632691</v>
      </c>
      <c r="F22" s="10">
        <v>0</v>
      </c>
      <c r="G22" s="10">
        <v>0</v>
      </c>
      <c r="H22" s="10">
        <v>892794998219</v>
      </c>
      <c r="I22" s="10">
        <v>67390741292</v>
      </c>
      <c r="J22" s="10">
        <v>228382000</v>
      </c>
      <c r="K22" s="10">
        <v>825175874927</v>
      </c>
      <c r="L22" s="10">
        <v>1109524906237</v>
      </c>
      <c r="M22" s="10">
        <v>-216729908018</v>
      </c>
      <c r="N22" s="46">
        <v>-19.533577551949559</v>
      </c>
      <c r="O22" s="10">
        <v>477510947594</v>
      </c>
      <c r="P22" s="11">
        <v>58.56</v>
      </c>
      <c r="Q22" s="11">
        <v>57.87</v>
      </c>
      <c r="R22" s="11">
        <v>1.58</v>
      </c>
      <c r="S22" s="10">
        <v>488997057084</v>
      </c>
      <c r="T22" s="10">
        <v>7943378771</v>
      </c>
      <c r="U22" s="10">
        <v>4454276842</v>
      </c>
      <c r="V22" s="10">
        <v>2951375922</v>
      </c>
      <c r="W22" s="10">
        <v>537726007</v>
      </c>
      <c r="X22" s="10">
        <v>496940435855</v>
      </c>
      <c r="Y22" s="10">
        <v>296103544</v>
      </c>
      <c r="Z22" s="10">
        <v>17048139416</v>
      </c>
      <c r="AA22" s="10">
        <v>8847546482</v>
      </c>
      <c r="AB22" s="10">
        <v>522836121753</v>
      </c>
      <c r="AC22" s="10">
        <v>345205423470</v>
      </c>
      <c r="AD22" s="46">
        <v>43.954990874639748</v>
      </c>
      <c r="AE22" s="10">
        <v>254969516738</v>
      </c>
      <c r="AF22" s="10">
        <v>254969516738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1">
        <v>0</v>
      </c>
      <c r="AM22" s="10">
        <v>0</v>
      </c>
      <c r="AN22" s="11">
        <v>3</v>
      </c>
      <c r="AO22" s="10">
        <v>3100000000</v>
      </c>
      <c r="AP22" s="12">
        <v>4</v>
      </c>
      <c r="AQ22" s="10">
        <v>1525000000</v>
      </c>
      <c r="AR22" s="10">
        <v>7943378771</v>
      </c>
      <c r="AS22" s="10">
        <v>4696679252</v>
      </c>
      <c r="AT22" s="10">
        <v>3246699519</v>
      </c>
      <c r="AU22" s="11">
        <v>69.13</v>
      </c>
      <c r="AV22" s="10">
        <v>119540477577</v>
      </c>
      <c r="AW22" s="10">
        <v>33555952471</v>
      </c>
      <c r="AX22" s="10">
        <v>85799612352</v>
      </c>
      <c r="AY22" s="10">
        <v>213913828379</v>
      </c>
      <c r="AZ22" s="10">
        <v>211531224797</v>
      </c>
      <c r="BA22" s="10">
        <v>379056700000</v>
      </c>
      <c r="BB22" s="10">
        <v>23268495759</v>
      </c>
      <c r="BC22" s="10">
        <v>892794998219</v>
      </c>
      <c r="BD22" s="12">
        <v>89455</v>
      </c>
      <c r="BE22" s="10">
        <v>302207073422</v>
      </c>
      <c r="BF22" s="10">
        <v>211531224797</v>
      </c>
      <c r="BG22" s="10">
        <v>379056700000</v>
      </c>
      <c r="BH22" s="10">
        <v>198880548000</v>
      </c>
      <c r="BI22" s="10">
        <v>56088968738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</row>
    <row r="23" spans="1:67" x14ac:dyDescent="0.25">
      <c r="A23" s="25" t="s">
        <v>59</v>
      </c>
      <c r="B23" s="9">
        <v>1120</v>
      </c>
      <c r="C23" s="9" t="s">
        <v>80</v>
      </c>
      <c r="D23" s="10">
        <v>1362125725461</v>
      </c>
      <c r="E23" s="10">
        <v>54572796544</v>
      </c>
      <c r="F23" s="10">
        <v>0</v>
      </c>
      <c r="G23" s="10">
        <v>0</v>
      </c>
      <c r="H23" s="10">
        <v>1416698522005</v>
      </c>
      <c r="I23" s="10">
        <v>95025834708</v>
      </c>
      <c r="J23" s="10">
        <v>5079269802</v>
      </c>
      <c r="K23" s="10">
        <v>1316593417495</v>
      </c>
      <c r="L23" s="10">
        <v>1017897218023</v>
      </c>
      <c r="M23" s="10">
        <v>398801303982</v>
      </c>
      <c r="N23" s="46">
        <v>39.178936430985395</v>
      </c>
      <c r="O23" s="10">
        <v>1217153644366</v>
      </c>
      <c r="P23" s="11">
        <v>106.8</v>
      </c>
      <c r="Q23" s="11">
        <v>92.45</v>
      </c>
      <c r="R23" s="11">
        <v>1.0900000000000001</v>
      </c>
      <c r="S23" s="10">
        <v>1448350484124</v>
      </c>
      <c r="T23" s="10">
        <v>14900849415</v>
      </c>
      <c r="U23" s="10">
        <v>9631497060</v>
      </c>
      <c r="V23" s="10">
        <v>274906049</v>
      </c>
      <c r="W23" s="10">
        <v>4994446306</v>
      </c>
      <c r="X23" s="10">
        <v>1463251333539</v>
      </c>
      <c r="Y23" s="10">
        <v>1579242153</v>
      </c>
      <c r="Z23" s="10">
        <v>41721064522</v>
      </c>
      <c r="AA23" s="10">
        <v>8089089980</v>
      </c>
      <c r="AB23" s="10">
        <v>1513061488041</v>
      </c>
      <c r="AC23" s="10">
        <v>1259884847922</v>
      </c>
      <c r="AD23" s="46">
        <v>16.141672467323023</v>
      </c>
      <c r="AE23" s="10">
        <v>890716128065</v>
      </c>
      <c r="AF23" s="10">
        <v>804823086970</v>
      </c>
      <c r="AG23" s="10">
        <v>113452112888</v>
      </c>
      <c r="AH23" s="10">
        <v>0</v>
      </c>
      <c r="AI23" s="10">
        <v>0</v>
      </c>
      <c r="AJ23" s="10">
        <v>0</v>
      </c>
      <c r="AK23" s="10">
        <v>0</v>
      </c>
      <c r="AL23" s="11">
        <v>10</v>
      </c>
      <c r="AM23" s="10">
        <v>154568588148</v>
      </c>
      <c r="AN23" s="11">
        <v>49</v>
      </c>
      <c r="AO23" s="10">
        <v>315092465608</v>
      </c>
      <c r="AP23" s="12">
        <v>30</v>
      </c>
      <c r="AQ23" s="10">
        <v>88893552109</v>
      </c>
      <c r="AR23" s="10">
        <v>14900849415</v>
      </c>
      <c r="AS23" s="10">
        <v>23032424408</v>
      </c>
      <c r="AT23" s="10">
        <v>-8131574993</v>
      </c>
      <c r="AU23" s="11">
        <v>-35.299999999999997</v>
      </c>
      <c r="AV23" s="10">
        <v>679709328812</v>
      </c>
      <c r="AW23" s="10">
        <v>84392168895</v>
      </c>
      <c r="AX23" s="10">
        <v>296553474556</v>
      </c>
      <c r="AY23" s="10">
        <v>101043501485</v>
      </c>
      <c r="AZ23" s="10">
        <v>285851739420</v>
      </c>
      <c r="BA23" s="10">
        <v>678677010000</v>
      </c>
      <c r="BB23" s="10">
        <v>164535158777</v>
      </c>
      <c r="BC23" s="10">
        <v>1416698522005</v>
      </c>
      <c r="BD23" s="12">
        <v>20721</v>
      </c>
      <c r="BE23" s="10">
        <v>452169772585</v>
      </c>
      <c r="BF23" s="10">
        <v>285851739420</v>
      </c>
      <c r="BG23" s="10">
        <v>678677010000</v>
      </c>
      <c r="BH23" s="10">
        <v>727232176233</v>
      </c>
      <c r="BI23" s="10">
        <v>163483951832</v>
      </c>
      <c r="BJ23" s="10">
        <v>0</v>
      </c>
      <c r="BK23" s="10">
        <v>0</v>
      </c>
      <c r="BL23" s="10">
        <v>119642206485</v>
      </c>
      <c r="BM23" s="10">
        <v>0</v>
      </c>
      <c r="BN23" s="10">
        <v>0</v>
      </c>
      <c r="BO23" s="10">
        <v>0</v>
      </c>
    </row>
    <row r="24" spans="1:67" x14ac:dyDescent="0.25">
      <c r="A24" s="25" t="s">
        <v>59</v>
      </c>
      <c r="B24" s="9">
        <v>1121</v>
      </c>
      <c r="C24" s="9" t="s">
        <v>81</v>
      </c>
      <c r="D24" s="10">
        <v>697383951053</v>
      </c>
      <c r="E24" s="10">
        <v>12675976567</v>
      </c>
      <c r="F24" s="10">
        <v>0</v>
      </c>
      <c r="G24" s="10">
        <v>0</v>
      </c>
      <c r="H24" s="10">
        <v>710059927620</v>
      </c>
      <c r="I24" s="10">
        <v>49665008095</v>
      </c>
      <c r="J24" s="10">
        <v>19060852</v>
      </c>
      <c r="K24" s="10">
        <v>660375858673</v>
      </c>
      <c r="L24" s="10">
        <v>486359267880</v>
      </c>
      <c r="M24" s="10">
        <v>223700659740</v>
      </c>
      <c r="N24" s="46">
        <v>45.994941294136893</v>
      </c>
      <c r="O24" s="10">
        <v>775107904103</v>
      </c>
      <c r="P24" s="11">
        <v>124.47</v>
      </c>
      <c r="Q24" s="11">
        <v>117.37</v>
      </c>
      <c r="R24" s="11">
        <v>1.56</v>
      </c>
      <c r="S24" s="10">
        <v>816809760501</v>
      </c>
      <c r="T24" s="10">
        <v>13616439783</v>
      </c>
      <c r="U24" s="10">
        <v>9156626716</v>
      </c>
      <c r="V24" s="10">
        <v>4459813067</v>
      </c>
      <c r="W24" s="10">
        <v>0</v>
      </c>
      <c r="X24" s="10">
        <v>830426200284</v>
      </c>
      <c r="Y24" s="10">
        <v>212187841</v>
      </c>
      <c r="Z24" s="10">
        <v>39010244875</v>
      </c>
      <c r="AA24" s="10">
        <v>14407358669</v>
      </c>
      <c r="AB24" s="10">
        <v>883843803828</v>
      </c>
      <c r="AC24" s="10">
        <v>605165749570</v>
      </c>
      <c r="AD24" s="46">
        <v>37.222934522328572</v>
      </c>
      <c r="AE24" s="10">
        <v>672540250868</v>
      </c>
      <c r="AF24" s="10">
        <v>672540250868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1">
        <v>0</v>
      </c>
      <c r="AM24" s="10">
        <v>0</v>
      </c>
      <c r="AN24" s="11">
        <v>122</v>
      </c>
      <c r="AO24" s="10">
        <v>327363175219</v>
      </c>
      <c r="AP24" s="12">
        <v>23</v>
      </c>
      <c r="AQ24" s="10">
        <v>74242175169</v>
      </c>
      <c r="AR24" s="10">
        <v>13616439783</v>
      </c>
      <c r="AS24" s="10">
        <v>11198221311</v>
      </c>
      <c r="AT24" s="10">
        <v>2418218472</v>
      </c>
      <c r="AU24" s="11">
        <v>21.59</v>
      </c>
      <c r="AV24" s="10">
        <v>420789182914</v>
      </c>
      <c r="AW24" s="10">
        <v>148904818314</v>
      </c>
      <c r="AX24" s="10">
        <v>94194485866</v>
      </c>
      <c r="AY24" s="10">
        <v>271327003033</v>
      </c>
      <c r="AZ24" s="10">
        <v>115553462154</v>
      </c>
      <c r="BA24" s="10">
        <v>216309000000</v>
      </c>
      <c r="BB24" s="10">
        <v>110631377512</v>
      </c>
      <c r="BC24" s="10">
        <v>710059927620</v>
      </c>
      <c r="BD24" s="12">
        <v>4274</v>
      </c>
      <c r="BE24" s="10">
        <v>378197465466</v>
      </c>
      <c r="BF24" s="10">
        <v>115553462154</v>
      </c>
      <c r="BG24" s="10">
        <v>216309000000</v>
      </c>
      <c r="BH24" s="10">
        <v>424595220041</v>
      </c>
      <c r="BI24" s="10">
        <v>247945030827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</row>
    <row r="25" spans="1:67" x14ac:dyDescent="0.25">
      <c r="A25" s="25" t="s">
        <v>59</v>
      </c>
      <c r="B25" s="9">
        <v>1199</v>
      </c>
      <c r="C25" s="9" t="s">
        <v>82</v>
      </c>
      <c r="D25" s="10">
        <v>0</v>
      </c>
      <c r="E25" s="10">
        <v>10546264097</v>
      </c>
      <c r="F25" s="10">
        <v>0</v>
      </c>
      <c r="G25" s="10">
        <v>0</v>
      </c>
      <c r="H25" s="10">
        <v>10546264097</v>
      </c>
      <c r="I25" s="10">
        <v>941586872</v>
      </c>
      <c r="J25" s="10">
        <v>137680000</v>
      </c>
      <c r="K25" s="10">
        <v>9466997225</v>
      </c>
      <c r="L25" s="10">
        <v>8069946398</v>
      </c>
      <c r="M25" s="10">
        <v>2476317699</v>
      </c>
      <c r="N25" s="46">
        <v>30.685677164023218</v>
      </c>
      <c r="O25" s="10">
        <v>0</v>
      </c>
      <c r="P25" s="11">
        <v>0</v>
      </c>
      <c r="Q25" s="11">
        <v>0</v>
      </c>
      <c r="R25" s="11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46" t="s">
        <v>595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0">
        <v>0</v>
      </c>
      <c r="AN25" s="11">
        <v>0</v>
      </c>
      <c r="AO25" s="10">
        <v>0</v>
      </c>
      <c r="AP25" s="12">
        <v>0</v>
      </c>
      <c r="AQ25" s="10">
        <v>0</v>
      </c>
      <c r="AR25" s="10">
        <v>0</v>
      </c>
      <c r="AS25" s="10">
        <v>0</v>
      </c>
      <c r="AT25" s="10">
        <v>0</v>
      </c>
      <c r="AU25" s="11" t="s">
        <v>593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10546264097</v>
      </c>
      <c r="BD25" s="11">
        <v>0</v>
      </c>
      <c r="BE25" s="10">
        <v>10546264097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</row>
    <row r="26" spans="1:67" x14ac:dyDescent="0.25">
      <c r="A26" s="19" t="s">
        <v>627</v>
      </c>
      <c r="B26" s="20" t="s">
        <v>593</v>
      </c>
      <c r="C26" s="20" t="s">
        <v>593</v>
      </c>
      <c r="D26" s="21">
        <v>29546281375209</v>
      </c>
      <c r="E26" s="21">
        <v>979797240753</v>
      </c>
      <c r="F26" s="21">
        <v>505000000000</v>
      </c>
      <c r="G26" s="21">
        <v>92942698788</v>
      </c>
      <c r="H26" s="21">
        <v>31124021314750</v>
      </c>
      <c r="I26" s="21">
        <v>2476805493187</v>
      </c>
      <c r="J26" s="21">
        <v>177574243198</v>
      </c>
      <c r="K26" s="21">
        <v>28469641578365</v>
      </c>
      <c r="L26" s="21">
        <v>21143042895789</v>
      </c>
      <c r="M26" s="21">
        <v>9980978418961</v>
      </c>
      <c r="N26" s="47">
        <v>47.206915618323244</v>
      </c>
      <c r="O26" s="21">
        <v>28275490099054</v>
      </c>
      <c r="P26" s="22">
        <v>110.17</v>
      </c>
      <c r="Q26" s="22">
        <v>99.32</v>
      </c>
      <c r="R26" s="22">
        <v>7.07</v>
      </c>
      <c r="S26" s="21">
        <v>29939893144245</v>
      </c>
      <c r="T26" s="21">
        <v>1851566229847</v>
      </c>
      <c r="U26" s="21">
        <v>207353703558</v>
      </c>
      <c r="V26" s="21">
        <v>131542299590</v>
      </c>
      <c r="W26" s="21">
        <v>1512670226699</v>
      </c>
      <c r="X26" s="21">
        <v>31791459374092</v>
      </c>
      <c r="Y26" s="21">
        <v>572640086323</v>
      </c>
      <c r="Z26" s="21">
        <v>2037406172646</v>
      </c>
      <c r="AA26" s="21">
        <v>461595687359</v>
      </c>
      <c r="AB26" s="21">
        <v>34290461234097</v>
      </c>
      <c r="AC26" s="21">
        <v>21976741980097</v>
      </c>
      <c r="AD26" s="47">
        <v>44.659565111532878</v>
      </c>
      <c r="AE26" s="21">
        <v>23690810325483</v>
      </c>
      <c r="AF26" s="21">
        <v>23477496411986</v>
      </c>
      <c r="AG26" s="21">
        <v>3523548985101</v>
      </c>
      <c r="AH26" s="21">
        <v>21301780336</v>
      </c>
      <c r="AI26" s="21">
        <v>1500000000</v>
      </c>
      <c r="AJ26" s="21">
        <v>0</v>
      </c>
      <c r="AK26" s="21">
        <v>0</v>
      </c>
      <c r="AL26" s="22">
        <v>51</v>
      </c>
      <c r="AM26" s="21">
        <v>4161333813751</v>
      </c>
      <c r="AN26" s="22">
        <v>859</v>
      </c>
      <c r="AO26" s="21">
        <v>4351322140443</v>
      </c>
      <c r="AP26" s="23">
        <v>403</v>
      </c>
      <c r="AQ26" s="21">
        <v>1821332070327</v>
      </c>
      <c r="AR26" s="21">
        <v>1851566229847</v>
      </c>
      <c r="AS26" s="21">
        <v>1428643225188</v>
      </c>
      <c r="AT26" s="21">
        <v>422923004659</v>
      </c>
      <c r="AU26" s="22">
        <v>29.6</v>
      </c>
      <c r="AV26" s="21">
        <v>15202360323067</v>
      </c>
      <c r="AW26" s="21">
        <v>3016111719517</v>
      </c>
      <c r="AX26" s="21">
        <v>6134178002138</v>
      </c>
      <c r="AY26" s="21">
        <v>5517489991792</v>
      </c>
      <c r="AZ26" s="21">
        <v>6383590158187</v>
      </c>
      <c r="BA26" s="21">
        <v>11511023223092</v>
      </c>
      <c r="BB26" s="21">
        <v>3342231401722</v>
      </c>
      <c r="BC26" s="21">
        <v>31124021314750</v>
      </c>
      <c r="BD26" s="23">
        <v>756258</v>
      </c>
      <c r="BE26" s="21">
        <v>12555113475191</v>
      </c>
      <c r="BF26" s="21">
        <v>6888295158187</v>
      </c>
      <c r="BG26" s="21">
        <v>11680612681372</v>
      </c>
      <c r="BH26" s="21">
        <v>15510171184122</v>
      </c>
      <c r="BI26" s="21">
        <v>8180639141361</v>
      </c>
      <c r="BJ26" s="21">
        <v>479762436868</v>
      </c>
      <c r="BK26" s="21">
        <v>233685695290</v>
      </c>
      <c r="BL26" s="21">
        <v>3436156904723</v>
      </c>
      <c r="BM26" s="21">
        <v>0</v>
      </c>
      <c r="BN26" s="21">
        <v>0</v>
      </c>
      <c r="BO26" s="21">
        <v>21301780336</v>
      </c>
    </row>
    <row r="27" spans="1:67" x14ac:dyDescent="0.25">
      <c r="A27" s="25" t="s">
        <v>83</v>
      </c>
      <c r="B27" s="9">
        <v>1200</v>
      </c>
      <c r="C27" s="9" t="s">
        <v>84</v>
      </c>
      <c r="D27" s="10">
        <v>2331849212694</v>
      </c>
      <c r="E27" s="10">
        <v>36942923119</v>
      </c>
      <c r="F27" s="10">
        <v>109660000000</v>
      </c>
      <c r="G27" s="10">
        <v>101685600</v>
      </c>
      <c r="H27" s="10">
        <v>2478553821413</v>
      </c>
      <c r="I27" s="10">
        <v>152091415166</v>
      </c>
      <c r="J27" s="10">
        <v>69111245468</v>
      </c>
      <c r="K27" s="10">
        <v>2257351160779</v>
      </c>
      <c r="L27" s="10">
        <v>2329580061473</v>
      </c>
      <c r="M27" s="10">
        <v>148973759940</v>
      </c>
      <c r="N27" s="46">
        <v>6.3948761583151379</v>
      </c>
      <c r="O27" s="10">
        <v>6124589507540</v>
      </c>
      <c r="P27" s="11">
        <v>330.08</v>
      </c>
      <c r="Q27" s="11">
        <v>271.32</v>
      </c>
      <c r="R27" s="11">
        <v>0.39</v>
      </c>
      <c r="S27" s="10">
        <v>7872482060219</v>
      </c>
      <c r="T27" s="10">
        <v>31390207976</v>
      </c>
      <c r="U27" s="10">
        <v>19536207109</v>
      </c>
      <c r="V27" s="10">
        <v>9645578380</v>
      </c>
      <c r="W27" s="10">
        <v>2208422487</v>
      </c>
      <c r="X27" s="10">
        <v>7903872268195</v>
      </c>
      <c r="Y27" s="10">
        <v>789824715</v>
      </c>
      <c r="Z27" s="10">
        <v>256048223103</v>
      </c>
      <c r="AA27" s="10">
        <v>21294303251</v>
      </c>
      <c r="AB27" s="10">
        <v>8181214794549</v>
      </c>
      <c r="AC27" s="10">
        <v>6294267054606</v>
      </c>
      <c r="AD27" s="46">
        <v>25.57255991245443</v>
      </c>
      <c r="AE27" s="10">
        <v>13895821927889</v>
      </c>
      <c r="AF27" s="10">
        <v>13724318194310</v>
      </c>
      <c r="AG27" s="10">
        <v>10108221248814</v>
      </c>
      <c r="AH27" s="10">
        <v>0</v>
      </c>
      <c r="AI27" s="10">
        <v>0</v>
      </c>
      <c r="AJ27" s="10">
        <v>0</v>
      </c>
      <c r="AK27" s="10">
        <v>0</v>
      </c>
      <c r="AL27" s="11">
        <v>28</v>
      </c>
      <c r="AM27" s="10">
        <v>8988284717781</v>
      </c>
      <c r="AN27" s="11">
        <v>32</v>
      </c>
      <c r="AO27" s="10">
        <v>187918319593</v>
      </c>
      <c r="AP27" s="12">
        <v>14</v>
      </c>
      <c r="AQ27" s="10">
        <v>20344710070</v>
      </c>
      <c r="AR27" s="10">
        <v>31390207976</v>
      </c>
      <c r="AS27" s="10">
        <v>16541005400</v>
      </c>
      <c r="AT27" s="10">
        <v>14849202576</v>
      </c>
      <c r="AU27" s="13">
        <v>89.77</v>
      </c>
      <c r="AV27" s="10">
        <v>13130458347160</v>
      </c>
      <c r="AW27" s="10">
        <v>4217060233801</v>
      </c>
      <c r="AX27" s="10">
        <v>326869170984</v>
      </c>
      <c r="AY27" s="10">
        <v>107897263776</v>
      </c>
      <c r="AZ27" s="10">
        <v>436846577934</v>
      </c>
      <c r="BA27" s="10">
        <v>1460236200000</v>
      </c>
      <c r="BB27" s="10">
        <v>300063639462</v>
      </c>
      <c r="BC27" s="10">
        <v>2478553821413</v>
      </c>
      <c r="BD27" s="12">
        <v>45474</v>
      </c>
      <c r="BE27" s="10">
        <v>441538681274</v>
      </c>
      <c r="BF27" s="10">
        <v>546506577934</v>
      </c>
      <c r="BG27" s="10">
        <v>1490508562205</v>
      </c>
      <c r="BH27" s="10">
        <v>13329933921246</v>
      </c>
      <c r="BI27" s="10">
        <v>565888006643</v>
      </c>
      <c r="BJ27" s="10">
        <v>269406677601</v>
      </c>
      <c r="BK27" s="10">
        <v>0</v>
      </c>
      <c r="BL27" s="10">
        <v>11605789852042</v>
      </c>
      <c r="BM27" s="10">
        <v>0</v>
      </c>
      <c r="BN27" s="10">
        <v>0</v>
      </c>
      <c r="BO27" s="10">
        <v>0</v>
      </c>
    </row>
    <row r="28" spans="1:67" x14ac:dyDescent="0.25">
      <c r="A28" s="25" t="s">
        <v>83</v>
      </c>
      <c r="B28" s="9">
        <v>1201</v>
      </c>
      <c r="C28" s="9" t="s">
        <v>85</v>
      </c>
      <c r="D28" s="10">
        <v>1927668202386</v>
      </c>
      <c r="E28" s="10">
        <v>3180316129</v>
      </c>
      <c r="F28" s="10">
        <v>0</v>
      </c>
      <c r="G28" s="10">
        <v>0</v>
      </c>
      <c r="H28" s="10">
        <v>1930848518515</v>
      </c>
      <c r="I28" s="10">
        <v>83428610657</v>
      </c>
      <c r="J28" s="10">
        <v>2583035145</v>
      </c>
      <c r="K28" s="10">
        <v>1844836872713</v>
      </c>
      <c r="L28" s="10">
        <v>565262200465</v>
      </c>
      <c r="M28" s="10">
        <v>1365586318050</v>
      </c>
      <c r="N28" s="46">
        <v>241.58458091247419</v>
      </c>
      <c r="O28" s="10">
        <v>1573902062567</v>
      </c>
      <c r="P28" s="11">
        <v>92.74</v>
      </c>
      <c r="Q28" s="11">
        <v>85.31</v>
      </c>
      <c r="R28" s="11">
        <v>1.48</v>
      </c>
      <c r="S28" s="10">
        <v>1674215889719</v>
      </c>
      <c r="T28" s="10">
        <v>23423365744</v>
      </c>
      <c r="U28" s="10">
        <v>21574038020</v>
      </c>
      <c r="V28" s="10">
        <v>584520127</v>
      </c>
      <c r="W28" s="10">
        <v>1264807597</v>
      </c>
      <c r="X28" s="10">
        <v>1697639255463</v>
      </c>
      <c r="Y28" s="10">
        <v>2995673270</v>
      </c>
      <c r="Z28" s="10">
        <v>80141491168</v>
      </c>
      <c r="AA28" s="10">
        <v>12803570000</v>
      </c>
      <c r="AB28" s="10">
        <v>1790584316631</v>
      </c>
      <c r="AC28" s="10">
        <v>1409380689703</v>
      </c>
      <c r="AD28" s="46">
        <v>20.452853360772593</v>
      </c>
      <c r="AE28" s="10">
        <v>937815965659</v>
      </c>
      <c r="AF28" s="10">
        <v>913404215527</v>
      </c>
      <c r="AG28" s="10">
        <v>42025000000</v>
      </c>
      <c r="AH28" s="10">
        <v>0</v>
      </c>
      <c r="AI28" s="10">
        <v>0</v>
      </c>
      <c r="AJ28" s="10">
        <v>0</v>
      </c>
      <c r="AK28" s="10">
        <v>0</v>
      </c>
      <c r="AL28" s="11">
        <v>1</v>
      </c>
      <c r="AM28" s="10">
        <v>52250000000</v>
      </c>
      <c r="AN28" s="11">
        <v>25</v>
      </c>
      <c r="AO28" s="10">
        <v>86775322000</v>
      </c>
      <c r="AP28" s="12">
        <v>3</v>
      </c>
      <c r="AQ28" s="10">
        <v>5422813000</v>
      </c>
      <c r="AR28" s="10">
        <v>23423365744</v>
      </c>
      <c r="AS28" s="10">
        <v>17096385973</v>
      </c>
      <c r="AT28" s="10">
        <v>6326979771</v>
      </c>
      <c r="AU28" s="11">
        <v>37.01</v>
      </c>
      <c r="AV28" s="10">
        <v>642383549351</v>
      </c>
      <c r="AW28" s="10">
        <v>227569344821</v>
      </c>
      <c r="AX28" s="10">
        <v>955675417554</v>
      </c>
      <c r="AY28" s="10">
        <v>99407726987</v>
      </c>
      <c r="AZ28" s="10">
        <v>276119057845</v>
      </c>
      <c r="BA28" s="10">
        <v>596466000000</v>
      </c>
      <c r="BB28" s="10">
        <v>191887946995</v>
      </c>
      <c r="BC28" s="10">
        <v>1930848518515</v>
      </c>
      <c r="BD28" s="12">
        <v>55099</v>
      </c>
      <c r="BE28" s="10">
        <v>1058263460670</v>
      </c>
      <c r="BF28" s="10">
        <v>276119057845</v>
      </c>
      <c r="BG28" s="10">
        <v>596466000000</v>
      </c>
      <c r="BH28" s="10">
        <v>728376021059</v>
      </c>
      <c r="BI28" s="10">
        <v>209439944600</v>
      </c>
      <c r="BJ28" s="10">
        <v>41800000000</v>
      </c>
      <c r="BK28" s="10">
        <v>0</v>
      </c>
      <c r="BL28" s="10">
        <v>225000000</v>
      </c>
      <c r="BM28" s="10">
        <v>0</v>
      </c>
      <c r="BN28" s="10">
        <v>0</v>
      </c>
      <c r="BO28" s="10">
        <v>0</v>
      </c>
    </row>
    <row r="29" spans="1:67" x14ac:dyDescent="0.25">
      <c r="A29" s="25" t="s">
        <v>83</v>
      </c>
      <c r="B29" s="9">
        <v>1202</v>
      </c>
      <c r="C29" s="9" t="s">
        <v>86</v>
      </c>
      <c r="D29" s="10">
        <v>671962137789</v>
      </c>
      <c r="E29" s="10">
        <v>40755352556</v>
      </c>
      <c r="F29" s="10">
        <v>0</v>
      </c>
      <c r="G29" s="10">
        <v>0</v>
      </c>
      <c r="H29" s="10">
        <v>712717490345</v>
      </c>
      <c r="I29" s="10">
        <v>41928001651</v>
      </c>
      <c r="J29" s="10">
        <v>1417243534</v>
      </c>
      <c r="K29" s="10">
        <v>669372245160</v>
      </c>
      <c r="L29" s="10">
        <v>522282272580</v>
      </c>
      <c r="M29" s="10">
        <v>190435217765</v>
      </c>
      <c r="N29" s="46">
        <v>36.462125513905953</v>
      </c>
      <c r="O29" s="10">
        <v>881331244826</v>
      </c>
      <c r="P29" s="11">
        <v>147.63</v>
      </c>
      <c r="Q29" s="11">
        <v>131.66999999999999</v>
      </c>
      <c r="R29" s="11">
        <v>0.35</v>
      </c>
      <c r="S29" s="10">
        <v>1016530448414</v>
      </c>
      <c r="T29" s="10">
        <v>3464640129</v>
      </c>
      <c r="U29" s="10">
        <v>2606299377</v>
      </c>
      <c r="V29" s="10">
        <v>837622252</v>
      </c>
      <c r="W29" s="10">
        <v>20718500</v>
      </c>
      <c r="X29" s="10">
        <v>1019995088543</v>
      </c>
      <c r="Y29" s="10">
        <v>193308738</v>
      </c>
      <c r="Z29" s="10">
        <v>29416405915</v>
      </c>
      <c r="AA29" s="10">
        <v>2800000000</v>
      </c>
      <c r="AB29" s="10">
        <v>1052211494458</v>
      </c>
      <c r="AC29" s="10">
        <v>537876889627</v>
      </c>
      <c r="AD29" s="46">
        <v>89.63355894512091</v>
      </c>
      <c r="AE29" s="10">
        <v>1637216127533</v>
      </c>
      <c r="AF29" s="10">
        <v>1516178647401</v>
      </c>
      <c r="AG29" s="10">
        <v>782633440672</v>
      </c>
      <c r="AH29" s="10">
        <v>0</v>
      </c>
      <c r="AI29" s="10">
        <v>0</v>
      </c>
      <c r="AJ29" s="10">
        <v>0</v>
      </c>
      <c r="AK29" s="10">
        <v>0</v>
      </c>
      <c r="AL29" s="11">
        <v>17</v>
      </c>
      <c r="AM29" s="10">
        <v>1164721229124</v>
      </c>
      <c r="AN29" s="11">
        <v>33</v>
      </c>
      <c r="AO29" s="10">
        <v>88047279640</v>
      </c>
      <c r="AP29" s="12">
        <v>8</v>
      </c>
      <c r="AQ29" s="10">
        <v>181398431794</v>
      </c>
      <c r="AR29" s="10">
        <v>3464640129</v>
      </c>
      <c r="AS29" s="10">
        <v>2068445096</v>
      </c>
      <c r="AT29" s="10">
        <v>1396195033</v>
      </c>
      <c r="AU29" s="11">
        <v>67.5</v>
      </c>
      <c r="AV29" s="10">
        <v>1077618646450</v>
      </c>
      <c r="AW29" s="10">
        <v>90789349679</v>
      </c>
      <c r="AX29" s="10">
        <v>232183461423</v>
      </c>
      <c r="AY29" s="10">
        <v>79715135911</v>
      </c>
      <c r="AZ29" s="10">
        <v>147918540455</v>
      </c>
      <c r="BA29" s="10">
        <v>212145000000</v>
      </c>
      <c r="BB29" s="10">
        <v>114264269298</v>
      </c>
      <c r="BC29" s="10">
        <v>712717490345</v>
      </c>
      <c r="BD29" s="12">
        <v>18067</v>
      </c>
      <c r="BE29" s="10">
        <v>352653949890</v>
      </c>
      <c r="BF29" s="10">
        <v>147918540455</v>
      </c>
      <c r="BG29" s="10">
        <v>212145000000</v>
      </c>
      <c r="BH29" s="10">
        <v>704523098935</v>
      </c>
      <c r="BI29" s="10">
        <v>932693028598</v>
      </c>
      <c r="BJ29" s="10">
        <v>22505240082</v>
      </c>
      <c r="BK29" s="10">
        <v>0</v>
      </c>
      <c r="BL29" s="10">
        <v>760776743033</v>
      </c>
      <c r="BM29" s="10">
        <v>0</v>
      </c>
      <c r="BN29" s="10">
        <v>0</v>
      </c>
      <c r="BO29" s="10">
        <v>0</v>
      </c>
    </row>
    <row r="30" spans="1:67" x14ac:dyDescent="0.25">
      <c r="A30" s="25" t="s">
        <v>83</v>
      </c>
      <c r="B30" s="9">
        <v>1203</v>
      </c>
      <c r="C30" s="9" t="s">
        <v>87</v>
      </c>
      <c r="D30" s="10">
        <v>1348282388826</v>
      </c>
      <c r="E30" s="10">
        <v>12358241880</v>
      </c>
      <c r="F30" s="10">
        <v>0</v>
      </c>
      <c r="G30" s="10">
        <v>0</v>
      </c>
      <c r="H30" s="10">
        <v>1360640630706</v>
      </c>
      <c r="I30" s="10">
        <v>103882575312</v>
      </c>
      <c r="J30" s="10">
        <v>1621909845</v>
      </c>
      <c r="K30" s="10">
        <v>1255136145549</v>
      </c>
      <c r="L30" s="10">
        <v>1052234356532</v>
      </c>
      <c r="M30" s="10">
        <v>308406274174</v>
      </c>
      <c r="N30" s="46">
        <v>29.30965637640448</v>
      </c>
      <c r="O30" s="10">
        <v>1021329457995</v>
      </c>
      <c r="P30" s="11">
        <v>85.18</v>
      </c>
      <c r="Q30" s="11">
        <v>81.37</v>
      </c>
      <c r="R30" s="11">
        <v>4.45</v>
      </c>
      <c r="S30" s="10">
        <v>1065398987196</v>
      </c>
      <c r="T30" s="10">
        <v>28115161532</v>
      </c>
      <c r="U30" s="10">
        <v>12489298831</v>
      </c>
      <c r="V30" s="10">
        <v>257026328</v>
      </c>
      <c r="W30" s="10">
        <v>15368836373</v>
      </c>
      <c r="X30" s="10">
        <v>1093514148728</v>
      </c>
      <c r="Y30" s="10">
        <v>23454453621</v>
      </c>
      <c r="Z30" s="10">
        <v>64445789417</v>
      </c>
      <c r="AA30" s="10">
        <v>1000000000</v>
      </c>
      <c r="AB30" s="10">
        <v>1158959938145</v>
      </c>
      <c r="AC30" s="10">
        <v>693934210661</v>
      </c>
      <c r="AD30" s="46">
        <v>57.581818554007327</v>
      </c>
      <c r="AE30" s="10">
        <v>712107507574</v>
      </c>
      <c r="AF30" s="10">
        <v>704013507574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0</v>
      </c>
      <c r="AM30" s="10">
        <v>0</v>
      </c>
      <c r="AN30" s="11">
        <v>46</v>
      </c>
      <c r="AO30" s="10">
        <v>163319733000</v>
      </c>
      <c r="AP30" s="12">
        <v>18</v>
      </c>
      <c r="AQ30" s="10">
        <v>179191707218</v>
      </c>
      <c r="AR30" s="10">
        <v>28115161532</v>
      </c>
      <c r="AS30" s="10">
        <v>21833472993</v>
      </c>
      <c r="AT30" s="10">
        <v>6281688539</v>
      </c>
      <c r="AU30" s="11">
        <v>28.77</v>
      </c>
      <c r="AV30" s="10">
        <v>331701666998</v>
      </c>
      <c r="AW30" s="10">
        <v>82020871801</v>
      </c>
      <c r="AX30" s="10">
        <v>185230306281</v>
      </c>
      <c r="AY30" s="10">
        <v>208208605439</v>
      </c>
      <c r="AZ30" s="10">
        <v>276624177106</v>
      </c>
      <c r="BA30" s="10">
        <v>678219300000</v>
      </c>
      <c r="BB30" s="10">
        <v>134264079074</v>
      </c>
      <c r="BC30" s="10">
        <v>1360640630706</v>
      </c>
      <c r="BD30" s="12">
        <v>103199</v>
      </c>
      <c r="BE30" s="10">
        <v>405797153600</v>
      </c>
      <c r="BF30" s="10">
        <v>276624177106</v>
      </c>
      <c r="BG30" s="10">
        <v>678219300000</v>
      </c>
      <c r="BH30" s="10">
        <v>491589061856</v>
      </c>
      <c r="BI30" s="10">
        <v>220518445718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</row>
    <row r="31" spans="1:67" x14ac:dyDescent="0.25">
      <c r="A31" s="25" t="s">
        <v>83</v>
      </c>
      <c r="B31" s="9">
        <v>1204</v>
      </c>
      <c r="C31" s="9" t="s">
        <v>88</v>
      </c>
      <c r="D31" s="10">
        <v>1844837686998</v>
      </c>
      <c r="E31" s="10">
        <v>28832178599</v>
      </c>
      <c r="F31" s="10">
        <v>0</v>
      </c>
      <c r="G31" s="10">
        <v>0</v>
      </c>
      <c r="H31" s="10">
        <v>1873669865597</v>
      </c>
      <c r="I31" s="10">
        <v>135022032298</v>
      </c>
      <c r="J31" s="10">
        <v>5138119192</v>
      </c>
      <c r="K31" s="10">
        <v>1733509714107</v>
      </c>
      <c r="L31" s="10">
        <v>1266536703518</v>
      </c>
      <c r="M31" s="10">
        <v>607133162079</v>
      </c>
      <c r="N31" s="46">
        <v>47.93648382969041</v>
      </c>
      <c r="O31" s="10">
        <v>1464369326143</v>
      </c>
      <c r="P31" s="11">
        <v>91.97</v>
      </c>
      <c r="Q31" s="11">
        <v>84.47</v>
      </c>
      <c r="R31" s="11">
        <v>0.69</v>
      </c>
      <c r="S31" s="10">
        <v>1673976680985</v>
      </c>
      <c r="T31" s="10">
        <v>11286577664</v>
      </c>
      <c r="U31" s="10">
        <v>8109604478</v>
      </c>
      <c r="V31" s="10">
        <v>2612459985</v>
      </c>
      <c r="W31" s="10">
        <v>564513201</v>
      </c>
      <c r="X31" s="10">
        <v>1685263258649</v>
      </c>
      <c r="Y31" s="10">
        <v>551364755</v>
      </c>
      <c r="Z31" s="10">
        <v>34866662221</v>
      </c>
      <c r="AA31" s="10">
        <v>3173000000</v>
      </c>
      <c r="AB31" s="10">
        <v>1723302920870</v>
      </c>
      <c r="AC31" s="10">
        <v>1320645147905</v>
      </c>
      <c r="AD31" s="46">
        <v>27.609090248232874</v>
      </c>
      <c r="AE31" s="10">
        <v>1178692353201</v>
      </c>
      <c r="AF31" s="10">
        <v>932924275399</v>
      </c>
      <c r="AG31" s="10">
        <v>0</v>
      </c>
      <c r="AH31" s="10">
        <v>0</v>
      </c>
      <c r="AI31" s="10">
        <v>9342661573</v>
      </c>
      <c r="AJ31" s="10">
        <v>0</v>
      </c>
      <c r="AK31" s="10">
        <v>0</v>
      </c>
      <c r="AL31" s="11">
        <v>0</v>
      </c>
      <c r="AM31" s="10">
        <v>0</v>
      </c>
      <c r="AN31" s="11">
        <v>51</v>
      </c>
      <c r="AO31" s="10">
        <v>393839980889</v>
      </c>
      <c r="AP31" s="12">
        <v>48</v>
      </c>
      <c r="AQ31" s="10">
        <v>42680791937</v>
      </c>
      <c r="AR31" s="10">
        <v>11286577664</v>
      </c>
      <c r="AS31" s="10">
        <v>9095565935</v>
      </c>
      <c r="AT31" s="10">
        <v>2191011729</v>
      </c>
      <c r="AU31" s="11">
        <v>24.09</v>
      </c>
      <c r="AV31" s="10">
        <v>652196790430</v>
      </c>
      <c r="AW31" s="10">
        <v>215398997592</v>
      </c>
      <c r="AX31" s="10">
        <v>418849439150</v>
      </c>
      <c r="AY31" s="10">
        <v>207760453281</v>
      </c>
      <c r="AZ31" s="10">
        <v>327477794567</v>
      </c>
      <c r="BA31" s="10">
        <v>890750000000</v>
      </c>
      <c r="BB31" s="10">
        <v>269789573325</v>
      </c>
      <c r="BC31" s="10">
        <v>1873669865597</v>
      </c>
      <c r="BD31" s="12">
        <v>53635</v>
      </c>
      <c r="BE31" s="10">
        <v>655442071030</v>
      </c>
      <c r="BF31" s="10">
        <v>327477794567</v>
      </c>
      <c r="BG31" s="10">
        <v>890750000000</v>
      </c>
      <c r="BH31" s="10">
        <v>790307875945</v>
      </c>
      <c r="BI31" s="10">
        <v>388384477256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</row>
    <row r="32" spans="1:67" x14ac:dyDescent="0.25">
      <c r="A32" s="25" t="s">
        <v>83</v>
      </c>
      <c r="B32" s="9">
        <v>1205</v>
      </c>
      <c r="C32" s="9" t="s">
        <v>89</v>
      </c>
      <c r="D32" s="10">
        <v>1321296574105</v>
      </c>
      <c r="E32" s="10">
        <v>5766525822</v>
      </c>
      <c r="F32" s="10">
        <v>0</v>
      </c>
      <c r="G32" s="10">
        <v>0</v>
      </c>
      <c r="H32" s="10">
        <v>1327063099927</v>
      </c>
      <c r="I32" s="10">
        <v>97574941066</v>
      </c>
      <c r="J32" s="10">
        <v>1816312113</v>
      </c>
      <c r="K32" s="10">
        <v>1227671846748</v>
      </c>
      <c r="L32" s="10">
        <v>910523580423</v>
      </c>
      <c r="M32" s="10">
        <v>416539519504</v>
      </c>
      <c r="N32" s="46">
        <v>45.747252290873028</v>
      </c>
      <c r="O32" s="10">
        <v>1370331778756</v>
      </c>
      <c r="P32" s="11">
        <v>115.93</v>
      </c>
      <c r="Q32" s="11">
        <v>111.62</v>
      </c>
      <c r="R32" s="11">
        <v>0.12</v>
      </c>
      <c r="S32" s="10">
        <v>1413165238769</v>
      </c>
      <c r="T32" s="10">
        <v>1880925551</v>
      </c>
      <c r="U32" s="10">
        <v>1880925551</v>
      </c>
      <c r="V32" s="10">
        <v>0</v>
      </c>
      <c r="W32" s="10">
        <v>0</v>
      </c>
      <c r="X32" s="10">
        <v>1415046164320</v>
      </c>
      <c r="Y32" s="10">
        <v>0</v>
      </c>
      <c r="Z32" s="10">
        <v>116102067367</v>
      </c>
      <c r="AA32" s="10">
        <v>7302500000</v>
      </c>
      <c r="AB32" s="10">
        <v>1538450731687</v>
      </c>
      <c r="AC32" s="10">
        <v>986253810831</v>
      </c>
      <c r="AD32" s="46">
        <v>43.476876720781149</v>
      </c>
      <c r="AE32" s="10">
        <v>831363547331</v>
      </c>
      <c r="AF32" s="10">
        <v>818091551992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1">
        <v>0</v>
      </c>
      <c r="AM32" s="10">
        <v>0</v>
      </c>
      <c r="AN32" s="11">
        <v>0</v>
      </c>
      <c r="AO32" s="10">
        <v>0</v>
      </c>
      <c r="AP32" s="12">
        <v>0</v>
      </c>
      <c r="AQ32" s="10">
        <v>0</v>
      </c>
      <c r="AR32" s="10">
        <v>1880925551</v>
      </c>
      <c r="AS32" s="10">
        <v>8352830342</v>
      </c>
      <c r="AT32" s="10">
        <v>-6471904791</v>
      </c>
      <c r="AU32" s="11">
        <v>-77.48</v>
      </c>
      <c r="AV32" s="10">
        <v>449176429975</v>
      </c>
      <c r="AW32" s="10">
        <v>218776149825</v>
      </c>
      <c r="AX32" s="10">
        <v>412052533053</v>
      </c>
      <c r="AY32" s="10">
        <v>75885554599</v>
      </c>
      <c r="AZ32" s="10">
        <v>455309886453</v>
      </c>
      <c r="BA32" s="10">
        <v>378048600000</v>
      </c>
      <c r="BB32" s="10">
        <v>336205515958</v>
      </c>
      <c r="BC32" s="10">
        <v>1327063099927</v>
      </c>
      <c r="BD32" s="12">
        <v>28025</v>
      </c>
      <c r="BE32" s="10">
        <v>493704613474</v>
      </c>
      <c r="BF32" s="10">
        <v>455309886453</v>
      </c>
      <c r="BG32" s="10">
        <v>378048600000</v>
      </c>
      <c r="BH32" s="10">
        <v>658873547331</v>
      </c>
      <c r="BI32" s="10">
        <v>172490000000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</row>
    <row r="33" spans="1:67" x14ac:dyDescent="0.25">
      <c r="A33" s="25" t="s">
        <v>83</v>
      </c>
      <c r="B33" s="9">
        <v>1206</v>
      </c>
      <c r="C33" s="9" t="s">
        <v>90</v>
      </c>
      <c r="D33" s="10">
        <v>1066287417934</v>
      </c>
      <c r="E33" s="10">
        <v>6637985930</v>
      </c>
      <c r="F33" s="10">
        <v>0</v>
      </c>
      <c r="G33" s="10">
        <v>0</v>
      </c>
      <c r="H33" s="10">
        <v>1072925403864</v>
      </c>
      <c r="I33" s="10">
        <v>66402735852</v>
      </c>
      <c r="J33" s="10">
        <v>1189860270</v>
      </c>
      <c r="K33" s="10">
        <v>1005332807742</v>
      </c>
      <c r="L33" s="10">
        <v>570426728193</v>
      </c>
      <c r="M33" s="10">
        <v>502498675671</v>
      </c>
      <c r="N33" s="46">
        <v>88.0917128941025</v>
      </c>
      <c r="O33" s="10">
        <v>874962483759</v>
      </c>
      <c r="P33" s="11">
        <v>92.77</v>
      </c>
      <c r="Q33" s="11">
        <v>87.03</v>
      </c>
      <c r="R33" s="11">
        <v>1.52</v>
      </c>
      <c r="S33" s="10">
        <v>901614640603</v>
      </c>
      <c r="T33" s="10">
        <v>14899829948</v>
      </c>
      <c r="U33" s="10">
        <v>13570679278</v>
      </c>
      <c r="V33" s="10">
        <v>662937778</v>
      </c>
      <c r="W33" s="10">
        <v>666212892</v>
      </c>
      <c r="X33" s="10">
        <v>916514470551</v>
      </c>
      <c r="Y33" s="10">
        <v>226986850</v>
      </c>
      <c r="Z33" s="10">
        <v>62304925591</v>
      </c>
      <c r="AA33" s="10">
        <v>16499912150</v>
      </c>
      <c r="AB33" s="10">
        <v>995319308292</v>
      </c>
      <c r="AC33" s="10">
        <v>687569892778</v>
      </c>
      <c r="AD33" s="46">
        <v>33.29764438172117</v>
      </c>
      <c r="AE33" s="10">
        <v>537418764616</v>
      </c>
      <c r="AF33" s="10">
        <v>470803346760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1">
        <v>0</v>
      </c>
      <c r="AM33" s="10">
        <v>0</v>
      </c>
      <c r="AN33" s="11">
        <v>4</v>
      </c>
      <c r="AO33" s="10">
        <v>29944714666</v>
      </c>
      <c r="AP33" s="12">
        <v>7</v>
      </c>
      <c r="AQ33" s="10">
        <v>38832875451</v>
      </c>
      <c r="AR33" s="10">
        <v>14899829948</v>
      </c>
      <c r="AS33" s="10">
        <v>9077310603</v>
      </c>
      <c r="AT33" s="10">
        <v>5822519345</v>
      </c>
      <c r="AU33" s="11">
        <v>64.14</v>
      </c>
      <c r="AV33" s="10">
        <v>285807669659</v>
      </c>
      <c r="AW33" s="10">
        <v>86714517403</v>
      </c>
      <c r="AX33" s="10">
        <v>250651945229</v>
      </c>
      <c r="AY33" s="10">
        <v>154766450958</v>
      </c>
      <c r="AZ33" s="10">
        <v>234478820926</v>
      </c>
      <c r="BA33" s="10">
        <v>426390200821</v>
      </c>
      <c r="BB33" s="10">
        <v>190890169986</v>
      </c>
      <c r="BC33" s="10">
        <v>1072925403864</v>
      </c>
      <c r="BD33" s="12">
        <v>12801</v>
      </c>
      <c r="BE33" s="10">
        <v>412056382117</v>
      </c>
      <c r="BF33" s="10">
        <v>234478820926</v>
      </c>
      <c r="BG33" s="10">
        <v>426390200821</v>
      </c>
      <c r="BH33" s="10">
        <v>256015828661</v>
      </c>
      <c r="BI33" s="10">
        <v>281402935955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</row>
    <row r="34" spans="1:67" x14ac:dyDescent="0.25">
      <c r="A34" s="25" t="s">
        <v>83</v>
      </c>
      <c r="B34" s="9">
        <v>1207</v>
      </c>
      <c r="C34" s="9" t="s">
        <v>91</v>
      </c>
      <c r="D34" s="10">
        <v>1101362653415</v>
      </c>
      <c r="E34" s="10">
        <v>3986621140</v>
      </c>
      <c r="F34" s="10">
        <v>0</v>
      </c>
      <c r="G34" s="10">
        <v>0</v>
      </c>
      <c r="H34" s="10">
        <v>1105349274555</v>
      </c>
      <c r="I34" s="10">
        <v>68651190195</v>
      </c>
      <c r="J34" s="10">
        <v>860151303</v>
      </c>
      <c r="K34" s="10">
        <v>1035837933057</v>
      </c>
      <c r="L34" s="10">
        <v>750395292097</v>
      </c>
      <c r="M34" s="10">
        <v>354953982458</v>
      </c>
      <c r="N34" s="46">
        <v>47.30226671146503</v>
      </c>
      <c r="O34" s="10">
        <v>754628810271</v>
      </c>
      <c r="P34" s="11">
        <v>76.2</v>
      </c>
      <c r="Q34" s="11">
        <v>72.849999999999994</v>
      </c>
      <c r="R34" s="11">
        <v>1.97</v>
      </c>
      <c r="S34" s="10">
        <v>741285847456</v>
      </c>
      <c r="T34" s="10">
        <v>12566485717</v>
      </c>
      <c r="U34" s="10">
        <v>6533229999</v>
      </c>
      <c r="V34" s="10">
        <v>3960139207</v>
      </c>
      <c r="W34" s="10">
        <v>2073116511</v>
      </c>
      <c r="X34" s="10">
        <v>753852333173</v>
      </c>
      <c r="Y34" s="10">
        <v>4003912182</v>
      </c>
      <c r="Z34" s="10">
        <v>71261362483</v>
      </c>
      <c r="AA34" s="10">
        <v>17215479400</v>
      </c>
      <c r="AB34" s="10">
        <v>842329175056</v>
      </c>
      <c r="AC34" s="10">
        <v>549603694932</v>
      </c>
      <c r="AD34" s="46">
        <v>37.162893940563983</v>
      </c>
      <c r="AE34" s="10">
        <v>475477765661</v>
      </c>
      <c r="AF34" s="10">
        <v>470194480457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1">
        <v>0</v>
      </c>
      <c r="AM34" s="10">
        <v>0</v>
      </c>
      <c r="AN34" s="11">
        <v>10</v>
      </c>
      <c r="AO34" s="10">
        <v>50625683025</v>
      </c>
      <c r="AP34" s="12">
        <v>4</v>
      </c>
      <c r="AQ34" s="10">
        <v>8919050000</v>
      </c>
      <c r="AR34" s="10">
        <v>12566485717</v>
      </c>
      <c r="AS34" s="10">
        <v>16240526414</v>
      </c>
      <c r="AT34" s="10">
        <v>-3674040697</v>
      </c>
      <c r="AU34" s="11">
        <v>-22.62</v>
      </c>
      <c r="AV34" s="10">
        <v>252290929850</v>
      </c>
      <c r="AW34" s="10">
        <v>93012734719</v>
      </c>
      <c r="AX34" s="10">
        <v>246942008480</v>
      </c>
      <c r="AY34" s="10">
        <v>113990145307</v>
      </c>
      <c r="AZ34" s="10">
        <v>197098499628</v>
      </c>
      <c r="BA34" s="10">
        <v>543332000000</v>
      </c>
      <c r="BB34" s="10">
        <v>118025224602</v>
      </c>
      <c r="BC34" s="10">
        <v>1105349274555</v>
      </c>
      <c r="BD34" s="12">
        <v>81612</v>
      </c>
      <c r="BE34" s="10">
        <v>364918774927</v>
      </c>
      <c r="BF34" s="10">
        <v>197098499628</v>
      </c>
      <c r="BG34" s="10">
        <v>543332000000</v>
      </c>
      <c r="BH34" s="10">
        <v>340747824762</v>
      </c>
      <c r="BI34" s="10">
        <v>134729940899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</row>
    <row r="35" spans="1:67" x14ac:dyDescent="0.25">
      <c r="A35" s="25" t="s">
        <v>83</v>
      </c>
      <c r="B35" s="9">
        <v>1208</v>
      </c>
      <c r="C35" s="9" t="s">
        <v>92</v>
      </c>
      <c r="D35" s="10">
        <v>946196506298</v>
      </c>
      <c r="E35" s="10">
        <v>3725025760</v>
      </c>
      <c r="F35" s="10">
        <v>0</v>
      </c>
      <c r="G35" s="10">
        <v>0</v>
      </c>
      <c r="H35" s="10">
        <v>949921532058</v>
      </c>
      <c r="I35" s="10">
        <v>73039167905</v>
      </c>
      <c r="J35" s="10">
        <v>557144806</v>
      </c>
      <c r="K35" s="10">
        <v>876325219347</v>
      </c>
      <c r="L35" s="10">
        <v>622554718886</v>
      </c>
      <c r="M35" s="10">
        <v>327366813172</v>
      </c>
      <c r="N35" s="46">
        <v>52.584424025857601</v>
      </c>
      <c r="O35" s="10">
        <v>788598132750</v>
      </c>
      <c r="P35" s="11">
        <v>98.1</v>
      </c>
      <c r="Q35" s="11">
        <v>89.99</v>
      </c>
      <c r="R35" s="11">
        <v>0.53</v>
      </c>
      <c r="S35" s="10">
        <v>888544307923</v>
      </c>
      <c r="T35" s="10">
        <v>4962239459</v>
      </c>
      <c r="U35" s="10">
        <v>3456607467</v>
      </c>
      <c r="V35" s="10">
        <v>1505631992</v>
      </c>
      <c r="W35" s="10">
        <v>0</v>
      </c>
      <c r="X35" s="10">
        <v>893506547382</v>
      </c>
      <c r="Y35" s="10">
        <v>0</v>
      </c>
      <c r="Z35" s="10">
        <v>29257082771</v>
      </c>
      <c r="AA35" s="10">
        <v>9069900000</v>
      </c>
      <c r="AB35" s="10">
        <v>931833530153</v>
      </c>
      <c r="AC35" s="10">
        <v>636154591390</v>
      </c>
      <c r="AD35" s="46">
        <v>40.454310866433438</v>
      </c>
      <c r="AE35" s="10">
        <v>563458828268</v>
      </c>
      <c r="AF35" s="10">
        <v>513857332930</v>
      </c>
      <c r="AG35" s="10">
        <v>0</v>
      </c>
      <c r="AH35" s="10">
        <v>854100000</v>
      </c>
      <c r="AI35" s="10">
        <v>0</v>
      </c>
      <c r="AJ35" s="10">
        <v>0</v>
      </c>
      <c r="AK35" s="10">
        <v>0</v>
      </c>
      <c r="AL35" s="11">
        <v>0</v>
      </c>
      <c r="AM35" s="10">
        <v>0</v>
      </c>
      <c r="AN35" s="11">
        <v>22</v>
      </c>
      <c r="AO35" s="10">
        <v>95256577250</v>
      </c>
      <c r="AP35" s="12">
        <v>22</v>
      </c>
      <c r="AQ35" s="10">
        <v>10305794862</v>
      </c>
      <c r="AR35" s="10">
        <v>4962239459</v>
      </c>
      <c r="AS35" s="10">
        <v>3653833630</v>
      </c>
      <c r="AT35" s="10">
        <v>1308405829</v>
      </c>
      <c r="AU35" s="11">
        <v>35.81</v>
      </c>
      <c r="AV35" s="10">
        <v>288431365921</v>
      </c>
      <c r="AW35" s="10">
        <v>51481426068</v>
      </c>
      <c r="AX35" s="10">
        <v>150689494112</v>
      </c>
      <c r="AY35" s="10">
        <v>115705019495</v>
      </c>
      <c r="AZ35" s="10">
        <v>230748992691</v>
      </c>
      <c r="BA35" s="10">
        <v>449053000000</v>
      </c>
      <c r="BB35" s="10">
        <v>169194486902</v>
      </c>
      <c r="BC35" s="10">
        <v>949921532058</v>
      </c>
      <c r="BD35" s="12">
        <v>62258</v>
      </c>
      <c r="BE35" s="10">
        <v>270119539367</v>
      </c>
      <c r="BF35" s="10">
        <v>230748992691</v>
      </c>
      <c r="BG35" s="10">
        <v>449053000000</v>
      </c>
      <c r="BH35" s="10">
        <v>410457543131</v>
      </c>
      <c r="BI35" s="10">
        <v>153001285137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854100000</v>
      </c>
    </row>
    <row r="36" spans="1:67" x14ac:dyDescent="0.25">
      <c r="A36" s="25" t="s">
        <v>83</v>
      </c>
      <c r="B36" s="9">
        <v>1209</v>
      </c>
      <c r="C36" s="9" t="s">
        <v>93</v>
      </c>
      <c r="D36" s="10">
        <v>986698455501</v>
      </c>
      <c r="E36" s="10">
        <v>12606985936</v>
      </c>
      <c r="F36" s="10">
        <v>0</v>
      </c>
      <c r="G36" s="10">
        <v>0</v>
      </c>
      <c r="H36" s="10">
        <v>999305441437</v>
      </c>
      <c r="I36" s="10">
        <v>61439600599</v>
      </c>
      <c r="J36" s="10">
        <v>1541061294</v>
      </c>
      <c r="K36" s="10">
        <v>936324779544</v>
      </c>
      <c r="L36" s="10">
        <v>428939569861</v>
      </c>
      <c r="M36" s="10">
        <v>570365871576</v>
      </c>
      <c r="N36" s="46">
        <v>132.9711483043707</v>
      </c>
      <c r="O36" s="10">
        <v>689104896862</v>
      </c>
      <c r="P36" s="11">
        <v>72.55</v>
      </c>
      <c r="Q36" s="11">
        <v>73.599999999999994</v>
      </c>
      <c r="R36" s="11">
        <v>1.69</v>
      </c>
      <c r="S36" s="10">
        <v>708431092481</v>
      </c>
      <c r="T36" s="10">
        <v>12121499368</v>
      </c>
      <c r="U36" s="10">
        <v>8679965259</v>
      </c>
      <c r="V36" s="10">
        <v>3363289764</v>
      </c>
      <c r="W36" s="10">
        <v>78244345</v>
      </c>
      <c r="X36" s="10">
        <v>720552591849</v>
      </c>
      <c r="Y36" s="10">
        <v>116221278</v>
      </c>
      <c r="Z36" s="10">
        <v>4425985870</v>
      </c>
      <c r="AA36" s="10">
        <v>0</v>
      </c>
      <c r="AB36" s="10">
        <v>724978577719</v>
      </c>
      <c r="AC36" s="10">
        <v>441170795254</v>
      </c>
      <c r="AD36" s="46">
        <v>63.327355210389328</v>
      </c>
      <c r="AE36" s="10">
        <v>403780000000</v>
      </c>
      <c r="AF36" s="10">
        <v>403780000000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1">
        <v>0</v>
      </c>
      <c r="AM36" s="10">
        <v>0</v>
      </c>
      <c r="AN36" s="11">
        <v>4</v>
      </c>
      <c r="AO36" s="10">
        <v>113881213933</v>
      </c>
      <c r="AP36" s="12">
        <v>0</v>
      </c>
      <c r="AQ36" s="10">
        <v>0</v>
      </c>
      <c r="AR36" s="10">
        <v>12121499368</v>
      </c>
      <c r="AS36" s="10">
        <v>6029197915</v>
      </c>
      <c r="AT36" s="10">
        <v>6092301453</v>
      </c>
      <c r="AU36" s="11">
        <v>101.05</v>
      </c>
      <c r="AV36" s="10">
        <v>136907076015</v>
      </c>
      <c r="AW36" s="10">
        <v>34955780136</v>
      </c>
      <c r="AX36" s="10">
        <v>106740019055</v>
      </c>
      <c r="AY36" s="10">
        <v>147336941263</v>
      </c>
      <c r="AZ36" s="10">
        <v>357673995183</v>
      </c>
      <c r="BA36" s="10">
        <v>374947500000</v>
      </c>
      <c r="BB36" s="10">
        <v>297441405586</v>
      </c>
      <c r="BC36" s="10">
        <v>999305441437</v>
      </c>
      <c r="BD36" s="12">
        <v>10324</v>
      </c>
      <c r="BE36" s="10">
        <v>266683946254</v>
      </c>
      <c r="BF36" s="10">
        <v>357673995183</v>
      </c>
      <c r="BG36" s="10">
        <v>374947500000</v>
      </c>
      <c r="BH36" s="10">
        <v>313590000000</v>
      </c>
      <c r="BI36" s="10">
        <v>90190000000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</row>
    <row r="37" spans="1:67" x14ac:dyDescent="0.25">
      <c r="A37" s="25" t="s">
        <v>83</v>
      </c>
      <c r="B37" s="9">
        <v>1210</v>
      </c>
      <c r="C37" s="9" t="s">
        <v>94</v>
      </c>
      <c r="D37" s="10">
        <v>1892049759966</v>
      </c>
      <c r="E37" s="10">
        <v>50131983088</v>
      </c>
      <c r="F37" s="10">
        <v>0</v>
      </c>
      <c r="G37" s="10">
        <v>0</v>
      </c>
      <c r="H37" s="10">
        <v>1942181743054</v>
      </c>
      <c r="I37" s="10">
        <v>119753127175</v>
      </c>
      <c r="J37" s="10">
        <v>953048800</v>
      </c>
      <c r="K37" s="10">
        <v>1821475567079</v>
      </c>
      <c r="L37" s="10">
        <v>1357263293080</v>
      </c>
      <c r="M37" s="10">
        <v>584918449974</v>
      </c>
      <c r="N37" s="46">
        <v>43.095429822364146</v>
      </c>
      <c r="O37" s="10">
        <v>2340102308683</v>
      </c>
      <c r="P37" s="11">
        <v>127.91</v>
      </c>
      <c r="Q37" s="11">
        <v>128.47</v>
      </c>
      <c r="R37" s="11">
        <v>0.18</v>
      </c>
      <c r="S37" s="10">
        <v>2308785403766</v>
      </c>
      <c r="T37" s="10">
        <v>3662188785</v>
      </c>
      <c r="U37" s="10">
        <v>2812723325</v>
      </c>
      <c r="V37" s="10">
        <v>387786428</v>
      </c>
      <c r="W37" s="10">
        <v>461679032</v>
      </c>
      <c r="X37" s="10">
        <v>2312447592551</v>
      </c>
      <c r="Y37" s="10">
        <v>702102376</v>
      </c>
      <c r="Z37" s="10">
        <v>156632435096</v>
      </c>
      <c r="AA37" s="10">
        <v>15098099998</v>
      </c>
      <c r="AB37" s="10">
        <v>2484178127645</v>
      </c>
      <c r="AC37" s="10">
        <v>1560205610551</v>
      </c>
      <c r="AD37" s="46">
        <v>48.21428515016936</v>
      </c>
      <c r="AE37" s="10">
        <v>1924613261563</v>
      </c>
      <c r="AF37" s="10">
        <v>1915310353071</v>
      </c>
      <c r="AG37" s="10">
        <v>419156224228</v>
      </c>
      <c r="AH37" s="10">
        <v>24765538762</v>
      </c>
      <c r="AI37" s="10">
        <v>0</v>
      </c>
      <c r="AJ37" s="10">
        <v>0</v>
      </c>
      <c r="AK37" s="10">
        <v>0</v>
      </c>
      <c r="AL37" s="11">
        <v>17</v>
      </c>
      <c r="AM37" s="10">
        <v>743431235518</v>
      </c>
      <c r="AN37" s="11">
        <v>49</v>
      </c>
      <c r="AO37" s="10">
        <v>233809322701</v>
      </c>
      <c r="AP37" s="12">
        <v>22</v>
      </c>
      <c r="AQ37" s="10">
        <v>116211631536</v>
      </c>
      <c r="AR37" s="10">
        <v>3662188785</v>
      </c>
      <c r="AS37" s="10">
        <v>5846114776</v>
      </c>
      <c r="AT37" s="10">
        <v>-2183925991</v>
      </c>
      <c r="AU37" s="13">
        <v>-37.36</v>
      </c>
      <c r="AV37" s="10">
        <v>1182752045773</v>
      </c>
      <c r="AW37" s="10">
        <v>197778375286</v>
      </c>
      <c r="AX37" s="10">
        <v>608277568746</v>
      </c>
      <c r="AY37" s="10">
        <v>326017199677</v>
      </c>
      <c r="AZ37" s="10">
        <v>711048991543</v>
      </c>
      <c r="BA37" s="10">
        <v>246706000000</v>
      </c>
      <c r="BB37" s="10">
        <v>629585718468</v>
      </c>
      <c r="BC37" s="10">
        <v>1942181743054</v>
      </c>
      <c r="BD37" s="12">
        <v>7300</v>
      </c>
      <c r="BE37" s="10">
        <v>984426751511</v>
      </c>
      <c r="BF37" s="10">
        <v>711048991543</v>
      </c>
      <c r="BG37" s="10">
        <v>246706000000</v>
      </c>
      <c r="BH37" s="10">
        <v>1146852965325</v>
      </c>
      <c r="BI37" s="10">
        <v>777760296238</v>
      </c>
      <c r="BJ37" s="10">
        <v>0</v>
      </c>
      <c r="BK37" s="10">
        <v>0</v>
      </c>
      <c r="BL37" s="10">
        <v>554588966947</v>
      </c>
      <c r="BM37" s="10">
        <v>0</v>
      </c>
      <c r="BN37" s="10">
        <v>0</v>
      </c>
      <c r="BO37" s="10">
        <v>24765538762</v>
      </c>
    </row>
    <row r="38" spans="1:67" x14ac:dyDescent="0.25">
      <c r="A38" s="25" t="s">
        <v>83</v>
      </c>
      <c r="B38" s="9">
        <v>1211</v>
      </c>
      <c r="C38" s="9" t="s">
        <v>95</v>
      </c>
      <c r="D38" s="10">
        <v>1239453146796</v>
      </c>
      <c r="E38" s="10">
        <v>109441890062</v>
      </c>
      <c r="F38" s="10">
        <v>0</v>
      </c>
      <c r="G38" s="10">
        <v>0</v>
      </c>
      <c r="H38" s="10">
        <v>1348895036858</v>
      </c>
      <c r="I38" s="10">
        <v>90156104072</v>
      </c>
      <c r="J38" s="10">
        <v>456591038</v>
      </c>
      <c r="K38" s="10">
        <v>1258282341748</v>
      </c>
      <c r="L38" s="10">
        <v>559682346374</v>
      </c>
      <c r="M38" s="10">
        <v>789212690484</v>
      </c>
      <c r="N38" s="46">
        <v>141.01082437154798</v>
      </c>
      <c r="O38" s="10">
        <v>1023325420005</v>
      </c>
      <c r="P38" s="11">
        <v>83.24</v>
      </c>
      <c r="Q38" s="11">
        <v>81.33</v>
      </c>
      <c r="R38" s="11">
        <v>0.6</v>
      </c>
      <c r="S38" s="10">
        <v>1074156109701</v>
      </c>
      <c r="T38" s="10">
        <v>4911070075</v>
      </c>
      <c r="U38" s="10">
        <v>1838815837</v>
      </c>
      <c r="V38" s="10">
        <v>0</v>
      </c>
      <c r="W38" s="10">
        <v>3072254238</v>
      </c>
      <c r="X38" s="10">
        <v>1079067179776</v>
      </c>
      <c r="Y38" s="10">
        <v>1801940239</v>
      </c>
      <c r="Z38" s="10">
        <v>34283420465</v>
      </c>
      <c r="AA38" s="10">
        <v>9480040000</v>
      </c>
      <c r="AB38" s="10">
        <v>1122830640241</v>
      </c>
      <c r="AC38" s="10">
        <v>612603109975</v>
      </c>
      <c r="AD38" s="46">
        <v>76.144580758010875</v>
      </c>
      <c r="AE38" s="10">
        <v>1938794588623</v>
      </c>
      <c r="AF38" s="10">
        <v>1754707748157</v>
      </c>
      <c r="AG38" s="10">
        <v>1095072286664</v>
      </c>
      <c r="AH38" s="10">
        <v>0</v>
      </c>
      <c r="AI38" s="10">
        <v>0</v>
      </c>
      <c r="AJ38" s="10">
        <v>0</v>
      </c>
      <c r="AK38" s="10">
        <v>0</v>
      </c>
      <c r="AL38" s="11">
        <v>9</v>
      </c>
      <c r="AM38" s="10">
        <v>1682318775000</v>
      </c>
      <c r="AN38" s="11">
        <v>21</v>
      </c>
      <c r="AO38" s="10">
        <v>1904827618677</v>
      </c>
      <c r="AP38" s="12">
        <v>26</v>
      </c>
      <c r="AQ38" s="10">
        <v>1200456491013</v>
      </c>
      <c r="AR38" s="10">
        <v>4911070075</v>
      </c>
      <c r="AS38" s="10">
        <v>23730583368</v>
      </c>
      <c r="AT38" s="10">
        <v>-18819513293</v>
      </c>
      <c r="AU38" s="11">
        <v>-79.3</v>
      </c>
      <c r="AV38" s="10">
        <v>1351002677108</v>
      </c>
      <c r="AW38" s="10">
        <v>434579306446</v>
      </c>
      <c r="AX38" s="10">
        <v>468272896250</v>
      </c>
      <c r="AY38" s="10">
        <v>32503560489</v>
      </c>
      <c r="AZ38" s="10">
        <v>236985175275</v>
      </c>
      <c r="BA38" s="10">
        <v>501691514782</v>
      </c>
      <c r="BB38" s="10">
        <v>168917583882</v>
      </c>
      <c r="BC38" s="10">
        <v>1348895036858</v>
      </c>
      <c r="BD38" s="12">
        <v>57516</v>
      </c>
      <c r="BE38" s="10">
        <v>610218346801</v>
      </c>
      <c r="BF38" s="10">
        <v>236985175275</v>
      </c>
      <c r="BG38" s="10">
        <v>501691514782</v>
      </c>
      <c r="BH38" s="10">
        <v>374791382543</v>
      </c>
      <c r="BI38" s="10">
        <v>1564003206080</v>
      </c>
      <c r="BJ38" s="10">
        <v>271249642390</v>
      </c>
      <c r="BK38" s="10">
        <v>1</v>
      </c>
      <c r="BL38" s="10">
        <v>823822644273</v>
      </c>
      <c r="BM38" s="10">
        <v>0</v>
      </c>
      <c r="BN38" s="10">
        <v>0</v>
      </c>
      <c r="BO38" s="10">
        <v>0</v>
      </c>
    </row>
    <row r="39" spans="1:67" x14ac:dyDescent="0.25">
      <c r="A39" s="25" t="s">
        <v>83</v>
      </c>
      <c r="B39" s="9">
        <v>1212</v>
      </c>
      <c r="C39" s="9" t="s">
        <v>96</v>
      </c>
      <c r="D39" s="10">
        <v>1651300787851</v>
      </c>
      <c r="E39" s="10">
        <v>241430447368</v>
      </c>
      <c r="F39" s="10">
        <v>0</v>
      </c>
      <c r="G39" s="10">
        <v>0</v>
      </c>
      <c r="H39" s="10">
        <v>1892731235219</v>
      </c>
      <c r="I39" s="10">
        <v>114678766196</v>
      </c>
      <c r="J39" s="10">
        <v>1306406218</v>
      </c>
      <c r="K39" s="10">
        <v>1776746062805</v>
      </c>
      <c r="L39" s="10">
        <v>1001381877454</v>
      </c>
      <c r="M39" s="10">
        <v>891349357765</v>
      </c>
      <c r="N39" s="46">
        <v>89.011932194263764</v>
      </c>
      <c r="O39" s="10">
        <v>823384334853</v>
      </c>
      <c r="P39" s="11">
        <v>47.88</v>
      </c>
      <c r="Q39" s="11">
        <v>46.34</v>
      </c>
      <c r="R39" s="11">
        <v>0.56999999999999995</v>
      </c>
      <c r="S39" s="10">
        <v>845329121073</v>
      </c>
      <c r="T39" s="10">
        <v>4989866752</v>
      </c>
      <c r="U39" s="10">
        <v>4169103725</v>
      </c>
      <c r="V39" s="10">
        <v>215102961</v>
      </c>
      <c r="W39" s="10">
        <v>605660066</v>
      </c>
      <c r="X39" s="10">
        <v>850318987825</v>
      </c>
      <c r="Y39" s="10">
        <v>182730662</v>
      </c>
      <c r="Z39" s="10">
        <v>44938657688</v>
      </c>
      <c r="AA39" s="10">
        <v>11038221823</v>
      </c>
      <c r="AB39" s="10">
        <v>906295867336</v>
      </c>
      <c r="AC39" s="10">
        <v>701853349214</v>
      </c>
      <c r="AD39" s="46">
        <v>21.153370398141647</v>
      </c>
      <c r="AE39" s="10">
        <v>3016333173481</v>
      </c>
      <c r="AF39" s="10">
        <v>3008186018687</v>
      </c>
      <c r="AG39" s="10">
        <v>2234240944040</v>
      </c>
      <c r="AH39" s="10">
        <v>3877875</v>
      </c>
      <c r="AI39" s="10">
        <v>0</v>
      </c>
      <c r="AJ39" s="10">
        <v>0</v>
      </c>
      <c r="AK39" s="10">
        <v>0</v>
      </c>
      <c r="AL39" s="11">
        <v>12</v>
      </c>
      <c r="AM39" s="10">
        <v>1708565911074</v>
      </c>
      <c r="AN39" s="11">
        <v>216</v>
      </c>
      <c r="AO39" s="10">
        <v>4855216546218</v>
      </c>
      <c r="AP39" s="12">
        <v>148</v>
      </c>
      <c r="AQ39" s="10">
        <v>940839377076</v>
      </c>
      <c r="AR39" s="10">
        <v>4989866752</v>
      </c>
      <c r="AS39" s="10">
        <v>7660753016</v>
      </c>
      <c r="AT39" s="10">
        <v>-2670886264</v>
      </c>
      <c r="AU39" s="13">
        <v>-34.86</v>
      </c>
      <c r="AV39" s="10">
        <v>2837741968396</v>
      </c>
      <c r="AW39" s="10">
        <v>790297215357</v>
      </c>
      <c r="AX39" s="10">
        <v>420599734881</v>
      </c>
      <c r="AY39" s="10">
        <v>39061521659</v>
      </c>
      <c r="AZ39" s="10">
        <v>490195231311</v>
      </c>
      <c r="BA39" s="10">
        <v>701444300000</v>
      </c>
      <c r="BB39" s="10">
        <v>449970304849</v>
      </c>
      <c r="BC39" s="10">
        <v>1892731235219</v>
      </c>
      <c r="BD39" s="12">
        <v>32753</v>
      </c>
      <c r="BE39" s="10">
        <v>701091703908</v>
      </c>
      <c r="BF39" s="10">
        <v>490195231311</v>
      </c>
      <c r="BG39" s="10">
        <v>701444300000</v>
      </c>
      <c r="BH39" s="10">
        <v>580053583768</v>
      </c>
      <c r="BI39" s="10">
        <v>2436279589713</v>
      </c>
      <c r="BJ39" s="10">
        <v>0</v>
      </c>
      <c r="BK39" s="10">
        <v>0</v>
      </c>
      <c r="BL39" s="10">
        <v>2576334262736</v>
      </c>
      <c r="BM39" s="10">
        <v>0</v>
      </c>
      <c r="BN39" s="10">
        <v>0</v>
      </c>
      <c r="BO39" s="10">
        <v>3877875</v>
      </c>
    </row>
    <row r="40" spans="1:67" x14ac:dyDescent="0.25">
      <c r="A40" s="25" t="s">
        <v>83</v>
      </c>
      <c r="B40" s="9">
        <v>1213</v>
      </c>
      <c r="C40" s="9" t="s">
        <v>97</v>
      </c>
      <c r="D40" s="10">
        <v>902282032552</v>
      </c>
      <c r="E40" s="10">
        <v>12979560884</v>
      </c>
      <c r="F40" s="10">
        <v>0</v>
      </c>
      <c r="G40" s="10">
        <v>0</v>
      </c>
      <c r="H40" s="10">
        <v>915261593436</v>
      </c>
      <c r="I40" s="10">
        <v>58449421731</v>
      </c>
      <c r="J40" s="10">
        <v>1570871486</v>
      </c>
      <c r="K40" s="10">
        <v>855241300219</v>
      </c>
      <c r="L40" s="10">
        <v>269304641264</v>
      </c>
      <c r="M40" s="10">
        <v>645956952172</v>
      </c>
      <c r="N40" s="46">
        <v>239.86105443268869</v>
      </c>
      <c r="O40" s="10">
        <v>1738999242592</v>
      </c>
      <c r="P40" s="11">
        <v>248.53</v>
      </c>
      <c r="Q40" s="11">
        <v>203.33</v>
      </c>
      <c r="R40" s="11">
        <v>0.06</v>
      </c>
      <c r="S40" s="10">
        <v>2226938863041</v>
      </c>
      <c r="T40" s="10">
        <v>934523718</v>
      </c>
      <c r="U40" s="10">
        <v>640675278</v>
      </c>
      <c r="V40" s="10">
        <v>71710507</v>
      </c>
      <c r="W40" s="10">
        <v>222137933</v>
      </c>
      <c r="X40" s="10">
        <v>2227873386759</v>
      </c>
      <c r="Y40" s="10">
        <v>439620422</v>
      </c>
      <c r="Z40" s="10">
        <v>42331569509</v>
      </c>
      <c r="AA40" s="10">
        <v>4499988695</v>
      </c>
      <c r="AB40" s="10">
        <v>2274704944963</v>
      </c>
      <c r="AC40" s="10">
        <v>685685817228</v>
      </c>
      <c r="AD40" s="46">
        <v>224.91169144573416</v>
      </c>
      <c r="AE40" s="10">
        <v>3260311330124</v>
      </c>
      <c r="AF40" s="10">
        <v>2060311330124</v>
      </c>
      <c r="AG40" s="10">
        <v>388329721200</v>
      </c>
      <c r="AH40" s="10">
        <v>0</v>
      </c>
      <c r="AI40" s="10">
        <v>0</v>
      </c>
      <c r="AJ40" s="10">
        <v>0</v>
      </c>
      <c r="AK40" s="10">
        <v>0</v>
      </c>
      <c r="AL40" s="11">
        <v>2</v>
      </c>
      <c r="AM40" s="10">
        <v>315280416000</v>
      </c>
      <c r="AN40" s="11">
        <v>6</v>
      </c>
      <c r="AO40" s="10">
        <v>61237500000</v>
      </c>
      <c r="AP40" s="12">
        <v>10</v>
      </c>
      <c r="AQ40" s="10">
        <v>48666160154</v>
      </c>
      <c r="AR40" s="10">
        <v>934523718</v>
      </c>
      <c r="AS40" s="10">
        <v>1687315904</v>
      </c>
      <c r="AT40" s="10">
        <v>-752792186</v>
      </c>
      <c r="AU40" s="11">
        <v>-44.61</v>
      </c>
      <c r="AV40" s="10">
        <v>929778904276</v>
      </c>
      <c r="AW40" s="10">
        <v>47360816850</v>
      </c>
      <c r="AX40" s="10">
        <v>537409511356</v>
      </c>
      <c r="AY40" s="10">
        <v>22994309127</v>
      </c>
      <c r="AZ40" s="10">
        <v>80724712069</v>
      </c>
      <c r="BA40" s="10">
        <v>261153500000</v>
      </c>
      <c r="BB40" s="10">
        <v>42661881580</v>
      </c>
      <c r="BC40" s="10">
        <v>915261593436</v>
      </c>
      <c r="BD40" s="12">
        <v>20088</v>
      </c>
      <c r="BE40" s="10">
        <v>573383381367</v>
      </c>
      <c r="BF40" s="10">
        <v>80724712069</v>
      </c>
      <c r="BG40" s="10">
        <v>261153500000</v>
      </c>
      <c r="BH40" s="10">
        <v>213267355956</v>
      </c>
      <c r="BI40" s="10">
        <v>3047043974168</v>
      </c>
      <c r="BJ40" s="10">
        <v>0</v>
      </c>
      <c r="BK40" s="10">
        <v>0</v>
      </c>
      <c r="BL40" s="10">
        <v>435743020800</v>
      </c>
      <c r="BM40" s="10">
        <v>0</v>
      </c>
      <c r="BN40" s="10">
        <v>0</v>
      </c>
      <c r="BO40" s="10">
        <v>0</v>
      </c>
    </row>
    <row r="41" spans="1:67" x14ac:dyDescent="0.25">
      <c r="A41" s="25" t="s">
        <v>83</v>
      </c>
      <c r="B41" s="9">
        <v>1299</v>
      </c>
      <c r="C41" s="9" t="s">
        <v>98</v>
      </c>
      <c r="D41" s="10">
        <v>0</v>
      </c>
      <c r="E41" s="10">
        <v>665232383</v>
      </c>
      <c r="F41" s="10">
        <v>0</v>
      </c>
      <c r="G41" s="10">
        <v>0</v>
      </c>
      <c r="H41" s="10">
        <v>665232383</v>
      </c>
      <c r="I41" s="10">
        <v>52798004</v>
      </c>
      <c r="J41" s="10">
        <v>76753800</v>
      </c>
      <c r="K41" s="10">
        <v>535680579</v>
      </c>
      <c r="L41" s="10">
        <v>492743646</v>
      </c>
      <c r="M41" s="10">
        <v>172488737</v>
      </c>
      <c r="N41" s="46">
        <v>35.005776005480953</v>
      </c>
      <c r="O41" s="10">
        <v>0</v>
      </c>
      <c r="P41" s="11">
        <v>0</v>
      </c>
      <c r="Q41" s="11">
        <v>0</v>
      </c>
      <c r="R41" s="11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46" t="s">
        <v>595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0">
        <v>0</v>
      </c>
      <c r="AN41" s="11">
        <v>0</v>
      </c>
      <c r="AO41" s="10">
        <v>0</v>
      </c>
      <c r="AP41" s="12">
        <v>0</v>
      </c>
      <c r="AQ41" s="10">
        <v>0</v>
      </c>
      <c r="AR41" s="10">
        <v>0</v>
      </c>
      <c r="AS41" s="10">
        <v>0</v>
      </c>
      <c r="AT41" s="10">
        <v>0</v>
      </c>
      <c r="AU41" s="11" t="s">
        <v>593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665232383</v>
      </c>
      <c r="BD41" s="11">
        <v>0</v>
      </c>
      <c r="BE41" s="10">
        <v>665232383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</row>
    <row r="42" spans="1:67" x14ac:dyDescent="0.25">
      <c r="A42" s="19" t="s">
        <v>626</v>
      </c>
      <c r="B42" s="20" t="s">
        <v>593</v>
      </c>
      <c r="C42" s="20" t="s">
        <v>593</v>
      </c>
      <c r="D42" s="21">
        <v>19231526963111</v>
      </c>
      <c r="E42" s="21">
        <v>569441270656</v>
      </c>
      <c r="F42" s="21">
        <v>109660000000</v>
      </c>
      <c r="G42" s="21">
        <v>101685600</v>
      </c>
      <c r="H42" s="21">
        <v>19910729919367</v>
      </c>
      <c r="I42" s="21">
        <v>1266550487879</v>
      </c>
      <c r="J42" s="21">
        <v>90199754312</v>
      </c>
      <c r="K42" s="21">
        <v>18553979677176</v>
      </c>
      <c r="L42" s="21">
        <v>12206860385846</v>
      </c>
      <c r="M42" s="21">
        <v>7703869533521</v>
      </c>
      <c r="N42" s="47">
        <v>63.110982595112894</v>
      </c>
      <c r="O42" s="21">
        <v>21468959007602</v>
      </c>
      <c r="P42" s="22">
        <v>129.21</v>
      </c>
      <c r="Q42" s="22">
        <v>115.71</v>
      </c>
      <c r="R42" s="22">
        <v>0.75</v>
      </c>
      <c r="S42" s="21">
        <v>24410854691346</v>
      </c>
      <c r="T42" s="21">
        <v>158608582418</v>
      </c>
      <c r="U42" s="21">
        <v>107898173534</v>
      </c>
      <c r="V42" s="21">
        <v>24103805709</v>
      </c>
      <c r="W42" s="21">
        <v>26606603175</v>
      </c>
      <c r="X42" s="21">
        <v>24569463273764</v>
      </c>
      <c r="Y42" s="21">
        <v>35458139108</v>
      </c>
      <c r="Z42" s="21">
        <v>1026456078664</v>
      </c>
      <c r="AA42" s="21">
        <v>131275015317</v>
      </c>
      <c r="AB42" s="21">
        <v>25727194367745</v>
      </c>
      <c r="AC42" s="21">
        <v>17117204664655</v>
      </c>
      <c r="AD42" s="47">
        <v>43.536656569264672</v>
      </c>
      <c r="AE42" s="21">
        <v>31313205141523</v>
      </c>
      <c r="AF42" s="21">
        <v>29206081002389</v>
      </c>
      <c r="AG42" s="21">
        <v>15069678865618</v>
      </c>
      <c r="AH42" s="21">
        <v>25623516637</v>
      </c>
      <c r="AI42" s="21">
        <v>9342661573</v>
      </c>
      <c r="AJ42" s="21">
        <v>0</v>
      </c>
      <c r="AK42" s="21">
        <v>0</v>
      </c>
      <c r="AL42" s="22">
        <v>86</v>
      </c>
      <c r="AM42" s="21">
        <v>14654852284497</v>
      </c>
      <c r="AN42" s="22">
        <v>519</v>
      </c>
      <c r="AO42" s="21">
        <v>8264699811592</v>
      </c>
      <c r="AP42" s="23">
        <v>330</v>
      </c>
      <c r="AQ42" s="21">
        <v>2793269834111</v>
      </c>
      <c r="AR42" s="21">
        <v>158608582418</v>
      </c>
      <c r="AS42" s="21">
        <v>148913341365</v>
      </c>
      <c r="AT42" s="21">
        <v>9695241053</v>
      </c>
      <c r="AU42" s="22">
        <v>6.51</v>
      </c>
      <c r="AV42" s="21">
        <v>23548248067362</v>
      </c>
      <c r="AW42" s="21">
        <v>6787795119784</v>
      </c>
      <c r="AX42" s="21">
        <v>5320443506554</v>
      </c>
      <c r="AY42" s="21">
        <v>1731249887968</v>
      </c>
      <c r="AZ42" s="21">
        <v>4459250452986</v>
      </c>
      <c r="BA42" s="21">
        <v>7720583115603</v>
      </c>
      <c r="BB42" s="21">
        <v>3413161799967</v>
      </c>
      <c r="BC42" s="21">
        <v>19910729919367</v>
      </c>
      <c r="BD42" s="23">
        <v>588151</v>
      </c>
      <c r="BE42" s="21">
        <v>7590963988573</v>
      </c>
      <c r="BF42" s="21">
        <v>4568910452986</v>
      </c>
      <c r="BG42" s="21">
        <v>7750855477808</v>
      </c>
      <c r="BH42" s="21">
        <v>20339380010518</v>
      </c>
      <c r="BI42" s="21">
        <v>10973825131005</v>
      </c>
      <c r="BJ42" s="21">
        <v>604961560073</v>
      </c>
      <c r="BK42" s="21">
        <v>1</v>
      </c>
      <c r="BL42" s="21">
        <v>16757280489831</v>
      </c>
      <c r="BM42" s="21">
        <v>0</v>
      </c>
      <c r="BN42" s="21">
        <v>0</v>
      </c>
      <c r="BO42" s="21">
        <v>25623516637</v>
      </c>
    </row>
    <row r="43" spans="1:67" x14ac:dyDescent="0.25">
      <c r="A43" s="25" t="s">
        <v>99</v>
      </c>
      <c r="B43" s="9">
        <v>1300</v>
      </c>
      <c r="C43" s="9" t="s">
        <v>99</v>
      </c>
      <c r="D43" s="10">
        <v>2366805874041</v>
      </c>
      <c r="E43" s="10">
        <v>334899188007</v>
      </c>
      <c r="F43" s="10">
        <v>20000000000</v>
      </c>
      <c r="G43" s="10">
        <v>91474800</v>
      </c>
      <c r="H43" s="10">
        <v>2721796536848</v>
      </c>
      <c r="I43" s="10">
        <v>184397157417</v>
      </c>
      <c r="J43" s="10">
        <v>26460331890</v>
      </c>
      <c r="K43" s="10">
        <v>2510939047541</v>
      </c>
      <c r="L43" s="10">
        <v>1778812684248</v>
      </c>
      <c r="M43" s="10">
        <v>942983852600</v>
      </c>
      <c r="N43" s="46">
        <v>53.01198158470801</v>
      </c>
      <c r="O43" s="10">
        <v>6154900459319</v>
      </c>
      <c r="P43" s="11">
        <v>311.83999999999997</v>
      </c>
      <c r="Q43" s="11">
        <v>245.12</v>
      </c>
      <c r="R43" s="11">
        <v>0.92</v>
      </c>
      <c r="S43" s="10">
        <v>8084496495456</v>
      </c>
      <c r="T43" s="10">
        <v>75946462241</v>
      </c>
      <c r="U43" s="10">
        <v>45258116391</v>
      </c>
      <c r="V43" s="10">
        <v>20297228982</v>
      </c>
      <c r="W43" s="10">
        <v>10391116868</v>
      </c>
      <c r="X43" s="10">
        <v>8160442957697</v>
      </c>
      <c r="Y43" s="10">
        <v>2183326548</v>
      </c>
      <c r="Z43" s="10">
        <v>290186030381</v>
      </c>
      <c r="AA43" s="10">
        <v>36955679268</v>
      </c>
      <c r="AB43" s="10">
        <v>8487584667346</v>
      </c>
      <c r="AC43" s="10">
        <v>6413060661030</v>
      </c>
      <c r="AD43" s="46">
        <v>27.247244163543488</v>
      </c>
      <c r="AE43" s="10">
        <v>3880240316818</v>
      </c>
      <c r="AF43" s="10">
        <v>3552510094249</v>
      </c>
      <c r="AG43" s="10">
        <v>248442326812</v>
      </c>
      <c r="AH43" s="10">
        <v>25942738730</v>
      </c>
      <c r="AI43" s="10">
        <v>0</v>
      </c>
      <c r="AJ43" s="10">
        <v>0</v>
      </c>
      <c r="AK43" s="10">
        <v>0</v>
      </c>
      <c r="AL43" s="11">
        <v>11</v>
      </c>
      <c r="AM43" s="10">
        <v>750140858759</v>
      </c>
      <c r="AN43" s="11">
        <v>24</v>
      </c>
      <c r="AO43" s="10">
        <v>1835125182326</v>
      </c>
      <c r="AP43" s="12">
        <v>34</v>
      </c>
      <c r="AQ43" s="10">
        <v>388314886325</v>
      </c>
      <c r="AR43" s="10">
        <v>75946462241</v>
      </c>
      <c r="AS43" s="10">
        <v>27421787621</v>
      </c>
      <c r="AT43" s="10">
        <v>48524674620</v>
      </c>
      <c r="AU43" s="11">
        <v>176.96</v>
      </c>
      <c r="AV43" s="10">
        <v>2242669315518</v>
      </c>
      <c r="AW43" s="10">
        <v>447863962651</v>
      </c>
      <c r="AX43" s="10">
        <v>572668974231</v>
      </c>
      <c r="AY43" s="10">
        <v>588060044755</v>
      </c>
      <c r="AZ43" s="10">
        <v>393591254645</v>
      </c>
      <c r="BA43" s="10">
        <v>812485600410</v>
      </c>
      <c r="BB43" s="10">
        <v>163732549841</v>
      </c>
      <c r="BC43" s="10">
        <v>2721796536848</v>
      </c>
      <c r="BD43" s="12">
        <v>52805</v>
      </c>
      <c r="BE43" s="10">
        <v>1248804639437</v>
      </c>
      <c r="BF43" s="10">
        <v>413591254645</v>
      </c>
      <c r="BG43" s="10">
        <v>1059400642766</v>
      </c>
      <c r="BH43" s="10">
        <v>2966448898121</v>
      </c>
      <c r="BI43" s="10">
        <v>913791418697</v>
      </c>
      <c r="BJ43" s="10">
        <v>17871294883</v>
      </c>
      <c r="BK43" s="10">
        <v>0</v>
      </c>
      <c r="BL43" s="10">
        <v>221193506832</v>
      </c>
      <c r="BM43" s="10">
        <v>7155000000</v>
      </c>
      <c r="BN43" s="10">
        <v>8817080763</v>
      </c>
      <c r="BO43" s="10">
        <v>219150606240</v>
      </c>
    </row>
    <row r="44" spans="1:67" x14ac:dyDescent="0.25">
      <c r="A44" s="25" t="s">
        <v>99</v>
      </c>
      <c r="B44" s="9">
        <v>1301</v>
      </c>
      <c r="C44" s="9" t="s">
        <v>100</v>
      </c>
      <c r="D44" s="10">
        <v>1542587884947</v>
      </c>
      <c r="E44" s="10">
        <v>33234728345</v>
      </c>
      <c r="F44" s="10">
        <v>0</v>
      </c>
      <c r="G44" s="10">
        <v>0</v>
      </c>
      <c r="H44" s="10">
        <v>1575822613292</v>
      </c>
      <c r="I44" s="10">
        <v>102013951295</v>
      </c>
      <c r="J44" s="10">
        <v>4676285215</v>
      </c>
      <c r="K44" s="10">
        <v>1469132376782</v>
      </c>
      <c r="L44" s="10">
        <v>1256768555416</v>
      </c>
      <c r="M44" s="10">
        <v>319054057876</v>
      </c>
      <c r="N44" s="46">
        <v>25.386858741893864</v>
      </c>
      <c r="O44" s="10">
        <v>1930843039264</v>
      </c>
      <c r="P44" s="11">
        <v>141.27000000000001</v>
      </c>
      <c r="Q44" s="11">
        <v>131.43</v>
      </c>
      <c r="R44" s="11">
        <v>3.38</v>
      </c>
      <c r="S44" s="10">
        <v>2017266138743</v>
      </c>
      <c r="T44" s="10">
        <v>70202600547</v>
      </c>
      <c r="U44" s="10">
        <v>25385811917</v>
      </c>
      <c r="V44" s="10">
        <v>4349963600</v>
      </c>
      <c r="W44" s="10">
        <v>40466825030</v>
      </c>
      <c r="X44" s="10">
        <v>2087468739290</v>
      </c>
      <c r="Y44" s="10">
        <v>5022294253</v>
      </c>
      <c r="Z44" s="10">
        <v>110490155970</v>
      </c>
      <c r="AA44" s="10">
        <v>28276240000</v>
      </c>
      <c r="AB44" s="10">
        <v>2226235135260</v>
      </c>
      <c r="AC44" s="10">
        <v>1602322870556</v>
      </c>
      <c r="AD44" s="46">
        <v>30.277659867992533</v>
      </c>
      <c r="AE44" s="10">
        <v>1044263929630</v>
      </c>
      <c r="AF44" s="10">
        <v>1044263929630</v>
      </c>
      <c r="AG44" s="10">
        <v>0</v>
      </c>
      <c r="AH44" s="10">
        <v>70047725047</v>
      </c>
      <c r="AI44" s="10">
        <v>80498361275</v>
      </c>
      <c r="AJ44" s="10">
        <v>0</v>
      </c>
      <c r="AK44" s="10">
        <v>0</v>
      </c>
      <c r="AL44" s="11">
        <v>0</v>
      </c>
      <c r="AM44" s="10">
        <v>0</v>
      </c>
      <c r="AN44" s="11">
        <v>70</v>
      </c>
      <c r="AO44" s="10">
        <v>432594960394</v>
      </c>
      <c r="AP44" s="12">
        <v>112</v>
      </c>
      <c r="AQ44" s="10">
        <v>215660950966</v>
      </c>
      <c r="AR44" s="10">
        <v>70202600547</v>
      </c>
      <c r="AS44" s="10">
        <v>39792184361</v>
      </c>
      <c r="AT44" s="10">
        <v>30410416186</v>
      </c>
      <c r="AU44" s="11">
        <v>76.42</v>
      </c>
      <c r="AV44" s="10">
        <v>553010153120</v>
      </c>
      <c r="AW44" s="10">
        <v>190919249400</v>
      </c>
      <c r="AX44" s="10">
        <v>305040548162</v>
      </c>
      <c r="AY44" s="10">
        <v>271051795309</v>
      </c>
      <c r="AZ44" s="10">
        <v>617336141476</v>
      </c>
      <c r="BA44" s="10">
        <v>349159400000</v>
      </c>
      <c r="BB44" s="10">
        <v>270432005997</v>
      </c>
      <c r="BC44" s="10">
        <v>1575822613292</v>
      </c>
      <c r="BD44" s="12">
        <v>11118</v>
      </c>
      <c r="BE44" s="10">
        <v>608681138384</v>
      </c>
      <c r="BF44" s="10">
        <v>617336141476</v>
      </c>
      <c r="BG44" s="10">
        <v>349805333432</v>
      </c>
      <c r="BH44" s="10">
        <v>731770173903</v>
      </c>
      <c r="BI44" s="10">
        <v>312493755727</v>
      </c>
      <c r="BJ44" s="10">
        <v>0</v>
      </c>
      <c r="BK44" s="10">
        <v>0</v>
      </c>
      <c r="BL44" s="10">
        <v>0</v>
      </c>
      <c r="BM44" s="10">
        <v>72443113</v>
      </c>
      <c r="BN44" s="10">
        <v>37106040608</v>
      </c>
      <c r="BO44" s="10">
        <v>26206335956</v>
      </c>
    </row>
    <row r="45" spans="1:67" x14ac:dyDescent="0.25">
      <c r="A45" s="25" t="s">
        <v>99</v>
      </c>
      <c r="B45" s="9">
        <v>1302</v>
      </c>
      <c r="C45" s="9" t="s">
        <v>101</v>
      </c>
      <c r="D45" s="10">
        <v>1135369855974</v>
      </c>
      <c r="E45" s="10">
        <v>18378900085</v>
      </c>
      <c r="F45" s="10">
        <v>0</v>
      </c>
      <c r="G45" s="10">
        <v>0</v>
      </c>
      <c r="H45" s="10">
        <v>1153748756059</v>
      </c>
      <c r="I45" s="10">
        <v>81668837235</v>
      </c>
      <c r="J45" s="10">
        <v>4015369935</v>
      </c>
      <c r="K45" s="10">
        <v>1068064548889</v>
      </c>
      <c r="L45" s="10">
        <v>822578152694</v>
      </c>
      <c r="M45" s="10">
        <v>331170603365</v>
      </c>
      <c r="N45" s="46">
        <v>40.260077693577628</v>
      </c>
      <c r="O45" s="10">
        <v>1231792014309</v>
      </c>
      <c r="P45" s="11">
        <v>127</v>
      </c>
      <c r="Q45" s="11">
        <v>115.33</v>
      </c>
      <c r="R45" s="11">
        <v>1.67</v>
      </c>
      <c r="S45" s="10">
        <v>1375478193850</v>
      </c>
      <c r="T45" s="10">
        <v>24053089906</v>
      </c>
      <c r="U45" s="10">
        <v>14820157799</v>
      </c>
      <c r="V45" s="10">
        <v>6794093667</v>
      </c>
      <c r="W45" s="10">
        <v>2438838440</v>
      </c>
      <c r="X45" s="10">
        <v>1399531283756</v>
      </c>
      <c r="Y45" s="10">
        <v>366698577</v>
      </c>
      <c r="Z45" s="10">
        <v>47625885387</v>
      </c>
      <c r="AA45" s="10">
        <v>18159312000</v>
      </c>
      <c r="AB45" s="10">
        <v>1465316481143</v>
      </c>
      <c r="AC45" s="10">
        <v>991752897404</v>
      </c>
      <c r="AD45" s="46">
        <v>41.116934210063377</v>
      </c>
      <c r="AE45" s="10">
        <v>744393980128</v>
      </c>
      <c r="AF45" s="10">
        <v>728083457938</v>
      </c>
      <c r="AG45" s="10">
        <v>0</v>
      </c>
      <c r="AH45" s="10">
        <v>0</v>
      </c>
      <c r="AI45" s="10">
        <v>2545000000</v>
      </c>
      <c r="AJ45" s="10">
        <v>0</v>
      </c>
      <c r="AK45" s="10">
        <v>0</v>
      </c>
      <c r="AL45" s="11">
        <v>0</v>
      </c>
      <c r="AM45" s="10">
        <v>0</v>
      </c>
      <c r="AN45" s="11">
        <v>24</v>
      </c>
      <c r="AO45" s="10">
        <v>167859718406</v>
      </c>
      <c r="AP45" s="12">
        <v>31</v>
      </c>
      <c r="AQ45" s="10">
        <v>63198460962</v>
      </c>
      <c r="AR45" s="10">
        <v>24053089906</v>
      </c>
      <c r="AS45" s="10">
        <v>16772530038</v>
      </c>
      <c r="AT45" s="10">
        <v>7280559868</v>
      </c>
      <c r="AU45" s="11">
        <v>43.41</v>
      </c>
      <c r="AV45" s="10">
        <v>383518921559</v>
      </c>
      <c r="AW45" s="10">
        <v>109501423476</v>
      </c>
      <c r="AX45" s="10">
        <v>180851296184</v>
      </c>
      <c r="AY45" s="10">
        <v>233646948377</v>
      </c>
      <c r="AZ45" s="10">
        <v>304706311413</v>
      </c>
      <c r="BA45" s="10">
        <v>416165300000</v>
      </c>
      <c r="BB45" s="10">
        <v>190150788118</v>
      </c>
      <c r="BC45" s="10">
        <v>1153748756059</v>
      </c>
      <c r="BD45" s="12">
        <v>23508</v>
      </c>
      <c r="BE45" s="10">
        <v>431346618208</v>
      </c>
      <c r="BF45" s="10">
        <v>304706311413</v>
      </c>
      <c r="BG45" s="10">
        <v>417695826438</v>
      </c>
      <c r="BH45" s="10">
        <v>653723809838</v>
      </c>
      <c r="BI45" s="10">
        <v>90670170290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</row>
    <row r="46" spans="1:67" x14ac:dyDescent="0.25">
      <c r="A46" s="25" t="s">
        <v>99</v>
      </c>
      <c r="B46" s="9">
        <v>1303</v>
      </c>
      <c r="C46" s="9" t="s">
        <v>102</v>
      </c>
      <c r="D46" s="10">
        <v>979943395780</v>
      </c>
      <c r="E46" s="10">
        <v>4966693602</v>
      </c>
      <c r="F46" s="10">
        <v>0</v>
      </c>
      <c r="G46" s="10">
        <v>0</v>
      </c>
      <c r="H46" s="10">
        <v>984910089382</v>
      </c>
      <c r="I46" s="10">
        <v>72873143720</v>
      </c>
      <c r="J46" s="10">
        <v>7512141534</v>
      </c>
      <c r="K46" s="10">
        <v>904524804128</v>
      </c>
      <c r="L46" s="10">
        <v>749836071470</v>
      </c>
      <c r="M46" s="10">
        <v>235074017912</v>
      </c>
      <c r="N46" s="46">
        <v>31.35005461275745</v>
      </c>
      <c r="O46" s="10">
        <v>909833997741</v>
      </c>
      <c r="P46" s="11">
        <v>106.55</v>
      </c>
      <c r="Q46" s="11">
        <v>100.59</v>
      </c>
      <c r="R46" s="11">
        <v>0.65</v>
      </c>
      <c r="S46" s="10">
        <v>985185477410</v>
      </c>
      <c r="T46" s="10">
        <v>6774912405</v>
      </c>
      <c r="U46" s="10">
        <v>5832785280</v>
      </c>
      <c r="V46" s="10">
        <v>942127125</v>
      </c>
      <c r="W46" s="10">
        <v>0</v>
      </c>
      <c r="X46" s="10">
        <v>991960389815</v>
      </c>
      <c r="Y46" s="10">
        <v>0</v>
      </c>
      <c r="Z46" s="10">
        <v>44476004299</v>
      </c>
      <c r="AA46" s="10">
        <v>12998788316</v>
      </c>
      <c r="AB46" s="10">
        <v>1049435182430</v>
      </c>
      <c r="AC46" s="10">
        <v>761393670050</v>
      </c>
      <c r="AD46" s="46">
        <v>30.282195509959902</v>
      </c>
      <c r="AE46" s="10">
        <v>555849809632</v>
      </c>
      <c r="AF46" s="10">
        <v>503601962099</v>
      </c>
      <c r="AG46" s="10">
        <v>0</v>
      </c>
      <c r="AH46" s="10">
        <v>864000000</v>
      </c>
      <c r="AI46" s="10">
        <v>637467594</v>
      </c>
      <c r="AJ46" s="10">
        <v>0</v>
      </c>
      <c r="AK46" s="10">
        <v>0</v>
      </c>
      <c r="AL46" s="11">
        <v>0</v>
      </c>
      <c r="AM46" s="10">
        <v>0</v>
      </c>
      <c r="AN46" s="11">
        <v>18</v>
      </c>
      <c r="AO46" s="10">
        <v>20231983187</v>
      </c>
      <c r="AP46" s="12">
        <v>46</v>
      </c>
      <c r="AQ46" s="10">
        <v>19501969385</v>
      </c>
      <c r="AR46" s="10">
        <v>6774912405</v>
      </c>
      <c r="AS46" s="10">
        <v>6079628695</v>
      </c>
      <c r="AT46" s="10">
        <v>695283710</v>
      </c>
      <c r="AU46" s="11">
        <v>11.44</v>
      </c>
      <c r="AV46" s="10">
        <v>260998875282</v>
      </c>
      <c r="AW46" s="10">
        <v>49653576203</v>
      </c>
      <c r="AX46" s="10">
        <v>193906630751</v>
      </c>
      <c r="AY46" s="10">
        <v>146184791978</v>
      </c>
      <c r="AZ46" s="10">
        <v>252290173051</v>
      </c>
      <c r="BA46" s="10">
        <v>387561800000</v>
      </c>
      <c r="BB46" s="10">
        <v>159974882764</v>
      </c>
      <c r="BC46" s="10">
        <v>984910089382</v>
      </c>
      <c r="BD46" s="12">
        <v>26253</v>
      </c>
      <c r="BE46" s="10">
        <v>344233290685</v>
      </c>
      <c r="BF46" s="10">
        <v>251890173051</v>
      </c>
      <c r="BG46" s="10">
        <v>388786625646</v>
      </c>
      <c r="BH46" s="10">
        <v>497287411133</v>
      </c>
      <c r="BI46" s="10">
        <v>58562398499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864000000</v>
      </c>
    </row>
    <row r="47" spans="1:67" x14ac:dyDescent="0.25">
      <c r="A47" s="25" t="s">
        <v>99</v>
      </c>
      <c r="B47" s="9">
        <v>1304</v>
      </c>
      <c r="C47" s="9" t="s">
        <v>103</v>
      </c>
      <c r="D47" s="10">
        <v>776861552809</v>
      </c>
      <c r="E47" s="10">
        <v>11785419066</v>
      </c>
      <c r="F47" s="10">
        <v>0</v>
      </c>
      <c r="G47" s="10">
        <v>0</v>
      </c>
      <c r="H47" s="10">
        <v>788646971875</v>
      </c>
      <c r="I47" s="10">
        <v>58621295775</v>
      </c>
      <c r="J47" s="10">
        <v>643710245</v>
      </c>
      <c r="K47" s="10">
        <v>729381965855</v>
      </c>
      <c r="L47" s="10">
        <v>507360546083</v>
      </c>
      <c r="M47" s="10">
        <v>281286425792</v>
      </c>
      <c r="N47" s="46">
        <v>55.441131156852677</v>
      </c>
      <c r="O47" s="10">
        <v>937232361085</v>
      </c>
      <c r="P47" s="11">
        <v>132.81</v>
      </c>
      <c r="Q47" s="11">
        <v>128.5</v>
      </c>
      <c r="R47" s="11">
        <v>2.97</v>
      </c>
      <c r="S47" s="10">
        <v>960143145045</v>
      </c>
      <c r="T47" s="10">
        <v>27508290978</v>
      </c>
      <c r="U47" s="10">
        <v>10382445469</v>
      </c>
      <c r="V47" s="10">
        <v>14258673714</v>
      </c>
      <c r="W47" s="10">
        <v>2867171795</v>
      </c>
      <c r="X47" s="10">
        <v>987651436023</v>
      </c>
      <c r="Y47" s="10">
        <v>3649569361</v>
      </c>
      <c r="Z47" s="10">
        <v>42906330175</v>
      </c>
      <c r="AA47" s="10">
        <v>16827010000</v>
      </c>
      <c r="AB47" s="10">
        <v>1047384776198</v>
      </c>
      <c r="AC47" s="10">
        <v>795658998521</v>
      </c>
      <c r="AD47" s="46">
        <v>24.129990091092107</v>
      </c>
      <c r="AE47" s="10">
        <v>495496237060</v>
      </c>
      <c r="AF47" s="10">
        <v>495496237060</v>
      </c>
      <c r="AG47" s="10">
        <v>0</v>
      </c>
      <c r="AH47" s="10">
        <v>4381188223</v>
      </c>
      <c r="AI47" s="10">
        <v>67806199560</v>
      </c>
      <c r="AJ47" s="10">
        <v>0</v>
      </c>
      <c r="AK47" s="10">
        <v>4632000000</v>
      </c>
      <c r="AL47" s="11">
        <v>0</v>
      </c>
      <c r="AM47" s="10">
        <v>0</v>
      </c>
      <c r="AN47" s="11">
        <v>19</v>
      </c>
      <c r="AO47" s="10">
        <v>36167668719</v>
      </c>
      <c r="AP47" s="12">
        <v>26</v>
      </c>
      <c r="AQ47" s="10">
        <v>111484394594</v>
      </c>
      <c r="AR47" s="10">
        <v>27508290978</v>
      </c>
      <c r="AS47" s="10">
        <v>33217659035</v>
      </c>
      <c r="AT47" s="10">
        <v>-5709368057</v>
      </c>
      <c r="AU47" s="11">
        <v>-17.190000000000001</v>
      </c>
      <c r="AV47" s="10">
        <v>295790760086</v>
      </c>
      <c r="AW47" s="10">
        <v>102287214297</v>
      </c>
      <c r="AX47" s="10">
        <v>100284813073</v>
      </c>
      <c r="AY47" s="10">
        <v>96110167468</v>
      </c>
      <c r="AZ47" s="10">
        <v>198717542268</v>
      </c>
      <c r="BA47" s="10">
        <v>381749030000</v>
      </c>
      <c r="BB47" s="10">
        <v>116611350190</v>
      </c>
      <c r="BC47" s="10">
        <v>788646971875</v>
      </c>
      <c r="BD47" s="12">
        <v>5199</v>
      </c>
      <c r="BE47" s="10">
        <v>206510648535</v>
      </c>
      <c r="BF47" s="10">
        <v>198717542268</v>
      </c>
      <c r="BG47" s="10">
        <v>383418781072</v>
      </c>
      <c r="BH47" s="10">
        <v>353833968837</v>
      </c>
      <c r="BI47" s="10">
        <v>141662268223</v>
      </c>
      <c r="BJ47" s="10">
        <v>0</v>
      </c>
      <c r="BK47" s="10">
        <v>0</v>
      </c>
      <c r="BL47" s="10">
        <v>0</v>
      </c>
      <c r="BM47" s="10">
        <v>0</v>
      </c>
      <c r="BN47" s="10">
        <v>1916711071</v>
      </c>
      <c r="BO47" s="10">
        <v>2430429572</v>
      </c>
    </row>
    <row r="48" spans="1:67" x14ac:dyDescent="0.25">
      <c r="A48" s="25" t="s">
        <v>99</v>
      </c>
      <c r="B48" s="9">
        <v>1305</v>
      </c>
      <c r="C48" s="9" t="s">
        <v>104</v>
      </c>
      <c r="D48" s="10">
        <v>616492716397</v>
      </c>
      <c r="E48" s="10">
        <v>15757883092</v>
      </c>
      <c r="F48" s="10">
        <v>0</v>
      </c>
      <c r="G48" s="10">
        <v>0</v>
      </c>
      <c r="H48" s="10">
        <v>632250599489</v>
      </c>
      <c r="I48" s="10">
        <v>47291146739</v>
      </c>
      <c r="J48" s="10">
        <v>2517835281</v>
      </c>
      <c r="K48" s="10">
        <v>582441617469</v>
      </c>
      <c r="L48" s="10">
        <v>537458077162</v>
      </c>
      <c r="M48" s="10">
        <v>94792522327</v>
      </c>
      <c r="N48" s="46">
        <v>17.63719373751783</v>
      </c>
      <c r="O48" s="10">
        <v>1163545998147</v>
      </c>
      <c r="P48" s="11">
        <v>201.21</v>
      </c>
      <c r="Q48" s="11">
        <v>199.77</v>
      </c>
      <c r="R48" s="11">
        <v>2.74</v>
      </c>
      <c r="S48" s="10">
        <v>1168532466876</v>
      </c>
      <c r="T48" s="10">
        <v>34067560235</v>
      </c>
      <c r="U48" s="10">
        <v>24186702796</v>
      </c>
      <c r="V48" s="10">
        <v>9281173058</v>
      </c>
      <c r="W48" s="10">
        <v>599684381</v>
      </c>
      <c r="X48" s="10">
        <v>1202600027111</v>
      </c>
      <c r="Y48" s="10">
        <v>776135130</v>
      </c>
      <c r="Z48" s="10">
        <v>55771776565</v>
      </c>
      <c r="AA48" s="10">
        <v>13800000000</v>
      </c>
      <c r="AB48" s="10">
        <v>1272171803676</v>
      </c>
      <c r="AC48" s="10">
        <v>992722245162</v>
      </c>
      <c r="AD48" s="46">
        <v>21.141641881385517</v>
      </c>
      <c r="AE48" s="10">
        <v>503324326667</v>
      </c>
      <c r="AF48" s="10">
        <v>503324326667</v>
      </c>
      <c r="AG48" s="10">
        <v>0</v>
      </c>
      <c r="AH48" s="10">
        <v>1142100000</v>
      </c>
      <c r="AI48" s="10">
        <v>11295000000</v>
      </c>
      <c r="AJ48" s="10">
        <v>0</v>
      </c>
      <c r="AK48" s="10">
        <v>16671000000</v>
      </c>
      <c r="AL48" s="11">
        <v>0</v>
      </c>
      <c r="AM48" s="10">
        <v>0</v>
      </c>
      <c r="AN48" s="11">
        <v>62</v>
      </c>
      <c r="AO48" s="10">
        <v>195727267924</v>
      </c>
      <c r="AP48" s="12">
        <v>38</v>
      </c>
      <c r="AQ48" s="10">
        <v>53720235151</v>
      </c>
      <c r="AR48" s="10">
        <v>34067560235</v>
      </c>
      <c r="AS48" s="10">
        <v>17897258314</v>
      </c>
      <c r="AT48" s="10">
        <v>16170301921</v>
      </c>
      <c r="AU48" s="11">
        <v>90.35</v>
      </c>
      <c r="AV48" s="10">
        <v>302713017079</v>
      </c>
      <c r="AW48" s="10">
        <v>93872374534</v>
      </c>
      <c r="AX48" s="10">
        <v>108403407952</v>
      </c>
      <c r="AY48" s="10">
        <v>109122454845</v>
      </c>
      <c r="AZ48" s="10">
        <v>168004452240</v>
      </c>
      <c r="BA48" s="10">
        <v>230962401360</v>
      </c>
      <c r="BB48" s="10">
        <v>84461614718</v>
      </c>
      <c r="BC48" s="10">
        <v>632250599489</v>
      </c>
      <c r="BD48" s="12">
        <v>7212</v>
      </c>
      <c r="BE48" s="10">
        <v>233283745889</v>
      </c>
      <c r="BF48" s="10">
        <v>168004452240</v>
      </c>
      <c r="BG48" s="10">
        <v>230962401360</v>
      </c>
      <c r="BH48" s="10">
        <v>362118455072</v>
      </c>
      <c r="BI48" s="10">
        <v>141205871595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1142100000</v>
      </c>
    </row>
    <row r="49" spans="1:67" x14ac:dyDescent="0.25">
      <c r="A49" s="25" t="s">
        <v>99</v>
      </c>
      <c r="B49" s="9">
        <v>1306</v>
      </c>
      <c r="C49" s="9" t="s">
        <v>105</v>
      </c>
      <c r="D49" s="10">
        <v>492703075520</v>
      </c>
      <c r="E49" s="10">
        <v>4233813208</v>
      </c>
      <c r="F49" s="10">
        <v>0</v>
      </c>
      <c r="G49" s="10">
        <v>0</v>
      </c>
      <c r="H49" s="10">
        <v>496936888728</v>
      </c>
      <c r="I49" s="10">
        <v>36837092839</v>
      </c>
      <c r="J49" s="10">
        <v>6350703376</v>
      </c>
      <c r="K49" s="10">
        <v>453749092513</v>
      </c>
      <c r="L49" s="10">
        <v>413539463761</v>
      </c>
      <c r="M49" s="10">
        <v>83397424967</v>
      </c>
      <c r="N49" s="46">
        <v>20.166739156773321</v>
      </c>
      <c r="O49" s="10">
        <v>620796337242</v>
      </c>
      <c r="P49" s="11">
        <v>150.09</v>
      </c>
      <c r="Q49" s="11">
        <v>136.81</v>
      </c>
      <c r="R49" s="11">
        <v>6.37</v>
      </c>
      <c r="S49" s="10">
        <v>665495117247</v>
      </c>
      <c r="T49" s="10">
        <v>41098133364</v>
      </c>
      <c r="U49" s="10">
        <v>18771452016</v>
      </c>
      <c r="V49" s="10">
        <v>22326681348</v>
      </c>
      <c r="W49" s="10">
        <v>0</v>
      </c>
      <c r="X49" s="10">
        <v>706593250611</v>
      </c>
      <c r="Y49" s="10">
        <v>6386564345</v>
      </c>
      <c r="Z49" s="10">
        <v>32413643673</v>
      </c>
      <c r="AA49" s="10">
        <v>6867400000</v>
      </c>
      <c r="AB49" s="10">
        <v>745874294284</v>
      </c>
      <c r="AC49" s="10">
        <v>474543028582</v>
      </c>
      <c r="AD49" s="46">
        <v>48.899722059430111</v>
      </c>
      <c r="AE49" s="10">
        <v>440649895150</v>
      </c>
      <c r="AF49" s="10">
        <v>325991270496</v>
      </c>
      <c r="AG49" s="10">
        <v>0</v>
      </c>
      <c r="AH49" s="10">
        <v>0</v>
      </c>
      <c r="AI49" s="10">
        <v>49200000000</v>
      </c>
      <c r="AJ49" s="10">
        <v>0</v>
      </c>
      <c r="AK49" s="10">
        <v>0</v>
      </c>
      <c r="AL49" s="11">
        <v>0</v>
      </c>
      <c r="AM49" s="10">
        <v>0</v>
      </c>
      <c r="AN49" s="11">
        <v>6</v>
      </c>
      <c r="AO49" s="10">
        <v>17735000000</v>
      </c>
      <c r="AP49" s="12">
        <v>5</v>
      </c>
      <c r="AQ49" s="10">
        <v>1616500000</v>
      </c>
      <c r="AR49" s="10">
        <v>41098133364</v>
      </c>
      <c r="AS49" s="10">
        <v>4878304436</v>
      </c>
      <c r="AT49" s="10">
        <v>36219828928</v>
      </c>
      <c r="AU49" s="11">
        <v>742.47</v>
      </c>
      <c r="AV49" s="10">
        <v>130952411792</v>
      </c>
      <c r="AW49" s="10">
        <v>35973288127</v>
      </c>
      <c r="AX49" s="10">
        <v>90339829299</v>
      </c>
      <c r="AY49" s="10">
        <v>143074076192</v>
      </c>
      <c r="AZ49" s="10">
        <v>86935291948</v>
      </c>
      <c r="BA49" s="10">
        <v>172353878081</v>
      </c>
      <c r="BB49" s="10">
        <v>45237690029</v>
      </c>
      <c r="BC49" s="10">
        <v>496936888728</v>
      </c>
      <c r="BD49" s="12">
        <v>31656</v>
      </c>
      <c r="BE49" s="10">
        <v>237647718699</v>
      </c>
      <c r="BF49" s="10">
        <v>86935291948</v>
      </c>
      <c r="BG49" s="10">
        <v>172353878081</v>
      </c>
      <c r="BH49" s="10">
        <v>364913109420</v>
      </c>
      <c r="BI49" s="10">
        <v>75736785730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</row>
    <row r="50" spans="1:67" x14ac:dyDescent="0.25">
      <c r="A50" s="25" t="s">
        <v>99</v>
      </c>
      <c r="B50" s="9">
        <v>1307</v>
      </c>
      <c r="C50" s="9" t="s">
        <v>106</v>
      </c>
      <c r="D50" s="10">
        <v>781584812354</v>
      </c>
      <c r="E50" s="10">
        <v>10359140696</v>
      </c>
      <c r="F50" s="10">
        <v>0</v>
      </c>
      <c r="G50" s="10">
        <v>0</v>
      </c>
      <c r="H50" s="10">
        <v>791943953050</v>
      </c>
      <c r="I50" s="10">
        <v>60149175338</v>
      </c>
      <c r="J50" s="10">
        <v>4342842043</v>
      </c>
      <c r="K50" s="10">
        <v>727451935669</v>
      </c>
      <c r="L50" s="10">
        <v>489886482077</v>
      </c>
      <c r="M50" s="10">
        <v>302057470973</v>
      </c>
      <c r="N50" s="46">
        <v>61.658666246994507</v>
      </c>
      <c r="O50" s="10">
        <v>729403758861</v>
      </c>
      <c r="P50" s="11">
        <v>100.74</v>
      </c>
      <c r="Q50" s="11">
        <v>100.27</v>
      </c>
      <c r="R50" s="11">
        <v>6.65</v>
      </c>
      <c r="S50" s="10">
        <v>701079115567</v>
      </c>
      <c r="T50" s="10">
        <v>52413322847</v>
      </c>
      <c r="U50" s="10">
        <v>13064710429</v>
      </c>
      <c r="V50" s="10">
        <v>39187685929</v>
      </c>
      <c r="W50" s="10">
        <v>160926489</v>
      </c>
      <c r="X50" s="10">
        <v>753492438414</v>
      </c>
      <c r="Y50" s="10">
        <v>623739235</v>
      </c>
      <c r="Z50" s="10">
        <v>39301263130</v>
      </c>
      <c r="AA50" s="10">
        <v>4999961000</v>
      </c>
      <c r="AB50" s="10">
        <v>797793662544</v>
      </c>
      <c r="AC50" s="10">
        <v>458358556119</v>
      </c>
      <c r="AD50" s="46">
        <v>64.389303604136657</v>
      </c>
      <c r="AE50" s="10">
        <v>509957409411</v>
      </c>
      <c r="AF50" s="10">
        <v>509957409411</v>
      </c>
      <c r="AG50" s="10">
        <v>0</v>
      </c>
      <c r="AH50" s="10">
        <v>0</v>
      </c>
      <c r="AI50" s="10">
        <v>11966483121</v>
      </c>
      <c r="AJ50" s="10">
        <v>0</v>
      </c>
      <c r="AK50" s="10">
        <v>0</v>
      </c>
      <c r="AL50" s="11">
        <v>0</v>
      </c>
      <c r="AM50" s="10">
        <v>0</v>
      </c>
      <c r="AN50" s="11">
        <v>7</v>
      </c>
      <c r="AO50" s="10">
        <v>35968834039</v>
      </c>
      <c r="AP50" s="12">
        <v>7</v>
      </c>
      <c r="AQ50" s="10">
        <v>2487660000</v>
      </c>
      <c r="AR50" s="10">
        <v>52413322847</v>
      </c>
      <c r="AS50" s="10">
        <v>2476966242</v>
      </c>
      <c r="AT50" s="10">
        <v>49936356605</v>
      </c>
      <c r="AU50" s="13">
        <v>2016.03</v>
      </c>
      <c r="AV50" s="10">
        <v>160558105235</v>
      </c>
      <c r="AW50" s="10">
        <v>19001646889</v>
      </c>
      <c r="AX50" s="10">
        <v>154742515271</v>
      </c>
      <c r="AY50" s="10">
        <v>205676301548</v>
      </c>
      <c r="AZ50" s="10">
        <v>111328649092</v>
      </c>
      <c r="BA50" s="10">
        <v>309837346443</v>
      </c>
      <c r="BB50" s="10">
        <v>41130841926</v>
      </c>
      <c r="BC50" s="10">
        <v>791943953050</v>
      </c>
      <c r="BD50" s="12">
        <v>8722</v>
      </c>
      <c r="BE50" s="10">
        <v>369418028865</v>
      </c>
      <c r="BF50" s="10">
        <v>111328649092</v>
      </c>
      <c r="BG50" s="10">
        <v>311197275093</v>
      </c>
      <c r="BH50" s="10">
        <v>275649861188</v>
      </c>
      <c r="BI50" s="10">
        <v>234307548223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</row>
    <row r="51" spans="1:67" x14ac:dyDescent="0.25">
      <c r="A51" s="25" t="s">
        <v>99</v>
      </c>
      <c r="B51" s="9">
        <v>1308</v>
      </c>
      <c r="C51" s="9" t="s">
        <v>107</v>
      </c>
      <c r="D51" s="10">
        <v>715725783055</v>
      </c>
      <c r="E51" s="10">
        <v>22508605236</v>
      </c>
      <c r="F51" s="10">
        <v>0</v>
      </c>
      <c r="G51" s="10">
        <v>0</v>
      </c>
      <c r="H51" s="10">
        <v>738234388291</v>
      </c>
      <c r="I51" s="10">
        <v>52501244404</v>
      </c>
      <c r="J51" s="10">
        <v>5708563823</v>
      </c>
      <c r="K51" s="10">
        <v>680024580064</v>
      </c>
      <c r="L51" s="10">
        <v>529425272083</v>
      </c>
      <c r="M51" s="10">
        <v>208809116208</v>
      </c>
      <c r="N51" s="46">
        <v>39.440715662561757</v>
      </c>
      <c r="O51" s="10">
        <v>544299578857</v>
      </c>
      <c r="P51" s="11">
        <v>81.77</v>
      </c>
      <c r="Q51" s="11">
        <v>80.040000000000006</v>
      </c>
      <c r="R51" s="11">
        <v>0.56000000000000005</v>
      </c>
      <c r="S51" s="10">
        <v>567461401903</v>
      </c>
      <c r="T51" s="10">
        <v>3405278959</v>
      </c>
      <c r="U51" s="10">
        <v>2591331795</v>
      </c>
      <c r="V51" s="10">
        <v>813947164</v>
      </c>
      <c r="W51" s="10">
        <v>0</v>
      </c>
      <c r="X51" s="10">
        <v>570866680862</v>
      </c>
      <c r="Y51" s="10">
        <v>0</v>
      </c>
      <c r="Z51" s="10">
        <v>26193808683</v>
      </c>
      <c r="AA51" s="10">
        <v>6600000000</v>
      </c>
      <c r="AB51" s="10">
        <v>603660489545</v>
      </c>
      <c r="AC51" s="10">
        <v>415183931729</v>
      </c>
      <c r="AD51" s="46">
        <v>37.497296315074564</v>
      </c>
      <c r="AE51" s="10">
        <v>338182116300</v>
      </c>
      <c r="AF51" s="10">
        <v>338182116300</v>
      </c>
      <c r="AG51" s="10">
        <v>0</v>
      </c>
      <c r="AH51" s="10">
        <v>650000</v>
      </c>
      <c r="AI51" s="10">
        <v>388893374</v>
      </c>
      <c r="AJ51" s="10">
        <v>0</v>
      </c>
      <c r="AK51" s="10">
        <v>0</v>
      </c>
      <c r="AL51" s="11">
        <v>0</v>
      </c>
      <c r="AM51" s="10">
        <v>0</v>
      </c>
      <c r="AN51" s="11">
        <v>26</v>
      </c>
      <c r="AO51" s="10">
        <v>204042257111</v>
      </c>
      <c r="AP51" s="12">
        <v>37</v>
      </c>
      <c r="AQ51" s="10">
        <v>250332572600</v>
      </c>
      <c r="AR51" s="10">
        <v>3405278959</v>
      </c>
      <c r="AS51" s="10">
        <v>3592446287</v>
      </c>
      <c r="AT51" s="10">
        <v>-187167328</v>
      </c>
      <c r="AU51" s="11">
        <v>-5.21</v>
      </c>
      <c r="AV51" s="10">
        <v>158652475496</v>
      </c>
      <c r="AW51" s="10">
        <v>25934325182</v>
      </c>
      <c r="AX51" s="10">
        <v>188566247407</v>
      </c>
      <c r="AY51" s="10">
        <v>94217347526</v>
      </c>
      <c r="AZ51" s="10">
        <v>107893188122</v>
      </c>
      <c r="BA51" s="10">
        <v>325049000000</v>
      </c>
      <c r="BB51" s="10">
        <v>33026830656</v>
      </c>
      <c r="BC51" s="10">
        <v>738234388291</v>
      </c>
      <c r="BD51" s="12">
        <v>16699</v>
      </c>
      <c r="BE51" s="10">
        <v>305074045704</v>
      </c>
      <c r="BF51" s="10">
        <v>107893188122</v>
      </c>
      <c r="BG51" s="10">
        <v>325267154465</v>
      </c>
      <c r="BH51" s="10">
        <v>223932116300</v>
      </c>
      <c r="BI51" s="10">
        <v>114250000000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650000</v>
      </c>
    </row>
    <row r="52" spans="1:67" x14ac:dyDescent="0.25">
      <c r="A52" s="25" t="s">
        <v>99</v>
      </c>
      <c r="B52" s="9">
        <v>1309</v>
      </c>
      <c r="C52" s="9" t="s">
        <v>108</v>
      </c>
      <c r="D52" s="10">
        <v>1227861645151</v>
      </c>
      <c r="E52" s="10">
        <v>693603386615</v>
      </c>
      <c r="F52" s="10">
        <v>0</v>
      </c>
      <c r="G52" s="10">
        <v>0</v>
      </c>
      <c r="H52" s="10">
        <v>1921465031766</v>
      </c>
      <c r="I52" s="10">
        <v>138490485055</v>
      </c>
      <c r="J52" s="10">
        <v>9205293176</v>
      </c>
      <c r="K52" s="10">
        <v>1773769253535</v>
      </c>
      <c r="L52" s="10">
        <v>1146869216238</v>
      </c>
      <c r="M52" s="10">
        <v>774595815528</v>
      </c>
      <c r="N52" s="46">
        <v>67.540030245894641</v>
      </c>
      <c r="O52" s="10">
        <v>1849580884374</v>
      </c>
      <c r="P52" s="11">
        <v>108</v>
      </c>
      <c r="Q52" s="11">
        <v>104.27</v>
      </c>
      <c r="R52" s="11">
        <v>1.45</v>
      </c>
      <c r="S52" s="10">
        <v>1971248914303</v>
      </c>
      <c r="T52" s="10">
        <v>28227677714</v>
      </c>
      <c r="U52" s="10">
        <v>15753510528</v>
      </c>
      <c r="V52" s="10">
        <v>6219539919</v>
      </c>
      <c r="W52" s="10">
        <v>6254627267</v>
      </c>
      <c r="X52" s="10">
        <v>1999476592017</v>
      </c>
      <c r="Y52" s="10">
        <v>1927321547</v>
      </c>
      <c r="Z52" s="10">
        <v>58290563368</v>
      </c>
      <c r="AA52" s="10">
        <v>17449700000</v>
      </c>
      <c r="AB52" s="10">
        <v>2075216855385</v>
      </c>
      <c r="AC52" s="10">
        <v>1751578599220</v>
      </c>
      <c r="AD52" s="46">
        <v>14.152832930671345</v>
      </c>
      <c r="AE52" s="10">
        <v>1622037403915</v>
      </c>
      <c r="AF52" s="10">
        <v>1522558883370</v>
      </c>
      <c r="AG52" s="10">
        <v>0</v>
      </c>
      <c r="AH52" s="10">
        <v>75240000000</v>
      </c>
      <c r="AI52" s="10">
        <v>0</v>
      </c>
      <c r="AJ52" s="10">
        <v>0</v>
      </c>
      <c r="AK52" s="10">
        <v>0</v>
      </c>
      <c r="AL52" s="11">
        <v>0</v>
      </c>
      <c r="AM52" s="10">
        <v>0</v>
      </c>
      <c r="AN52" s="11">
        <v>10</v>
      </c>
      <c r="AO52" s="10">
        <v>6455029349393</v>
      </c>
      <c r="AP52" s="12">
        <v>30</v>
      </c>
      <c r="AQ52" s="10">
        <v>971141958825</v>
      </c>
      <c r="AR52" s="10">
        <v>28227677714</v>
      </c>
      <c r="AS52" s="10">
        <v>30822641361</v>
      </c>
      <c r="AT52" s="10">
        <v>-2594963647</v>
      </c>
      <c r="AU52" s="11">
        <v>-8.42</v>
      </c>
      <c r="AV52" s="10">
        <v>1291893504885</v>
      </c>
      <c r="AW52" s="10">
        <v>236385183012</v>
      </c>
      <c r="AX52" s="10">
        <v>364372698687</v>
      </c>
      <c r="AY52" s="10">
        <v>174289474053</v>
      </c>
      <c r="AZ52" s="10">
        <v>200152468302</v>
      </c>
      <c r="BA52" s="10">
        <v>489047004109</v>
      </c>
      <c r="BB52" s="10">
        <v>107017659219</v>
      </c>
      <c r="BC52" s="10">
        <v>1921465031766</v>
      </c>
      <c r="BD52" s="12">
        <v>24443</v>
      </c>
      <c r="BE52" s="10">
        <v>1232265559355</v>
      </c>
      <c r="BF52" s="10">
        <v>200152468302</v>
      </c>
      <c r="BG52" s="10">
        <v>489047004109</v>
      </c>
      <c r="BH52" s="10">
        <v>637847988354</v>
      </c>
      <c r="BI52" s="10">
        <v>984189415561</v>
      </c>
      <c r="BJ52" s="10">
        <v>0</v>
      </c>
      <c r="BK52" s="10">
        <v>0</v>
      </c>
      <c r="BL52" s="10">
        <v>0</v>
      </c>
      <c r="BM52" s="10">
        <v>0</v>
      </c>
      <c r="BN52" s="10">
        <v>270000000</v>
      </c>
      <c r="BO52" s="10">
        <v>75240000000</v>
      </c>
    </row>
    <row r="53" spans="1:67" x14ac:dyDescent="0.25">
      <c r="A53" s="25" t="s">
        <v>99</v>
      </c>
      <c r="B53" s="9">
        <v>1310</v>
      </c>
      <c r="C53" s="9" t="s">
        <v>109</v>
      </c>
      <c r="D53" s="10">
        <v>811817322344</v>
      </c>
      <c r="E53" s="10">
        <v>15812894207</v>
      </c>
      <c r="F53" s="10">
        <v>0</v>
      </c>
      <c r="G53" s="10">
        <v>0</v>
      </c>
      <c r="H53" s="10">
        <v>827630216551</v>
      </c>
      <c r="I53" s="10">
        <v>54057740937</v>
      </c>
      <c r="J53" s="10">
        <v>2285782800</v>
      </c>
      <c r="K53" s="10">
        <v>771286692814</v>
      </c>
      <c r="L53" s="10">
        <v>444746113004</v>
      </c>
      <c r="M53" s="10">
        <v>382884103547</v>
      </c>
      <c r="N53" s="46">
        <v>86.090489011998713</v>
      </c>
      <c r="O53" s="10">
        <v>655258589616</v>
      </c>
      <c r="P53" s="11">
        <v>96.9</v>
      </c>
      <c r="Q53" s="11">
        <v>84.96</v>
      </c>
      <c r="R53" s="11">
        <v>0.7</v>
      </c>
      <c r="S53" s="10">
        <v>755212208479</v>
      </c>
      <c r="T53" s="10">
        <v>5580964359</v>
      </c>
      <c r="U53" s="10">
        <v>4457952290</v>
      </c>
      <c r="V53" s="10">
        <v>1123012069</v>
      </c>
      <c r="W53" s="10">
        <v>0</v>
      </c>
      <c r="X53" s="10">
        <v>760793172838</v>
      </c>
      <c r="Y53" s="10">
        <v>9954329</v>
      </c>
      <c r="Z53" s="10">
        <v>29447867351</v>
      </c>
      <c r="AA53" s="10">
        <v>11709725000</v>
      </c>
      <c r="AB53" s="10">
        <v>801950765189</v>
      </c>
      <c r="AC53" s="10">
        <v>58633826931</v>
      </c>
      <c r="AD53" s="46">
        <v>1197.5328622729976</v>
      </c>
      <c r="AE53" s="10">
        <v>700518170926</v>
      </c>
      <c r="AF53" s="10">
        <v>700518170926</v>
      </c>
      <c r="AG53" s="10">
        <v>0</v>
      </c>
      <c r="AH53" s="10">
        <v>0</v>
      </c>
      <c r="AI53" s="10">
        <v>2399220881</v>
      </c>
      <c r="AJ53" s="10">
        <v>0</v>
      </c>
      <c r="AK53" s="10">
        <v>0</v>
      </c>
      <c r="AL53" s="11">
        <v>0</v>
      </c>
      <c r="AM53" s="10">
        <v>0</v>
      </c>
      <c r="AN53" s="11">
        <v>48</v>
      </c>
      <c r="AO53" s="10">
        <v>272992504830</v>
      </c>
      <c r="AP53" s="12">
        <v>7</v>
      </c>
      <c r="AQ53" s="10">
        <v>48182881788</v>
      </c>
      <c r="AR53" s="10">
        <v>5580964359</v>
      </c>
      <c r="AS53" s="10">
        <v>0</v>
      </c>
      <c r="AT53" s="10">
        <v>5580964359</v>
      </c>
      <c r="AU53" s="11" t="s">
        <v>593</v>
      </c>
      <c r="AV53" s="10">
        <v>75117635351</v>
      </c>
      <c r="AW53" s="10">
        <v>9299213845</v>
      </c>
      <c r="AX53" s="10">
        <v>58659621633</v>
      </c>
      <c r="AY53" s="10">
        <v>176928298192</v>
      </c>
      <c r="AZ53" s="10">
        <v>318469402519</v>
      </c>
      <c r="BA53" s="10">
        <v>257760000000</v>
      </c>
      <c r="BB53" s="10">
        <v>300045043347</v>
      </c>
      <c r="BC53" s="10">
        <v>827630216551</v>
      </c>
      <c r="BD53" s="12">
        <v>1977</v>
      </c>
      <c r="BE53" s="10">
        <v>251400814032</v>
      </c>
      <c r="BF53" s="10">
        <v>318469402519</v>
      </c>
      <c r="BG53" s="10">
        <v>257760000000</v>
      </c>
      <c r="BH53" s="10">
        <v>431909161756</v>
      </c>
      <c r="BI53" s="10">
        <v>268609009170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</row>
    <row r="54" spans="1:67" x14ac:dyDescent="0.25">
      <c r="A54" s="25" t="s">
        <v>99</v>
      </c>
      <c r="B54" s="9">
        <v>1399</v>
      </c>
      <c r="C54" s="9" t="s">
        <v>110</v>
      </c>
      <c r="D54" s="10">
        <v>0</v>
      </c>
      <c r="E54" s="10">
        <v>1247941305</v>
      </c>
      <c r="F54" s="10">
        <v>0</v>
      </c>
      <c r="G54" s="10">
        <v>0</v>
      </c>
      <c r="H54" s="10">
        <v>1247941305</v>
      </c>
      <c r="I54" s="10">
        <v>102596375</v>
      </c>
      <c r="J54" s="10">
        <v>33400000</v>
      </c>
      <c r="K54" s="10">
        <v>1111944930</v>
      </c>
      <c r="L54" s="10">
        <v>322817781</v>
      </c>
      <c r="M54" s="10">
        <v>925123524</v>
      </c>
      <c r="N54" s="46">
        <v>286.57762318241078</v>
      </c>
      <c r="O54" s="10">
        <v>0</v>
      </c>
      <c r="P54" s="11">
        <v>0</v>
      </c>
      <c r="Q54" s="11">
        <v>0</v>
      </c>
      <c r="R54" s="11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46" t="s">
        <v>595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1">
        <v>0</v>
      </c>
      <c r="AM54" s="10">
        <v>0</v>
      </c>
      <c r="AN54" s="11">
        <v>0</v>
      </c>
      <c r="AO54" s="10">
        <v>0</v>
      </c>
      <c r="AP54" s="12">
        <v>0</v>
      </c>
      <c r="AQ54" s="10">
        <v>0</v>
      </c>
      <c r="AR54" s="10">
        <v>0</v>
      </c>
      <c r="AS54" s="10">
        <v>0</v>
      </c>
      <c r="AT54" s="10">
        <v>0</v>
      </c>
      <c r="AU54" s="11" t="s">
        <v>593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1247941305</v>
      </c>
      <c r="BD54" s="11">
        <v>0</v>
      </c>
      <c r="BE54" s="10">
        <v>1247941305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</row>
    <row r="55" spans="1:67" x14ac:dyDescent="0.25">
      <c r="A55" s="19" t="s">
        <v>625</v>
      </c>
      <c r="B55" s="20" t="s">
        <v>593</v>
      </c>
      <c r="C55" s="20" t="s">
        <v>593</v>
      </c>
      <c r="D55" s="21">
        <v>11447753918372</v>
      </c>
      <c r="E55" s="21">
        <v>1166788593464</v>
      </c>
      <c r="F55" s="21">
        <v>20000000000</v>
      </c>
      <c r="G55" s="21">
        <v>91474800</v>
      </c>
      <c r="H55" s="21">
        <v>12634633986636</v>
      </c>
      <c r="I55" s="21">
        <v>889003867129</v>
      </c>
      <c r="J55" s="21">
        <v>73752259318</v>
      </c>
      <c r="K55" s="21">
        <v>11671877860189</v>
      </c>
      <c r="L55" s="21">
        <v>8677603452017</v>
      </c>
      <c r="M55" s="21">
        <v>3957030534619</v>
      </c>
      <c r="N55" s="47">
        <v>45.600499682884653</v>
      </c>
      <c r="O55" s="21">
        <v>16727487018815</v>
      </c>
      <c r="P55" s="22">
        <v>162.83000000000001</v>
      </c>
      <c r="Q55" s="22">
        <v>143.31</v>
      </c>
      <c r="R55" s="22">
        <v>1.9</v>
      </c>
      <c r="S55" s="21">
        <v>19251598674879</v>
      </c>
      <c r="T55" s="21">
        <v>369278293555</v>
      </c>
      <c r="U55" s="21">
        <v>180504976710</v>
      </c>
      <c r="V55" s="21">
        <v>125594126575</v>
      </c>
      <c r="W55" s="21">
        <v>63179190270</v>
      </c>
      <c r="X55" s="21">
        <v>19620876968434</v>
      </c>
      <c r="Y55" s="21">
        <v>20945603325</v>
      </c>
      <c r="Z55" s="21">
        <v>777103328982</v>
      </c>
      <c r="AA55" s="21">
        <v>174643815584</v>
      </c>
      <c r="AB55" s="21">
        <v>20572624113000</v>
      </c>
      <c r="AC55" s="21">
        <v>14715209285304</v>
      </c>
      <c r="AD55" s="47">
        <v>33.337396621529969</v>
      </c>
      <c r="AE55" s="21">
        <v>10834913595637</v>
      </c>
      <c r="AF55" s="21">
        <v>10224487858146</v>
      </c>
      <c r="AG55" s="21">
        <v>248442326812</v>
      </c>
      <c r="AH55" s="21">
        <v>177618402000</v>
      </c>
      <c r="AI55" s="21">
        <v>226736625805</v>
      </c>
      <c r="AJ55" s="21">
        <v>0</v>
      </c>
      <c r="AK55" s="21">
        <v>21303000000</v>
      </c>
      <c r="AL55" s="22">
        <v>11</v>
      </c>
      <c r="AM55" s="21">
        <v>750140858759</v>
      </c>
      <c r="AN55" s="22">
        <v>314</v>
      </c>
      <c r="AO55" s="21">
        <v>9673474726329</v>
      </c>
      <c r="AP55" s="23">
        <v>373</v>
      </c>
      <c r="AQ55" s="21">
        <v>2125642470596</v>
      </c>
      <c r="AR55" s="21">
        <v>369278293555</v>
      </c>
      <c r="AS55" s="21">
        <v>182951406390</v>
      </c>
      <c r="AT55" s="21">
        <v>186326887165</v>
      </c>
      <c r="AU55" s="22">
        <v>101.85</v>
      </c>
      <c r="AV55" s="21">
        <v>5855875175403</v>
      </c>
      <c r="AW55" s="21">
        <v>1320691457616</v>
      </c>
      <c r="AX55" s="21">
        <v>2317836582650</v>
      </c>
      <c r="AY55" s="21">
        <v>2238361700243</v>
      </c>
      <c r="AZ55" s="21">
        <v>2759424875076</v>
      </c>
      <c r="BA55" s="21">
        <v>4132130760403</v>
      </c>
      <c r="BB55" s="21">
        <v>1511821256805</v>
      </c>
      <c r="BC55" s="21">
        <v>12634633986636</v>
      </c>
      <c r="BD55" s="23">
        <v>209592</v>
      </c>
      <c r="BE55" s="21">
        <v>5469914189098</v>
      </c>
      <c r="BF55" s="21">
        <v>2779024875076</v>
      </c>
      <c r="BG55" s="21">
        <v>4385694922462</v>
      </c>
      <c r="BH55" s="21">
        <v>7499434953922</v>
      </c>
      <c r="BI55" s="21">
        <v>3335478641715</v>
      </c>
      <c r="BJ55" s="21">
        <v>17871294883</v>
      </c>
      <c r="BK55" s="21">
        <v>0</v>
      </c>
      <c r="BL55" s="21">
        <v>221193506832</v>
      </c>
      <c r="BM55" s="21">
        <v>7227443113</v>
      </c>
      <c r="BN55" s="21">
        <v>48109832442</v>
      </c>
      <c r="BO55" s="21">
        <v>325034121768</v>
      </c>
    </row>
    <row r="56" spans="1:67" x14ac:dyDescent="0.25">
      <c r="A56" s="25" t="s">
        <v>111</v>
      </c>
      <c r="B56" s="9">
        <v>1400</v>
      </c>
      <c r="C56" s="9" t="s">
        <v>111</v>
      </c>
      <c r="D56" s="10">
        <v>9706277280490</v>
      </c>
      <c r="E56" s="10">
        <v>1309249171598</v>
      </c>
      <c r="F56" s="10">
        <v>190000000000</v>
      </c>
      <c r="G56" s="10">
        <v>1056914113879</v>
      </c>
      <c r="H56" s="10">
        <v>12262440565967</v>
      </c>
      <c r="I56" s="10">
        <v>796922577769</v>
      </c>
      <c r="J56" s="10">
        <v>97010952212</v>
      </c>
      <c r="K56" s="10">
        <v>11368507035986</v>
      </c>
      <c r="L56" s="10">
        <v>10586890947403</v>
      </c>
      <c r="M56" s="10">
        <v>1675549618564</v>
      </c>
      <c r="N56" s="46">
        <v>15.826644733457067</v>
      </c>
      <c r="O56" s="10">
        <v>11078459823631</v>
      </c>
      <c r="P56" s="11">
        <v>121.78</v>
      </c>
      <c r="Q56" s="11">
        <v>97.45</v>
      </c>
      <c r="R56" s="11">
        <v>18.309999999999999</v>
      </c>
      <c r="S56" s="10">
        <v>11676933441773</v>
      </c>
      <c r="T56" s="10">
        <v>2517578784373</v>
      </c>
      <c r="U56" s="10">
        <v>658741259134</v>
      </c>
      <c r="V56" s="10">
        <v>105558191594</v>
      </c>
      <c r="W56" s="10">
        <v>1753279333645</v>
      </c>
      <c r="X56" s="10">
        <v>14194512226146</v>
      </c>
      <c r="Y56" s="10">
        <v>216199525657</v>
      </c>
      <c r="Z56" s="10">
        <v>696992400416</v>
      </c>
      <c r="AA56" s="10">
        <v>41502053860</v>
      </c>
      <c r="AB56" s="10">
        <v>14933006680422</v>
      </c>
      <c r="AC56" s="10">
        <v>12046035700308</v>
      </c>
      <c r="AD56" s="46">
        <v>17.835548385292157</v>
      </c>
      <c r="AE56" s="10">
        <v>35080580762207</v>
      </c>
      <c r="AF56" s="10">
        <v>34589350751468</v>
      </c>
      <c r="AG56" s="10">
        <v>27439762525115</v>
      </c>
      <c r="AH56" s="10">
        <v>754971021413</v>
      </c>
      <c r="AI56" s="10">
        <v>761503022410</v>
      </c>
      <c r="AJ56" s="10">
        <v>0</v>
      </c>
      <c r="AK56" s="10">
        <v>94251126022</v>
      </c>
      <c r="AL56" s="11">
        <v>110</v>
      </c>
      <c r="AM56" s="10">
        <v>36328870847895</v>
      </c>
      <c r="AN56" s="11">
        <v>66</v>
      </c>
      <c r="AO56" s="10">
        <v>4351757381213</v>
      </c>
      <c r="AP56" s="12">
        <v>53</v>
      </c>
      <c r="AQ56" s="10">
        <v>1138466237775</v>
      </c>
      <c r="AR56" s="10">
        <v>2517578784373</v>
      </c>
      <c r="AS56" s="10">
        <v>302993349478</v>
      </c>
      <c r="AT56" s="10">
        <v>2214585434895</v>
      </c>
      <c r="AU56" s="11">
        <v>730.9</v>
      </c>
      <c r="AV56" s="10">
        <v>33542293623331</v>
      </c>
      <c r="AW56" s="10">
        <v>3597907929366</v>
      </c>
      <c r="AX56" s="10">
        <v>1251824098561</v>
      </c>
      <c r="AY56" s="10">
        <v>769112608907</v>
      </c>
      <c r="AZ56" s="10">
        <v>7147304573022</v>
      </c>
      <c r="BA56" s="10">
        <v>538036000000</v>
      </c>
      <c r="BB56" s="10">
        <v>114600839042</v>
      </c>
      <c r="BC56" s="10">
        <v>12262440565967</v>
      </c>
      <c r="BD56" s="12">
        <v>138515</v>
      </c>
      <c r="BE56" s="10">
        <v>4188960455088</v>
      </c>
      <c r="BF56" s="10">
        <v>7337304573022</v>
      </c>
      <c r="BG56" s="10">
        <v>736175537857</v>
      </c>
      <c r="BH56" s="10">
        <v>28852076198029</v>
      </c>
      <c r="BI56" s="10">
        <v>6228504564178</v>
      </c>
      <c r="BJ56" s="10">
        <v>155915628737</v>
      </c>
      <c r="BK56" s="10">
        <v>1518060038428</v>
      </c>
      <c r="BL56" s="10">
        <v>27679316551932</v>
      </c>
      <c r="BM56" s="10">
        <v>0</v>
      </c>
      <c r="BN56" s="10">
        <v>164843378967</v>
      </c>
      <c r="BO56" s="10">
        <v>632615207813</v>
      </c>
    </row>
    <row r="57" spans="1:67" x14ac:dyDescent="0.25">
      <c r="A57" s="25" t="s">
        <v>111</v>
      </c>
      <c r="B57" s="9">
        <v>1401</v>
      </c>
      <c r="C57" s="9" t="s">
        <v>112</v>
      </c>
      <c r="D57" s="10">
        <v>2382094971990</v>
      </c>
      <c r="E57" s="10">
        <v>536659925095</v>
      </c>
      <c r="F57" s="10">
        <v>0</v>
      </c>
      <c r="G57" s="10">
        <v>0</v>
      </c>
      <c r="H57" s="10">
        <v>2918754897085</v>
      </c>
      <c r="I57" s="10">
        <v>187198918619</v>
      </c>
      <c r="J57" s="10">
        <v>836815600</v>
      </c>
      <c r="K57" s="10">
        <v>2730719162866</v>
      </c>
      <c r="L57" s="10">
        <v>2472821535580</v>
      </c>
      <c r="M57" s="10">
        <v>445933361505</v>
      </c>
      <c r="N57" s="46">
        <v>18.033382316059715</v>
      </c>
      <c r="O57" s="10">
        <v>1739081862672</v>
      </c>
      <c r="P57" s="11">
        <v>64.88</v>
      </c>
      <c r="Q57" s="11">
        <v>63.69</v>
      </c>
      <c r="R57" s="11">
        <v>0</v>
      </c>
      <c r="S57" s="10">
        <v>1862730975187</v>
      </c>
      <c r="T57" s="10">
        <v>0</v>
      </c>
      <c r="U57" s="10">
        <v>0</v>
      </c>
      <c r="V57" s="10">
        <v>0</v>
      </c>
      <c r="W57" s="10">
        <v>0</v>
      </c>
      <c r="X57" s="10">
        <v>1862730975187</v>
      </c>
      <c r="Y57" s="10">
        <v>0</v>
      </c>
      <c r="Z57" s="10">
        <v>28818523599</v>
      </c>
      <c r="AA57" s="10">
        <v>2000000000</v>
      </c>
      <c r="AB57" s="10">
        <v>1893549498786</v>
      </c>
      <c r="AC57" s="10">
        <v>2333586172243</v>
      </c>
      <c r="AD57" s="46">
        <v>-20.177322040069456</v>
      </c>
      <c r="AE57" s="10">
        <v>3446295450559</v>
      </c>
      <c r="AF57" s="10">
        <v>3446295450559</v>
      </c>
      <c r="AG57" s="10">
        <v>2261258824483</v>
      </c>
      <c r="AH57" s="10">
        <v>0</v>
      </c>
      <c r="AI57" s="10">
        <v>16000000000</v>
      </c>
      <c r="AJ57" s="10">
        <v>0</v>
      </c>
      <c r="AK57" s="10">
        <v>0</v>
      </c>
      <c r="AL57" s="11">
        <v>58</v>
      </c>
      <c r="AM57" s="10">
        <v>2867382304702</v>
      </c>
      <c r="AN57" s="11">
        <v>167</v>
      </c>
      <c r="AO57" s="10">
        <v>8392948083494</v>
      </c>
      <c r="AP57" s="12">
        <v>193</v>
      </c>
      <c r="AQ57" s="10">
        <v>5391288535837</v>
      </c>
      <c r="AR57" s="10">
        <v>0</v>
      </c>
      <c r="AS57" s="10">
        <v>57308745154</v>
      </c>
      <c r="AT57" s="10">
        <v>-57308745154</v>
      </c>
      <c r="AU57" s="11">
        <v>-100</v>
      </c>
      <c r="AV57" s="10">
        <v>3894404662421</v>
      </c>
      <c r="AW57" s="10">
        <v>383388222656</v>
      </c>
      <c r="AX57" s="10">
        <v>1069264694780</v>
      </c>
      <c r="AY57" s="10">
        <v>117121270748</v>
      </c>
      <c r="AZ57" s="10">
        <v>892220206462</v>
      </c>
      <c r="BA57" s="10">
        <v>303488800000</v>
      </c>
      <c r="BB57" s="10">
        <v>684039709656</v>
      </c>
      <c r="BC57" s="10">
        <v>2918754897085</v>
      </c>
      <c r="BD57" s="12">
        <v>71406</v>
      </c>
      <c r="BE57" s="10">
        <v>1723045890623</v>
      </c>
      <c r="BF57" s="10">
        <v>892220206462</v>
      </c>
      <c r="BG57" s="10">
        <v>303488800000</v>
      </c>
      <c r="BH57" s="10">
        <v>2826402837165</v>
      </c>
      <c r="BI57" s="10">
        <v>619892613394</v>
      </c>
      <c r="BJ57" s="10">
        <v>415506850263</v>
      </c>
      <c r="BK57" s="10">
        <v>0</v>
      </c>
      <c r="BL57" s="10">
        <v>2490658618210</v>
      </c>
      <c r="BM57" s="10">
        <v>0</v>
      </c>
      <c r="BN57" s="10">
        <v>0</v>
      </c>
      <c r="BO57" s="10">
        <v>0</v>
      </c>
    </row>
    <row r="58" spans="1:67" x14ac:dyDescent="0.25">
      <c r="A58" s="25" t="s">
        <v>111</v>
      </c>
      <c r="B58" s="9">
        <v>1402</v>
      </c>
      <c r="C58" s="9" t="s">
        <v>113</v>
      </c>
      <c r="D58" s="10">
        <v>1094027088723</v>
      </c>
      <c r="E58" s="10">
        <v>37592281739</v>
      </c>
      <c r="F58" s="10">
        <v>0</v>
      </c>
      <c r="G58" s="10">
        <v>0</v>
      </c>
      <c r="H58" s="10">
        <v>1131619370462</v>
      </c>
      <c r="I58" s="10">
        <v>92832911020</v>
      </c>
      <c r="J58" s="10">
        <v>824242225</v>
      </c>
      <c r="K58" s="10">
        <v>1037962217217</v>
      </c>
      <c r="L58" s="10">
        <v>998153209900</v>
      </c>
      <c r="M58" s="10">
        <v>133466160562</v>
      </c>
      <c r="N58" s="46">
        <v>13.371310059241438</v>
      </c>
      <c r="O58" s="10">
        <v>676710917916</v>
      </c>
      <c r="P58" s="11">
        <v>70.040000000000006</v>
      </c>
      <c r="Q58" s="11">
        <v>65.2</v>
      </c>
      <c r="R58" s="11">
        <v>0.82</v>
      </c>
      <c r="S58" s="10">
        <v>755146709903</v>
      </c>
      <c r="T58" s="10">
        <v>6213319364</v>
      </c>
      <c r="U58" s="10">
        <v>5978296969</v>
      </c>
      <c r="V58" s="10">
        <v>235022395</v>
      </c>
      <c r="W58" s="10">
        <v>0</v>
      </c>
      <c r="X58" s="10">
        <v>761360029267</v>
      </c>
      <c r="Y58" s="10">
        <v>250074657</v>
      </c>
      <c r="Z58" s="10">
        <v>31196914821</v>
      </c>
      <c r="AA58" s="10">
        <v>0</v>
      </c>
      <c r="AB58" s="10">
        <v>792556944088</v>
      </c>
      <c r="AC58" s="10">
        <v>785483701646</v>
      </c>
      <c r="AD58" s="46">
        <v>-3.0711868786644794</v>
      </c>
      <c r="AE58" s="10">
        <v>1455145255976</v>
      </c>
      <c r="AF58" s="10">
        <v>1455145255976</v>
      </c>
      <c r="AG58" s="10">
        <v>944698405363</v>
      </c>
      <c r="AH58" s="10">
        <v>0</v>
      </c>
      <c r="AI58" s="10">
        <v>0</v>
      </c>
      <c r="AJ58" s="10">
        <v>0</v>
      </c>
      <c r="AK58" s="10">
        <v>0</v>
      </c>
      <c r="AL58" s="11">
        <v>10</v>
      </c>
      <c r="AM58" s="10">
        <v>1396786165000</v>
      </c>
      <c r="AN58" s="11">
        <v>53</v>
      </c>
      <c r="AO58" s="10">
        <v>510478943681</v>
      </c>
      <c r="AP58" s="12">
        <v>54</v>
      </c>
      <c r="AQ58" s="10">
        <v>274415038200</v>
      </c>
      <c r="AR58" s="10">
        <v>6213319364</v>
      </c>
      <c r="AS58" s="10">
        <v>3416185088</v>
      </c>
      <c r="AT58" s="10">
        <v>2797134276</v>
      </c>
      <c r="AU58" s="11">
        <v>81.88</v>
      </c>
      <c r="AV58" s="10">
        <v>1498428948007</v>
      </c>
      <c r="AW58" s="10">
        <v>221453187452</v>
      </c>
      <c r="AX58" s="10">
        <v>397903456398</v>
      </c>
      <c r="AY58" s="10">
        <v>75239437365</v>
      </c>
      <c r="AZ58" s="10">
        <v>257502894960</v>
      </c>
      <c r="BA58" s="10">
        <v>363381300000</v>
      </c>
      <c r="BB58" s="10">
        <v>128293395223</v>
      </c>
      <c r="BC58" s="10">
        <v>1131619370462</v>
      </c>
      <c r="BD58" s="12">
        <v>67293</v>
      </c>
      <c r="BE58" s="10">
        <v>510735175502</v>
      </c>
      <c r="BF58" s="10">
        <v>257068894960</v>
      </c>
      <c r="BG58" s="10">
        <v>363815300000</v>
      </c>
      <c r="BH58" s="10">
        <v>1312395530976</v>
      </c>
      <c r="BI58" s="10">
        <v>142749725000</v>
      </c>
      <c r="BJ58" s="10">
        <v>0</v>
      </c>
      <c r="BK58" s="10">
        <v>0</v>
      </c>
      <c r="BL58" s="10">
        <v>1128482615862</v>
      </c>
      <c r="BM58" s="10">
        <v>0</v>
      </c>
      <c r="BN58" s="10">
        <v>0</v>
      </c>
      <c r="BO58" s="10">
        <v>0</v>
      </c>
    </row>
    <row r="59" spans="1:67" x14ac:dyDescent="0.25">
      <c r="A59" s="25" t="s">
        <v>111</v>
      </c>
      <c r="B59" s="9">
        <v>1403</v>
      </c>
      <c r="C59" s="9" t="s">
        <v>114</v>
      </c>
      <c r="D59" s="10">
        <v>1875854928835</v>
      </c>
      <c r="E59" s="10">
        <v>33457112847</v>
      </c>
      <c r="F59" s="10">
        <v>0</v>
      </c>
      <c r="G59" s="10">
        <v>0</v>
      </c>
      <c r="H59" s="10">
        <v>1909312041682</v>
      </c>
      <c r="I59" s="10">
        <v>117422987154</v>
      </c>
      <c r="J59" s="10">
        <v>2009095037</v>
      </c>
      <c r="K59" s="10">
        <v>1789879959491</v>
      </c>
      <c r="L59" s="10">
        <v>1334757047788</v>
      </c>
      <c r="M59" s="10">
        <v>574554993894</v>
      </c>
      <c r="N59" s="46">
        <v>43.045660994723349</v>
      </c>
      <c r="O59" s="10">
        <v>1328648856240</v>
      </c>
      <c r="P59" s="11">
        <v>79.31</v>
      </c>
      <c r="Q59" s="11">
        <v>74.23</v>
      </c>
      <c r="R59" s="11">
        <v>2.46</v>
      </c>
      <c r="S59" s="10">
        <v>1429936458526</v>
      </c>
      <c r="T59" s="10">
        <v>28743210871</v>
      </c>
      <c r="U59" s="10">
        <v>19983743822</v>
      </c>
      <c r="V59" s="10">
        <v>5057503603</v>
      </c>
      <c r="W59" s="10">
        <v>3701963446</v>
      </c>
      <c r="X59" s="10">
        <v>1458679669397</v>
      </c>
      <c r="Y59" s="10">
        <v>8539211721</v>
      </c>
      <c r="Z59" s="10">
        <v>49515482323</v>
      </c>
      <c r="AA59" s="10">
        <v>6159600000</v>
      </c>
      <c r="AB59" s="10">
        <v>1514354751720</v>
      </c>
      <c r="AC59" s="10">
        <v>1076388640918</v>
      </c>
      <c r="AD59" s="46">
        <v>35.516077924508977</v>
      </c>
      <c r="AE59" s="10">
        <v>1380695301398</v>
      </c>
      <c r="AF59" s="10">
        <v>1324508048796</v>
      </c>
      <c r="AG59" s="10">
        <v>492438799296</v>
      </c>
      <c r="AH59" s="10">
        <v>2818800000</v>
      </c>
      <c r="AI59" s="10">
        <v>84871600000</v>
      </c>
      <c r="AJ59" s="10">
        <v>0</v>
      </c>
      <c r="AK59" s="10">
        <v>0</v>
      </c>
      <c r="AL59" s="11">
        <v>3</v>
      </c>
      <c r="AM59" s="10">
        <v>224412007100</v>
      </c>
      <c r="AN59" s="11">
        <v>43</v>
      </c>
      <c r="AO59" s="10">
        <v>382388123370</v>
      </c>
      <c r="AP59" s="12">
        <v>24</v>
      </c>
      <c r="AQ59" s="10">
        <v>144640491536</v>
      </c>
      <c r="AR59" s="10">
        <v>28743210871</v>
      </c>
      <c r="AS59" s="10">
        <v>30392456716</v>
      </c>
      <c r="AT59" s="10">
        <v>-1649245845</v>
      </c>
      <c r="AU59" s="11">
        <v>-5.43</v>
      </c>
      <c r="AV59" s="10">
        <v>1018040094721</v>
      </c>
      <c r="AW59" s="10">
        <v>393066137238</v>
      </c>
      <c r="AX59" s="10">
        <v>350374742754</v>
      </c>
      <c r="AY59" s="10">
        <v>221489801253</v>
      </c>
      <c r="AZ59" s="10">
        <v>619922292028</v>
      </c>
      <c r="BA59" s="10">
        <v>684068092800</v>
      </c>
      <c r="BB59" s="10">
        <v>464072835701</v>
      </c>
      <c r="BC59" s="10">
        <v>1909312041682</v>
      </c>
      <c r="BD59" s="12">
        <v>122784</v>
      </c>
      <c r="BE59" s="10">
        <v>605321656854</v>
      </c>
      <c r="BF59" s="10">
        <v>619531942028</v>
      </c>
      <c r="BG59" s="10">
        <v>684458442800</v>
      </c>
      <c r="BH59" s="10">
        <v>1184119201398</v>
      </c>
      <c r="BI59" s="10">
        <v>196576100000</v>
      </c>
      <c r="BJ59" s="10">
        <v>0</v>
      </c>
      <c r="BK59" s="10">
        <v>0</v>
      </c>
      <c r="BL59" s="10">
        <v>406934441396</v>
      </c>
      <c r="BM59" s="10">
        <v>0</v>
      </c>
      <c r="BN59" s="10">
        <v>0</v>
      </c>
      <c r="BO59" s="10">
        <v>2818800000</v>
      </c>
    </row>
    <row r="60" spans="1:67" x14ac:dyDescent="0.25">
      <c r="A60" s="25" t="s">
        <v>111</v>
      </c>
      <c r="B60" s="9">
        <v>1404</v>
      </c>
      <c r="C60" s="9" t="s">
        <v>115</v>
      </c>
      <c r="D60" s="10">
        <v>2603431422124</v>
      </c>
      <c r="E60" s="10">
        <v>276083841475</v>
      </c>
      <c r="F60" s="10">
        <v>0</v>
      </c>
      <c r="G60" s="10">
        <v>3184655877</v>
      </c>
      <c r="H60" s="10">
        <v>2882699919476</v>
      </c>
      <c r="I60" s="10">
        <v>200409585002</v>
      </c>
      <c r="J60" s="10">
        <v>2986674963</v>
      </c>
      <c r="K60" s="10">
        <v>2679303659511</v>
      </c>
      <c r="L60" s="10">
        <v>1397807463576</v>
      </c>
      <c r="M60" s="10">
        <v>1484892455900</v>
      </c>
      <c r="N60" s="46">
        <v>106.23011355950347</v>
      </c>
      <c r="O60" s="10">
        <v>2212846351461</v>
      </c>
      <c r="P60" s="11">
        <v>94.66</v>
      </c>
      <c r="Q60" s="11">
        <v>82.59</v>
      </c>
      <c r="R60" s="11">
        <v>14.84</v>
      </c>
      <c r="S60" s="10">
        <v>2213189402380</v>
      </c>
      <c r="T60" s="10">
        <v>160208206350</v>
      </c>
      <c r="U60" s="10">
        <v>422170775</v>
      </c>
      <c r="V60" s="10">
        <v>1667332456</v>
      </c>
      <c r="W60" s="10">
        <v>158118703119</v>
      </c>
      <c r="X60" s="10">
        <v>2373397608730</v>
      </c>
      <c r="Y60" s="10">
        <v>244803726202</v>
      </c>
      <c r="Z60" s="10">
        <v>350584513295</v>
      </c>
      <c r="AA60" s="10">
        <v>4867090140</v>
      </c>
      <c r="AB60" s="10">
        <v>2728849212165</v>
      </c>
      <c r="AC60" s="10">
        <v>1988993614745</v>
      </c>
      <c r="AD60" s="46">
        <v>19.326557467821871</v>
      </c>
      <c r="AE60" s="10">
        <v>3736131162123</v>
      </c>
      <c r="AF60" s="10">
        <v>3736131162123</v>
      </c>
      <c r="AG60" s="10">
        <v>2236399676152</v>
      </c>
      <c r="AH60" s="10">
        <v>5502547636</v>
      </c>
      <c r="AI60" s="10">
        <v>218215215849</v>
      </c>
      <c r="AJ60" s="10">
        <v>0</v>
      </c>
      <c r="AK60" s="10">
        <v>0</v>
      </c>
      <c r="AL60" s="11">
        <v>43</v>
      </c>
      <c r="AM60" s="10">
        <v>6134793808467</v>
      </c>
      <c r="AN60" s="11">
        <v>267</v>
      </c>
      <c r="AO60" s="10">
        <v>3724259977846</v>
      </c>
      <c r="AP60" s="12">
        <v>78</v>
      </c>
      <c r="AQ60" s="10">
        <v>466755625707</v>
      </c>
      <c r="AR60" s="10">
        <v>160208206350</v>
      </c>
      <c r="AS60" s="10">
        <v>270560284918</v>
      </c>
      <c r="AT60" s="10">
        <v>-110352078568</v>
      </c>
      <c r="AU60" s="11">
        <v>-40.79</v>
      </c>
      <c r="AV60" s="10">
        <v>3439345112910</v>
      </c>
      <c r="AW60" s="10">
        <v>688111126538</v>
      </c>
      <c r="AX60" s="10">
        <v>1558440149713</v>
      </c>
      <c r="AY60" s="10">
        <v>143014846865</v>
      </c>
      <c r="AZ60" s="10">
        <v>555789421438</v>
      </c>
      <c r="BA60" s="10">
        <v>346187004108</v>
      </c>
      <c r="BB60" s="10">
        <v>137236987469</v>
      </c>
      <c r="BC60" s="10">
        <v>2882699919476</v>
      </c>
      <c r="BD60" s="12">
        <v>29301</v>
      </c>
      <c r="BE60" s="10">
        <v>1865177684225</v>
      </c>
      <c r="BF60" s="10">
        <v>555789421438</v>
      </c>
      <c r="BG60" s="10">
        <v>461732813813</v>
      </c>
      <c r="BH60" s="10">
        <v>1256167487347</v>
      </c>
      <c r="BI60" s="10">
        <v>2479963674776</v>
      </c>
      <c r="BJ60" s="10">
        <v>0</v>
      </c>
      <c r="BK60" s="10">
        <v>152728044422</v>
      </c>
      <c r="BL60" s="10">
        <v>2327772471235</v>
      </c>
      <c r="BM60" s="10">
        <v>0</v>
      </c>
      <c r="BN60" s="10">
        <v>0</v>
      </c>
      <c r="BO60" s="10">
        <v>5502547636</v>
      </c>
    </row>
    <row r="61" spans="1:67" x14ac:dyDescent="0.25">
      <c r="A61" s="25" t="s">
        <v>111</v>
      </c>
      <c r="B61" s="9">
        <v>1405</v>
      </c>
      <c r="C61" s="9" t="s">
        <v>116</v>
      </c>
      <c r="D61" s="10">
        <v>810924259669</v>
      </c>
      <c r="E61" s="10">
        <v>67704054862</v>
      </c>
      <c r="F61" s="10">
        <v>0</v>
      </c>
      <c r="G61" s="10">
        <v>0</v>
      </c>
      <c r="H61" s="10">
        <v>878628314531</v>
      </c>
      <c r="I61" s="10">
        <v>51062294490</v>
      </c>
      <c r="J61" s="10">
        <v>1362294208</v>
      </c>
      <c r="K61" s="10">
        <v>826203725833</v>
      </c>
      <c r="L61" s="10">
        <v>560660414066</v>
      </c>
      <c r="M61" s="10">
        <v>317967900465</v>
      </c>
      <c r="N61" s="46">
        <v>56.713099852911917</v>
      </c>
      <c r="O61" s="10">
        <v>913829283223</v>
      </c>
      <c r="P61" s="11">
        <v>117.13</v>
      </c>
      <c r="Q61" s="11">
        <v>110.61</v>
      </c>
      <c r="R61" s="11">
        <v>1.08</v>
      </c>
      <c r="S61" s="10">
        <v>969460024034</v>
      </c>
      <c r="T61" s="10">
        <v>10251844274</v>
      </c>
      <c r="U61" s="10">
        <v>4913018278</v>
      </c>
      <c r="V61" s="10">
        <v>81574926</v>
      </c>
      <c r="W61" s="10">
        <v>5257251070</v>
      </c>
      <c r="X61" s="10">
        <v>979711868308</v>
      </c>
      <c r="Y61" s="10">
        <v>888158966</v>
      </c>
      <c r="Z61" s="10">
        <v>41825996528</v>
      </c>
      <c r="AA61" s="10">
        <v>7600000000</v>
      </c>
      <c r="AB61" s="10">
        <v>1029137864836</v>
      </c>
      <c r="AC61" s="10">
        <v>784343067521</v>
      </c>
      <c r="AD61" s="46">
        <v>24.908590242849211</v>
      </c>
      <c r="AE61" s="10">
        <v>1055826640803</v>
      </c>
      <c r="AF61" s="10">
        <v>1055826640803</v>
      </c>
      <c r="AG61" s="10">
        <v>606705589438</v>
      </c>
      <c r="AH61" s="10">
        <v>1380432365</v>
      </c>
      <c r="AI61" s="10">
        <v>0</v>
      </c>
      <c r="AJ61" s="10">
        <v>0</v>
      </c>
      <c r="AK61" s="10">
        <v>0</v>
      </c>
      <c r="AL61" s="11">
        <v>7</v>
      </c>
      <c r="AM61" s="10">
        <v>857600000000</v>
      </c>
      <c r="AN61" s="11">
        <v>24</v>
      </c>
      <c r="AO61" s="10">
        <v>460171849730</v>
      </c>
      <c r="AP61" s="12">
        <v>13</v>
      </c>
      <c r="AQ61" s="10">
        <v>14996842906</v>
      </c>
      <c r="AR61" s="10">
        <v>10251844274</v>
      </c>
      <c r="AS61" s="10">
        <v>10762937209</v>
      </c>
      <c r="AT61" s="10">
        <v>-511092935</v>
      </c>
      <c r="AU61" s="11">
        <v>-4.75</v>
      </c>
      <c r="AV61" s="10">
        <v>835012185743</v>
      </c>
      <c r="AW61" s="10">
        <v>63782129514</v>
      </c>
      <c r="AX61" s="10">
        <v>148014345461</v>
      </c>
      <c r="AY61" s="10">
        <v>104320843842</v>
      </c>
      <c r="AZ61" s="10">
        <v>343859070366</v>
      </c>
      <c r="BA61" s="10">
        <v>214730000000</v>
      </c>
      <c r="BB61" s="10">
        <v>303971347194</v>
      </c>
      <c r="BC61" s="10">
        <v>878628314531</v>
      </c>
      <c r="BD61" s="12">
        <v>37452</v>
      </c>
      <c r="BE61" s="10">
        <v>320039244165</v>
      </c>
      <c r="BF61" s="10">
        <v>343859070366</v>
      </c>
      <c r="BG61" s="10">
        <v>214730000000</v>
      </c>
      <c r="BH61" s="10">
        <v>207461150982</v>
      </c>
      <c r="BI61" s="10">
        <v>848365489821</v>
      </c>
      <c r="BJ61" s="10">
        <v>90721205280</v>
      </c>
      <c r="BK61" s="10">
        <v>0</v>
      </c>
      <c r="BL61" s="10">
        <v>487584415063</v>
      </c>
      <c r="BM61" s="10">
        <v>0</v>
      </c>
      <c r="BN61" s="10">
        <v>648000000</v>
      </c>
      <c r="BO61" s="10">
        <v>1380432365</v>
      </c>
    </row>
    <row r="62" spans="1:67" x14ac:dyDescent="0.25">
      <c r="A62" s="25" t="s">
        <v>111</v>
      </c>
      <c r="B62" s="9">
        <v>1406</v>
      </c>
      <c r="C62" s="9" t="s">
        <v>117</v>
      </c>
      <c r="D62" s="10">
        <v>943930366643</v>
      </c>
      <c r="E62" s="10">
        <v>81872925074</v>
      </c>
      <c r="F62" s="10">
        <v>0</v>
      </c>
      <c r="G62" s="10">
        <v>0</v>
      </c>
      <c r="H62" s="10">
        <v>1025803291717</v>
      </c>
      <c r="I62" s="10">
        <v>73416740236</v>
      </c>
      <c r="J62" s="10">
        <v>888367448</v>
      </c>
      <c r="K62" s="10">
        <v>951498184033</v>
      </c>
      <c r="L62" s="10">
        <v>911812264119</v>
      </c>
      <c r="M62" s="10">
        <v>113991027598</v>
      </c>
      <c r="N62" s="46">
        <v>12.501589645554834</v>
      </c>
      <c r="O62" s="10">
        <v>1208723942849</v>
      </c>
      <c r="P62" s="11">
        <v>142.83000000000001</v>
      </c>
      <c r="Q62" s="11">
        <v>127.03</v>
      </c>
      <c r="R62" s="11">
        <v>0.45</v>
      </c>
      <c r="S62" s="10">
        <v>1376508321520</v>
      </c>
      <c r="T62" s="10">
        <v>3828103387</v>
      </c>
      <c r="U62" s="10">
        <v>3683811133</v>
      </c>
      <c r="V62" s="10">
        <v>144292254</v>
      </c>
      <c r="W62" s="10">
        <v>0</v>
      </c>
      <c r="X62" s="10">
        <v>1380336424907</v>
      </c>
      <c r="Y62" s="10">
        <v>2696271132</v>
      </c>
      <c r="Z62" s="10">
        <v>62261630935</v>
      </c>
      <c r="AA62" s="10">
        <v>22527940000</v>
      </c>
      <c r="AB62" s="10">
        <v>1465125995842</v>
      </c>
      <c r="AC62" s="10">
        <v>589476323140</v>
      </c>
      <c r="AD62" s="46">
        <v>134.16316664836961</v>
      </c>
      <c r="AE62" s="10">
        <v>1421283303695</v>
      </c>
      <c r="AF62" s="10">
        <v>1310240153012</v>
      </c>
      <c r="AG62" s="10">
        <v>300283141875</v>
      </c>
      <c r="AH62" s="10">
        <v>0</v>
      </c>
      <c r="AI62" s="10">
        <v>0</v>
      </c>
      <c r="AJ62" s="10">
        <v>0</v>
      </c>
      <c r="AK62" s="10">
        <v>0</v>
      </c>
      <c r="AL62" s="11">
        <v>4</v>
      </c>
      <c r="AM62" s="10">
        <v>208060000000</v>
      </c>
      <c r="AN62" s="11">
        <v>95</v>
      </c>
      <c r="AO62" s="10">
        <v>919964582607</v>
      </c>
      <c r="AP62" s="12">
        <v>59</v>
      </c>
      <c r="AQ62" s="10">
        <v>190430641544</v>
      </c>
      <c r="AR62" s="10">
        <v>3828103387</v>
      </c>
      <c r="AS62" s="10">
        <v>3783911747</v>
      </c>
      <c r="AT62" s="10">
        <v>44191640</v>
      </c>
      <c r="AU62" s="11">
        <v>1.17</v>
      </c>
      <c r="AV62" s="10">
        <v>650608979642</v>
      </c>
      <c r="AW62" s="10">
        <v>266409324044</v>
      </c>
      <c r="AX62" s="10">
        <v>254661806265</v>
      </c>
      <c r="AY62" s="10">
        <v>92561388926</v>
      </c>
      <c r="AZ62" s="10">
        <v>226895171452</v>
      </c>
      <c r="BA62" s="10">
        <v>369812000000</v>
      </c>
      <c r="BB62" s="10">
        <v>156487676088</v>
      </c>
      <c r="BC62" s="10">
        <v>1025803291717</v>
      </c>
      <c r="BD62" s="12">
        <v>46291</v>
      </c>
      <c r="BE62" s="10">
        <v>427340694468</v>
      </c>
      <c r="BF62" s="10">
        <v>226895171452</v>
      </c>
      <c r="BG62" s="10">
        <v>371567425797</v>
      </c>
      <c r="BH62" s="10">
        <v>1312054801630</v>
      </c>
      <c r="BI62" s="10">
        <v>109228502065</v>
      </c>
      <c r="BJ62" s="10">
        <v>0</v>
      </c>
      <c r="BK62" s="10">
        <v>0</v>
      </c>
      <c r="BL62" s="10">
        <v>300283141875</v>
      </c>
      <c r="BM62" s="10">
        <v>0</v>
      </c>
      <c r="BN62" s="10">
        <v>0</v>
      </c>
      <c r="BO62" s="10">
        <v>0</v>
      </c>
    </row>
    <row r="63" spans="1:67" x14ac:dyDescent="0.25">
      <c r="A63" s="25" t="s">
        <v>111</v>
      </c>
      <c r="B63" s="9">
        <v>1407</v>
      </c>
      <c r="C63" s="9" t="s">
        <v>118</v>
      </c>
      <c r="D63" s="10">
        <v>1719262628316</v>
      </c>
      <c r="E63" s="10">
        <v>48822248706</v>
      </c>
      <c r="F63" s="10">
        <v>0</v>
      </c>
      <c r="G63" s="10">
        <v>0</v>
      </c>
      <c r="H63" s="10">
        <v>1768084877022</v>
      </c>
      <c r="I63" s="10">
        <v>153943477436</v>
      </c>
      <c r="J63" s="10">
        <v>798472397</v>
      </c>
      <c r="K63" s="10">
        <v>1613342927189</v>
      </c>
      <c r="L63" s="10">
        <v>1960893224690</v>
      </c>
      <c r="M63" s="10">
        <v>-192808347668</v>
      </c>
      <c r="N63" s="46">
        <v>-9.8326795788935062</v>
      </c>
      <c r="O63" s="10">
        <v>1902867159773</v>
      </c>
      <c r="P63" s="11">
        <v>127.9</v>
      </c>
      <c r="Q63" s="11">
        <v>117.95</v>
      </c>
      <c r="R63" s="11">
        <v>0.36</v>
      </c>
      <c r="S63" s="10">
        <v>2213400386191</v>
      </c>
      <c r="T63" s="10">
        <v>6594132503</v>
      </c>
      <c r="U63" s="10">
        <v>2207055717</v>
      </c>
      <c r="V63" s="10">
        <v>1609614216</v>
      </c>
      <c r="W63" s="10">
        <v>2777462570</v>
      </c>
      <c r="X63" s="10">
        <v>2219994518694</v>
      </c>
      <c r="Y63" s="10">
        <v>1557920358</v>
      </c>
      <c r="Z63" s="10">
        <v>39879828730</v>
      </c>
      <c r="AA63" s="10">
        <v>1497824525</v>
      </c>
      <c r="AB63" s="10">
        <v>2261372171949</v>
      </c>
      <c r="AC63" s="10">
        <v>1850422182093</v>
      </c>
      <c r="AD63" s="46">
        <v>19.972325244338524</v>
      </c>
      <c r="AE63" s="10">
        <v>2481479344107</v>
      </c>
      <c r="AF63" s="10">
        <v>2481479344107</v>
      </c>
      <c r="AG63" s="10">
        <v>1092326341570</v>
      </c>
      <c r="AH63" s="10">
        <v>0</v>
      </c>
      <c r="AI63" s="10">
        <v>40286400000</v>
      </c>
      <c r="AJ63" s="10">
        <v>0</v>
      </c>
      <c r="AK63" s="10">
        <v>0</v>
      </c>
      <c r="AL63" s="11">
        <v>36</v>
      </c>
      <c r="AM63" s="10">
        <v>1370545752610</v>
      </c>
      <c r="AN63" s="11">
        <v>47</v>
      </c>
      <c r="AO63" s="10">
        <v>605059505015</v>
      </c>
      <c r="AP63" s="12">
        <v>45</v>
      </c>
      <c r="AQ63" s="10">
        <v>577828366494</v>
      </c>
      <c r="AR63" s="10">
        <v>6594132503</v>
      </c>
      <c r="AS63" s="10">
        <v>6317434186</v>
      </c>
      <c r="AT63" s="10">
        <v>276698317</v>
      </c>
      <c r="AU63" s="13">
        <v>4.38</v>
      </c>
      <c r="AV63" s="10">
        <v>2373427738097</v>
      </c>
      <c r="AW63" s="10">
        <v>939761435842</v>
      </c>
      <c r="AX63" s="10">
        <v>974248065298</v>
      </c>
      <c r="AY63" s="10">
        <v>272145775147</v>
      </c>
      <c r="AZ63" s="10">
        <v>226850578831</v>
      </c>
      <c r="BA63" s="10">
        <v>246018209040</v>
      </c>
      <c r="BB63" s="10">
        <v>164621332124</v>
      </c>
      <c r="BC63" s="10">
        <v>1768084877022</v>
      </c>
      <c r="BD63" s="12">
        <v>36471</v>
      </c>
      <c r="BE63" s="10">
        <v>1295178177911</v>
      </c>
      <c r="BF63" s="10">
        <v>226850578831</v>
      </c>
      <c r="BG63" s="10">
        <v>246056120280</v>
      </c>
      <c r="BH63" s="10">
        <v>1846969800925</v>
      </c>
      <c r="BI63" s="10">
        <v>634509543182</v>
      </c>
      <c r="BJ63" s="10">
        <v>0</v>
      </c>
      <c r="BK63" s="10">
        <v>0</v>
      </c>
      <c r="BL63" s="10">
        <v>1638373362070</v>
      </c>
      <c r="BM63" s="10">
        <v>0</v>
      </c>
      <c r="BN63" s="10">
        <v>0</v>
      </c>
      <c r="BO63" s="10">
        <v>0</v>
      </c>
    </row>
    <row r="64" spans="1:67" x14ac:dyDescent="0.25">
      <c r="A64" s="25" t="s">
        <v>111</v>
      </c>
      <c r="B64" s="9">
        <v>1408</v>
      </c>
      <c r="C64" s="9" t="s">
        <v>119</v>
      </c>
      <c r="D64" s="10">
        <v>1474413265716</v>
      </c>
      <c r="E64" s="10">
        <v>6362506942</v>
      </c>
      <c r="F64" s="10">
        <v>0</v>
      </c>
      <c r="G64" s="10">
        <v>0</v>
      </c>
      <c r="H64" s="10">
        <v>1480775772658</v>
      </c>
      <c r="I64" s="10">
        <v>102686284695</v>
      </c>
      <c r="J64" s="10">
        <v>1839812764</v>
      </c>
      <c r="K64" s="10">
        <v>1376249675199</v>
      </c>
      <c r="L64" s="10">
        <v>1123284440775</v>
      </c>
      <c r="M64" s="10">
        <v>357491331883</v>
      </c>
      <c r="N64" s="46">
        <v>31.825539365287753</v>
      </c>
      <c r="O64" s="10">
        <v>1060035763218</v>
      </c>
      <c r="P64" s="11">
        <v>81.59</v>
      </c>
      <c r="Q64" s="11">
        <v>77.02</v>
      </c>
      <c r="R64" s="11">
        <v>1.79</v>
      </c>
      <c r="S64" s="10">
        <v>1122193336290</v>
      </c>
      <c r="T64" s="10">
        <v>21549050657</v>
      </c>
      <c r="U64" s="10">
        <v>20356856251</v>
      </c>
      <c r="V64" s="10">
        <v>1192194406</v>
      </c>
      <c r="W64" s="10">
        <v>0</v>
      </c>
      <c r="X64" s="10">
        <v>1143742386947</v>
      </c>
      <c r="Y64" s="10">
        <v>23855487</v>
      </c>
      <c r="Z64" s="10">
        <v>48942502423</v>
      </c>
      <c r="AA64" s="10">
        <v>15453967300</v>
      </c>
      <c r="AB64" s="10">
        <v>1208138856670</v>
      </c>
      <c r="AC64" s="10">
        <v>771071802433</v>
      </c>
      <c r="AD64" s="46">
        <v>48.331502116676369</v>
      </c>
      <c r="AE64" s="10">
        <v>664677877425</v>
      </c>
      <c r="AF64" s="10">
        <v>664677877425</v>
      </c>
      <c r="AG64" s="10">
        <v>0</v>
      </c>
      <c r="AH64" s="10">
        <v>0</v>
      </c>
      <c r="AI64" s="10">
        <v>0</v>
      </c>
      <c r="AJ64" s="10">
        <v>0</v>
      </c>
      <c r="AK64" s="10">
        <v>1412938286</v>
      </c>
      <c r="AL64" s="11">
        <v>0</v>
      </c>
      <c r="AM64" s="10">
        <v>0</v>
      </c>
      <c r="AN64" s="11">
        <v>26</v>
      </c>
      <c r="AO64" s="10">
        <v>88529131285</v>
      </c>
      <c r="AP64" s="12">
        <v>8</v>
      </c>
      <c r="AQ64" s="10">
        <v>20427125500</v>
      </c>
      <c r="AR64" s="10">
        <v>21549050657</v>
      </c>
      <c r="AS64" s="10">
        <v>13902588427</v>
      </c>
      <c r="AT64" s="10">
        <v>7646462230</v>
      </c>
      <c r="AU64" s="11">
        <v>55</v>
      </c>
      <c r="AV64" s="10">
        <v>298481581646</v>
      </c>
      <c r="AW64" s="10">
        <v>75009477466</v>
      </c>
      <c r="AX64" s="10">
        <v>213345894978</v>
      </c>
      <c r="AY64" s="10">
        <v>175163338521</v>
      </c>
      <c r="AZ64" s="10">
        <v>189371032217</v>
      </c>
      <c r="BA64" s="10">
        <v>896533000000</v>
      </c>
      <c r="BB64" s="10">
        <v>93574083987</v>
      </c>
      <c r="BC64" s="10">
        <v>1480775772658</v>
      </c>
      <c r="BD64" s="12">
        <v>40780</v>
      </c>
      <c r="BE64" s="10">
        <v>394871740441</v>
      </c>
      <c r="BF64" s="10">
        <v>189371032217</v>
      </c>
      <c r="BG64" s="10">
        <v>896533000000</v>
      </c>
      <c r="BH64" s="10">
        <v>584592737426</v>
      </c>
      <c r="BI64" s="10">
        <v>80085139999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</row>
    <row r="65" spans="1:67" x14ac:dyDescent="0.25">
      <c r="A65" s="25" t="s">
        <v>111</v>
      </c>
      <c r="B65" s="9">
        <v>1409</v>
      </c>
      <c r="C65" s="9" t="s">
        <v>120</v>
      </c>
      <c r="D65" s="10">
        <v>941474635033</v>
      </c>
      <c r="E65" s="10">
        <v>1079300777</v>
      </c>
      <c r="F65" s="10">
        <v>0</v>
      </c>
      <c r="G65" s="10">
        <v>0</v>
      </c>
      <c r="H65" s="10">
        <v>942553935810</v>
      </c>
      <c r="I65" s="10">
        <v>73358838038</v>
      </c>
      <c r="J65" s="10">
        <v>2808668812</v>
      </c>
      <c r="K65" s="10">
        <v>866386428960</v>
      </c>
      <c r="L65" s="10">
        <v>711288934330</v>
      </c>
      <c r="M65" s="10">
        <v>231265001480</v>
      </c>
      <c r="N65" s="46">
        <v>32.513510377866417</v>
      </c>
      <c r="O65" s="10">
        <v>725335150424</v>
      </c>
      <c r="P65" s="11">
        <v>90.76</v>
      </c>
      <c r="Q65" s="11">
        <v>83.72</v>
      </c>
      <c r="R65" s="11">
        <v>0.68</v>
      </c>
      <c r="S65" s="10">
        <v>773920332092</v>
      </c>
      <c r="T65" s="10">
        <v>5503964524</v>
      </c>
      <c r="U65" s="10">
        <v>5348913524</v>
      </c>
      <c r="V65" s="10">
        <v>0</v>
      </c>
      <c r="W65" s="10">
        <v>155051000</v>
      </c>
      <c r="X65" s="10">
        <v>779424296616</v>
      </c>
      <c r="Y65" s="10">
        <v>339227587</v>
      </c>
      <c r="Z65" s="10">
        <v>52132519514</v>
      </c>
      <c r="AA65" s="10">
        <v>23916626460</v>
      </c>
      <c r="AB65" s="10">
        <v>855473442590</v>
      </c>
      <c r="AC65" s="10">
        <v>787499893041</v>
      </c>
      <c r="AD65" s="46">
        <v>-1.0254727011854408</v>
      </c>
      <c r="AE65" s="10">
        <v>260840519627</v>
      </c>
      <c r="AF65" s="10">
        <v>260840519627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1">
        <v>0</v>
      </c>
      <c r="AM65" s="10">
        <v>0</v>
      </c>
      <c r="AN65" s="11">
        <v>2</v>
      </c>
      <c r="AO65" s="10">
        <v>2260000000</v>
      </c>
      <c r="AP65" s="12">
        <v>1</v>
      </c>
      <c r="AQ65" s="10">
        <v>186051000</v>
      </c>
      <c r="AR65" s="10">
        <v>5503964524</v>
      </c>
      <c r="AS65" s="10">
        <v>4808340376</v>
      </c>
      <c r="AT65" s="10">
        <v>695624148</v>
      </c>
      <c r="AU65" s="11">
        <v>14.47</v>
      </c>
      <c r="AV65" s="10">
        <v>212134065467</v>
      </c>
      <c r="AW65" s="10">
        <v>66992561459</v>
      </c>
      <c r="AX65" s="10">
        <v>71104852396</v>
      </c>
      <c r="AY65" s="10">
        <v>89961991035</v>
      </c>
      <c r="AZ65" s="10">
        <v>103652591602</v>
      </c>
      <c r="BA65" s="10">
        <v>676755200000</v>
      </c>
      <c r="BB65" s="10">
        <v>71491548941</v>
      </c>
      <c r="BC65" s="10">
        <v>942553935810</v>
      </c>
      <c r="BD65" s="12">
        <v>13040</v>
      </c>
      <c r="BE65" s="10">
        <v>161980737434</v>
      </c>
      <c r="BF65" s="10">
        <v>103652591602</v>
      </c>
      <c r="BG65" s="10">
        <v>676920606774</v>
      </c>
      <c r="BH65" s="10">
        <v>249940519627</v>
      </c>
      <c r="BI65" s="10">
        <v>10900000000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</row>
    <row r="66" spans="1:67" x14ac:dyDescent="0.25">
      <c r="A66" s="25" t="s">
        <v>111</v>
      </c>
      <c r="B66" s="9">
        <v>1410</v>
      </c>
      <c r="C66" s="9" t="s">
        <v>121</v>
      </c>
      <c r="D66" s="10">
        <v>803552983933</v>
      </c>
      <c r="E66" s="10">
        <v>6749824697</v>
      </c>
      <c r="F66" s="10">
        <v>0</v>
      </c>
      <c r="G66" s="10">
        <v>0</v>
      </c>
      <c r="H66" s="10">
        <v>810302808630</v>
      </c>
      <c r="I66" s="10">
        <v>62225475669</v>
      </c>
      <c r="J66" s="10">
        <v>1830850614</v>
      </c>
      <c r="K66" s="10">
        <v>746246482347</v>
      </c>
      <c r="L66" s="10">
        <v>643209136599</v>
      </c>
      <c r="M66" s="10">
        <v>167093672031</v>
      </c>
      <c r="N66" s="46">
        <v>25.978124768954004</v>
      </c>
      <c r="O66" s="10">
        <v>522992841252</v>
      </c>
      <c r="P66" s="11">
        <v>75.569999999999993</v>
      </c>
      <c r="Q66" s="11">
        <v>70.08</v>
      </c>
      <c r="R66" s="11">
        <v>1.34</v>
      </c>
      <c r="S66" s="10">
        <v>562471221688</v>
      </c>
      <c r="T66" s="10">
        <v>8213297512</v>
      </c>
      <c r="U66" s="10">
        <v>6184390011</v>
      </c>
      <c r="V66" s="10">
        <v>2028907501</v>
      </c>
      <c r="W66" s="10">
        <v>0</v>
      </c>
      <c r="X66" s="10">
        <v>570684519200</v>
      </c>
      <c r="Y66" s="10">
        <v>0</v>
      </c>
      <c r="Z66" s="10">
        <v>37185620223</v>
      </c>
      <c r="AA66" s="10">
        <v>4500000000</v>
      </c>
      <c r="AB66" s="10">
        <v>612370139423</v>
      </c>
      <c r="AC66" s="10">
        <v>447601806632</v>
      </c>
      <c r="AD66" s="46">
        <v>27.49826089714459</v>
      </c>
      <c r="AE66" s="10">
        <v>300944872239</v>
      </c>
      <c r="AF66" s="10">
        <v>300944872239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1">
        <v>0</v>
      </c>
      <c r="AM66" s="10">
        <v>0</v>
      </c>
      <c r="AN66" s="11">
        <v>15</v>
      </c>
      <c r="AO66" s="10">
        <v>55598229511</v>
      </c>
      <c r="AP66" s="12">
        <v>14</v>
      </c>
      <c r="AQ66" s="10">
        <v>32992155500</v>
      </c>
      <c r="AR66" s="10">
        <v>8213297512</v>
      </c>
      <c r="AS66" s="10">
        <v>6730555804</v>
      </c>
      <c r="AT66" s="10">
        <v>1482741708</v>
      </c>
      <c r="AU66" s="11">
        <v>22.03</v>
      </c>
      <c r="AV66" s="10">
        <v>183846411204</v>
      </c>
      <c r="AW66" s="10">
        <v>53133767026</v>
      </c>
      <c r="AX66" s="10">
        <v>88576821427</v>
      </c>
      <c r="AY66" s="10">
        <v>208639051734</v>
      </c>
      <c r="AZ66" s="10">
        <v>178789360772</v>
      </c>
      <c r="BA66" s="10">
        <v>327547750000</v>
      </c>
      <c r="BB66" s="10">
        <v>82181708323</v>
      </c>
      <c r="BC66" s="10">
        <v>810302808630</v>
      </c>
      <c r="BD66" s="12">
        <v>17954</v>
      </c>
      <c r="BE66" s="10">
        <v>303965697858</v>
      </c>
      <c r="BF66" s="10">
        <v>178489360772</v>
      </c>
      <c r="BG66" s="10">
        <v>327847750000</v>
      </c>
      <c r="BH66" s="10">
        <v>287174893679</v>
      </c>
      <c r="BI66" s="10">
        <v>13769978560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</row>
    <row r="67" spans="1:67" x14ac:dyDescent="0.25">
      <c r="A67" s="25" t="s">
        <v>111</v>
      </c>
      <c r="B67" s="9">
        <v>1411</v>
      </c>
      <c r="C67" s="9" t="s">
        <v>122</v>
      </c>
      <c r="D67" s="10">
        <v>940551350162</v>
      </c>
      <c r="E67" s="10">
        <v>18691142757</v>
      </c>
      <c r="F67" s="10">
        <v>0</v>
      </c>
      <c r="G67" s="10">
        <v>0</v>
      </c>
      <c r="H67" s="10">
        <v>959242492919</v>
      </c>
      <c r="I67" s="10">
        <v>72463729785</v>
      </c>
      <c r="J67" s="10">
        <v>1276725206</v>
      </c>
      <c r="K67" s="10">
        <v>885502037928</v>
      </c>
      <c r="L67" s="10">
        <v>642396550538</v>
      </c>
      <c r="M67" s="10">
        <v>316845942381</v>
      </c>
      <c r="N67" s="46">
        <v>49.32248501578114</v>
      </c>
      <c r="O67" s="10">
        <v>1052403349696</v>
      </c>
      <c r="P67" s="11">
        <v>119.38</v>
      </c>
      <c r="Q67" s="11">
        <v>118.85</v>
      </c>
      <c r="R67" s="11">
        <v>0.39</v>
      </c>
      <c r="S67" s="10">
        <v>1094417428048</v>
      </c>
      <c r="T67" s="10">
        <v>4436891582</v>
      </c>
      <c r="U67" s="10">
        <v>4124516823</v>
      </c>
      <c r="V67" s="10">
        <v>312374759</v>
      </c>
      <c r="W67" s="10">
        <v>0</v>
      </c>
      <c r="X67" s="10">
        <v>1098854319630</v>
      </c>
      <c r="Y67" s="10">
        <v>0</v>
      </c>
      <c r="Z67" s="10">
        <v>30476405444</v>
      </c>
      <c r="AA67" s="10">
        <v>15802220000</v>
      </c>
      <c r="AB67" s="10">
        <v>1145132945074</v>
      </c>
      <c r="AC67" s="10">
        <v>406037803503</v>
      </c>
      <c r="AD67" s="46">
        <v>170.62857451938737</v>
      </c>
      <c r="AE67" s="10">
        <v>1684642055635</v>
      </c>
      <c r="AF67" s="10">
        <v>1684642055635</v>
      </c>
      <c r="AG67" s="10">
        <v>776561468151</v>
      </c>
      <c r="AH67" s="10">
        <v>0</v>
      </c>
      <c r="AI67" s="10">
        <v>0</v>
      </c>
      <c r="AJ67" s="10">
        <v>0</v>
      </c>
      <c r="AK67" s="10">
        <v>0</v>
      </c>
      <c r="AL67" s="11">
        <v>6</v>
      </c>
      <c r="AM67" s="10">
        <v>887000845693</v>
      </c>
      <c r="AN67" s="11">
        <v>26</v>
      </c>
      <c r="AO67" s="10">
        <v>168905799901</v>
      </c>
      <c r="AP67" s="12">
        <v>16</v>
      </c>
      <c r="AQ67" s="10">
        <v>224346004125</v>
      </c>
      <c r="AR67" s="10">
        <v>4436891582</v>
      </c>
      <c r="AS67" s="10">
        <v>3761300829</v>
      </c>
      <c r="AT67" s="10">
        <v>675590753</v>
      </c>
      <c r="AU67" s="13">
        <v>17.96</v>
      </c>
      <c r="AV67" s="10">
        <v>1027782126624</v>
      </c>
      <c r="AW67" s="10">
        <v>575818496922</v>
      </c>
      <c r="AX67" s="10">
        <v>290506086299</v>
      </c>
      <c r="AY67" s="10">
        <v>64923880468</v>
      </c>
      <c r="AZ67" s="10">
        <v>207757883395</v>
      </c>
      <c r="BA67" s="10">
        <v>377363500000</v>
      </c>
      <c r="BB67" s="10">
        <v>124969694040</v>
      </c>
      <c r="BC67" s="10">
        <v>959242492919</v>
      </c>
      <c r="BD67" s="12">
        <v>74689</v>
      </c>
      <c r="BE67" s="10">
        <v>374121109524</v>
      </c>
      <c r="BF67" s="10">
        <v>207757883395</v>
      </c>
      <c r="BG67" s="10">
        <v>377363500000</v>
      </c>
      <c r="BH67" s="10">
        <v>1609292316550</v>
      </c>
      <c r="BI67" s="10">
        <v>75349739085</v>
      </c>
      <c r="BJ67" s="10">
        <v>0</v>
      </c>
      <c r="BK67" s="10">
        <v>0</v>
      </c>
      <c r="BL67" s="10">
        <v>776561468151</v>
      </c>
      <c r="BM67" s="10">
        <v>0</v>
      </c>
      <c r="BN67" s="10">
        <v>0</v>
      </c>
      <c r="BO67" s="10">
        <v>0</v>
      </c>
    </row>
    <row r="68" spans="1:67" x14ac:dyDescent="0.25">
      <c r="A68" s="25" t="s">
        <v>111</v>
      </c>
      <c r="B68" s="9">
        <v>1412</v>
      </c>
      <c r="C68" s="9" t="s">
        <v>123</v>
      </c>
      <c r="D68" s="10">
        <v>1216841945138</v>
      </c>
      <c r="E68" s="10">
        <v>37780473672</v>
      </c>
      <c r="F68" s="10">
        <v>0</v>
      </c>
      <c r="G68" s="10">
        <v>0</v>
      </c>
      <c r="H68" s="10">
        <v>1254622418810</v>
      </c>
      <c r="I68" s="10">
        <v>93722861664</v>
      </c>
      <c r="J68" s="10">
        <v>1774498272</v>
      </c>
      <c r="K68" s="10">
        <v>1159125058874</v>
      </c>
      <c r="L68" s="10">
        <v>1330593774091</v>
      </c>
      <c r="M68" s="10">
        <v>-75971355281</v>
      </c>
      <c r="N68" s="46">
        <v>-5.7095829516337631</v>
      </c>
      <c r="O68" s="10">
        <v>858983751100</v>
      </c>
      <c r="P68" s="11">
        <v>79.59</v>
      </c>
      <c r="Q68" s="11">
        <v>74.11</v>
      </c>
      <c r="R68" s="11">
        <v>0.64</v>
      </c>
      <c r="S68" s="10">
        <v>973452301428</v>
      </c>
      <c r="T68" s="10">
        <v>6395495480</v>
      </c>
      <c r="U68" s="10">
        <v>4722193114</v>
      </c>
      <c r="V68" s="10">
        <v>0</v>
      </c>
      <c r="W68" s="10">
        <v>1673302366</v>
      </c>
      <c r="X68" s="10">
        <v>979847796908</v>
      </c>
      <c r="Y68" s="10">
        <v>29055591</v>
      </c>
      <c r="Z68" s="10">
        <v>18661869157</v>
      </c>
      <c r="AA68" s="10">
        <v>0</v>
      </c>
      <c r="AB68" s="10">
        <v>998509666065</v>
      </c>
      <c r="AC68" s="10">
        <v>742903646418</v>
      </c>
      <c r="AD68" s="46">
        <v>31.894331335221594</v>
      </c>
      <c r="AE68" s="10">
        <v>615566070295</v>
      </c>
      <c r="AF68" s="10">
        <v>615566070295</v>
      </c>
      <c r="AG68" s="10">
        <v>0</v>
      </c>
      <c r="AH68" s="10">
        <v>864000000</v>
      </c>
      <c r="AI68" s="10">
        <v>0</v>
      </c>
      <c r="AJ68" s="10">
        <v>0</v>
      </c>
      <c r="AK68" s="10">
        <v>0</v>
      </c>
      <c r="AL68" s="11">
        <v>0</v>
      </c>
      <c r="AM68" s="10">
        <v>0</v>
      </c>
      <c r="AN68" s="11">
        <v>9</v>
      </c>
      <c r="AO68" s="10">
        <v>167044005391</v>
      </c>
      <c r="AP68" s="12">
        <v>3</v>
      </c>
      <c r="AQ68" s="10">
        <v>105487500000</v>
      </c>
      <c r="AR68" s="10">
        <v>6395495480</v>
      </c>
      <c r="AS68" s="10">
        <v>8199910775</v>
      </c>
      <c r="AT68" s="10">
        <v>-1804415295</v>
      </c>
      <c r="AU68" s="11">
        <v>-22.01</v>
      </c>
      <c r="AV68" s="10">
        <v>412649901510</v>
      </c>
      <c r="AW68" s="10">
        <v>46070130656</v>
      </c>
      <c r="AX68" s="10">
        <v>248401019426</v>
      </c>
      <c r="AY68" s="10">
        <v>283250082400</v>
      </c>
      <c r="AZ68" s="10">
        <v>173894343312</v>
      </c>
      <c r="BA68" s="10">
        <v>511296500000</v>
      </c>
      <c r="BB68" s="10">
        <v>103992995362</v>
      </c>
      <c r="BC68" s="10">
        <v>1254622418810</v>
      </c>
      <c r="BD68" s="12">
        <v>39106</v>
      </c>
      <c r="BE68" s="10">
        <v>569431575498</v>
      </c>
      <c r="BF68" s="10">
        <v>168132343312</v>
      </c>
      <c r="BG68" s="10">
        <v>517058500000</v>
      </c>
      <c r="BH68" s="10">
        <v>539450964249</v>
      </c>
      <c r="BI68" s="10">
        <v>76115106046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864000000</v>
      </c>
    </row>
    <row r="69" spans="1:67" x14ac:dyDescent="0.25">
      <c r="A69" s="25" t="s">
        <v>111</v>
      </c>
      <c r="B69" s="9">
        <v>1413</v>
      </c>
      <c r="C69" s="9" t="s">
        <v>124</v>
      </c>
      <c r="D69" s="10">
        <v>1362196812144</v>
      </c>
      <c r="E69" s="10">
        <v>9588385922</v>
      </c>
      <c r="F69" s="10">
        <v>0</v>
      </c>
      <c r="G69" s="10">
        <v>0</v>
      </c>
      <c r="H69" s="10">
        <v>1371785198066</v>
      </c>
      <c r="I69" s="10">
        <v>104572716752</v>
      </c>
      <c r="J69" s="10">
        <v>753912000</v>
      </c>
      <c r="K69" s="10">
        <v>1266458569314</v>
      </c>
      <c r="L69" s="10">
        <v>1102198814210</v>
      </c>
      <c r="M69" s="10">
        <v>269586383856</v>
      </c>
      <c r="N69" s="46">
        <v>24.458961521313721</v>
      </c>
      <c r="O69" s="10">
        <v>1054507052421</v>
      </c>
      <c r="P69" s="11">
        <v>86.72</v>
      </c>
      <c r="Q69" s="11">
        <v>83.26</v>
      </c>
      <c r="R69" s="11">
        <v>2.08</v>
      </c>
      <c r="S69" s="10">
        <v>1123954343126</v>
      </c>
      <c r="T69" s="10">
        <v>24763876783</v>
      </c>
      <c r="U69" s="10">
        <v>22670578943</v>
      </c>
      <c r="V69" s="10">
        <v>2093297840</v>
      </c>
      <c r="W69" s="10">
        <v>0</v>
      </c>
      <c r="X69" s="10">
        <v>1148718219909</v>
      </c>
      <c r="Y69" s="10">
        <v>0</v>
      </c>
      <c r="Z69" s="10">
        <v>39416559782</v>
      </c>
      <c r="AA69" s="10">
        <v>1500000000</v>
      </c>
      <c r="AB69" s="10">
        <v>1189634779691</v>
      </c>
      <c r="AC69" s="10">
        <v>960197769688</v>
      </c>
      <c r="AD69" s="46">
        <v>19.633502198433199</v>
      </c>
      <c r="AE69" s="10">
        <v>699784139466</v>
      </c>
      <c r="AF69" s="10">
        <v>699784139466</v>
      </c>
      <c r="AG69" s="10">
        <v>0</v>
      </c>
      <c r="AH69" s="10">
        <v>303798544</v>
      </c>
      <c r="AI69" s="10">
        <v>0</v>
      </c>
      <c r="AJ69" s="10">
        <v>0</v>
      </c>
      <c r="AK69" s="10">
        <v>0</v>
      </c>
      <c r="AL69" s="11">
        <v>0</v>
      </c>
      <c r="AM69" s="10">
        <v>0</v>
      </c>
      <c r="AN69" s="11">
        <v>17</v>
      </c>
      <c r="AO69" s="10">
        <v>22557090560</v>
      </c>
      <c r="AP69" s="12">
        <v>16</v>
      </c>
      <c r="AQ69" s="10">
        <v>47081831120</v>
      </c>
      <c r="AR69" s="10">
        <v>24763876783</v>
      </c>
      <c r="AS69" s="10">
        <v>21135155619</v>
      </c>
      <c r="AT69" s="10">
        <v>3628721164</v>
      </c>
      <c r="AU69" s="11">
        <v>17.170000000000002</v>
      </c>
      <c r="AV69" s="10">
        <v>555865415104</v>
      </c>
      <c r="AW69" s="10">
        <v>132665774279</v>
      </c>
      <c r="AX69" s="10">
        <v>118509947080</v>
      </c>
      <c r="AY69" s="10">
        <v>201232137357</v>
      </c>
      <c r="AZ69" s="10">
        <v>190733727707</v>
      </c>
      <c r="BA69" s="10">
        <v>851721000000</v>
      </c>
      <c r="BB69" s="10">
        <v>107007109489</v>
      </c>
      <c r="BC69" s="10">
        <v>1371785198066</v>
      </c>
      <c r="BD69" s="12">
        <v>101272</v>
      </c>
      <c r="BE69" s="10">
        <v>329330470359</v>
      </c>
      <c r="BF69" s="10">
        <v>190733727707</v>
      </c>
      <c r="BG69" s="10">
        <v>851721000000</v>
      </c>
      <c r="BH69" s="10">
        <v>350954139466</v>
      </c>
      <c r="BI69" s="10">
        <v>348830000000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303798544</v>
      </c>
    </row>
    <row r="70" spans="1:67" x14ac:dyDescent="0.25">
      <c r="A70" s="25" t="s">
        <v>111</v>
      </c>
      <c r="B70" s="9">
        <v>1414</v>
      </c>
      <c r="C70" s="9" t="s">
        <v>125</v>
      </c>
      <c r="D70" s="10">
        <v>1390750399886</v>
      </c>
      <c r="E70" s="10">
        <v>191942430365</v>
      </c>
      <c r="F70" s="10">
        <v>0</v>
      </c>
      <c r="G70" s="10">
        <v>0</v>
      </c>
      <c r="H70" s="10">
        <v>1582692830251</v>
      </c>
      <c r="I70" s="10">
        <v>125231451257</v>
      </c>
      <c r="J70" s="10">
        <v>16024818314</v>
      </c>
      <c r="K70" s="10">
        <v>1441436560680</v>
      </c>
      <c r="L70" s="10">
        <v>1109326846273</v>
      </c>
      <c r="M70" s="10">
        <v>473365983978</v>
      </c>
      <c r="N70" s="46">
        <v>42.671462028379224</v>
      </c>
      <c r="O70" s="10">
        <v>2272295624563</v>
      </c>
      <c r="P70" s="11">
        <v>152.80000000000001</v>
      </c>
      <c r="Q70" s="11">
        <v>157.63999999999999</v>
      </c>
      <c r="R70" s="11">
        <v>0.06</v>
      </c>
      <c r="S70" s="10">
        <v>2342405831771</v>
      </c>
      <c r="T70" s="10">
        <v>997565932</v>
      </c>
      <c r="U70" s="10">
        <v>581110792</v>
      </c>
      <c r="V70" s="10">
        <v>0</v>
      </c>
      <c r="W70" s="10">
        <v>416455140</v>
      </c>
      <c r="X70" s="10">
        <v>2343403397703</v>
      </c>
      <c r="Y70" s="10">
        <v>454098264</v>
      </c>
      <c r="Z70" s="10">
        <v>67831797690</v>
      </c>
      <c r="AA70" s="10">
        <v>7171999387</v>
      </c>
      <c r="AB70" s="10">
        <v>2418407194780</v>
      </c>
      <c r="AC70" s="10">
        <v>1060218513233</v>
      </c>
      <c r="AD70" s="46">
        <v>121.03022805714765</v>
      </c>
      <c r="AE70" s="10">
        <v>2979868880166</v>
      </c>
      <c r="AF70" s="10">
        <v>2979868880166</v>
      </c>
      <c r="AG70" s="10">
        <v>1065226709042</v>
      </c>
      <c r="AH70" s="10">
        <v>15828542930</v>
      </c>
      <c r="AI70" s="10">
        <v>0</v>
      </c>
      <c r="AJ70" s="10">
        <v>0</v>
      </c>
      <c r="AK70" s="10">
        <v>0</v>
      </c>
      <c r="AL70" s="11">
        <v>14</v>
      </c>
      <c r="AM70" s="10">
        <v>1168148743203</v>
      </c>
      <c r="AN70" s="11">
        <v>200</v>
      </c>
      <c r="AO70" s="10">
        <v>1974684865280</v>
      </c>
      <c r="AP70" s="12">
        <v>43</v>
      </c>
      <c r="AQ70" s="10">
        <v>555117209316</v>
      </c>
      <c r="AR70" s="10">
        <v>997565932</v>
      </c>
      <c r="AS70" s="10">
        <v>3088856940</v>
      </c>
      <c r="AT70" s="10">
        <v>-2091291008</v>
      </c>
      <c r="AU70" s="11">
        <v>-67.7</v>
      </c>
      <c r="AV70" s="10">
        <v>1759035414289</v>
      </c>
      <c r="AW70" s="10">
        <v>431576612309</v>
      </c>
      <c r="AX70" s="10">
        <v>495187893536</v>
      </c>
      <c r="AY70" s="10">
        <v>197393328876</v>
      </c>
      <c r="AZ70" s="10">
        <v>265257077474</v>
      </c>
      <c r="BA70" s="10">
        <v>432912100000</v>
      </c>
      <c r="BB70" s="10">
        <v>179379697526</v>
      </c>
      <c r="BC70" s="10">
        <v>1582692830251</v>
      </c>
      <c r="BD70" s="12">
        <v>84261</v>
      </c>
      <c r="BE70" s="10">
        <v>884523652777</v>
      </c>
      <c r="BF70" s="10">
        <v>265257077474</v>
      </c>
      <c r="BG70" s="10">
        <v>432912100000</v>
      </c>
      <c r="BH70" s="10">
        <v>1141533816755</v>
      </c>
      <c r="BI70" s="10">
        <v>1838335063411</v>
      </c>
      <c r="BJ70" s="10">
        <v>252850082573</v>
      </c>
      <c r="BK70" s="10">
        <v>0</v>
      </c>
      <c r="BL70" s="10">
        <v>950342613595</v>
      </c>
      <c r="BM70" s="10">
        <v>0</v>
      </c>
      <c r="BN70" s="10">
        <v>0</v>
      </c>
      <c r="BO70" s="10">
        <v>15828542930</v>
      </c>
    </row>
    <row r="71" spans="1:67" x14ac:dyDescent="0.25">
      <c r="A71" s="25" t="s">
        <v>111</v>
      </c>
      <c r="B71" s="9">
        <v>1415</v>
      </c>
      <c r="C71" s="9" t="s">
        <v>126</v>
      </c>
      <c r="D71" s="10">
        <v>755781043398</v>
      </c>
      <c r="E71" s="10">
        <v>3582483020</v>
      </c>
      <c r="F71" s="10">
        <v>0</v>
      </c>
      <c r="G71" s="10">
        <v>0</v>
      </c>
      <c r="H71" s="10">
        <v>759363526418</v>
      </c>
      <c r="I71" s="10">
        <v>57624500057</v>
      </c>
      <c r="J71" s="10">
        <v>2741861361</v>
      </c>
      <c r="K71" s="10">
        <v>698997165000</v>
      </c>
      <c r="L71" s="10">
        <v>586662335104</v>
      </c>
      <c r="M71" s="10">
        <v>172701191314</v>
      </c>
      <c r="N71" s="46">
        <v>29.437920415222251</v>
      </c>
      <c r="O71" s="10">
        <v>678625506564</v>
      </c>
      <c r="P71" s="11">
        <v>102.56</v>
      </c>
      <c r="Q71" s="11">
        <v>97.09</v>
      </c>
      <c r="R71" s="11">
        <v>6.12</v>
      </c>
      <c r="S71" s="10">
        <v>680130634194</v>
      </c>
      <c r="T71" s="10">
        <v>47660739791</v>
      </c>
      <c r="U71" s="10">
        <v>47660739791</v>
      </c>
      <c r="V71" s="10">
        <v>0</v>
      </c>
      <c r="W71" s="10">
        <v>0</v>
      </c>
      <c r="X71" s="10">
        <v>727791373985</v>
      </c>
      <c r="Y71" s="10">
        <v>0</v>
      </c>
      <c r="Z71" s="10">
        <v>41074686666</v>
      </c>
      <c r="AA71" s="10">
        <v>9900000000</v>
      </c>
      <c r="AB71" s="10">
        <v>778766060651</v>
      </c>
      <c r="AC71" s="10">
        <v>639415226324</v>
      </c>
      <c r="AD71" s="46">
        <v>13.821401809443095</v>
      </c>
      <c r="AE71" s="10">
        <v>558432784896</v>
      </c>
      <c r="AF71" s="10">
        <v>558432784896</v>
      </c>
      <c r="AG71" s="10">
        <v>177198077154</v>
      </c>
      <c r="AH71" s="10">
        <v>9112500</v>
      </c>
      <c r="AI71" s="10">
        <v>0</v>
      </c>
      <c r="AJ71" s="10">
        <v>0</v>
      </c>
      <c r="AK71" s="10">
        <v>37129712467</v>
      </c>
      <c r="AL71" s="11">
        <v>2</v>
      </c>
      <c r="AM71" s="10">
        <v>299997763504</v>
      </c>
      <c r="AN71" s="11">
        <v>7</v>
      </c>
      <c r="AO71" s="10">
        <v>42110600000</v>
      </c>
      <c r="AP71" s="12">
        <v>8</v>
      </c>
      <c r="AQ71" s="10">
        <v>13832000000</v>
      </c>
      <c r="AR71" s="10">
        <v>47660739791</v>
      </c>
      <c r="AS71" s="10">
        <v>4870169903</v>
      </c>
      <c r="AT71" s="10">
        <v>42790569888</v>
      </c>
      <c r="AU71" s="11">
        <v>878.63</v>
      </c>
      <c r="AV71" s="10">
        <v>450873133758</v>
      </c>
      <c r="AW71" s="10">
        <v>34703183342</v>
      </c>
      <c r="AX71" s="10">
        <v>102836273293</v>
      </c>
      <c r="AY71" s="10">
        <v>83867515128</v>
      </c>
      <c r="AZ71" s="10">
        <v>147511154977</v>
      </c>
      <c r="BA71" s="10">
        <v>421566100000</v>
      </c>
      <c r="BB71" s="10">
        <v>64526826650</v>
      </c>
      <c r="BC71" s="10">
        <v>759363526418</v>
      </c>
      <c r="BD71" s="12">
        <v>43710</v>
      </c>
      <c r="BE71" s="10">
        <v>190286271441</v>
      </c>
      <c r="BF71" s="10">
        <v>147511154977</v>
      </c>
      <c r="BG71" s="10">
        <v>421566100000</v>
      </c>
      <c r="BH71" s="10">
        <v>288044707742</v>
      </c>
      <c r="BI71" s="10">
        <v>270388077154</v>
      </c>
      <c r="BJ71" s="10">
        <v>0</v>
      </c>
      <c r="BK71" s="10">
        <v>0</v>
      </c>
      <c r="BL71" s="10">
        <v>177198077154</v>
      </c>
      <c r="BM71" s="10">
        <v>0</v>
      </c>
      <c r="BN71" s="10">
        <v>0</v>
      </c>
      <c r="BO71" s="10">
        <v>9112500</v>
      </c>
    </row>
    <row r="72" spans="1:67" x14ac:dyDescent="0.25">
      <c r="A72" s="25" t="s">
        <v>111</v>
      </c>
      <c r="B72" s="9">
        <v>1416</v>
      </c>
      <c r="C72" s="9" t="s">
        <v>127</v>
      </c>
      <c r="D72" s="10">
        <v>2728807147329</v>
      </c>
      <c r="E72" s="10">
        <v>35174974822</v>
      </c>
      <c r="F72" s="10">
        <v>0</v>
      </c>
      <c r="G72" s="10">
        <v>0</v>
      </c>
      <c r="H72" s="10">
        <v>2763982122151</v>
      </c>
      <c r="I72" s="10">
        <v>207292593194</v>
      </c>
      <c r="J72" s="10">
        <v>875064072</v>
      </c>
      <c r="K72" s="10">
        <v>2555814464885</v>
      </c>
      <c r="L72" s="10">
        <v>2359887803026</v>
      </c>
      <c r="M72" s="10">
        <v>404094319125</v>
      </c>
      <c r="N72" s="46">
        <v>17.123454708602853</v>
      </c>
      <c r="O72" s="10">
        <v>1568294830854</v>
      </c>
      <c r="P72" s="11">
        <v>65.3</v>
      </c>
      <c r="Q72" s="11">
        <v>61.36</v>
      </c>
      <c r="R72" s="11">
        <v>0.87</v>
      </c>
      <c r="S72" s="10">
        <v>1767865993257</v>
      </c>
      <c r="T72" s="10">
        <v>15678418881</v>
      </c>
      <c r="U72" s="10">
        <v>15091811495</v>
      </c>
      <c r="V72" s="10">
        <v>586607386</v>
      </c>
      <c r="W72" s="10">
        <v>0</v>
      </c>
      <c r="X72" s="10">
        <v>1783544412138</v>
      </c>
      <c r="Y72" s="10">
        <v>0</v>
      </c>
      <c r="Z72" s="10">
        <v>21262459580</v>
      </c>
      <c r="AA72" s="10">
        <v>0</v>
      </c>
      <c r="AB72" s="10">
        <v>1804806871718</v>
      </c>
      <c r="AC72" s="10">
        <v>1241567155264</v>
      </c>
      <c r="AD72" s="46">
        <v>43.652673524434285</v>
      </c>
      <c r="AE72" s="10">
        <v>1958747100026</v>
      </c>
      <c r="AF72" s="10">
        <v>1958747100026</v>
      </c>
      <c r="AG72" s="10">
        <v>950720457341</v>
      </c>
      <c r="AH72" s="10">
        <v>0</v>
      </c>
      <c r="AI72" s="10">
        <v>48893366181</v>
      </c>
      <c r="AJ72" s="10">
        <v>0</v>
      </c>
      <c r="AK72" s="10">
        <v>0</v>
      </c>
      <c r="AL72" s="11">
        <v>1</v>
      </c>
      <c r="AM72" s="10">
        <v>140760000000</v>
      </c>
      <c r="AN72" s="11">
        <v>67</v>
      </c>
      <c r="AO72" s="10">
        <v>286488089265</v>
      </c>
      <c r="AP72" s="12">
        <v>37</v>
      </c>
      <c r="AQ72" s="10">
        <v>407497387926</v>
      </c>
      <c r="AR72" s="10">
        <v>15678418881</v>
      </c>
      <c r="AS72" s="10">
        <v>7391348090</v>
      </c>
      <c r="AT72" s="10">
        <v>8287070791</v>
      </c>
      <c r="AU72" s="13">
        <v>112.12</v>
      </c>
      <c r="AV72" s="10">
        <v>1513930096980</v>
      </c>
      <c r="AW72" s="10">
        <v>465910287561</v>
      </c>
      <c r="AX72" s="10">
        <v>341580478832</v>
      </c>
      <c r="AY72" s="10">
        <v>62175204705</v>
      </c>
      <c r="AZ72" s="10">
        <v>250442563792</v>
      </c>
      <c r="BA72" s="10">
        <v>2074608900000</v>
      </c>
      <c r="BB72" s="10">
        <v>165190810101</v>
      </c>
      <c r="BC72" s="10">
        <v>2763982122151</v>
      </c>
      <c r="BD72" s="12">
        <v>13447</v>
      </c>
      <c r="BE72" s="10">
        <v>438930658359</v>
      </c>
      <c r="BF72" s="10">
        <v>246257763792</v>
      </c>
      <c r="BG72" s="10">
        <v>2078793700000</v>
      </c>
      <c r="BH72" s="10">
        <v>1815857527683</v>
      </c>
      <c r="BI72" s="10">
        <v>142889572343</v>
      </c>
      <c r="BJ72" s="10">
        <v>0</v>
      </c>
      <c r="BK72" s="10">
        <v>0</v>
      </c>
      <c r="BL72" s="10">
        <v>987808657341</v>
      </c>
      <c r="BM72" s="10">
        <v>0</v>
      </c>
      <c r="BN72" s="10">
        <v>0</v>
      </c>
      <c r="BO72" s="10">
        <v>0</v>
      </c>
    </row>
    <row r="73" spans="1:67" x14ac:dyDescent="0.25">
      <c r="A73" s="25" t="s">
        <v>111</v>
      </c>
      <c r="B73" s="9">
        <v>1417</v>
      </c>
      <c r="C73" s="9" t="s">
        <v>128</v>
      </c>
      <c r="D73" s="10">
        <v>893469266238</v>
      </c>
      <c r="E73" s="10">
        <v>212562252742</v>
      </c>
      <c r="F73" s="10">
        <v>0</v>
      </c>
      <c r="G73" s="10">
        <v>0</v>
      </c>
      <c r="H73" s="10">
        <v>1106031518980</v>
      </c>
      <c r="I73" s="10">
        <v>84114534017</v>
      </c>
      <c r="J73" s="10">
        <v>918087145</v>
      </c>
      <c r="K73" s="10">
        <v>1020998897818</v>
      </c>
      <c r="L73" s="10">
        <v>899493464542</v>
      </c>
      <c r="M73" s="10">
        <v>206538054438</v>
      </c>
      <c r="N73" s="46">
        <v>22.9615958958817</v>
      </c>
      <c r="O73" s="10">
        <v>1147420500427</v>
      </c>
      <c r="P73" s="11">
        <v>117.4</v>
      </c>
      <c r="Q73" s="11">
        <v>112.38</v>
      </c>
      <c r="R73" s="11">
        <v>0.56999999999999995</v>
      </c>
      <c r="S73" s="10">
        <v>1249044209610</v>
      </c>
      <c r="T73" s="10">
        <v>7340514905</v>
      </c>
      <c r="U73" s="10">
        <v>7340514905</v>
      </c>
      <c r="V73" s="10">
        <v>0</v>
      </c>
      <c r="W73" s="10">
        <v>0</v>
      </c>
      <c r="X73" s="10">
        <v>1256384724515</v>
      </c>
      <c r="Y73" s="10">
        <v>0</v>
      </c>
      <c r="Z73" s="10">
        <v>35474148189</v>
      </c>
      <c r="AA73" s="10">
        <v>6618000000</v>
      </c>
      <c r="AB73" s="10">
        <v>1298476872704</v>
      </c>
      <c r="AC73" s="10">
        <v>796765628365</v>
      </c>
      <c r="AD73" s="46">
        <v>57.685607886118241</v>
      </c>
      <c r="AE73" s="10">
        <v>3518936309621</v>
      </c>
      <c r="AF73" s="10">
        <v>3518936309621</v>
      </c>
      <c r="AG73" s="10">
        <v>2868891148106</v>
      </c>
      <c r="AH73" s="10">
        <v>1789545</v>
      </c>
      <c r="AI73" s="10">
        <v>0</v>
      </c>
      <c r="AJ73" s="10">
        <v>0</v>
      </c>
      <c r="AK73" s="10">
        <v>0</v>
      </c>
      <c r="AL73" s="11">
        <v>41</v>
      </c>
      <c r="AM73" s="10">
        <v>4298962567877</v>
      </c>
      <c r="AN73" s="11">
        <v>68</v>
      </c>
      <c r="AO73" s="10">
        <v>729614909350</v>
      </c>
      <c r="AP73" s="12">
        <v>33</v>
      </c>
      <c r="AQ73" s="10">
        <v>120636839653</v>
      </c>
      <c r="AR73" s="10">
        <v>7340514905</v>
      </c>
      <c r="AS73" s="10">
        <v>6568409819</v>
      </c>
      <c r="AT73" s="10">
        <v>772105086</v>
      </c>
      <c r="AU73" s="11">
        <v>11.75</v>
      </c>
      <c r="AV73" s="10">
        <v>3074815315074</v>
      </c>
      <c r="AW73" s="10">
        <v>740140468230</v>
      </c>
      <c r="AX73" s="10">
        <v>273967941355</v>
      </c>
      <c r="AY73" s="10">
        <v>105969199839</v>
      </c>
      <c r="AZ73" s="10">
        <v>246736125044</v>
      </c>
      <c r="BA73" s="10">
        <v>266796000000</v>
      </c>
      <c r="BB73" s="10">
        <v>211574849750</v>
      </c>
      <c r="BC73" s="10">
        <v>1106031518980</v>
      </c>
      <c r="BD73" s="12">
        <v>88606</v>
      </c>
      <c r="BE73" s="10">
        <v>592499393936</v>
      </c>
      <c r="BF73" s="10">
        <v>246702125044</v>
      </c>
      <c r="BG73" s="10">
        <v>266830000000</v>
      </c>
      <c r="BH73" s="10">
        <v>2044352730199</v>
      </c>
      <c r="BI73" s="10">
        <v>1474583579422</v>
      </c>
      <c r="BJ73" s="10">
        <v>177554657026</v>
      </c>
      <c r="BK73" s="10">
        <v>0</v>
      </c>
      <c r="BL73" s="10">
        <v>2669818891675</v>
      </c>
      <c r="BM73" s="10">
        <v>0</v>
      </c>
      <c r="BN73" s="10">
        <v>0</v>
      </c>
      <c r="BO73" s="10">
        <v>1063789545</v>
      </c>
    </row>
    <row r="74" spans="1:67" x14ac:dyDescent="0.25">
      <c r="A74" s="25" t="s">
        <v>111</v>
      </c>
      <c r="B74" s="9">
        <v>1418</v>
      </c>
      <c r="C74" s="9" t="s">
        <v>129</v>
      </c>
      <c r="D74" s="10">
        <v>2257723665885</v>
      </c>
      <c r="E74" s="10">
        <v>657442324943</v>
      </c>
      <c r="F74" s="10">
        <v>0</v>
      </c>
      <c r="G74" s="10">
        <v>0</v>
      </c>
      <c r="H74" s="10">
        <v>2915165990828</v>
      </c>
      <c r="I74" s="10">
        <v>260330061958</v>
      </c>
      <c r="J74" s="10">
        <v>3002017606</v>
      </c>
      <c r="K74" s="10">
        <v>2651833911264</v>
      </c>
      <c r="L74" s="10">
        <v>2307067779118</v>
      </c>
      <c r="M74" s="10">
        <v>608098211710</v>
      </c>
      <c r="N74" s="46">
        <v>26.358055762994447</v>
      </c>
      <c r="O74" s="10">
        <v>1751519012269</v>
      </c>
      <c r="P74" s="11">
        <v>64.709999999999994</v>
      </c>
      <c r="Q74" s="11">
        <v>66.05</v>
      </c>
      <c r="R74" s="11">
        <v>0</v>
      </c>
      <c r="S74" s="10">
        <v>1844844963452</v>
      </c>
      <c r="T74" s="10">
        <v>0</v>
      </c>
      <c r="U74" s="10">
        <v>0</v>
      </c>
      <c r="V74" s="10">
        <v>0</v>
      </c>
      <c r="W74" s="10">
        <v>0</v>
      </c>
      <c r="X74" s="10">
        <v>1844844963452</v>
      </c>
      <c r="Y74" s="10">
        <v>0</v>
      </c>
      <c r="Z74" s="10">
        <v>39031564618</v>
      </c>
      <c r="AA74" s="10">
        <v>2494870000</v>
      </c>
      <c r="AB74" s="10">
        <v>1886371398070</v>
      </c>
      <c r="AC74" s="10">
        <v>1059471850846</v>
      </c>
      <c r="AD74" s="46">
        <v>74.128738010252079</v>
      </c>
      <c r="AE74" s="10">
        <v>8240672144608</v>
      </c>
      <c r="AF74" s="10">
        <v>8240672144608</v>
      </c>
      <c r="AG74" s="10">
        <v>7077121334020</v>
      </c>
      <c r="AH74" s="10">
        <v>288000141674</v>
      </c>
      <c r="AI74" s="10">
        <v>121494955890</v>
      </c>
      <c r="AJ74" s="10">
        <v>0</v>
      </c>
      <c r="AK74" s="10">
        <v>0</v>
      </c>
      <c r="AL74" s="11">
        <v>55</v>
      </c>
      <c r="AM74" s="10">
        <v>10734994356327</v>
      </c>
      <c r="AN74" s="11">
        <v>227</v>
      </c>
      <c r="AO74" s="10">
        <v>3560924356274</v>
      </c>
      <c r="AP74" s="12">
        <v>168</v>
      </c>
      <c r="AQ74" s="10">
        <v>2257160999565</v>
      </c>
      <c r="AR74" s="10">
        <v>0</v>
      </c>
      <c r="AS74" s="10">
        <v>0</v>
      </c>
      <c r="AT74" s="10">
        <v>0</v>
      </c>
      <c r="AU74" s="11" t="s">
        <v>593</v>
      </c>
      <c r="AV74" s="10">
        <v>7408267897917</v>
      </c>
      <c r="AW74" s="10">
        <v>693372777155</v>
      </c>
      <c r="AX74" s="10">
        <v>603059400148</v>
      </c>
      <c r="AY74" s="10">
        <v>117051690434</v>
      </c>
      <c r="AZ74" s="10">
        <v>277410575303</v>
      </c>
      <c r="BA74" s="10">
        <v>1260202000000</v>
      </c>
      <c r="BB74" s="10">
        <v>213778513047</v>
      </c>
      <c r="BC74" s="10">
        <v>2915165990828</v>
      </c>
      <c r="BD74" s="12">
        <v>98737</v>
      </c>
      <c r="BE74" s="10">
        <v>1377553415525</v>
      </c>
      <c r="BF74" s="10">
        <v>277410575303</v>
      </c>
      <c r="BG74" s="10">
        <v>1260202000000</v>
      </c>
      <c r="BH74" s="10">
        <v>4626857897515</v>
      </c>
      <c r="BI74" s="10">
        <v>3613814247093</v>
      </c>
      <c r="BJ74" s="10">
        <v>678624123301</v>
      </c>
      <c r="BK74" s="10">
        <v>0</v>
      </c>
      <c r="BL74" s="10">
        <v>6312447223015</v>
      </c>
      <c r="BM74" s="10">
        <v>0</v>
      </c>
      <c r="BN74" s="10">
        <v>0</v>
      </c>
      <c r="BO74" s="10">
        <v>288000141674</v>
      </c>
    </row>
    <row r="75" spans="1:67" x14ac:dyDescent="0.25">
      <c r="A75" s="25" t="s">
        <v>111</v>
      </c>
      <c r="B75" s="9">
        <v>1419</v>
      </c>
      <c r="C75" s="9" t="s">
        <v>130</v>
      </c>
      <c r="D75" s="10">
        <v>4181060577056</v>
      </c>
      <c r="E75" s="10">
        <v>193931488733</v>
      </c>
      <c r="F75" s="10">
        <v>0</v>
      </c>
      <c r="G75" s="10">
        <v>96580200</v>
      </c>
      <c r="H75" s="10">
        <v>4375088645989</v>
      </c>
      <c r="I75" s="10">
        <v>293902615312</v>
      </c>
      <c r="J75" s="10">
        <v>4114226118</v>
      </c>
      <c r="K75" s="10">
        <v>4077071804559</v>
      </c>
      <c r="L75" s="10">
        <v>2052591816781</v>
      </c>
      <c r="M75" s="10">
        <v>2322496829208</v>
      </c>
      <c r="N75" s="46">
        <v>113.14947327668301</v>
      </c>
      <c r="O75" s="10">
        <v>2617391996472</v>
      </c>
      <c r="P75" s="11">
        <v>64.650000000000006</v>
      </c>
      <c r="Q75" s="11">
        <v>64.2</v>
      </c>
      <c r="R75" s="11">
        <v>0.51</v>
      </c>
      <c r="S75" s="10">
        <v>2738859830450</v>
      </c>
      <c r="T75" s="10">
        <v>13930494932</v>
      </c>
      <c r="U75" s="10">
        <v>11808540884</v>
      </c>
      <c r="V75" s="10">
        <v>1672439850</v>
      </c>
      <c r="W75" s="10">
        <v>449514198</v>
      </c>
      <c r="X75" s="10">
        <v>2752790325382</v>
      </c>
      <c r="Y75" s="10">
        <v>371944253</v>
      </c>
      <c r="Z75" s="10">
        <v>58384750708</v>
      </c>
      <c r="AA75" s="10">
        <v>17429980000</v>
      </c>
      <c r="AB75" s="10">
        <v>2828605056090</v>
      </c>
      <c r="AC75" s="10">
        <v>1544754675967</v>
      </c>
      <c r="AD75" s="46">
        <v>78.20242710440624</v>
      </c>
      <c r="AE75" s="10">
        <v>3642870815715</v>
      </c>
      <c r="AF75" s="10">
        <v>3642870815715</v>
      </c>
      <c r="AG75" s="10">
        <v>1577548215780</v>
      </c>
      <c r="AH75" s="10">
        <v>38313000</v>
      </c>
      <c r="AI75" s="10">
        <v>231212126179</v>
      </c>
      <c r="AJ75" s="10">
        <v>0</v>
      </c>
      <c r="AK75" s="10">
        <v>0</v>
      </c>
      <c r="AL75" s="11">
        <v>15</v>
      </c>
      <c r="AM75" s="10">
        <v>1660720524045</v>
      </c>
      <c r="AN75" s="11">
        <v>37</v>
      </c>
      <c r="AO75" s="10">
        <v>727726848400</v>
      </c>
      <c r="AP75" s="12">
        <v>94</v>
      </c>
      <c r="AQ75" s="10">
        <v>897552830634</v>
      </c>
      <c r="AR75" s="10">
        <v>13930494932</v>
      </c>
      <c r="AS75" s="10">
        <v>196006824839</v>
      </c>
      <c r="AT75" s="10">
        <v>-182076329907</v>
      </c>
      <c r="AU75" s="11">
        <v>-92.89</v>
      </c>
      <c r="AV75" s="10">
        <v>2610916394566</v>
      </c>
      <c r="AW75" s="10">
        <v>474886244586</v>
      </c>
      <c r="AX75" s="10">
        <v>2729973939583</v>
      </c>
      <c r="AY75" s="10">
        <v>159316697822</v>
      </c>
      <c r="AZ75" s="10">
        <v>368944934357</v>
      </c>
      <c r="BA75" s="10">
        <v>922825005294</v>
      </c>
      <c r="BB75" s="10">
        <v>112659900280</v>
      </c>
      <c r="BC75" s="10">
        <v>4375088645989</v>
      </c>
      <c r="BD75" s="12">
        <v>201708</v>
      </c>
      <c r="BE75" s="10">
        <v>2980552841629</v>
      </c>
      <c r="BF75" s="10">
        <v>368944934357</v>
      </c>
      <c r="BG75" s="10">
        <v>1025590870003</v>
      </c>
      <c r="BH75" s="10">
        <v>1660458068755</v>
      </c>
      <c r="BI75" s="10">
        <v>1982412746960</v>
      </c>
      <c r="BJ75" s="10">
        <v>0</v>
      </c>
      <c r="BK75" s="10">
        <v>0</v>
      </c>
      <c r="BL75" s="10">
        <v>1762850401723</v>
      </c>
      <c r="BM75" s="10">
        <v>0</v>
      </c>
      <c r="BN75" s="10">
        <v>0</v>
      </c>
      <c r="BO75" s="10">
        <v>38313000</v>
      </c>
    </row>
    <row r="76" spans="1:67" x14ac:dyDescent="0.25">
      <c r="A76" s="25" t="s">
        <v>111</v>
      </c>
      <c r="B76" s="9">
        <v>1420</v>
      </c>
      <c r="C76" s="9" t="s">
        <v>131</v>
      </c>
      <c r="D76" s="10">
        <v>2489068797668</v>
      </c>
      <c r="E76" s="10">
        <v>723157325513</v>
      </c>
      <c r="F76" s="10">
        <v>0</v>
      </c>
      <c r="G76" s="10">
        <v>0</v>
      </c>
      <c r="H76" s="10">
        <v>3212226123181</v>
      </c>
      <c r="I76" s="10">
        <v>170486959789</v>
      </c>
      <c r="J76" s="10">
        <v>2465133329</v>
      </c>
      <c r="K76" s="10">
        <v>3039274030063</v>
      </c>
      <c r="L76" s="10">
        <v>2039355659058</v>
      </c>
      <c r="M76" s="10">
        <v>1172870464123</v>
      </c>
      <c r="N76" s="46">
        <v>57.511815504744348</v>
      </c>
      <c r="O76" s="10">
        <v>1439042642831</v>
      </c>
      <c r="P76" s="11">
        <v>50.12</v>
      </c>
      <c r="Q76" s="11">
        <v>47.35</v>
      </c>
      <c r="R76" s="11">
        <v>0</v>
      </c>
      <c r="S76" s="10">
        <v>1587341656524</v>
      </c>
      <c r="T76" s="10">
        <v>0</v>
      </c>
      <c r="U76" s="10">
        <v>0</v>
      </c>
      <c r="V76" s="10">
        <v>0</v>
      </c>
      <c r="W76" s="10">
        <v>0</v>
      </c>
      <c r="X76" s="10">
        <v>1587341656524</v>
      </c>
      <c r="Y76" s="10">
        <v>13757680</v>
      </c>
      <c r="Z76" s="10">
        <v>22646500337</v>
      </c>
      <c r="AA76" s="10">
        <v>0</v>
      </c>
      <c r="AB76" s="10">
        <v>1609988156861</v>
      </c>
      <c r="AC76" s="10">
        <v>1869849899264</v>
      </c>
      <c r="AD76" s="46">
        <v>-15.108605394005121</v>
      </c>
      <c r="AE76" s="10">
        <v>4849101017013</v>
      </c>
      <c r="AF76" s="10">
        <v>4849101017013</v>
      </c>
      <c r="AG76" s="10">
        <v>3641920815940</v>
      </c>
      <c r="AH76" s="10">
        <v>40280261073</v>
      </c>
      <c r="AI76" s="10">
        <v>0</v>
      </c>
      <c r="AJ76" s="10">
        <v>0</v>
      </c>
      <c r="AK76" s="10">
        <v>0</v>
      </c>
      <c r="AL76" s="11">
        <v>38</v>
      </c>
      <c r="AM76" s="10">
        <v>9077227260275</v>
      </c>
      <c r="AN76" s="11">
        <v>140</v>
      </c>
      <c r="AO76" s="10">
        <v>5588332927897</v>
      </c>
      <c r="AP76" s="12">
        <v>122</v>
      </c>
      <c r="AQ76" s="10">
        <v>4423068762128</v>
      </c>
      <c r="AR76" s="10">
        <v>0</v>
      </c>
      <c r="AS76" s="10">
        <v>0</v>
      </c>
      <c r="AT76" s="10">
        <v>0</v>
      </c>
      <c r="AU76" s="11" t="s">
        <v>593</v>
      </c>
      <c r="AV76" s="10">
        <v>5139948245561</v>
      </c>
      <c r="AW76" s="10">
        <v>1016703636803</v>
      </c>
      <c r="AX76" s="10">
        <v>789325286151</v>
      </c>
      <c r="AY76" s="10">
        <v>630894243101</v>
      </c>
      <c r="AZ76" s="10">
        <v>472277268416</v>
      </c>
      <c r="BA76" s="10">
        <v>596572000000</v>
      </c>
      <c r="BB76" s="10">
        <v>376810642490</v>
      </c>
      <c r="BC76" s="10">
        <v>3212226123181</v>
      </c>
      <c r="BD76" s="12">
        <v>1036</v>
      </c>
      <c r="BE76" s="10">
        <v>2143376854765</v>
      </c>
      <c r="BF76" s="10">
        <v>472277268416</v>
      </c>
      <c r="BG76" s="10">
        <v>596572000000</v>
      </c>
      <c r="BH76" s="10">
        <v>4742601017013</v>
      </c>
      <c r="BI76" s="10">
        <v>106500000000</v>
      </c>
      <c r="BJ76" s="10">
        <v>0</v>
      </c>
      <c r="BK76" s="10">
        <v>0</v>
      </c>
      <c r="BL76" s="10">
        <v>4152098478340</v>
      </c>
      <c r="BM76" s="10">
        <v>0</v>
      </c>
      <c r="BN76" s="10">
        <v>0</v>
      </c>
      <c r="BO76" s="10">
        <v>40280261073</v>
      </c>
    </row>
    <row r="77" spans="1:67" x14ac:dyDescent="0.25">
      <c r="A77" s="25" t="s">
        <v>111</v>
      </c>
      <c r="B77" s="9">
        <v>1421</v>
      </c>
      <c r="C77" s="9" t="s">
        <v>132</v>
      </c>
      <c r="D77" s="10">
        <v>1480841080949</v>
      </c>
      <c r="E77" s="10">
        <v>67005486184</v>
      </c>
      <c r="F77" s="10">
        <v>0</v>
      </c>
      <c r="G77" s="10">
        <v>735786743170</v>
      </c>
      <c r="H77" s="10">
        <v>2283633310303</v>
      </c>
      <c r="I77" s="10">
        <v>208594159492</v>
      </c>
      <c r="J77" s="10">
        <v>2716321920</v>
      </c>
      <c r="K77" s="10">
        <v>2072322828891</v>
      </c>
      <c r="L77" s="10">
        <v>2445921224734</v>
      </c>
      <c r="M77" s="10">
        <v>-162287914431</v>
      </c>
      <c r="N77" s="46">
        <v>-6.6350425675973765</v>
      </c>
      <c r="O77" s="10">
        <v>2569189059528</v>
      </c>
      <c r="P77" s="11">
        <v>120.17</v>
      </c>
      <c r="Q77" s="11">
        <v>123.98</v>
      </c>
      <c r="R77" s="11">
        <v>1.47</v>
      </c>
      <c r="S77" s="10">
        <v>2654918226656</v>
      </c>
      <c r="T77" s="10">
        <v>35050044135</v>
      </c>
      <c r="U77" s="10">
        <v>16613723562</v>
      </c>
      <c r="V77" s="10">
        <v>11326952485</v>
      </c>
      <c r="W77" s="10">
        <v>7109368088</v>
      </c>
      <c r="X77" s="10">
        <v>2689968270791</v>
      </c>
      <c r="Y77" s="10">
        <v>5360776381</v>
      </c>
      <c r="Z77" s="10">
        <v>54301565291</v>
      </c>
      <c r="AA77" s="10">
        <v>0</v>
      </c>
      <c r="AB77" s="10">
        <v>2744269836082</v>
      </c>
      <c r="AC77" s="10">
        <v>1692454394032</v>
      </c>
      <c r="AD77" s="46">
        <v>58.938892550161057</v>
      </c>
      <c r="AE77" s="10">
        <v>2166610683864</v>
      </c>
      <c r="AF77" s="10">
        <v>2166610683864</v>
      </c>
      <c r="AG77" s="10">
        <v>762114580817</v>
      </c>
      <c r="AH77" s="10">
        <v>146076991182</v>
      </c>
      <c r="AI77" s="10">
        <v>225468643288</v>
      </c>
      <c r="AJ77" s="10">
        <v>0</v>
      </c>
      <c r="AK77" s="10">
        <v>0</v>
      </c>
      <c r="AL77" s="11">
        <v>15</v>
      </c>
      <c r="AM77" s="10">
        <v>1136788942901</v>
      </c>
      <c r="AN77" s="11">
        <v>61</v>
      </c>
      <c r="AO77" s="10">
        <v>304286449037</v>
      </c>
      <c r="AP77" s="12">
        <v>37</v>
      </c>
      <c r="AQ77" s="10">
        <v>36893334054</v>
      </c>
      <c r="AR77" s="10">
        <v>35050044135</v>
      </c>
      <c r="AS77" s="10">
        <v>38801639483</v>
      </c>
      <c r="AT77" s="10">
        <v>-3751595348</v>
      </c>
      <c r="AU77" s="11">
        <v>-9.67</v>
      </c>
      <c r="AV77" s="10">
        <v>1517619626621</v>
      </c>
      <c r="AW77" s="10">
        <v>419957374373</v>
      </c>
      <c r="AX77" s="10">
        <v>330195034719</v>
      </c>
      <c r="AY77" s="10">
        <v>310084599659</v>
      </c>
      <c r="AZ77" s="10">
        <v>329440146571</v>
      </c>
      <c r="BA77" s="10">
        <v>511121300000</v>
      </c>
      <c r="BB77" s="10">
        <v>77483737735</v>
      </c>
      <c r="BC77" s="10">
        <v>2283633310303</v>
      </c>
      <c r="BD77" s="12">
        <v>78871</v>
      </c>
      <c r="BE77" s="10">
        <v>1443071863732</v>
      </c>
      <c r="BF77" s="10">
        <v>327814146571</v>
      </c>
      <c r="BG77" s="10">
        <v>512747300000</v>
      </c>
      <c r="BH77" s="10">
        <v>715339695851</v>
      </c>
      <c r="BI77" s="10">
        <v>1451270988013</v>
      </c>
      <c r="BJ77" s="10">
        <v>607148290291</v>
      </c>
      <c r="BK77" s="10">
        <v>0</v>
      </c>
      <c r="BL77" s="10">
        <v>563515507137</v>
      </c>
      <c r="BM77" s="10">
        <v>0</v>
      </c>
      <c r="BN77" s="10">
        <v>0</v>
      </c>
      <c r="BO77" s="10">
        <v>146076991182</v>
      </c>
    </row>
    <row r="78" spans="1:67" x14ac:dyDescent="0.25">
      <c r="A78" s="25" t="s">
        <v>111</v>
      </c>
      <c r="B78" s="9">
        <v>1422</v>
      </c>
      <c r="C78" s="9" t="s">
        <v>133</v>
      </c>
      <c r="D78" s="10">
        <v>620676061213</v>
      </c>
      <c r="E78" s="10">
        <v>3610519623</v>
      </c>
      <c r="F78" s="10">
        <v>0</v>
      </c>
      <c r="G78" s="10">
        <v>0</v>
      </c>
      <c r="H78" s="10">
        <v>624286580836</v>
      </c>
      <c r="I78" s="10">
        <v>40926755188</v>
      </c>
      <c r="J78" s="10">
        <v>560486428</v>
      </c>
      <c r="K78" s="10">
        <v>582799339220</v>
      </c>
      <c r="L78" s="10">
        <v>360014970414</v>
      </c>
      <c r="M78" s="10">
        <v>264271610422</v>
      </c>
      <c r="N78" s="46">
        <v>73.405728133499636</v>
      </c>
      <c r="O78" s="10">
        <v>483127912910</v>
      </c>
      <c r="P78" s="11">
        <v>96.25</v>
      </c>
      <c r="Q78" s="11">
        <v>82.9</v>
      </c>
      <c r="R78" s="11">
        <v>0.62</v>
      </c>
      <c r="S78" s="10">
        <v>537048749132</v>
      </c>
      <c r="T78" s="10">
        <v>3699932533</v>
      </c>
      <c r="U78" s="10">
        <v>1736905036</v>
      </c>
      <c r="V78" s="10">
        <v>1963027497</v>
      </c>
      <c r="W78" s="10">
        <v>0</v>
      </c>
      <c r="X78" s="10">
        <v>540748681665</v>
      </c>
      <c r="Y78" s="10">
        <v>0</v>
      </c>
      <c r="Z78" s="10">
        <v>59936132823</v>
      </c>
      <c r="AA78" s="10">
        <v>200000000</v>
      </c>
      <c r="AB78" s="10">
        <v>600884814488</v>
      </c>
      <c r="AC78" s="10">
        <v>443572350976</v>
      </c>
      <c r="AD78" s="46">
        <v>21.907661844833477</v>
      </c>
      <c r="AE78" s="10">
        <v>249740000000</v>
      </c>
      <c r="AF78" s="10">
        <v>249740000000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1">
        <v>0</v>
      </c>
      <c r="AM78" s="10">
        <v>0</v>
      </c>
      <c r="AN78" s="11">
        <v>16</v>
      </c>
      <c r="AO78" s="10">
        <v>64878684188</v>
      </c>
      <c r="AP78" s="12">
        <v>6</v>
      </c>
      <c r="AQ78" s="10">
        <v>1715200000</v>
      </c>
      <c r="AR78" s="10">
        <v>3699932533</v>
      </c>
      <c r="AS78" s="10">
        <v>3370214666</v>
      </c>
      <c r="AT78" s="10">
        <v>329717867</v>
      </c>
      <c r="AU78" s="11">
        <v>9.7799999999999994</v>
      </c>
      <c r="AV78" s="10">
        <v>176760531475</v>
      </c>
      <c r="AW78" s="10">
        <v>52761768209</v>
      </c>
      <c r="AX78" s="10">
        <v>82578557675</v>
      </c>
      <c r="AY78" s="10">
        <v>96010387834</v>
      </c>
      <c r="AZ78" s="10">
        <v>166476115704</v>
      </c>
      <c r="BA78" s="10">
        <v>275611000000</v>
      </c>
      <c r="BB78" s="10">
        <v>128767617711</v>
      </c>
      <c r="BC78" s="10">
        <v>624286580836</v>
      </c>
      <c r="BD78" s="12">
        <v>8657</v>
      </c>
      <c r="BE78" s="10">
        <v>180741605652</v>
      </c>
      <c r="BF78" s="10">
        <v>166476115704</v>
      </c>
      <c r="BG78" s="10">
        <v>277068859480</v>
      </c>
      <c r="BH78" s="10">
        <v>128170000000</v>
      </c>
      <c r="BI78" s="10">
        <v>121570000000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</row>
    <row r="79" spans="1:67" x14ac:dyDescent="0.25">
      <c r="A79" s="25" t="s">
        <v>111</v>
      </c>
      <c r="B79" s="9">
        <v>1423</v>
      </c>
      <c r="C79" s="9" t="s">
        <v>134</v>
      </c>
      <c r="D79" s="10">
        <v>579682688175</v>
      </c>
      <c r="E79" s="10">
        <v>3204188273</v>
      </c>
      <c r="F79" s="10">
        <v>0</v>
      </c>
      <c r="G79" s="10">
        <v>0</v>
      </c>
      <c r="H79" s="10">
        <v>582886876448</v>
      </c>
      <c r="I79" s="10">
        <v>41818253317</v>
      </c>
      <c r="J79" s="10">
        <v>1817593100</v>
      </c>
      <c r="K79" s="10">
        <v>539251030031</v>
      </c>
      <c r="L79" s="10">
        <v>386922214739</v>
      </c>
      <c r="M79" s="10">
        <v>195964661709</v>
      </c>
      <c r="N79" s="46">
        <v>50.647043318820238</v>
      </c>
      <c r="O79" s="10">
        <v>368112651588</v>
      </c>
      <c r="P79" s="11">
        <v>72.239999999999995</v>
      </c>
      <c r="Q79" s="11">
        <v>68.260000000000005</v>
      </c>
      <c r="R79" s="11">
        <v>0.93</v>
      </c>
      <c r="S79" s="10">
        <v>355963588502</v>
      </c>
      <c r="T79" s="10">
        <v>3931027030</v>
      </c>
      <c r="U79" s="10">
        <v>3931027030</v>
      </c>
      <c r="V79" s="10">
        <v>0</v>
      </c>
      <c r="W79" s="10">
        <v>0</v>
      </c>
      <c r="X79" s="10">
        <v>359894615532</v>
      </c>
      <c r="Y79" s="10">
        <v>0</v>
      </c>
      <c r="Z79" s="10">
        <v>41828800068</v>
      </c>
      <c r="AA79" s="10">
        <v>19350000000</v>
      </c>
      <c r="AB79" s="10">
        <v>421073415600</v>
      </c>
      <c r="AC79" s="10">
        <v>341272521517</v>
      </c>
      <c r="AD79" s="46">
        <v>5.4566637630895132</v>
      </c>
      <c r="AE79" s="10">
        <v>184777495972</v>
      </c>
      <c r="AF79" s="10">
        <v>184777495972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1">
        <v>0</v>
      </c>
      <c r="AM79" s="10">
        <v>0</v>
      </c>
      <c r="AN79" s="11">
        <v>12</v>
      </c>
      <c r="AO79" s="10">
        <v>51915000000</v>
      </c>
      <c r="AP79" s="12">
        <v>30</v>
      </c>
      <c r="AQ79" s="10">
        <v>67258566304</v>
      </c>
      <c r="AR79" s="10">
        <v>3931027030</v>
      </c>
      <c r="AS79" s="10">
        <v>3550799674</v>
      </c>
      <c r="AT79" s="10">
        <v>380227356</v>
      </c>
      <c r="AU79" s="11">
        <v>10.71</v>
      </c>
      <c r="AV79" s="10">
        <v>155139022891</v>
      </c>
      <c r="AW79" s="10">
        <v>42812385113</v>
      </c>
      <c r="AX79" s="10">
        <v>80861192436</v>
      </c>
      <c r="AY79" s="10">
        <v>81634994168</v>
      </c>
      <c r="AZ79" s="10">
        <v>97924001571</v>
      </c>
      <c r="BA79" s="10">
        <v>319262500000</v>
      </c>
      <c r="BB79" s="10">
        <v>49262886413</v>
      </c>
      <c r="BC79" s="10">
        <v>582886876448</v>
      </c>
      <c r="BD79" s="12">
        <v>17725</v>
      </c>
      <c r="BE79" s="10">
        <v>164261266930</v>
      </c>
      <c r="BF79" s="10">
        <v>97924001571</v>
      </c>
      <c r="BG79" s="10">
        <v>320701607947</v>
      </c>
      <c r="BH79" s="10">
        <v>148443552972</v>
      </c>
      <c r="BI79" s="10">
        <v>36333943000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</row>
    <row r="80" spans="1:67" x14ac:dyDescent="0.25">
      <c r="A80" s="25" t="s">
        <v>111</v>
      </c>
      <c r="B80" s="9">
        <v>1424</v>
      </c>
      <c r="C80" s="9" t="s">
        <v>135</v>
      </c>
      <c r="D80" s="10">
        <v>1108428454128</v>
      </c>
      <c r="E80" s="10">
        <v>31939105119</v>
      </c>
      <c r="F80" s="10">
        <v>0</v>
      </c>
      <c r="G80" s="10">
        <v>0</v>
      </c>
      <c r="H80" s="10">
        <v>1140367559247</v>
      </c>
      <c r="I80" s="10">
        <v>88427793210</v>
      </c>
      <c r="J80" s="10">
        <v>589339477</v>
      </c>
      <c r="K80" s="10">
        <v>1051350426560</v>
      </c>
      <c r="L80" s="10">
        <v>872093285591</v>
      </c>
      <c r="M80" s="10">
        <v>268274273656</v>
      </c>
      <c r="N80" s="46">
        <v>30.762107458973947</v>
      </c>
      <c r="O80" s="10">
        <v>537993396121</v>
      </c>
      <c r="P80" s="11">
        <v>54.42</v>
      </c>
      <c r="Q80" s="11">
        <v>51.17</v>
      </c>
      <c r="R80" s="11">
        <v>0.24</v>
      </c>
      <c r="S80" s="10">
        <v>613507621088</v>
      </c>
      <c r="T80" s="10">
        <v>1492448470</v>
      </c>
      <c r="U80" s="10">
        <v>1492448470</v>
      </c>
      <c r="V80" s="10">
        <v>0</v>
      </c>
      <c r="W80" s="10">
        <v>0</v>
      </c>
      <c r="X80" s="10">
        <v>615000069558</v>
      </c>
      <c r="Y80" s="10">
        <v>0</v>
      </c>
      <c r="Z80" s="10">
        <v>5595562544</v>
      </c>
      <c r="AA80" s="10">
        <v>0</v>
      </c>
      <c r="AB80" s="10">
        <v>620595632102</v>
      </c>
      <c r="AC80" s="10">
        <v>577858534353</v>
      </c>
      <c r="AD80" s="46">
        <v>6.4274442613511908</v>
      </c>
      <c r="AE80" s="10">
        <v>2993442341309</v>
      </c>
      <c r="AF80" s="10">
        <v>2993442341309</v>
      </c>
      <c r="AG80" s="10">
        <v>2655308386309</v>
      </c>
      <c r="AH80" s="10">
        <v>1344000000</v>
      </c>
      <c r="AI80" s="10">
        <v>450706855138</v>
      </c>
      <c r="AJ80" s="10">
        <v>0</v>
      </c>
      <c r="AK80" s="10">
        <v>0</v>
      </c>
      <c r="AL80" s="11">
        <v>8</v>
      </c>
      <c r="AM80" s="10">
        <v>2691193144018</v>
      </c>
      <c r="AN80" s="11">
        <v>44</v>
      </c>
      <c r="AO80" s="10">
        <v>307585671680</v>
      </c>
      <c r="AP80" s="12">
        <v>32</v>
      </c>
      <c r="AQ80" s="10">
        <v>209581620331</v>
      </c>
      <c r="AR80" s="10">
        <v>1492448470</v>
      </c>
      <c r="AS80" s="10">
        <v>2528944243</v>
      </c>
      <c r="AT80" s="10">
        <v>-1036495773</v>
      </c>
      <c r="AU80" s="13">
        <v>-40.99</v>
      </c>
      <c r="AV80" s="10">
        <v>2966344288362</v>
      </c>
      <c r="AW80" s="10">
        <v>1363620670151</v>
      </c>
      <c r="AX80" s="10">
        <v>279015770855</v>
      </c>
      <c r="AY80" s="10">
        <v>93839938520</v>
      </c>
      <c r="AZ80" s="10">
        <v>169896044753</v>
      </c>
      <c r="BA80" s="10">
        <v>565676700000</v>
      </c>
      <c r="BB80" s="10">
        <v>80642308903</v>
      </c>
      <c r="BC80" s="10">
        <v>1140367559247</v>
      </c>
      <c r="BD80" s="12">
        <v>11518</v>
      </c>
      <c r="BE80" s="10">
        <v>404794814494</v>
      </c>
      <c r="BF80" s="10">
        <v>169896044753</v>
      </c>
      <c r="BG80" s="10">
        <v>565676700000</v>
      </c>
      <c r="BH80" s="10">
        <v>2887578341309</v>
      </c>
      <c r="BI80" s="10">
        <v>105864000000</v>
      </c>
      <c r="BJ80" s="10">
        <v>0</v>
      </c>
      <c r="BK80" s="10">
        <v>0</v>
      </c>
      <c r="BL80" s="10">
        <v>2204601531171</v>
      </c>
      <c r="BM80" s="10">
        <v>0</v>
      </c>
      <c r="BN80" s="10">
        <v>0</v>
      </c>
      <c r="BO80" s="10">
        <v>1344000000</v>
      </c>
    </row>
    <row r="81" spans="1:67" x14ac:dyDescent="0.25">
      <c r="A81" s="25" t="s">
        <v>111</v>
      </c>
      <c r="B81" s="9">
        <v>1425</v>
      </c>
      <c r="C81" s="9" t="s">
        <v>136</v>
      </c>
      <c r="D81" s="10">
        <v>1641395912003</v>
      </c>
      <c r="E81" s="10">
        <v>38514483009</v>
      </c>
      <c r="F81" s="10">
        <v>0</v>
      </c>
      <c r="G81" s="10">
        <v>0</v>
      </c>
      <c r="H81" s="10">
        <v>1679910395012</v>
      </c>
      <c r="I81" s="10">
        <v>116626061206</v>
      </c>
      <c r="J81" s="10">
        <v>7893946743</v>
      </c>
      <c r="K81" s="10">
        <v>1555390387063</v>
      </c>
      <c r="L81" s="10">
        <v>1287656639874</v>
      </c>
      <c r="M81" s="10">
        <v>392253755138</v>
      </c>
      <c r="N81" s="46">
        <v>30.462604936078524</v>
      </c>
      <c r="O81" s="10">
        <v>830822144318</v>
      </c>
      <c r="P81" s="11">
        <v>55.36</v>
      </c>
      <c r="Q81" s="11">
        <v>53.42</v>
      </c>
      <c r="R81" s="11">
        <v>0.51</v>
      </c>
      <c r="S81" s="10">
        <v>873724377444</v>
      </c>
      <c r="T81" s="10">
        <v>4698817248</v>
      </c>
      <c r="U81" s="10">
        <v>4698817248</v>
      </c>
      <c r="V81" s="10">
        <v>0</v>
      </c>
      <c r="W81" s="10">
        <v>0</v>
      </c>
      <c r="X81" s="10">
        <v>878423194692</v>
      </c>
      <c r="Y81" s="10">
        <v>0</v>
      </c>
      <c r="Z81" s="10">
        <v>31998312752</v>
      </c>
      <c r="AA81" s="10">
        <v>19516563102</v>
      </c>
      <c r="AB81" s="10">
        <v>929938070546</v>
      </c>
      <c r="AC81" s="10">
        <v>652340680425</v>
      </c>
      <c r="AD81" s="46">
        <v>34.65712334844843</v>
      </c>
      <c r="AE81" s="10">
        <v>665447071508</v>
      </c>
      <c r="AF81" s="10">
        <v>665447071508</v>
      </c>
      <c r="AG81" s="10">
        <v>115600046261</v>
      </c>
      <c r="AH81" s="10">
        <v>3135246118</v>
      </c>
      <c r="AI81" s="10">
        <v>0</v>
      </c>
      <c r="AJ81" s="10">
        <v>0</v>
      </c>
      <c r="AK81" s="10">
        <v>0</v>
      </c>
      <c r="AL81" s="11">
        <v>4</v>
      </c>
      <c r="AM81" s="10">
        <v>226014804604</v>
      </c>
      <c r="AN81" s="11">
        <v>85</v>
      </c>
      <c r="AO81" s="10">
        <v>405834003137</v>
      </c>
      <c r="AP81" s="12">
        <v>71</v>
      </c>
      <c r="AQ81" s="10">
        <v>251754729864</v>
      </c>
      <c r="AR81" s="10">
        <v>4698817248</v>
      </c>
      <c r="AS81" s="10">
        <v>29427724797</v>
      </c>
      <c r="AT81" s="10">
        <v>-24728907549</v>
      </c>
      <c r="AU81" s="11">
        <v>-84.03</v>
      </c>
      <c r="AV81" s="10">
        <v>449322154937</v>
      </c>
      <c r="AW81" s="10">
        <v>94818179156</v>
      </c>
      <c r="AX81" s="10">
        <v>422631459603</v>
      </c>
      <c r="AY81" s="10">
        <v>162918565614</v>
      </c>
      <c r="AZ81" s="10">
        <v>356261186786</v>
      </c>
      <c r="BA81" s="10">
        <v>699584700000</v>
      </c>
      <c r="BB81" s="10">
        <v>99233422055</v>
      </c>
      <c r="BC81" s="10">
        <v>1679910395012</v>
      </c>
      <c r="BD81" s="12">
        <v>132425</v>
      </c>
      <c r="BE81" s="10">
        <v>624064508226</v>
      </c>
      <c r="BF81" s="10">
        <v>356261186786</v>
      </c>
      <c r="BG81" s="10">
        <v>699584700000</v>
      </c>
      <c r="BH81" s="10">
        <v>545017081508</v>
      </c>
      <c r="BI81" s="10">
        <v>120429990000</v>
      </c>
      <c r="BJ81" s="10">
        <v>0</v>
      </c>
      <c r="BK81" s="10">
        <v>0</v>
      </c>
      <c r="BL81" s="10">
        <v>115600046261</v>
      </c>
      <c r="BM81" s="10">
        <v>0</v>
      </c>
      <c r="BN81" s="10">
        <v>0</v>
      </c>
      <c r="BO81" s="10">
        <v>3135246118</v>
      </c>
    </row>
    <row r="82" spans="1:67" x14ac:dyDescent="0.25">
      <c r="A82" s="25" t="s">
        <v>111</v>
      </c>
      <c r="B82" s="9">
        <v>1426</v>
      </c>
      <c r="C82" s="9" t="s">
        <v>137</v>
      </c>
      <c r="D82" s="10">
        <v>814652319908</v>
      </c>
      <c r="E82" s="10">
        <v>8517173540</v>
      </c>
      <c r="F82" s="10">
        <v>0</v>
      </c>
      <c r="G82" s="10">
        <v>0</v>
      </c>
      <c r="H82" s="10">
        <v>823169493448</v>
      </c>
      <c r="I82" s="10">
        <v>56323182812</v>
      </c>
      <c r="J82" s="10">
        <v>1034962331</v>
      </c>
      <c r="K82" s="10">
        <v>765811348305</v>
      </c>
      <c r="L82" s="10">
        <v>736787072743</v>
      </c>
      <c r="M82" s="10">
        <v>86382420705</v>
      </c>
      <c r="N82" s="46">
        <v>11.724204169788848</v>
      </c>
      <c r="O82" s="10">
        <v>774501256476</v>
      </c>
      <c r="P82" s="11">
        <v>104.61</v>
      </c>
      <c r="Q82" s="11">
        <v>101.13</v>
      </c>
      <c r="R82" s="11">
        <v>1.1399999999999999</v>
      </c>
      <c r="S82" s="10">
        <v>770012915405</v>
      </c>
      <c r="T82" s="10">
        <v>9854083770</v>
      </c>
      <c r="U82" s="10">
        <v>9629718954</v>
      </c>
      <c r="V82" s="10">
        <v>224364816</v>
      </c>
      <c r="W82" s="10">
        <v>0</v>
      </c>
      <c r="X82" s="10">
        <v>779866999175</v>
      </c>
      <c r="Y82" s="10">
        <v>0</v>
      </c>
      <c r="Z82" s="10">
        <v>64035658206</v>
      </c>
      <c r="AA82" s="10">
        <v>17245691297</v>
      </c>
      <c r="AB82" s="10">
        <v>861148348678</v>
      </c>
      <c r="AC82" s="10">
        <v>593739538509</v>
      </c>
      <c r="AD82" s="46">
        <v>31.348335186402387</v>
      </c>
      <c r="AE82" s="10">
        <v>461068413140</v>
      </c>
      <c r="AF82" s="10">
        <v>461068413140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1">
        <v>0</v>
      </c>
      <c r="AM82" s="10">
        <v>0</v>
      </c>
      <c r="AN82" s="11">
        <v>47</v>
      </c>
      <c r="AO82" s="10">
        <v>177500834890</v>
      </c>
      <c r="AP82" s="12">
        <v>38</v>
      </c>
      <c r="AQ82" s="10">
        <v>36610397958</v>
      </c>
      <c r="AR82" s="10">
        <v>9854083770</v>
      </c>
      <c r="AS82" s="10">
        <v>8309612792</v>
      </c>
      <c r="AT82" s="10">
        <v>1544470978</v>
      </c>
      <c r="AU82" s="11">
        <v>18.59</v>
      </c>
      <c r="AV82" s="10">
        <v>276888300423</v>
      </c>
      <c r="AW82" s="10">
        <v>62270731656</v>
      </c>
      <c r="AX82" s="10">
        <v>227375567537</v>
      </c>
      <c r="AY82" s="10">
        <v>123842539407</v>
      </c>
      <c r="AZ82" s="10">
        <v>103077112964</v>
      </c>
      <c r="BA82" s="10">
        <v>360357100000</v>
      </c>
      <c r="BB82" s="10">
        <v>56940879326</v>
      </c>
      <c r="BC82" s="10">
        <v>823169493448</v>
      </c>
      <c r="BD82" s="12">
        <v>26058</v>
      </c>
      <c r="BE82" s="10">
        <v>359735280484</v>
      </c>
      <c r="BF82" s="10">
        <v>102767112964</v>
      </c>
      <c r="BG82" s="10">
        <v>360667100000</v>
      </c>
      <c r="BH82" s="10">
        <v>341951114850</v>
      </c>
      <c r="BI82" s="10">
        <v>119117298290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</row>
    <row r="83" spans="1:67" x14ac:dyDescent="0.25">
      <c r="A83" s="25" t="s">
        <v>111</v>
      </c>
      <c r="B83" s="9">
        <v>1427</v>
      </c>
      <c r="C83" s="9" t="s">
        <v>138</v>
      </c>
      <c r="D83" s="10">
        <v>1427874485235</v>
      </c>
      <c r="E83" s="10">
        <v>6016645442</v>
      </c>
      <c r="F83" s="10">
        <v>0</v>
      </c>
      <c r="G83" s="10">
        <v>0</v>
      </c>
      <c r="H83" s="10">
        <v>1433891130677</v>
      </c>
      <c r="I83" s="10">
        <v>118279920652</v>
      </c>
      <c r="J83" s="10">
        <v>647744802</v>
      </c>
      <c r="K83" s="10">
        <v>1314963465223</v>
      </c>
      <c r="L83" s="10">
        <v>786039063539</v>
      </c>
      <c r="M83" s="10">
        <v>647852067138</v>
      </c>
      <c r="N83" s="46">
        <v>82.419830920509497</v>
      </c>
      <c r="O83" s="10">
        <v>473730010805</v>
      </c>
      <c r="P83" s="11">
        <v>39.36</v>
      </c>
      <c r="Q83" s="11">
        <v>36.03</v>
      </c>
      <c r="R83" s="11">
        <v>2.38</v>
      </c>
      <c r="S83" s="10">
        <v>495487688312</v>
      </c>
      <c r="T83" s="10">
        <v>13429772559</v>
      </c>
      <c r="U83" s="10">
        <v>13227172241</v>
      </c>
      <c r="V83" s="10">
        <v>202600318</v>
      </c>
      <c r="W83" s="10">
        <v>0</v>
      </c>
      <c r="X83" s="10">
        <v>508917460871</v>
      </c>
      <c r="Y83" s="10">
        <v>0</v>
      </c>
      <c r="Z83" s="10">
        <v>53524968658</v>
      </c>
      <c r="AA83" s="10">
        <v>1927140000</v>
      </c>
      <c r="AB83" s="10">
        <v>564369569529</v>
      </c>
      <c r="AC83" s="10">
        <v>408935772670</v>
      </c>
      <c r="AD83" s="46">
        <v>24.44923992543017</v>
      </c>
      <c r="AE83" s="10">
        <v>299807823238</v>
      </c>
      <c r="AF83" s="10">
        <v>299807823238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1">
        <v>0</v>
      </c>
      <c r="AM83" s="10">
        <v>0</v>
      </c>
      <c r="AN83" s="11">
        <v>3</v>
      </c>
      <c r="AO83" s="10">
        <v>16696060184</v>
      </c>
      <c r="AP83" s="12">
        <v>15</v>
      </c>
      <c r="AQ83" s="10">
        <v>34643138000</v>
      </c>
      <c r="AR83" s="10">
        <v>13429772559</v>
      </c>
      <c r="AS83" s="10">
        <v>17101525347</v>
      </c>
      <c r="AT83" s="10">
        <v>-3671752788</v>
      </c>
      <c r="AU83" s="11">
        <v>-21.47</v>
      </c>
      <c r="AV83" s="10">
        <v>214073047567</v>
      </c>
      <c r="AW83" s="10">
        <v>68806179839</v>
      </c>
      <c r="AX83" s="10">
        <v>60025361397</v>
      </c>
      <c r="AY83" s="10">
        <v>77494021612</v>
      </c>
      <c r="AZ83" s="10">
        <v>150456002226</v>
      </c>
      <c r="BA83" s="10">
        <v>1139899100000</v>
      </c>
      <c r="BB83" s="10">
        <v>118837059119</v>
      </c>
      <c r="BC83" s="10">
        <v>1433891130677</v>
      </c>
      <c r="BD83" s="12">
        <v>41278</v>
      </c>
      <c r="BE83" s="10">
        <v>143536028451</v>
      </c>
      <c r="BF83" s="10">
        <v>150456002226</v>
      </c>
      <c r="BG83" s="10">
        <v>1139899100000</v>
      </c>
      <c r="BH83" s="10">
        <v>272807823238</v>
      </c>
      <c r="BI83" s="10">
        <v>27000000000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</row>
    <row r="84" spans="1:67" x14ac:dyDescent="0.25">
      <c r="A84" s="25" t="s">
        <v>111</v>
      </c>
      <c r="B84" s="9">
        <v>1428</v>
      </c>
      <c r="C84" s="9" t="s">
        <v>139</v>
      </c>
      <c r="D84" s="10">
        <v>610225107495</v>
      </c>
      <c r="E84" s="10">
        <v>6617928293</v>
      </c>
      <c r="F84" s="10">
        <v>0</v>
      </c>
      <c r="G84" s="10">
        <v>0</v>
      </c>
      <c r="H84" s="10">
        <v>616843035788</v>
      </c>
      <c r="I84" s="10">
        <v>48734303514</v>
      </c>
      <c r="J84" s="10">
        <v>2608708134</v>
      </c>
      <c r="K84" s="10">
        <v>565500024140</v>
      </c>
      <c r="L84" s="10">
        <v>475206420065</v>
      </c>
      <c r="M84" s="10">
        <v>141636615723</v>
      </c>
      <c r="N84" s="46">
        <v>29.805282450440494</v>
      </c>
      <c r="O84" s="10">
        <v>332866857560</v>
      </c>
      <c r="P84" s="11">
        <v>65.09</v>
      </c>
      <c r="Q84" s="11">
        <v>58.86</v>
      </c>
      <c r="R84" s="11">
        <v>0.81</v>
      </c>
      <c r="S84" s="10">
        <v>390592385971</v>
      </c>
      <c r="T84" s="10">
        <v>3262959946</v>
      </c>
      <c r="U84" s="10">
        <v>3262959946</v>
      </c>
      <c r="V84" s="10">
        <v>0</v>
      </c>
      <c r="W84" s="10">
        <v>0</v>
      </c>
      <c r="X84" s="10">
        <v>393855345917</v>
      </c>
      <c r="Y84" s="10">
        <v>0</v>
      </c>
      <c r="Z84" s="10">
        <v>7622854990</v>
      </c>
      <c r="AA84" s="10">
        <v>0</v>
      </c>
      <c r="AB84" s="10">
        <v>401478200907</v>
      </c>
      <c r="AC84" s="10">
        <v>114258331968</v>
      </c>
      <c r="AD84" s="46">
        <v>244.70601761218248</v>
      </c>
      <c r="AE84" s="10">
        <v>302025000000</v>
      </c>
      <c r="AF84" s="10">
        <v>302025000000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1">
        <v>0</v>
      </c>
      <c r="AM84" s="10">
        <v>0</v>
      </c>
      <c r="AN84" s="11">
        <v>22</v>
      </c>
      <c r="AO84" s="10">
        <v>91922581142</v>
      </c>
      <c r="AP84" s="12">
        <v>5</v>
      </c>
      <c r="AQ84" s="10">
        <v>31093631716</v>
      </c>
      <c r="AR84" s="10">
        <v>3262959946</v>
      </c>
      <c r="AS84" s="10">
        <v>0</v>
      </c>
      <c r="AT84" s="10">
        <v>3262959946</v>
      </c>
      <c r="AU84" s="11" t="s">
        <v>593</v>
      </c>
      <c r="AV84" s="10">
        <v>62329970078</v>
      </c>
      <c r="AW84" s="10">
        <v>9498643802</v>
      </c>
      <c r="AX84" s="10">
        <v>19905736739</v>
      </c>
      <c r="AY84" s="10">
        <v>86738911758</v>
      </c>
      <c r="AZ84" s="10">
        <v>134738658998</v>
      </c>
      <c r="BA84" s="10">
        <v>368841800000</v>
      </c>
      <c r="BB84" s="10">
        <v>125926779770</v>
      </c>
      <c r="BC84" s="10">
        <v>616843035788</v>
      </c>
      <c r="BD84" s="12">
        <v>0</v>
      </c>
      <c r="BE84" s="10">
        <v>113262576790</v>
      </c>
      <c r="BF84" s="10">
        <v>134738658998</v>
      </c>
      <c r="BG84" s="10">
        <v>368841800000</v>
      </c>
      <c r="BH84" s="10">
        <v>293525000000</v>
      </c>
      <c r="BI84" s="10">
        <v>8500000000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</row>
    <row r="85" spans="1:67" x14ac:dyDescent="0.25">
      <c r="A85" s="25" t="s">
        <v>111</v>
      </c>
      <c r="B85" s="9">
        <v>1499</v>
      </c>
      <c r="C85" s="9" t="s">
        <v>140</v>
      </c>
      <c r="D85" s="10">
        <v>0</v>
      </c>
      <c r="E85" s="10">
        <v>7982091724</v>
      </c>
      <c r="F85" s="10">
        <v>0</v>
      </c>
      <c r="G85" s="10">
        <v>0</v>
      </c>
      <c r="H85" s="10">
        <v>7982091724</v>
      </c>
      <c r="I85" s="10">
        <v>628287734</v>
      </c>
      <c r="J85" s="10">
        <v>3586200000</v>
      </c>
      <c r="K85" s="10">
        <v>3767603990</v>
      </c>
      <c r="L85" s="10">
        <v>7811282321</v>
      </c>
      <c r="M85" s="10">
        <v>170809403</v>
      </c>
      <c r="N85" s="46">
        <v>2.1867011840142143</v>
      </c>
      <c r="O85" s="10">
        <v>0</v>
      </c>
      <c r="P85" s="11">
        <v>0</v>
      </c>
      <c r="Q85" s="11">
        <v>0</v>
      </c>
      <c r="R85" s="11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46" t="s">
        <v>595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1">
        <v>0</v>
      </c>
      <c r="AM85" s="10">
        <v>0</v>
      </c>
      <c r="AN85" s="11">
        <v>0</v>
      </c>
      <c r="AO85" s="10">
        <v>0</v>
      </c>
      <c r="AP85" s="12">
        <v>0</v>
      </c>
      <c r="AQ85" s="10">
        <v>0</v>
      </c>
      <c r="AR85" s="10">
        <v>0</v>
      </c>
      <c r="AS85" s="10">
        <v>0</v>
      </c>
      <c r="AT85" s="10">
        <v>0</v>
      </c>
      <c r="AU85" s="11" t="s">
        <v>593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7982091724</v>
      </c>
      <c r="BD85" s="12">
        <v>6</v>
      </c>
      <c r="BE85" s="10">
        <v>7982091724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</row>
    <row r="86" spans="1:67" x14ac:dyDescent="0.25">
      <c r="A86" s="19" t="s">
        <v>624</v>
      </c>
      <c r="B86" s="20" t="s">
        <v>593</v>
      </c>
      <c r="C86" s="20" t="s">
        <v>593</v>
      </c>
      <c r="D86" s="21">
        <v>50855270945482</v>
      </c>
      <c r="E86" s="21">
        <v>4662894097508</v>
      </c>
      <c r="F86" s="21">
        <v>190000000000</v>
      </c>
      <c r="G86" s="21">
        <v>1795982093126</v>
      </c>
      <c r="H86" s="21">
        <v>57504147136116</v>
      </c>
      <c r="I86" s="21">
        <v>4101580831038</v>
      </c>
      <c r="J86" s="21">
        <v>168597892638</v>
      </c>
      <c r="K86" s="21">
        <v>53233968412440</v>
      </c>
      <c r="L86" s="21">
        <v>44489605635587</v>
      </c>
      <c r="M86" s="21">
        <v>13014541500529</v>
      </c>
      <c r="N86" s="47">
        <v>29.252993625366592</v>
      </c>
      <c r="O86" s="21">
        <v>44180359509162</v>
      </c>
      <c r="P86" s="22">
        <v>91.12</v>
      </c>
      <c r="Q86" s="22">
        <v>82.99</v>
      </c>
      <c r="R86" s="22">
        <v>6.58</v>
      </c>
      <c r="S86" s="21">
        <v>47049463353954</v>
      </c>
      <c r="T86" s="21">
        <v>2965306997792</v>
      </c>
      <c r="U86" s="21">
        <v>896412294848</v>
      </c>
      <c r="V86" s="21">
        <v>135956298302</v>
      </c>
      <c r="W86" s="21">
        <v>1932938404642</v>
      </c>
      <c r="X86" s="21">
        <v>50014770351746</v>
      </c>
      <c r="Y86" s="21">
        <v>481527603936</v>
      </c>
      <c r="Z86" s="21">
        <v>2132440530310</v>
      </c>
      <c r="AA86" s="21">
        <v>249181566071</v>
      </c>
      <c r="AB86" s="21">
        <v>52396392448127</v>
      </c>
      <c r="AC86" s="21">
        <v>38606517198042</v>
      </c>
      <c r="AD86" s="47">
        <v>29.550070769612418</v>
      </c>
      <c r="AE86" s="21">
        <v>87355440636631</v>
      </c>
      <c r="AF86" s="21">
        <v>86696980222607</v>
      </c>
      <c r="AG86" s="21">
        <v>57042084542213</v>
      </c>
      <c r="AH86" s="21">
        <v>1260554997980</v>
      </c>
      <c r="AI86" s="21">
        <v>2198652184935</v>
      </c>
      <c r="AJ86" s="21">
        <v>0</v>
      </c>
      <c r="AK86" s="21">
        <v>132793776775</v>
      </c>
      <c r="AL86" s="22">
        <v>470</v>
      </c>
      <c r="AM86" s="21">
        <v>81710259838221</v>
      </c>
      <c r="AN86" s="23">
        <v>1893</v>
      </c>
      <c r="AO86" s="21">
        <v>34182424584328</v>
      </c>
      <c r="AP86" s="23">
        <v>1316</v>
      </c>
      <c r="AQ86" s="21">
        <v>17973759094693</v>
      </c>
      <c r="AR86" s="21">
        <v>2965306997792</v>
      </c>
      <c r="AS86" s="21">
        <v>1065089226919</v>
      </c>
      <c r="AT86" s="21">
        <v>1900217770873</v>
      </c>
      <c r="AU86" s="22">
        <v>178.41</v>
      </c>
      <c r="AV86" s="21">
        <v>77718584286926</v>
      </c>
      <c r="AW86" s="21">
        <v>13475408842743</v>
      </c>
      <c r="AX86" s="21">
        <v>13873695874695</v>
      </c>
      <c r="AY86" s="21">
        <v>5207408293045</v>
      </c>
      <c r="AZ86" s="21">
        <v>14851392116500</v>
      </c>
      <c r="BA86" s="21">
        <v>16922774661242</v>
      </c>
      <c r="BB86" s="21">
        <v>4797557193515</v>
      </c>
      <c r="BC86" s="21">
        <v>57504147136116</v>
      </c>
      <c r="BD86" s="23">
        <v>1684397</v>
      </c>
      <c r="BE86" s="21">
        <v>25118673434865</v>
      </c>
      <c r="BF86" s="21">
        <v>15028350966500</v>
      </c>
      <c r="BG86" s="21">
        <v>17357122734751</v>
      </c>
      <c r="BH86" s="21">
        <v>64071590954839</v>
      </c>
      <c r="BI86" s="21">
        <v>23283849681792</v>
      </c>
      <c r="BJ86" s="21">
        <v>2378320837471</v>
      </c>
      <c r="BK86" s="21">
        <v>1670788082850</v>
      </c>
      <c r="BL86" s="21">
        <v>57132248513206</v>
      </c>
      <c r="BM86" s="21">
        <v>0</v>
      </c>
      <c r="BN86" s="21">
        <v>165491378967</v>
      </c>
      <c r="BO86" s="21">
        <v>1139261184380</v>
      </c>
    </row>
    <row r="87" spans="1:67" x14ac:dyDescent="0.25">
      <c r="A87" s="25" t="s">
        <v>141</v>
      </c>
      <c r="B87" s="9">
        <v>1702</v>
      </c>
      <c r="C87" s="9" t="s">
        <v>142</v>
      </c>
      <c r="D87" s="10">
        <v>8290847626659</v>
      </c>
      <c r="E87" s="10">
        <v>450527477094</v>
      </c>
      <c r="F87" s="10">
        <v>0</v>
      </c>
      <c r="G87" s="10">
        <v>365207310</v>
      </c>
      <c r="H87" s="10">
        <v>8741740311063</v>
      </c>
      <c r="I87" s="10">
        <v>646414782111</v>
      </c>
      <c r="J87" s="10">
        <v>2532711710</v>
      </c>
      <c r="K87" s="10">
        <v>8092792817242</v>
      </c>
      <c r="L87" s="10">
        <v>4921937795143</v>
      </c>
      <c r="M87" s="10">
        <v>3819802515920</v>
      </c>
      <c r="N87" s="46">
        <v>77.607695889399622</v>
      </c>
      <c r="O87" s="10">
        <v>6490454451649</v>
      </c>
      <c r="P87" s="11">
        <v>87.6</v>
      </c>
      <c r="Q87" s="11">
        <v>80.2</v>
      </c>
      <c r="R87" s="11">
        <v>27.15</v>
      </c>
      <c r="S87" s="10">
        <v>5043773938353</v>
      </c>
      <c r="T87" s="10">
        <v>1899524443727</v>
      </c>
      <c r="U87" s="10">
        <v>13350836134</v>
      </c>
      <c r="V87" s="10">
        <v>458717185417</v>
      </c>
      <c r="W87" s="10">
        <v>1427456422176</v>
      </c>
      <c r="X87" s="10">
        <v>6943298382080</v>
      </c>
      <c r="Y87" s="10">
        <v>179941468739</v>
      </c>
      <c r="Z87" s="10">
        <v>680543878070</v>
      </c>
      <c r="AA87" s="10">
        <v>34191481232</v>
      </c>
      <c r="AB87" s="10">
        <v>7658033741382</v>
      </c>
      <c r="AC87" s="10">
        <v>6948124561777</v>
      </c>
      <c r="AD87" s="46">
        <v>-6.9460178125616279E-2</v>
      </c>
      <c r="AE87" s="10">
        <v>7682358017360</v>
      </c>
      <c r="AF87" s="10">
        <v>7682358017360</v>
      </c>
      <c r="AG87" s="10">
        <v>4178519987592</v>
      </c>
      <c r="AH87" s="10">
        <v>62603830407</v>
      </c>
      <c r="AI87" s="10">
        <v>0</v>
      </c>
      <c r="AJ87" s="10">
        <v>0</v>
      </c>
      <c r="AK87" s="10">
        <v>0</v>
      </c>
      <c r="AL87" s="11">
        <v>11</v>
      </c>
      <c r="AM87" s="10">
        <v>2988566883500</v>
      </c>
      <c r="AN87" s="11">
        <v>43</v>
      </c>
      <c r="AO87" s="10">
        <v>1977698950682</v>
      </c>
      <c r="AP87" s="12">
        <v>14</v>
      </c>
      <c r="AQ87" s="10">
        <v>652183730417</v>
      </c>
      <c r="AR87" s="10">
        <v>1899524443727</v>
      </c>
      <c r="AS87" s="10">
        <v>565224649486</v>
      </c>
      <c r="AT87" s="10">
        <v>1334299794241</v>
      </c>
      <c r="AU87" s="11">
        <v>236.07</v>
      </c>
      <c r="AV87" s="10">
        <v>7403705070358</v>
      </c>
      <c r="AW87" s="10">
        <v>1269786712819</v>
      </c>
      <c r="AX87" s="10">
        <v>901636604655</v>
      </c>
      <c r="AY87" s="10">
        <v>557424125703</v>
      </c>
      <c r="AZ87" s="10">
        <v>1598339876317</v>
      </c>
      <c r="BA87" s="10">
        <v>5233447019984</v>
      </c>
      <c r="BB87" s="10">
        <v>1312422652839</v>
      </c>
      <c r="BC87" s="10">
        <v>8741740311063</v>
      </c>
      <c r="BD87" s="12">
        <v>42610</v>
      </c>
      <c r="BE87" s="10">
        <v>1832306907331</v>
      </c>
      <c r="BF87" s="10">
        <v>1598339876317</v>
      </c>
      <c r="BG87" s="10">
        <v>5311093527415</v>
      </c>
      <c r="BH87" s="10">
        <v>2133104852405</v>
      </c>
      <c r="BI87" s="10">
        <v>5549253164955</v>
      </c>
      <c r="BJ87" s="10">
        <v>110334968963</v>
      </c>
      <c r="BK87" s="10">
        <v>1392369270392</v>
      </c>
      <c r="BL87" s="10">
        <v>2697793311412</v>
      </c>
      <c r="BM87" s="10">
        <v>0</v>
      </c>
      <c r="BN87" s="10">
        <v>0</v>
      </c>
      <c r="BO87" s="10">
        <v>62603830407</v>
      </c>
    </row>
    <row r="88" spans="1:67" x14ac:dyDescent="0.25">
      <c r="A88" s="25" t="s">
        <v>141</v>
      </c>
      <c r="B88" s="9">
        <v>1707</v>
      </c>
      <c r="C88" s="9" t="s">
        <v>143</v>
      </c>
      <c r="D88" s="10">
        <v>2453524731726</v>
      </c>
      <c r="E88" s="10">
        <v>412639552446</v>
      </c>
      <c r="F88" s="10">
        <v>0</v>
      </c>
      <c r="G88" s="10">
        <v>0</v>
      </c>
      <c r="H88" s="10">
        <v>2866164284172</v>
      </c>
      <c r="I88" s="10">
        <v>234028108494</v>
      </c>
      <c r="J88" s="10">
        <v>833365516</v>
      </c>
      <c r="K88" s="10">
        <v>2631302810162</v>
      </c>
      <c r="L88" s="10">
        <v>2181095071995</v>
      </c>
      <c r="M88" s="10">
        <v>685069212177</v>
      </c>
      <c r="N88" s="46">
        <v>31.409415434164551</v>
      </c>
      <c r="O88" s="10">
        <v>1655858523429</v>
      </c>
      <c r="P88" s="11">
        <v>63.32</v>
      </c>
      <c r="Q88" s="11">
        <v>62.93</v>
      </c>
      <c r="R88" s="11">
        <v>0.62</v>
      </c>
      <c r="S88" s="10">
        <v>1691410248821</v>
      </c>
      <c r="T88" s="10">
        <v>10711599871</v>
      </c>
      <c r="U88" s="10">
        <v>8714804112</v>
      </c>
      <c r="V88" s="10">
        <v>1335514599</v>
      </c>
      <c r="W88" s="10">
        <v>661281160</v>
      </c>
      <c r="X88" s="10">
        <v>1702121848692</v>
      </c>
      <c r="Y88" s="10">
        <v>602783533</v>
      </c>
      <c r="Z88" s="10">
        <v>90465855331</v>
      </c>
      <c r="AA88" s="10">
        <v>22213955000</v>
      </c>
      <c r="AB88" s="10">
        <v>1814801659023</v>
      </c>
      <c r="AC88" s="10">
        <v>1234241455703</v>
      </c>
      <c r="AD88" s="46">
        <v>37.908335587586009</v>
      </c>
      <c r="AE88" s="10">
        <v>4519201580258</v>
      </c>
      <c r="AF88" s="10">
        <v>4519201580258</v>
      </c>
      <c r="AG88" s="10">
        <v>3081153694277</v>
      </c>
      <c r="AH88" s="10">
        <v>87178220800</v>
      </c>
      <c r="AI88" s="10">
        <v>0</v>
      </c>
      <c r="AJ88" s="10">
        <v>0</v>
      </c>
      <c r="AK88" s="10">
        <v>0</v>
      </c>
      <c r="AL88" s="11">
        <v>23</v>
      </c>
      <c r="AM88" s="10">
        <v>7783862311970</v>
      </c>
      <c r="AN88" s="11">
        <v>134</v>
      </c>
      <c r="AO88" s="10">
        <v>1935459252148</v>
      </c>
      <c r="AP88" s="12">
        <v>76</v>
      </c>
      <c r="AQ88" s="10">
        <v>3080193067891</v>
      </c>
      <c r="AR88" s="10">
        <v>10711599871</v>
      </c>
      <c r="AS88" s="10">
        <v>10845493136</v>
      </c>
      <c r="AT88" s="10">
        <v>-133893265</v>
      </c>
      <c r="AU88" s="11">
        <v>-1.23</v>
      </c>
      <c r="AV88" s="10">
        <v>4067042867357</v>
      </c>
      <c r="AW88" s="10">
        <v>186948057789</v>
      </c>
      <c r="AX88" s="10">
        <v>777088488952</v>
      </c>
      <c r="AY88" s="10">
        <v>238471683485</v>
      </c>
      <c r="AZ88" s="10">
        <v>526095915289</v>
      </c>
      <c r="BA88" s="10">
        <v>911868644000</v>
      </c>
      <c r="BB88" s="10">
        <v>191388278141</v>
      </c>
      <c r="BC88" s="10">
        <v>2866164284172</v>
      </c>
      <c r="BD88" s="12">
        <v>3953</v>
      </c>
      <c r="BE88" s="10">
        <v>1428199724883</v>
      </c>
      <c r="BF88" s="10">
        <v>526095915289</v>
      </c>
      <c r="BG88" s="10">
        <v>911868644000</v>
      </c>
      <c r="BH88" s="10">
        <v>701621558204</v>
      </c>
      <c r="BI88" s="10">
        <v>3817580022054</v>
      </c>
      <c r="BJ88" s="10">
        <v>192101202973</v>
      </c>
      <c r="BK88" s="10">
        <v>0</v>
      </c>
      <c r="BL88" s="10">
        <v>2956151250101</v>
      </c>
      <c r="BM88" s="10">
        <v>0</v>
      </c>
      <c r="BN88" s="10">
        <v>0</v>
      </c>
      <c r="BO88" s="10">
        <v>87178220800</v>
      </c>
    </row>
    <row r="89" spans="1:67" x14ac:dyDescent="0.25">
      <c r="A89" s="25" t="s">
        <v>141</v>
      </c>
      <c r="B89" s="9">
        <v>1712</v>
      </c>
      <c r="C89" s="9" t="s">
        <v>144</v>
      </c>
      <c r="D89" s="10">
        <v>2123067675645</v>
      </c>
      <c r="E89" s="10">
        <v>169550854042</v>
      </c>
      <c r="F89" s="10">
        <v>0</v>
      </c>
      <c r="G89" s="10">
        <v>0</v>
      </c>
      <c r="H89" s="10">
        <v>2292618529687</v>
      </c>
      <c r="I89" s="10">
        <v>148952239281</v>
      </c>
      <c r="J89" s="10">
        <v>610142987</v>
      </c>
      <c r="K89" s="10">
        <v>2143056147419</v>
      </c>
      <c r="L89" s="10">
        <v>2365030048372</v>
      </c>
      <c r="M89" s="10">
        <v>-72411518685</v>
      </c>
      <c r="N89" s="46">
        <v>-3.061758929229903</v>
      </c>
      <c r="O89" s="10">
        <v>2435229682220</v>
      </c>
      <c r="P89" s="11">
        <v>119.99</v>
      </c>
      <c r="Q89" s="11">
        <v>113.63</v>
      </c>
      <c r="R89" s="11">
        <v>4.4400000000000004</v>
      </c>
      <c r="S89" s="10">
        <v>2434040287317</v>
      </c>
      <c r="T89" s="10">
        <v>92544117250</v>
      </c>
      <c r="U89" s="10">
        <v>8544926951</v>
      </c>
      <c r="V89" s="10">
        <v>63932339384</v>
      </c>
      <c r="W89" s="10">
        <v>20066850915</v>
      </c>
      <c r="X89" s="10">
        <v>2526584404567</v>
      </c>
      <c r="Y89" s="10">
        <v>29546957460</v>
      </c>
      <c r="Z89" s="10">
        <v>191935654069</v>
      </c>
      <c r="AA89" s="10">
        <v>32396856945</v>
      </c>
      <c r="AB89" s="10">
        <v>2750916915581</v>
      </c>
      <c r="AC89" s="10">
        <v>2166552092286</v>
      </c>
      <c r="AD89" s="46">
        <v>16.617754706332409</v>
      </c>
      <c r="AE89" s="10">
        <v>3865566174063</v>
      </c>
      <c r="AF89" s="10">
        <v>3865566174063</v>
      </c>
      <c r="AG89" s="10">
        <v>1121814521935</v>
      </c>
      <c r="AH89" s="10">
        <v>245409202544</v>
      </c>
      <c r="AI89" s="10">
        <v>0</v>
      </c>
      <c r="AJ89" s="10">
        <v>0</v>
      </c>
      <c r="AK89" s="10">
        <v>0</v>
      </c>
      <c r="AL89" s="11">
        <v>8</v>
      </c>
      <c r="AM89" s="10">
        <v>509575642158</v>
      </c>
      <c r="AN89" s="11">
        <v>41</v>
      </c>
      <c r="AO89" s="10">
        <v>941778907570</v>
      </c>
      <c r="AP89" s="12">
        <v>28</v>
      </c>
      <c r="AQ89" s="10">
        <v>770863637971</v>
      </c>
      <c r="AR89" s="10">
        <v>92544117250</v>
      </c>
      <c r="AS89" s="10">
        <v>24608843279</v>
      </c>
      <c r="AT89" s="10">
        <v>67935273971</v>
      </c>
      <c r="AU89" s="13">
        <v>276.06</v>
      </c>
      <c r="AV89" s="10">
        <v>3533962052809</v>
      </c>
      <c r="AW89" s="10">
        <v>1143740767652</v>
      </c>
      <c r="AX89" s="10">
        <v>505824744597</v>
      </c>
      <c r="AY89" s="10">
        <v>470224207673</v>
      </c>
      <c r="AZ89" s="10">
        <v>635759123375</v>
      </c>
      <c r="BA89" s="10">
        <v>511259600000</v>
      </c>
      <c r="BB89" s="10">
        <v>462431118875</v>
      </c>
      <c r="BC89" s="10">
        <v>2292618529687</v>
      </c>
      <c r="BD89" s="12">
        <v>60843</v>
      </c>
      <c r="BE89" s="10">
        <v>1145599806312</v>
      </c>
      <c r="BF89" s="10">
        <v>635759123375</v>
      </c>
      <c r="BG89" s="10">
        <v>511259600000</v>
      </c>
      <c r="BH89" s="10">
        <v>3676747356534</v>
      </c>
      <c r="BI89" s="10">
        <v>188818817529</v>
      </c>
      <c r="BJ89" s="10">
        <v>0</v>
      </c>
      <c r="BK89" s="10">
        <v>0</v>
      </c>
      <c r="BL89" s="10">
        <v>1121814521936</v>
      </c>
      <c r="BM89" s="10">
        <v>0</v>
      </c>
      <c r="BN89" s="10">
        <v>0</v>
      </c>
      <c r="BO89" s="10">
        <v>245409202544</v>
      </c>
    </row>
    <row r="90" spans="1:67" x14ac:dyDescent="0.25">
      <c r="A90" s="25" t="s">
        <v>141</v>
      </c>
      <c r="B90" s="9">
        <v>1713</v>
      </c>
      <c r="C90" s="9" t="s">
        <v>145</v>
      </c>
      <c r="D90" s="10">
        <v>2003678227877</v>
      </c>
      <c r="E90" s="10">
        <v>251139293213</v>
      </c>
      <c r="F90" s="10">
        <v>0</v>
      </c>
      <c r="G90" s="10">
        <v>0</v>
      </c>
      <c r="H90" s="10">
        <v>2254817521090</v>
      </c>
      <c r="I90" s="10">
        <v>152185176498</v>
      </c>
      <c r="J90" s="10">
        <v>679227134</v>
      </c>
      <c r="K90" s="10">
        <v>2101953117458</v>
      </c>
      <c r="L90" s="10">
        <v>1798769278221</v>
      </c>
      <c r="M90" s="10">
        <v>456048242869</v>
      </c>
      <c r="N90" s="46">
        <v>25.353348447224768</v>
      </c>
      <c r="O90" s="10">
        <v>3059760963088</v>
      </c>
      <c r="P90" s="11">
        <v>145.11000000000001</v>
      </c>
      <c r="Q90" s="11">
        <v>145.57</v>
      </c>
      <c r="R90" s="11">
        <v>4.29</v>
      </c>
      <c r="S90" s="10">
        <v>2930155409840</v>
      </c>
      <c r="T90" s="10">
        <v>136795239247</v>
      </c>
      <c r="U90" s="10">
        <v>7103208043</v>
      </c>
      <c r="V90" s="10">
        <v>2208646948</v>
      </c>
      <c r="W90" s="10">
        <v>127483384256</v>
      </c>
      <c r="X90" s="10">
        <v>3066950649087</v>
      </c>
      <c r="Y90" s="10">
        <v>3634218125</v>
      </c>
      <c r="Z90" s="10">
        <v>185135837541</v>
      </c>
      <c r="AA90" s="10">
        <v>19970000000</v>
      </c>
      <c r="AB90" s="10">
        <v>3272056486628</v>
      </c>
      <c r="AC90" s="10">
        <v>1679660678204</v>
      </c>
      <c r="AD90" s="46">
        <v>82.59346598304478</v>
      </c>
      <c r="AE90" s="10">
        <v>3727051806547</v>
      </c>
      <c r="AF90" s="10">
        <v>3727051806547</v>
      </c>
      <c r="AG90" s="10">
        <v>621199073672</v>
      </c>
      <c r="AH90" s="10">
        <v>340292611755</v>
      </c>
      <c r="AI90" s="10">
        <v>0</v>
      </c>
      <c r="AJ90" s="10">
        <v>0</v>
      </c>
      <c r="AK90" s="10">
        <v>0</v>
      </c>
      <c r="AL90" s="11">
        <v>5</v>
      </c>
      <c r="AM90" s="10">
        <v>922791904278</v>
      </c>
      <c r="AN90" s="11">
        <v>72</v>
      </c>
      <c r="AO90" s="10">
        <v>3765010396978</v>
      </c>
      <c r="AP90" s="12">
        <v>61</v>
      </c>
      <c r="AQ90" s="10">
        <v>1661908383756</v>
      </c>
      <c r="AR90" s="10">
        <v>136795239247</v>
      </c>
      <c r="AS90" s="10">
        <v>5601351822</v>
      </c>
      <c r="AT90" s="10">
        <v>131193887425</v>
      </c>
      <c r="AU90" s="13">
        <v>2342.1799999999998</v>
      </c>
      <c r="AV90" s="10">
        <v>2069706536586</v>
      </c>
      <c r="AW90" s="10">
        <v>366970813980</v>
      </c>
      <c r="AX90" s="10">
        <v>519945753310</v>
      </c>
      <c r="AY90" s="10">
        <v>542299864993</v>
      </c>
      <c r="AZ90" s="10">
        <v>595275908001</v>
      </c>
      <c r="BA90" s="10">
        <v>346156701573</v>
      </c>
      <c r="BB90" s="10">
        <v>216456591722</v>
      </c>
      <c r="BC90" s="10">
        <v>2254817521090</v>
      </c>
      <c r="BD90" s="12">
        <v>24401</v>
      </c>
      <c r="BE90" s="10">
        <v>1313384911516</v>
      </c>
      <c r="BF90" s="10">
        <v>595275908001</v>
      </c>
      <c r="BG90" s="10">
        <v>346156701573</v>
      </c>
      <c r="BH90" s="10">
        <v>3459937812744</v>
      </c>
      <c r="BI90" s="10">
        <v>267113993803</v>
      </c>
      <c r="BJ90" s="10">
        <v>0</v>
      </c>
      <c r="BK90" s="10">
        <v>124397099736</v>
      </c>
      <c r="BL90" s="10">
        <v>249395647856</v>
      </c>
      <c r="BM90" s="10">
        <v>0</v>
      </c>
      <c r="BN90" s="10">
        <v>0</v>
      </c>
      <c r="BO90" s="10">
        <v>340292611755</v>
      </c>
    </row>
    <row r="91" spans="1:67" x14ac:dyDescent="0.25">
      <c r="A91" s="25" t="s">
        <v>141</v>
      </c>
      <c r="B91" s="9">
        <v>1717</v>
      </c>
      <c r="C91" s="9" t="s">
        <v>146</v>
      </c>
      <c r="D91" s="10">
        <v>6114775360039</v>
      </c>
      <c r="E91" s="10">
        <v>47420638725</v>
      </c>
      <c r="F91" s="10">
        <v>210148000000</v>
      </c>
      <c r="G91" s="10">
        <v>193160400</v>
      </c>
      <c r="H91" s="10">
        <v>6372537159164</v>
      </c>
      <c r="I91" s="10">
        <v>445062710855</v>
      </c>
      <c r="J91" s="10">
        <v>2072860387</v>
      </c>
      <c r="K91" s="10">
        <v>5925401587922</v>
      </c>
      <c r="L91" s="10">
        <v>4197665625283</v>
      </c>
      <c r="M91" s="10">
        <v>2174871533881</v>
      </c>
      <c r="N91" s="46">
        <v>51.81145255547537</v>
      </c>
      <c r="O91" s="10">
        <v>5927206781829</v>
      </c>
      <c r="P91" s="11">
        <v>119.36</v>
      </c>
      <c r="Q91" s="11">
        <v>100.03</v>
      </c>
      <c r="R91" s="11">
        <v>3.38</v>
      </c>
      <c r="S91" s="10">
        <v>7037027182547</v>
      </c>
      <c r="T91" s="10">
        <v>150282055452</v>
      </c>
      <c r="U91" s="10">
        <v>10900406096</v>
      </c>
      <c r="V91" s="10">
        <v>64550143647</v>
      </c>
      <c r="W91" s="10">
        <v>74831505709</v>
      </c>
      <c r="X91" s="10">
        <v>7187309237999</v>
      </c>
      <c r="Y91" s="10">
        <v>106807290274</v>
      </c>
      <c r="Z91" s="10">
        <v>372469501664</v>
      </c>
      <c r="AA91" s="10">
        <v>46201265324</v>
      </c>
      <c r="AB91" s="10">
        <v>7605980004987</v>
      </c>
      <c r="AC91" s="10">
        <v>5250542076258</v>
      </c>
      <c r="AD91" s="46">
        <v>36.886994401943944</v>
      </c>
      <c r="AE91" s="10">
        <v>4790288661239</v>
      </c>
      <c r="AF91" s="10">
        <v>4790288661239</v>
      </c>
      <c r="AG91" s="10">
        <v>153783740000</v>
      </c>
      <c r="AH91" s="10">
        <v>5467191561</v>
      </c>
      <c r="AI91" s="10">
        <v>0</v>
      </c>
      <c r="AJ91" s="10">
        <v>0</v>
      </c>
      <c r="AK91" s="10">
        <v>0</v>
      </c>
      <c r="AL91" s="11">
        <v>2</v>
      </c>
      <c r="AM91" s="10">
        <v>183528400000</v>
      </c>
      <c r="AN91" s="11">
        <v>26</v>
      </c>
      <c r="AO91" s="10">
        <v>80067333465</v>
      </c>
      <c r="AP91" s="12">
        <v>11</v>
      </c>
      <c r="AQ91" s="10">
        <v>38264575103</v>
      </c>
      <c r="AR91" s="10">
        <v>150282055452</v>
      </c>
      <c r="AS91" s="10">
        <v>139056272564</v>
      </c>
      <c r="AT91" s="10">
        <v>11225782888</v>
      </c>
      <c r="AU91" s="11">
        <v>8.07</v>
      </c>
      <c r="AV91" s="10">
        <v>3177325201515</v>
      </c>
      <c r="AW91" s="10">
        <v>118270307073</v>
      </c>
      <c r="AX91" s="10">
        <v>999143948788</v>
      </c>
      <c r="AY91" s="10">
        <v>906607684684</v>
      </c>
      <c r="AZ91" s="10">
        <v>1346189626157</v>
      </c>
      <c r="BA91" s="10">
        <v>2862834100410</v>
      </c>
      <c r="BB91" s="10">
        <v>577756712056</v>
      </c>
      <c r="BC91" s="10">
        <v>6372537159164</v>
      </c>
      <c r="BD91" s="12">
        <v>16155</v>
      </c>
      <c r="BE91" s="10">
        <v>1953365432597</v>
      </c>
      <c r="BF91" s="10">
        <v>1556337626157</v>
      </c>
      <c r="BG91" s="10">
        <v>2862834100410</v>
      </c>
      <c r="BH91" s="10">
        <v>3887306199454</v>
      </c>
      <c r="BI91" s="10">
        <v>902982461785</v>
      </c>
      <c r="BJ91" s="10">
        <v>0</v>
      </c>
      <c r="BK91" s="10">
        <v>11200668840</v>
      </c>
      <c r="BL91" s="10">
        <v>153783740000</v>
      </c>
      <c r="BM91" s="10">
        <v>0</v>
      </c>
      <c r="BN91" s="10">
        <v>0</v>
      </c>
      <c r="BO91" s="10">
        <v>5467191561</v>
      </c>
    </row>
    <row r="92" spans="1:67" x14ac:dyDescent="0.25">
      <c r="A92" s="25" t="s">
        <v>141</v>
      </c>
      <c r="B92" s="9">
        <v>1721</v>
      </c>
      <c r="C92" s="9" t="s">
        <v>147</v>
      </c>
      <c r="D92" s="10">
        <v>1764711184667</v>
      </c>
      <c r="E92" s="10">
        <v>105504895549</v>
      </c>
      <c r="F92" s="10">
        <v>0</v>
      </c>
      <c r="G92" s="10">
        <v>0</v>
      </c>
      <c r="H92" s="10">
        <v>1870216080216</v>
      </c>
      <c r="I92" s="10">
        <v>136993277513</v>
      </c>
      <c r="J92" s="10">
        <v>336379400</v>
      </c>
      <c r="K92" s="10">
        <v>1732886423303</v>
      </c>
      <c r="L92" s="10">
        <v>1320429937086</v>
      </c>
      <c r="M92" s="10">
        <v>549786143130</v>
      </c>
      <c r="N92" s="46">
        <v>41.636903836283764</v>
      </c>
      <c r="O92" s="10">
        <v>1593106841707</v>
      </c>
      <c r="P92" s="11">
        <v>96.38</v>
      </c>
      <c r="Q92" s="11">
        <v>91.93</v>
      </c>
      <c r="R92" s="11">
        <v>0.7</v>
      </c>
      <c r="S92" s="10">
        <v>1630532850176</v>
      </c>
      <c r="T92" s="10">
        <v>12423738311</v>
      </c>
      <c r="U92" s="10">
        <v>10804195165</v>
      </c>
      <c r="V92" s="10">
        <v>1547914005</v>
      </c>
      <c r="W92" s="10">
        <v>71629141</v>
      </c>
      <c r="X92" s="10">
        <v>1642956588487</v>
      </c>
      <c r="Y92" s="10">
        <v>133098427</v>
      </c>
      <c r="Z92" s="10">
        <v>119580388411</v>
      </c>
      <c r="AA92" s="10">
        <v>39988358000</v>
      </c>
      <c r="AB92" s="10">
        <v>1802525334898</v>
      </c>
      <c r="AC92" s="10">
        <v>1178302760650</v>
      </c>
      <c r="AD92" s="46">
        <v>39.434162708799725</v>
      </c>
      <c r="AE92" s="10">
        <v>1754717107196</v>
      </c>
      <c r="AF92" s="10">
        <v>1671835178893</v>
      </c>
      <c r="AG92" s="10">
        <v>198208500034</v>
      </c>
      <c r="AH92" s="10">
        <v>5673606</v>
      </c>
      <c r="AI92" s="10">
        <v>0</v>
      </c>
      <c r="AJ92" s="10">
        <v>0</v>
      </c>
      <c r="AK92" s="10">
        <v>0</v>
      </c>
      <c r="AL92" s="11">
        <v>16</v>
      </c>
      <c r="AM92" s="10">
        <v>680030729193</v>
      </c>
      <c r="AN92" s="11">
        <v>58</v>
      </c>
      <c r="AO92" s="10">
        <v>1129299629980</v>
      </c>
      <c r="AP92" s="12">
        <v>48</v>
      </c>
      <c r="AQ92" s="10">
        <v>1181101708040</v>
      </c>
      <c r="AR92" s="10">
        <v>12423738311</v>
      </c>
      <c r="AS92" s="10">
        <v>21959829797</v>
      </c>
      <c r="AT92" s="10">
        <v>-9536091486</v>
      </c>
      <c r="AU92" s="11">
        <v>-43.43</v>
      </c>
      <c r="AV92" s="10">
        <v>1248176645508</v>
      </c>
      <c r="AW92" s="10">
        <v>126610177070</v>
      </c>
      <c r="AX92" s="10">
        <v>316709739153</v>
      </c>
      <c r="AY92" s="10">
        <v>531962054845</v>
      </c>
      <c r="AZ92" s="10">
        <v>421527800108</v>
      </c>
      <c r="BA92" s="10">
        <v>494511590561</v>
      </c>
      <c r="BB92" s="10">
        <v>211546285216</v>
      </c>
      <c r="BC92" s="10">
        <v>1870216080216</v>
      </c>
      <c r="BD92" s="12">
        <v>45700</v>
      </c>
      <c r="BE92" s="10">
        <v>954176689547</v>
      </c>
      <c r="BF92" s="10">
        <v>421217800108</v>
      </c>
      <c r="BG92" s="10">
        <v>494821590561</v>
      </c>
      <c r="BH92" s="10">
        <v>1607955994805</v>
      </c>
      <c r="BI92" s="10">
        <v>146761112391</v>
      </c>
      <c r="BJ92" s="10">
        <v>0</v>
      </c>
      <c r="BK92" s="10">
        <v>0</v>
      </c>
      <c r="BL92" s="10">
        <v>216208500034</v>
      </c>
      <c r="BM92" s="10">
        <v>0</v>
      </c>
      <c r="BN92" s="10">
        <v>0</v>
      </c>
      <c r="BO92" s="10">
        <v>5673606</v>
      </c>
    </row>
    <row r="93" spans="1:67" x14ac:dyDescent="0.25">
      <c r="A93" s="25" t="s">
        <v>141</v>
      </c>
      <c r="B93" s="9">
        <v>4106</v>
      </c>
      <c r="C93" s="9" t="s">
        <v>148</v>
      </c>
      <c r="D93" s="10">
        <v>2395000102007</v>
      </c>
      <c r="E93" s="10">
        <v>305190091205</v>
      </c>
      <c r="F93" s="10">
        <v>0</v>
      </c>
      <c r="G93" s="10">
        <v>0</v>
      </c>
      <c r="H93" s="10">
        <v>2700190193212</v>
      </c>
      <c r="I93" s="10">
        <v>202722727189</v>
      </c>
      <c r="J93" s="10">
        <v>536483800</v>
      </c>
      <c r="K93" s="10">
        <v>2496930982223</v>
      </c>
      <c r="L93" s="10">
        <v>1190395073069</v>
      </c>
      <c r="M93" s="10">
        <v>1509795120143</v>
      </c>
      <c r="N93" s="46">
        <v>126.83143221103421</v>
      </c>
      <c r="O93" s="10">
        <v>1175216920783</v>
      </c>
      <c r="P93" s="11">
        <v>49.71</v>
      </c>
      <c r="Q93" s="11">
        <v>47.07</v>
      </c>
      <c r="R93" s="11">
        <v>5.25</v>
      </c>
      <c r="S93" s="10">
        <v>1177971457372</v>
      </c>
      <c r="T93" s="10">
        <v>60638869812</v>
      </c>
      <c r="U93" s="10">
        <v>14954525391</v>
      </c>
      <c r="V93" s="10">
        <v>11658820950</v>
      </c>
      <c r="W93" s="10">
        <v>34025523471</v>
      </c>
      <c r="X93" s="10">
        <v>1238610327184</v>
      </c>
      <c r="Y93" s="10">
        <v>9888755335</v>
      </c>
      <c r="Z93" s="10">
        <v>87282921009</v>
      </c>
      <c r="AA93" s="10">
        <v>16238525000</v>
      </c>
      <c r="AB93" s="10">
        <v>1342131773193</v>
      </c>
      <c r="AC93" s="10">
        <v>774707471858</v>
      </c>
      <c r="AD93" s="46">
        <v>59.881035381446665</v>
      </c>
      <c r="AE93" s="10">
        <v>1373415101781</v>
      </c>
      <c r="AF93" s="10">
        <v>1373415101781</v>
      </c>
      <c r="AG93" s="10">
        <v>467639220888</v>
      </c>
      <c r="AH93" s="10">
        <v>91458104424</v>
      </c>
      <c r="AI93" s="10">
        <v>0</v>
      </c>
      <c r="AJ93" s="10">
        <v>0</v>
      </c>
      <c r="AK93" s="10">
        <v>0</v>
      </c>
      <c r="AL93" s="11">
        <v>11</v>
      </c>
      <c r="AM93" s="10">
        <v>1556615126784</v>
      </c>
      <c r="AN93" s="11">
        <v>198</v>
      </c>
      <c r="AO93" s="10">
        <v>3300629506855</v>
      </c>
      <c r="AP93" s="12">
        <v>50</v>
      </c>
      <c r="AQ93" s="10">
        <v>224638670043</v>
      </c>
      <c r="AR93" s="10">
        <v>60638869812</v>
      </c>
      <c r="AS93" s="10">
        <v>48891681221</v>
      </c>
      <c r="AT93" s="10">
        <v>11747188591</v>
      </c>
      <c r="AU93" s="11">
        <v>24.03</v>
      </c>
      <c r="AV93" s="10">
        <v>929761311092</v>
      </c>
      <c r="AW93" s="10">
        <v>51656136994</v>
      </c>
      <c r="AX93" s="10">
        <v>248646016790</v>
      </c>
      <c r="AY93" s="10">
        <v>321818893058</v>
      </c>
      <c r="AZ93" s="10">
        <v>400915005236</v>
      </c>
      <c r="BA93" s="10">
        <v>1423620186923</v>
      </c>
      <c r="BB93" s="10">
        <v>152752872354</v>
      </c>
      <c r="BC93" s="10">
        <v>2700190193212</v>
      </c>
      <c r="BD93" s="12">
        <v>28686</v>
      </c>
      <c r="BE93" s="10">
        <v>816081473056</v>
      </c>
      <c r="BF93" s="10">
        <v>400915005236</v>
      </c>
      <c r="BG93" s="10">
        <v>1483193714920</v>
      </c>
      <c r="BH93" s="10">
        <v>379418479776</v>
      </c>
      <c r="BI93" s="10">
        <v>993996622005</v>
      </c>
      <c r="BJ93" s="10">
        <v>4131524702</v>
      </c>
      <c r="BK93" s="10">
        <v>0</v>
      </c>
      <c r="BL93" s="10">
        <v>458885271565</v>
      </c>
      <c r="BM93" s="10">
        <v>17928000000</v>
      </c>
      <c r="BN93" s="10">
        <v>24738609696</v>
      </c>
      <c r="BO93" s="10">
        <v>73530104424</v>
      </c>
    </row>
    <row r="94" spans="1:67" x14ac:dyDescent="0.25">
      <c r="A94" s="25" t="s">
        <v>141</v>
      </c>
      <c r="B94" s="9">
        <v>4107</v>
      </c>
      <c r="C94" s="9" t="s">
        <v>149</v>
      </c>
      <c r="D94" s="10">
        <v>1187084451762</v>
      </c>
      <c r="E94" s="10">
        <v>121735734075</v>
      </c>
      <c r="F94" s="10">
        <v>0</v>
      </c>
      <c r="G94" s="10">
        <v>0</v>
      </c>
      <c r="H94" s="10">
        <v>1308820185837</v>
      </c>
      <c r="I94" s="10">
        <v>94590351240</v>
      </c>
      <c r="J94" s="10">
        <v>377968695</v>
      </c>
      <c r="K94" s="10">
        <v>1213851865902</v>
      </c>
      <c r="L94" s="10">
        <v>1099535329976</v>
      </c>
      <c r="M94" s="10">
        <v>209284855861</v>
      </c>
      <c r="N94" s="46">
        <v>19.033936441639231</v>
      </c>
      <c r="O94" s="10">
        <v>2292396070343</v>
      </c>
      <c r="P94" s="11">
        <v>182.91</v>
      </c>
      <c r="Q94" s="11">
        <v>188.85</v>
      </c>
      <c r="R94" s="11">
        <v>11.8</v>
      </c>
      <c r="S94" s="10">
        <v>1814138022249</v>
      </c>
      <c r="T94" s="10">
        <v>281278812568</v>
      </c>
      <c r="U94" s="10">
        <v>242435028341</v>
      </c>
      <c r="V94" s="10">
        <v>36079140543</v>
      </c>
      <c r="W94" s="10">
        <v>2764643684</v>
      </c>
      <c r="X94" s="10">
        <v>2095416834817</v>
      </c>
      <c r="Y94" s="10">
        <v>1220049934</v>
      </c>
      <c r="Z94" s="10">
        <v>282218086484</v>
      </c>
      <c r="AA94" s="10">
        <v>16268553000</v>
      </c>
      <c r="AB94" s="10">
        <v>2393903474301</v>
      </c>
      <c r="AC94" s="10">
        <v>1820792661476</v>
      </c>
      <c r="AD94" s="46">
        <v>15.082671363491754</v>
      </c>
      <c r="AE94" s="10">
        <v>1521184711336</v>
      </c>
      <c r="AF94" s="10">
        <v>1521184711336</v>
      </c>
      <c r="AG94" s="10">
        <v>157824384600</v>
      </c>
      <c r="AH94" s="10">
        <v>0</v>
      </c>
      <c r="AI94" s="10">
        <v>0</v>
      </c>
      <c r="AJ94" s="10">
        <v>180000000000</v>
      </c>
      <c r="AK94" s="10">
        <v>0</v>
      </c>
      <c r="AL94" s="11">
        <v>7</v>
      </c>
      <c r="AM94" s="10">
        <v>531300000000</v>
      </c>
      <c r="AN94" s="11">
        <v>184</v>
      </c>
      <c r="AO94" s="10">
        <v>1805784624613</v>
      </c>
      <c r="AP94" s="12">
        <v>45</v>
      </c>
      <c r="AQ94" s="10">
        <v>323859075567</v>
      </c>
      <c r="AR94" s="10">
        <v>281278812568</v>
      </c>
      <c r="AS94" s="10">
        <v>39344151942</v>
      </c>
      <c r="AT94" s="10">
        <v>241934660626</v>
      </c>
      <c r="AU94" s="11">
        <v>614.91999999999996</v>
      </c>
      <c r="AV94" s="10">
        <v>1055283114803</v>
      </c>
      <c r="AW94" s="10">
        <v>210598958240</v>
      </c>
      <c r="AX94" s="10">
        <v>265456695161</v>
      </c>
      <c r="AY94" s="10">
        <v>191170384879</v>
      </c>
      <c r="AZ94" s="10">
        <v>367738270722</v>
      </c>
      <c r="BA94" s="10">
        <v>362719101000</v>
      </c>
      <c r="BB94" s="10">
        <v>276194541185</v>
      </c>
      <c r="BC94" s="10">
        <v>1308820185837</v>
      </c>
      <c r="BD94" s="12">
        <v>14386</v>
      </c>
      <c r="BE94" s="10">
        <v>578362814115</v>
      </c>
      <c r="BF94" s="10">
        <v>367738270722</v>
      </c>
      <c r="BG94" s="10">
        <v>362719101000</v>
      </c>
      <c r="BH94" s="10">
        <v>818718198494</v>
      </c>
      <c r="BI94" s="10">
        <v>702466512842</v>
      </c>
      <c r="BJ94" s="10">
        <v>0</v>
      </c>
      <c r="BK94" s="10">
        <v>0</v>
      </c>
      <c r="BL94" s="10">
        <v>157824384600</v>
      </c>
      <c r="BM94" s="10">
        <v>0</v>
      </c>
      <c r="BN94" s="10">
        <v>0</v>
      </c>
      <c r="BO94" s="10">
        <v>0</v>
      </c>
    </row>
    <row r="95" spans="1:67" x14ac:dyDescent="0.25">
      <c r="A95" s="25" t="s">
        <v>141</v>
      </c>
      <c r="B95" s="9">
        <v>4108</v>
      </c>
      <c r="C95" s="9" t="s">
        <v>150</v>
      </c>
      <c r="D95" s="10">
        <v>1564013517684</v>
      </c>
      <c r="E95" s="10">
        <v>28736394503</v>
      </c>
      <c r="F95" s="10">
        <v>0</v>
      </c>
      <c r="G95" s="10">
        <v>0</v>
      </c>
      <c r="H95" s="10">
        <v>1592749912187</v>
      </c>
      <c r="I95" s="10">
        <v>110510125045</v>
      </c>
      <c r="J95" s="10">
        <v>728813800</v>
      </c>
      <c r="K95" s="10">
        <v>1481510973342</v>
      </c>
      <c r="L95" s="10">
        <v>1495360918627</v>
      </c>
      <c r="M95" s="10">
        <v>97388993560</v>
      </c>
      <c r="N95" s="46">
        <v>6.5127416630240642</v>
      </c>
      <c r="O95" s="10">
        <v>865524901517</v>
      </c>
      <c r="P95" s="11">
        <v>60.19</v>
      </c>
      <c r="Q95" s="11">
        <v>58.42</v>
      </c>
      <c r="R95" s="11">
        <v>0.75</v>
      </c>
      <c r="S95" s="10">
        <v>861558566175</v>
      </c>
      <c r="T95" s="10">
        <v>6465196062</v>
      </c>
      <c r="U95" s="10">
        <v>3735523673</v>
      </c>
      <c r="V95" s="10">
        <v>319876842</v>
      </c>
      <c r="W95" s="10">
        <v>2409795547</v>
      </c>
      <c r="X95" s="10">
        <v>868023762237</v>
      </c>
      <c r="Y95" s="10">
        <v>732675833</v>
      </c>
      <c r="Z95" s="10">
        <v>68249396262</v>
      </c>
      <c r="AA95" s="10">
        <v>22350800000</v>
      </c>
      <c r="AB95" s="10">
        <v>958623958499</v>
      </c>
      <c r="AC95" s="10">
        <v>799123404992</v>
      </c>
      <c r="AD95" s="46">
        <v>8.6219921497218266</v>
      </c>
      <c r="AE95" s="10">
        <v>718727908931</v>
      </c>
      <c r="AF95" s="10">
        <v>718727908931</v>
      </c>
      <c r="AG95" s="10">
        <v>24061910473</v>
      </c>
      <c r="AH95" s="10">
        <v>174150000</v>
      </c>
      <c r="AI95" s="10">
        <v>0</v>
      </c>
      <c r="AJ95" s="10">
        <v>0</v>
      </c>
      <c r="AK95" s="10">
        <v>0</v>
      </c>
      <c r="AL95" s="11">
        <v>4</v>
      </c>
      <c r="AM95" s="10">
        <v>96961202709</v>
      </c>
      <c r="AN95" s="11">
        <v>26</v>
      </c>
      <c r="AO95" s="10">
        <v>127763690644</v>
      </c>
      <c r="AP95" s="12">
        <v>15</v>
      </c>
      <c r="AQ95" s="10">
        <v>97398634968</v>
      </c>
      <c r="AR95" s="10">
        <v>6465196062</v>
      </c>
      <c r="AS95" s="10">
        <v>7758047897</v>
      </c>
      <c r="AT95" s="10">
        <v>-1292851835</v>
      </c>
      <c r="AU95" s="11">
        <v>-16.66</v>
      </c>
      <c r="AV95" s="10">
        <v>632858261133</v>
      </c>
      <c r="AW95" s="10">
        <v>53335549782</v>
      </c>
      <c r="AX95" s="10">
        <v>299258414666</v>
      </c>
      <c r="AY95" s="10">
        <v>237775782738</v>
      </c>
      <c r="AZ95" s="10">
        <v>504497300777</v>
      </c>
      <c r="BA95" s="10">
        <v>522482019503</v>
      </c>
      <c r="BB95" s="10">
        <v>256641797957</v>
      </c>
      <c r="BC95" s="10">
        <v>1592749912187</v>
      </c>
      <c r="BD95" s="12">
        <v>36661</v>
      </c>
      <c r="BE95" s="10">
        <v>563262288923</v>
      </c>
      <c r="BF95" s="10">
        <v>504497300777</v>
      </c>
      <c r="BG95" s="10">
        <v>524990322487</v>
      </c>
      <c r="BH95" s="10">
        <v>526791962777</v>
      </c>
      <c r="BI95" s="10">
        <v>191935946154</v>
      </c>
      <c r="BJ95" s="10">
        <v>0</v>
      </c>
      <c r="BK95" s="10">
        <v>0</v>
      </c>
      <c r="BL95" s="10">
        <v>24061910473</v>
      </c>
      <c r="BM95" s="10">
        <v>0</v>
      </c>
      <c r="BN95" s="10">
        <v>0</v>
      </c>
      <c r="BO95" s="10">
        <v>174150000</v>
      </c>
    </row>
    <row r="96" spans="1:67" x14ac:dyDescent="0.25">
      <c r="A96" s="25" t="s">
        <v>141</v>
      </c>
      <c r="B96" s="9">
        <v>4109</v>
      </c>
      <c r="C96" s="9" t="s">
        <v>151</v>
      </c>
      <c r="D96" s="10">
        <v>324993752658</v>
      </c>
      <c r="E96" s="10">
        <v>1675825717</v>
      </c>
      <c r="F96" s="10">
        <v>0</v>
      </c>
      <c r="G96" s="10">
        <v>0</v>
      </c>
      <c r="H96" s="10">
        <v>326669578375</v>
      </c>
      <c r="I96" s="10">
        <v>21505765470</v>
      </c>
      <c r="J96" s="10">
        <v>2008636293</v>
      </c>
      <c r="K96" s="10">
        <v>303155176612</v>
      </c>
      <c r="L96" s="10">
        <v>123921830313</v>
      </c>
      <c r="M96" s="10">
        <v>202747748062</v>
      </c>
      <c r="N96" s="46">
        <v>163.6093879100257</v>
      </c>
      <c r="O96" s="10">
        <v>36699238641</v>
      </c>
      <c r="P96" s="11">
        <v>11.74</v>
      </c>
      <c r="Q96" s="11">
        <v>12.11</v>
      </c>
      <c r="R96" s="11">
        <v>0</v>
      </c>
      <c r="S96" s="10">
        <v>34392137117</v>
      </c>
      <c r="T96" s="10">
        <v>0</v>
      </c>
      <c r="U96" s="10">
        <v>0</v>
      </c>
      <c r="V96" s="10">
        <v>0</v>
      </c>
      <c r="W96" s="10">
        <v>0</v>
      </c>
      <c r="X96" s="10">
        <v>34392137117</v>
      </c>
      <c r="Y96" s="10">
        <v>0</v>
      </c>
      <c r="Z96" s="10">
        <v>1953985711</v>
      </c>
      <c r="AA96" s="10">
        <v>2000000000</v>
      </c>
      <c r="AB96" s="10">
        <v>38346122828</v>
      </c>
      <c r="AC96" s="10">
        <v>0</v>
      </c>
      <c r="AD96" s="46" t="s">
        <v>595</v>
      </c>
      <c r="AE96" s="10">
        <v>35907722504</v>
      </c>
      <c r="AF96" s="10">
        <v>35907722504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1">
        <v>0</v>
      </c>
      <c r="AM96" s="10">
        <v>0</v>
      </c>
      <c r="AN96" s="11">
        <v>1</v>
      </c>
      <c r="AO96" s="10">
        <v>120000000</v>
      </c>
      <c r="AP96" s="12">
        <v>0</v>
      </c>
      <c r="AQ96" s="10">
        <v>0</v>
      </c>
      <c r="AR96" s="10">
        <v>0</v>
      </c>
      <c r="AS96" s="10">
        <v>0</v>
      </c>
      <c r="AT96" s="10">
        <v>0</v>
      </c>
      <c r="AU96" s="11" t="s">
        <v>593</v>
      </c>
      <c r="AV96" s="10">
        <v>1529376973</v>
      </c>
      <c r="AW96" s="10">
        <v>0</v>
      </c>
      <c r="AX96" s="10">
        <v>3413267209</v>
      </c>
      <c r="AY96" s="10">
        <v>52333234870</v>
      </c>
      <c r="AZ96" s="10">
        <v>17412250579</v>
      </c>
      <c r="BA96" s="10">
        <v>251835000000</v>
      </c>
      <c r="BB96" s="10">
        <v>12598868269</v>
      </c>
      <c r="BC96" s="10">
        <v>326669578375</v>
      </c>
      <c r="BD96" s="12">
        <v>0</v>
      </c>
      <c r="BE96" s="10">
        <v>57422327796</v>
      </c>
      <c r="BF96" s="10">
        <v>17412250579</v>
      </c>
      <c r="BG96" s="10">
        <v>251835000000</v>
      </c>
      <c r="BH96" s="10">
        <v>10810000000</v>
      </c>
      <c r="BI96" s="10">
        <v>25097722504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</row>
    <row r="97" spans="1:67" x14ac:dyDescent="0.25">
      <c r="A97" s="25" t="s">
        <v>141</v>
      </c>
      <c r="B97" s="9">
        <v>4199</v>
      </c>
      <c r="C97" s="9" t="s">
        <v>152</v>
      </c>
      <c r="D97" s="10">
        <v>0</v>
      </c>
      <c r="E97" s="10">
        <v>1767960877</v>
      </c>
      <c r="F97" s="10">
        <v>0</v>
      </c>
      <c r="G97" s="10">
        <v>0</v>
      </c>
      <c r="H97" s="10">
        <v>1767960877</v>
      </c>
      <c r="I97" s="10">
        <v>108282443</v>
      </c>
      <c r="J97" s="10">
        <v>52682690000</v>
      </c>
      <c r="K97" s="10">
        <v>-51023011566</v>
      </c>
      <c r="L97" s="10">
        <v>77636964</v>
      </c>
      <c r="M97" s="10">
        <v>1690323913</v>
      </c>
      <c r="N97" s="46">
        <v>2177.215369987935</v>
      </c>
      <c r="O97" s="10">
        <v>0</v>
      </c>
      <c r="P97" s="11">
        <v>0</v>
      </c>
      <c r="Q97" s="11">
        <v>0</v>
      </c>
      <c r="R97" s="11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46" t="s">
        <v>595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1">
        <v>0</v>
      </c>
      <c r="AM97" s="10">
        <v>0</v>
      </c>
      <c r="AN97" s="11">
        <v>0</v>
      </c>
      <c r="AO97" s="10">
        <v>0</v>
      </c>
      <c r="AP97" s="12">
        <v>0</v>
      </c>
      <c r="AQ97" s="10">
        <v>0</v>
      </c>
      <c r="AR97" s="10">
        <v>0</v>
      </c>
      <c r="AS97" s="10">
        <v>0</v>
      </c>
      <c r="AT97" s="10">
        <v>0</v>
      </c>
      <c r="AU97" s="11" t="s">
        <v>593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1767960877</v>
      </c>
      <c r="BD97" s="11">
        <v>113</v>
      </c>
      <c r="BE97" s="10">
        <v>1767960877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</row>
    <row r="98" spans="1:67" x14ac:dyDescent="0.25">
      <c r="A98" s="19" t="s">
        <v>623</v>
      </c>
      <c r="B98" s="20" t="s">
        <v>593</v>
      </c>
      <c r="C98" s="20" t="s">
        <v>593</v>
      </c>
      <c r="D98" s="21">
        <v>28221696630724</v>
      </c>
      <c r="E98" s="21">
        <v>1895888717446</v>
      </c>
      <c r="F98" s="21">
        <v>210148000000</v>
      </c>
      <c r="G98" s="21">
        <v>558367710</v>
      </c>
      <c r="H98" s="21">
        <v>30328291715880</v>
      </c>
      <c r="I98" s="21">
        <v>2193073546139</v>
      </c>
      <c r="J98" s="21">
        <v>63399279722</v>
      </c>
      <c r="K98" s="21">
        <v>28071818890019</v>
      </c>
      <c r="L98" s="21">
        <v>20694218545049</v>
      </c>
      <c r="M98" s="21">
        <v>9634073170831</v>
      </c>
      <c r="N98" s="47">
        <v>46.554418809575729</v>
      </c>
      <c r="O98" s="21">
        <v>25531454375206</v>
      </c>
      <c r="P98" s="22">
        <v>97.72</v>
      </c>
      <c r="Q98" s="22">
        <v>90.95</v>
      </c>
      <c r="R98" s="22">
        <v>10.07</v>
      </c>
      <c r="S98" s="21">
        <v>24655000099967</v>
      </c>
      <c r="T98" s="21">
        <v>2650664072300</v>
      </c>
      <c r="U98" s="21">
        <v>320543453906</v>
      </c>
      <c r="V98" s="21">
        <v>640349582335</v>
      </c>
      <c r="W98" s="21">
        <v>1689771036059</v>
      </c>
      <c r="X98" s="21">
        <v>27305664172267</v>
      </c>
      <c r="Y98" s="21">
        <v>332507297660</v>
      </c>
      <c r="Z98" s="21">
        <v>2079835504552</v>
      </c>
      <c r="AA98" s="21">
        <v>251819794501</v>
      </c>
      <c r="AB98" s="21">
        <v>29637319471320</v>
      </c>
      <c r="AC98" s="21">
        <v>21852047163204</v>
      </c>
      <c r="AD98" s="47">
        <v>24.957007315297126</v>
      </c>
      <c r="AE98" s="21">
        <v>29988418791215</v>
      </c>
      <c r="AF98" s="21">
        <v>29905536862912</v>
      </c>
      <c r="AG98" s="21">
        <v>10004205033471</v>
      </c>
      <c r="AH98" s="21">
        <v>832588985097</v>
      </c>
      <c r="AI98" s="21">
        <v>0</v>
      </c>
      <c r="AJ98" s="21">
        <v>180000000000</v>
      </c>
      <c r="AK98" s="21">
        <v>0</v>
      </c>
      <c r="AL98" s="22">
        <v>87</v>
      </c>
      <c r="AM98" s="21">
        <v>15253232200592</v>
      </c>
      <c r="AN98" s="22">
        <v>783</v>
      </c>
      <c r="AO98" s="21">
        <v>15063612292935</v>
      </c>
      <c r="AP98" s="23">
        <v>348</v>
      </c>
      <c r="AQ98" s="21">
        <v>8030411483756</v>
      </c>
      <c r="AR98" s="21">
        <v>2650664072300</v>
      </c>
      <c r="AS98" s="21">
        <v>863290321144</v>
      </c>
      <c r="AT98" s="21">
        <v>1787373751156</v>
      </c>
      <c r="AU98" s="22">
        <v>207.04</v>
      </c>
      <c r="AV98" s="21">
        <v>24119350438134</v>
      </c>
      <c r="AW98" s="21">
        <v>3527917481399</v>
      </c>
      <c r="AX98" s="21">
        <v>4837123673281</v>
      </c>
      <c r="AY98" s="21">
        <v>4050087916928</v>
      </c>
      <c r="AZ98" s="21">
        <v>6413751076561</v>
      </c>
      <c r="BA98" s="21">
        <v>12920733963954</v>
      </c>
      <c r="BB98" s="21">
        <v>3670189718614</v>
      </c>
      <c r="BC98" s="21">
        <v>30328291715880</v>
      </c>
      <c r="BD98" s="23">
        <v>273508</v>
      </c>
      <c r="BE98" s="21">
        <v>10643930336953</v>
      </c>
      <c r="BF98" s="21">
        <v>6623589076561</v>
      </c>
      <c r="BG98" s="21">
        <v>13060772302366</v>
      </c>
      <c r="BH98" s="21">
        <v>17202412415193</v>
      </c>
      <c r="BI98" s="21">
        <v>12786006376022</v>
      </c>
      <c r="BJ98" s="21">
        <v>306567696638</v>
      </c>
      <c r="BK98" s="21">
        <v>1527967038968</v>
      </c>
      <c r="BL98" s="21">
        <v>8035918537977</v>
      </c>
      <c r="BM98" s="21">
        <v>17928000000</v>
      </c>
      <c r="BN98" s="21">
        <v>24738609696</v>
      </c>
      <c r="BO98" s="21">
        <v>814660985097</v>
      </c>
    </row>
    <row r="99" spans="1:67" x14ac:dyDescent="0.25">
      <c r="A99" s="25" t="s">
        <v>153</v>
      </c>
      <c r="B99" s="9">
        <v>1500</v>
      </c>
      <c r="C99" s="9" t="s">
        <v>153</v>
      </c>
      <c r="D99" s="10">
        <v>1857076086354</v>
      </c>
      <c r="E99" s="10">
        <v>96847254276</v>
      </c>
      <c r="F99" s="10">
        <v>39399000000</v>
      </c>
      <c r="G99" s="10">
        <v>0</v>
      </c>
      <c r="H99" s="10">
        <v>1993322340630</v>
      </c>
      <c r="I99" s="10">
        <v>122751270294</v>
      </c>
      <c r="J99" s="10">
        <v>3056238075</v>
      </c>
      <c r="K99" s="10">
        <v>1867514832261</v>
      </c>
      <c r="L99" s="10">
        <v>1168637685097</v>
      </c>
      <c r="M99" s="10">
        <v>824684655533</v>
      </c>
      <c r="N99" s="46">
        <v>70.568035418483788</v>
      </c>
      <c r="O99" s="10">
        <v>3542034059587</v>
      </c>
      <c r="P99" s="11">
        <v>255.26</v>
      </c>
      <c r="Q99" s="11">
        <v>189.67</v>
      </c>
      <c r="R99" s="11">
        <v>1.55</v>
      </c>
      <c r="S99" s="10">
        <v>4813196672993</v>
      </c>
      <c r="T99" s="10">
        <v>73466829445</v>
      </c>
      <c r="U99" s="10">
        <v>27349662485</v>
      </c>
      <c r="V99" s="10">
        <v>21958153383</v>
      </c>
      <c r="W99" s="10">
        <v>24159013577</v>
      </c>
      <c r="X99" s="10">
        <v>4886663502438</v>
      </c>
      <c r="Y99" s="10">
        <v>5457233128</v>
      </c>
      <c r="Z99" s="10">
        <v>174726968111</v>
      </c>
      <c r="AA99" s="10">
        <v>26853400000</v>
      </c>
      <c r="AB99" s="10">
        <v>5088243870549</v>
      </c>
      <c r="AC99" s="10">
        <v>3209897261795</v>
      </c>
      <c r="AD99" s="46">
        <v>52.23738032367239</v>
      </c>
      <c r="AE99" s="10">
        <v>2426278845045</v>
      </c>
      <c r="AF99" s="10">
        <v>2240552633039</v>
      </c>
      <c r="AG99" s="10">
        <v>0</v>
      </c>
      <c r="AH99" s="10">
        <v>0</v>
      </c>
      <c r="AI99" s="10">
        <v>30752396937</v>
      </c>
      <c r="AJ99" s="10">
        <v>0</v>
      </c>
      <c r="AK99" s="10">
        <v>0</v>
      </c>
      <c r="AL99" s="11">
        <v>1</v>
      </c>
      <c r="AM99" s="10">
        <v>35420000000</v>
      </c>
      <c r="AN99" s="11">
        <v>64</v>
      </c>
      <c r="AO99" s="10">
        <v>345321203766</v>
      </c>
      <c r="AP99" s="12">
        <v>31</v>
      </c>
      <c r="AQ99" s="10">
        <v>206402403047</v>
      </c>
      <c r="AR99" s="10">
        <v>73466829445</v>
      </c>
      <c r="AS99" s="10">
        <v>73634522860</v>
      </c>
      <c r="AT99" s="10">
        <v>-167693415</v>
      </c>
      <c r="AU99" s="11">
        <v>-0.23</v>
      </c>
      <c r="AV99" s="10">
        <v>986388829485</v>
      </c>
      <c r="AW99" s="10">
        <v>194138185512</v>
      </c>
      <c r="AX99" s="10">
        <v>86508084237</v>
      </c>
      <c r="AY99" s="10">
        <v>433936961406</v>
      </c>
      <c r="AZ99" s="10">
        <v>496406540711</v>
      </c>
      <c r="BA99" s="10">
        <v>840224500000</v>
      </c>
      <c r="BB99" s="10">
        <v>427791665247</v>
      </c>
      <c r="BC99" s="10">
        <v>1993322340630</v>
      </c>
      <c r="BD99" s="12">
        <v>182670</v>
      </c>
      <c r="BE99" s="10">
        <v>540865581563</v>
      </c>
      <c r="BF99" s="10">
        <v>535805540711</v>
      </c>
      <c r="BG99" s="10">
        <v>916651218356</v>
      </c>
      <c r="BH99" s="10">
        <v>2180620966962</v>
      </c>
      <c r="BI99" s="10">
        <v>245657878083</v>
      </c>
      <c r="BJ99" s="10">
        <v>0</v>
      </c>
      <c r="BK99" s="10">
        <v>0</v>
      </c>
      <c r="BL99" s="10">
        <v>0</v>
      </c>
      <c r="BM99" s="10">
        <v>0</v>
      </c>
      <c r="BN99" s="10">
        <v>0</v>
      </c>
      <c r="BO99" s="10">
        <v>1575000000</v>
      </c>
    </row>
    <row r="100" spans="1:67" x14ac:dyDescent="0.25">
      <c r="A100" s="25" t="s">
        <v>153</v>
      </c>
      <c r="B100" s="9">
        <v>1501</v>
      </c>
      <c r="C100" s="9" t="s">
        <v>154</v>
      </c>
      <c r="D100" s="10">
        <v>1228341194994</v>
      </c>
      <c r="E100" s="10">
        <v>4551241074</v>
      </c>
      <c r="F100" s="10">
        <v>0</v>
      </c>
      <c r="G100" s="10">
        <v>0</v>
      </c>
      <c r="H100" s="10">
        <v>1232892436068</v>
      </c>
      <c r="I100" s="10">
        <v>89106715400</v>
      </c>
      <c r="J100" s="10">
        <v>4847535584</v>
      </c>
      <c r="K100" s="10">
        <v>1138938185084</v>
      </c>
      <c r="L100" s="10">
        <v>945403571724</v>
      </c>
      <c r="M100" s="10">
        <v>287488864344</v>
      </c>
      <c r="N100" s="46">
        <v>30.409115529333874</v>
      </c>
      <c r="O100" s="10">
        <v>1575487144524</v>
      </c>
      <c r="P100" s="11">
        <v>149.76</v>
      </c>
      <c r="Q100" s="11">
        <v>138.33000000000001</v>
      </c>
      <c r="R100" s="11">
        <v>2.2799999999999998</v>
      </c>
      <c r="S100" s="10">
        <v>1695162696209</v>
      </c>
      <c r="T100" s="10">
        <v>41866755494</v>
      </c>
      <c r="U100" s="10">
        <v>31687151353</v>
      </c>
      <c r="V100" s="10">
        <v>9157924077</v>
      </c>
      <c r="W100" s="10">
        <v>1021680064</v>
      </c>
      <c r="X100" s="10">
        <v>1737029451703</v>
      </c>
      <c r="Y100" s="10">
        <v>212830750</v>
      </c>
      <c r="Z100" s="10">
        <v>92113047470</v>
      </c>
      <c r="AA100" s="10">
        <v>17245780411</v>
      </c>
      <c r="AB100" s="10">
        <v>1846388279584</v>
      </c>
      <c r="AC100" s="10">
        <v>1275433636501</v>
      </c>
      <c r="AD100" s="46">
        <v>36.191284437842889</v>
      </c>
      <c r="AE100" s="10">
        <v>901451831678</v>
      </c>
      <c r="AF100" s="10">
        <v>869989606539</v>
      </c>
      <c r="AG100" s="10">
        <v>0</v>
      </c>
      <c r="AH100" s="10">
        <v>68023356</v>
      </c>
      <c r="AI100" s="10">
        <v>1774519588</v>
      </c>
      <c r="AJ100" s="10">
        <v>0</v>
      </c>
      <c r="AK100" s="10">
        <v>0</v>
      </c>
      <c r="AL100" s="11">
        <v>0</v>
      </c>
      <c r="AM100" s="10">
        <v>0</v>
      </c>
      <c r="AN100" s="11">
        <v>35</v>
      </c>
      <c r="AO100" s="10">
        <v>53142423700</v>
      </c>
      <c r="AP100" s="12">
        <v>5</v>
      </c>
      <c r="AQ100" s="10">
        <v>20687584557</v>
      </c>
      <c r="AR100" s="10">
        <v>41866755494</v>
      </c>
      <c r="AS100" s="10">
        <v>40974545156</v>
      </c>
      <c r="AT100" s="10">
        <v>892210338</v>
      </c>
      <c r="AU100" s="11">
        <v>2.1800000000000002</v>
      </c>
      <c r="AV100" s="10">
        <v>407795606512</v>
      </c>
      <c r="AW100" s="10">
        <v>141723716991</v>
      </c>
      <c r="AX100" s="10">
        <v>49803731964</v>
      </c>
      <c r="AY100" s="10">
        <v>306625685728</v>
      </c>
      <c r="AZ100" s="10">
        <v>165136777302</v>
      </c>
      <c r="BA100" s="10">
        <v>706775000000</v>
      </c>
      <c r="BB100" s="10">
        <v>120052883415</v>
      </c>
      <c r="BC100" s="10">
        <v>1232892436068</v>
      </c>
      <c r="BD100" s="12">
        <v>110662</v>
      </c>
      <c r="BE100" s="10">
        <v>360980658766</v>
      </c>
      <c r="BF100" s="10">
        <v>165136777302</v>
      </c>
      <c r="BG100" s="10">
        <v>706775000000</v>
      </c>
      <c r="BH100" s="10">
        <v>831106558636</v>
      </c>
      <c r="BI100" s="10">
        <v>70345273042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68023356</v>
      </c>
    </row>
    <row r="101" spans="1:67" x14ac:dyDescent="0.25">
      <c r="A101" s="25" t="s">
        <v>153</v>
      </c>
      <c r="B101" s="9">
        <v>1502</v>
      </c>
      <c r="C101" s="9" t="s">
        <v>155</v>
      </c>
      <c r="D101" s="10">
        <v>525940736769</v>
      </c>
      <c r="E101" s="10">
        <v>2083699080</v>
      </c>
      <c r="F101" s="10">
        <v>0</v>
      </c>
      <c r="G101" s="10">
        <v>0</v>
      </c>
      <c r="H101" s="10">
        <v>528024435849</v>
      </c>
      <c r="I101" s="10">
        <v>35903970164</v>
      </c>
      <c r="J101" s="10">
        <v>2766300385</v>
      </c>
      <c r="K101" s="10">
        <v>489354165300</v>
      </c>
      <c r="L101" s="10">
        <v>497514491137</v>
      </c>
      <c r="M101" s="10">
        <v>30509944712</v>
      </c>
      <c r="N101" s="46">
        <v>6.1324735772567704</v>
      </c>
      <c r="O101" s="10">
        <v>580064081348</v>
      </c>
      <c r="P101" s="11">
        <v>135.05000000000001</v>
      </c>
      <c r="Q101" s="11">
        <v>118.54</v>
      </c>
      <c r="R101" s="11">
        <v>1.81</v>
      </c>
      <c r="S101" s="10">
        <v>641107096603</v>
      </c>
      <c r="T101" s="10">
        <v>12697828575</v>
      </c>
      <c r="U101" s="10">
        <v>6464181773</v>
      </c>
      <c r="V101" s="10">
        <v>4360341336</v>
      </c>
      <c r="W101" s="10">
        <v>1873305466</v>
      </c>
      <c r="X101" s="10">
        <v>653804925178</v>
      </c>
      <c r="Y101" s="10">
        <v>224387966</v>
      </c>
      <c r="Z101" s="10">
        <v>43513049505</v>
      </c>
      <c r="AA101" s="10">
        <v>15798733753</v>
      </c>
      <c r="AB101" s="10">
        <v>713116708436</v>
      </c>
      <c r="AC101" s="10">
        <v>395509219508</v>
      </c>
      <c r="AD101" s="46">
        <v>65.307126339889393</v>
      </c>
      <c r="AE101" s="10">
        <v>431728700000</v>
      </c>
      <c r="AF101" s="10">
        <v>384158700000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1">
        <v>0</v>
      </c>
      <c r="AM101" s="10">
        <v>0</v>
      </c>
      <c r="AN101" s="11">
        <v>11</v>
      </c>
      <c r="AO101" s="10">
        <v>30715318200</v>
      </c>
      <c r="AP101" s="12">
        <v>2</v>
      </c>
      <c r="AQ101" s="10">
        <v>690650000</v>
      </c>
      <c r="AR101" s="10">
        <v>12697828575</v>
      </c>
      <c r="AS101" s="10">
        <v>8244646239</v>
      </c>
      <c r="AT101" s="10">
        <v>4453182336</v>
      </c>
      <c r="AU101" s="11">
        <v>54.01</v>
      </c>
      <c r="AV101" s="10">
        <v>155221495139</v>
      </c>
      <c r="AW101" s="10">
        <v>52560632826</v>
      </c>
      <c r="AX101" s="10">
        <v>13801014380</v>
      </c>
      <c r="AY101" s="10">
        <v>106199657428</v>
      </c>
      <c r="AZ101" s="10">
        <v>134202064961</v>
      </c>
      <c r="BA101" s="10">
        <v>271738000000</v>
      </c>
      <c r="BB101" s="10">
        <v>76110846308</v>
      </c>
      <c r="BC101" s="10">
        <v>528024435849</v>
      </c>
      <c r="BD101" s="12">
        <v>63882</v>
      </c>
      <c r="BE101" s="10">
        <v>122084370888</v>
      </c>
      <c r="BF101" s="10">
        <v>134202064961</v>
      </c>
      <c r="BG101" s="10">
        <v>271738000000</v>
      </c>
      <c r="BH101" s="10">
        <v>395928700000</v>
      </c>
      <c r="BI101" s="10">
        <v>35800000000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</row>
    <row r="102" spans="1:67" x14ac:dyDescent="0.25">
      <c r="A102" s="25" t="s">
        <v>153</v>
      </c>
      <c r="B102" s="9">
        <v>1503</v>
      </c>
      <c r="C102" s="9" t="s">
        <v>156</v>
      </c>
      <c r="D102" s="10">
        <v>816829263133</v>
      </c>
      <c r="E102" s="10">
        <v>2418923542</v>
      </c>
      <c r="F102" s="10">
        <v>0</v>
      </c>
      <c r="G102" s="10">
        <v>0</v>
      </c>
      <c r="H102" s="10">
        <v>819248186675</v>
      </c>
      <c r="I102" s="10">
        <v>59843887198</v>
      </c>
      <c r="J102" s="10">
        <v>4349462064</v>
      </c>
      <c r="K102" s="10">
        <v>755054837413</v>
      </c>
      <c r="L102" s="10">
        <v>397645440460</v>
      </c>
      <c r="M102" s="10">
        <v>421602746215</v>
      </c>
      <c r="N102" s="46">
        <v>106.02479076015206</v>
      </c>
      <c r="O102" s="10">
        <v>810633805550</v>
      </c>
      <c r="P102" s="11">
        <v>120.87</v>
      </c>
      <c r="Q102" s="11">
        <v>107.36</v>
      </c>
      <c r="R102" s="11">
        <v>1.79</v>
      </c>
      <c r="S102" s="10">
        <v>927241741920</v>
      </c>
      <c r="T102" s="10">
        <v>17622089396</v>
      </c>
      <c r="U102" s="10">
        <v>11688182759</v>
      </c>
      <c r="V102" s="10">
        <v>5933906637</v>
      </c>
      <c r="W102" s="10">
        <v>0</v>
      </c>
      <c r="X102" s="10">
        <v>944863831316</v>
      </c>
      <c r="Y102" s="10">
        <v>78842657</v>
      </c>
      <c r="Z102" s="10">
        <v>32684834302</v>
      </c>
      <c r="AA102" s="10">
        <v>12708280000</v>
      </c>
      <c r="AB102" s="10">
        <v>990256945618</v>
      </c>
      <c r="AC102" s="10">
        <v>461643171621</v>
      </c>
      <c r="AD102" s="46">
        <v>104.67406200296074</v>
      </c>
      <c r="AE102" s="10">
        <v>623756488235</v>
      </c>
      <c r="AF102" s="10">
        <v>592026488235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1">
        <v>0</v>
      </c>
      <c r="AM102" s="10">
        <v>0</v>
      </c>
      <c r="AN102" s="11">
        <v>10</v>
      </c>
      <c r="AO102" s="10">
        <v>24611059457</v>
      </c>
      <c r="AP102" s="12">
        <v>1</v>
      </c>
      <c r="AQ102" s="10">
        <v>10000000000</v>
      </c>
      <c r="AR102" s="10">
        <v>17622089396</v>
      </c>
      <c r="AS102" s="10">
        <v>3345876499</v>
      </c>
      <c r="AT102" s="10">
        <v>14276212897</v>
      </c>
      <c r="AU102" s="11">
        <v>426.68</v>
      </c>
      <c r="AV102" s="10">
        <v>138358098624</v>
      </c>
      <c r="AW102" s="10">
        <v>40801220988</v>
      </c>
      <c r="AX102" s="10">
        <v>15878350256</v>
      </c>
      <c r="AY102" s="10">
        <v>210389894138</v>
      </c>
      <c r="AZ102" s="10">
        <v>64006018739</v>
      </c>
      <c r="BA102" s="10">
        <v>526555000000</v>
      </c>
      <c r="BB102" s="10">
        <v>33062893469</v>
      </c>
      <c r="BC102" s="10">
        <v>819248186675</v>
      </c>
      <c r="BD102" s="12">
        <v>16606</v>
      </c>
      <c r="BE102" s="10">
        <v>228687167936</v>
      </c>
      <c r="BF102" s="10">
        <v>64006018739</v>
      </c>
      <c r="BG102" s="10">
        <v>526555000000</v>
      </c>
      <c r="BH102" s="10">
        <v>605456488235</v>
      </c>
      <c r="BI102" s="10">
        <v>18300000000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</row>
    <row r="103" spans="1:67" x14ac:dyDescent="0.25">
      <c r="A103" s="25" t="s">
        <v>153</v>
      </c>
      <c r="B103" s="9">
        <v>1504</v>
      </c>
      <c r="C103" s="9" t="s">
        <v>157</v>
      </c>
      <c r="D103" s="10">
        <v>784414098355</v>
      </c>
      <c r="E103" s="10">
        <v>2806005882</v>
      </c>
      <c r="F103" s="10">
        <v>0</v>
      </c>
      <c r="G103" s="10">
        <v>0</v>
      </c>
      <c r="H103" s="10">
        <v>787220104237</v>
      </c>
      <c r="I103" s="10">
        <v>54580841113</v>
      </c>
      <c r="J103" s="10">
        <v>3123112228</v>
      </c>
      <c r="K103" s="10">
        <v>729516150896</v>
      </c>
      <c r="L103" s="10">
        <v>677520171772</v>
      </c>
      <c r="M103" s="10">
        <v>109699932465</v>
      </c>
      <c r="N103" s="46">
        <v>16.191389870812049</v>
      </c>
      <c r="O103" s="10">
        <v>979932623827</v>
      </c>
      <c r="P103" s="11">
        <v>146.68</v>
      </c>
      <c r="Q103" s="11">
        <v>134.33000000000001</v>
      </c>
      <c r="R103" s="11">
        <v>5.21</v>
      </c>
      <c r="S103" s="10">
        <v>1024287188913</v>
      </c>
      <c r="T103" s="10">
        <v>60073437712</v>
      </c>
      <c r="U103" s="10">
        <v>20021451370</v>
      </c>
      <c r="V103" s="10">
        <v>40051986342</v>
      </c>
      <c r="W103" s="10">
        <v>0</v>
      </c>
      <c r="X103" s="10">
        <v>1084360626625</v>
      </c>
      <c r="Y103" s="10">
        <v>33176712</v>
      </c>
      <c r="Z103" s="10">
        <v>55538057263</v>
      </c>
      <c r="AA103" s="10">
        <v>14799858000</v>
      </c>
      <c r="AB103" s="10">
        <v>1154698541888</v>
      </c>
      <c r="AC103" s="10">
        <v>810589725466</v>
      </c>
      <c r="AD103" s="46">
        <v>33.774287109500655</v>
      </c>
      <c r="AE103" s="10">
        <v>547556885853</v>
      </c>
      <c r="AF103" s="10">
        <v>542556885853</v>
      </c>
      <c r="AG103" s="10">
        <v>0</v>
      </c>
      <c r="AH103" s="10">
        <v>108403774</v>
      </c>
      <c r="AI103" s="10">
        <v>1170000000</v>
      </c>
      <c r="AJ103" s="10">
        <v>0</v>
      </c>
      <c r="AK103" s="10">
        <v>0</v>
      </c>
      <c r="AL103" s="11">
        <v>0</v>
      </c>
      <c r="AM103" s="10">
        <v>0</v>
      </c>
      <c r="AN103" s="11">
        <v>12</v>
      </c>
      <c r="AO103" s="10">
        <v>7021297906</v>
      </c>
      <c r="AP103" s="12">
        <v>2</v>
      </c>
      <c r="AQ103" s="10">
        <v>6616177044</v>
      </c>
      <c r="AR103" s="10">
        <v>60073437712</v>
      </c>
      <c r="AS103" s="10">
        <v>16772728798</v>
      </c>
      <c r="AT103" s="10">
        <v>43300708914</v>
      </c>
      <c r="AU103" s="11">
        <v>258.16000000000003</v>
      </c>
      <c r="AV103" s="10">
        <v>346407144587</v>
      </c>
      <c r="AW103" s="10">
        <v>113185242552</v>
      </c>
      <c r="AX103" s="10">
        <v>52201187676</v>
      </c>
      <c r="AY103" s="10">
        <v>168694967063</v>
      </c>
      <c r="AZ103" s="10">
        <v>229473143616</v>
      </c>
      <c r="BA103" s="10">
        <v>334044800000</v>
      </c>
      <c r="BB103" s="10">
        <v>178700145031</v>
      </c>
      <c r="BC103" s="10">
        <v>787220104237</v>
      </c>
      <c r="BD103" s="12">
        <v>6914</v>
      </c>
      <c r="BE103" s="10">
        <v>223702160621</v>
      </c>
      <c r="BF103" s="10">
        <v>229473143616</v>
      </c>
      <c r="BG103" s="10">
        <v>334044800000</v>
      </c>
      <c r="BH103" s="10">
        <v>501276435367</v>
      </c>
      <c r="BI103" s="10">
        <v>46280450486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108403774</v>
      </c>
    </row>
    <row r="104" spans="1:67" x14ac:dyDescent="0.25">
      <c r="A104" s="25" t="s">
        <v>153</v>
      </c>
      <c r="B104" s="9">
        <v>1505</v>
      </c>
      <c r="C104" s="9" t="s">
        <v>158</v>
      </c>
      <c r="D104" s="10">
        <v>912001824456</v>
      </c>
      <c r="E104" s="10">
        <v>5755834177</v>
      </c>
      <c r="F104" s="10">
        <v>0</v>
      </c>
      <c r="G104" s="10">
        <v>0</v>
      </c>
      <c r="H104" s="10">
        <v>917757658633</v>
      </c>
      <c r="I104" s="10">
        <v>74339913226</v>
      </c>
      <c r="J104" s="10">
        <v>5841696366</v>
      </c>
      <c r="K104" s="10">
        <v>837576049041</v>
      </c>
      <c r="L104" s="10">
        <v>694729023203</v>
      </c>
      <c r="M104" s="10">
        <v>223028635430</v>
      </c>
      <c r="N104" s="46">
        <v>32.102967917151631</v>
      </c>
      <c r="O104" s="10">
        <v>796232784778</v>
      </c>
      <c r="P104" s="11">
        <v>102.31</v>
      </c>
      <c r="Q104" s="11">
        <v>95.06</v>
      </c>
      <c r="R104" s="11">
        <v>2.2599999999999998</v>
      </c>
      <c r="S104" s="10">
        <v>858085906157</v>
      </c>
      <c r="T104" s="10">
        <v>20238722788</v>
      </c>
      <c r="U104" s="10">
        <v>15149360384</v>
      </c>
      <c r="V104" s="10">
        <v>4284902773</v>
      </c>
      <c r="W104" s="10">
        <v>804459631</v>
      </c>
      <c r="X104" s="10">
        <v>878324628945</v>
      </c>
      <c r="Y104" s="10">
        <v>937727287</v>
      </c>
      <c r="Z104" s="10">
        <v>52079294985</v>
      </c>
      <c r="AA104" s="10">
        <v>8543209000</v>
      </c>
      <c r="AB104" s="10">
        <v>938947132930</v>
      </c>
      <c r="AC104" s="10">
        <v>600746863862</v>
      </c>
      <c r="AD104" s="46">
        <v>46.205445551316856</v>
      </c>
      <c r="AE104" s="10">
        <v>507065837055</v>
      </c>
      <c r="AF104" s="10">
        <v>480395837055</v>
      </c>
      <c r="AG104" s="10">
        <v>0</v>
      </c>
      <c r="AH104" s="10">
        <v>0</v>
      </c>
      <c r="AI104" s="10">
        <v>3624773973</v>
      </c>
      <c r="AJ104" s="10">
        <v>0</v>
      </c>
      <c r="AK104" s="10">
        <v>0</v>
      </c>
      <c r="AL104" s="11">
        <v>0</v>
      </c>
      <c r="AM104" s="10">
        <v>0</v>
      </c>
      <c r="AN104" s="11">
        <v>73</v>
      </c>
      <c r="AO104" s="10">
        <v>132552604503</v>
      </c>
      <c r="AP104" s="12">
        <v>13</v>
      </c>
      <c r="AQ104" s="10">
        <v>5610792324</v>
      </c>
      <c r="AR104" s="10">
        <v>20238722788</v>
      </c>
      <c r="AS104" s="10">
        <v>17971815114</v>
      </c>
      <c r="AT104" s="10">
        <v>2266907674</v>
      </c>
      <c r="AU104" s="11">
        <v>12.61</v>
      </c>
      <c r="AV104" s="10">
        <v>238652594444</v>
      </c>
      <c r="AW104" s="10">
        <v>73405091361</v>
      </c>
      <c r="AX104" s="10">
        <v>21752851115</v>
      </c>
      <c r="AY104" s="10">
        <v>130878847623</v>
      </c>
      <c r="AZ104" s="10">
        <v>184494125718</v>
      </c>
      <c r="BA104" s="10">
        <v>574876000000</v>
      </c>
      <c r="BB104" s="10">
        <v>146586699294</v>
      </c>
      <c r="BC104" s="10">
        <v>917757658633</v>
      </c>
      <c r="BD104" s="12">
        <v>59563</v>
      </c>
      <c r="BE104" s="10">
        <v>158387532915</v>
      </c>
      <c r="BF104" s="10">
        <v>184494125718</v>
      </c>
      <c r="BG104" s="10">
        <v>574876000000</v>
      </c>
      <c r="BH104" s="10">
        <v>474754477388</v>
      </c>
      <c r="BI104" s="10">
        <v>32311359667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</row>
    <row r="105" spans="1:67" x14ac:dyDescent="0.25">
      <c r="A105" s="25" t="s">
        <v>153</v>
      </c>
      <c r="B105" s="9">
        <v>1506</v>
      </c>
      <c r="C105" s="9" t="s">
        <v>159</v>
      </c>
      <c r="D105" s="10">
        <v>757002930912</v>
      </c>
      <c r="E105" s="10">
        <v>4481963821</v>
      </c>
      <c r="F105" s="10">
        <v>0</v>
      </c>
      <c r="G105" s="10">
        <v>0</v>
      </c>
      <c r="H105" s="10">
        <v>761484894733</v>
      </c>
      <c r="I105" s="10">
        <v>50941048648</v>
      </c>
      <c r="J105" s="10">
        <v>12510808245</v>
      </c>
      <c r="K105" s="10">
        <v>698033037840</v>
      </c>
      <c r="L105" s="10">
        <v>545077027163</v>
      </c>
      <c r="M105" s="10">
        <v>216407867570</v>
      </c>
      <c r="N105" s="46">
        <v>39.702254321073291</v>
      </c>
      <c r="O105" s="10">
        <v>1137837444076</v>
      </c>
      <c r="P105" s="11">
        <v>183.49</v>
      </c>
      <c r="Q105" s="11">
        <v>163.01</v>
      </c>
      <c r="R105" s="11">
        <v>2.4700000000000002</v>
      </c>
      <c r="S105" s="10">
        <v>1272765624869</v>
      </c>
      <c r="T105" s="10">
        <v>33387148338</v>
      </c>
      <c r="U105" s="10">
        <v>24642068859</v>
      </c>
      <c r="V105" s="10">
        <v>6594882326</v>
      </c>
      <c r="W105" s="10">
        <v>2150197153</v>
      </c>
      <c r="X105" s="10">
        <v>1306152773207</v>
      </c>
      <c r="Y105" s="10">
        <v>1187049271</v>
      </c>
      <c r="Z105" s="10">
        <v>69126669540</v>
      </c>
      <c r="AA105" s="10">
        <v>21969625000</v>
      </c>
      <c r="AB105" s="10">
        <v>1397249067747</v>
      </c>
      <c r="AC105" s="10">
        <v>883219967826</v>
      </c>
      <c r="AD105" s="46">
        <v>47.885331037298343</v>
      </c>
      <c r="AE105" s="10">
        <v>812128598931</v>
      </c>
      <c r="AF105" s="10">
        <v>698668598931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1">
        <v>0</v>
      </c>
      <c r="AM105" s="10">
        <v>0</v>
      </c>
      <c r="AN105" s="11">
        <v>36</v>
      </c>
      <c r="AO105" s="10">
        <v>54534200568</v>
      </c>
      <c r="AP105" s="12">
        <v>11</v>
      </c>
      <c r="AQ105" s="10">
        <v>3917385505</v>
      </c>
      <c r="AR105" s="10">
        <v>33387148338</v>
      </c>
      <c r="AS105" s="10">
        <v>24229770298</v>
      </c>
      <c r="AT105" s="10">
        <v>9157378040</v>
      </c>
      <c r="AU105" s="11">
        <v>37.79</v>
      </c>
      <c r="AV105" s="10">
        <v>302802666860</v>
      </c>
      <c r="AW105" s="10">
        <v>118227487146</v>
      </c>
      <c r="AX105" s="10">
        <v>87636511659</v>
      </c>
      <c r="AY105" s="10">
        <v>256767159868</v>
      </c>
      <c r="AZ105" s="10">
        <v>102616651577</v>
      </c>
      <c r="BA105" s="10">
        <v>309982607808</v>
      </c>
      <c r="BB105" s="10">
        <v>68008308797</v>
      </c>
      <c r="BC105" s="10">
        <v>761484894733</v>
      </c>
      <c r="BD105" s="12">
        <v>82957</v>
      </c>
      <c r="BE105" s="10">
        <v>348797961532</v>
      </c>
      <c r="BF105" s="10">
        <v>102616651577</v>
      </c>
      <c r="BG105" s="10">
        <v>310070281624</v>
      </c>
      <c r="BH105" s="10">
        <v>719329148931</v>
      </c>
      <c r="BI105" s="10">
        <v>92799450000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</row>
    <row r="106" spans="1:67" x14ac:dyDescent="0.25">
      <c r="A106" s="25" t="s">
        <v>153</v>
      </c>
      <c r="B106" s="9">
        <v>1507</v>
      </c>
      <c r="C106" s="9" t="s">
        <v>160</v>
      </c>
      <c r="D106" s="10">
        <v>1196630128598</v>
      </c>
      <c r="E106" s="10">
        <v>81793451871</v>
      </c>
      <c r="F106" s="10">
        <v>0</v>
      </c>
      <c r="G106" s="10">
        <v>0</v>
      </c>
      <c r="H106" s="10">
        <v>1278423580469</v>
      </c>
      <c r="I106" s="10">
        <v>97114504355</v>
      </c>
      <c r="J106" s="10">
        <v>3368342750</v>
      </c>
      <c r="K106" s="10">
        <v>1177940733364</v>
      </c>
      <c r="L106" s="10">
        <v>873621588098</v>
      </c>
      <c r="M106" s="10">
        <v>404801992371</v>
      </c>
      <c r="N106" s="46">
        <v>46.336079360437076</v>
      </c>
      <c r="O106" s="10">
        <v>1164412470634</v>
      </c>
      <c r="P106" s="11">
        <v>112.85</v>
      </c>
      <c r="Q106" s="11">
        <v>98.85</v>
      </c>
      <c r="R106" s="11">
        <v>6.6</v>
      </c>
      <c r="S106" s="10">
        <v>1252665926309</v>
      </c>
      <c r="T106" s="10">
        <v>95057143209</v>
      </c>
      <c r="U106" s="10">
        <v>94512994993</v>
      </c>
      <c r="V106" s="10">
        <v>544148216</v>
      </c>
      <c r="W106" s="10">
        <v>0</v>
      </c>
      <c r="X106" s="10">
        <v>1347723069518</v>
      </c>
      <c r="Y106" s="10">
        <v>145966704</v>
      </c>
      <c r="Z106" s="10">
        <v>76355620662</v>
      </c>
      <c r="AA106" s="10">
        <v>18582701602</v>
      </c>
      <c r="AB106" s="10">
        <v>1442661391782</v>
      </c>
      <c r="AC106" s="10">
        <v>796699194100</v>
      </c>
      <c r="AD106" s="46">
        <v>69.163352931525196</v>
      </c>
      <c r="AE106" s="10">
        <v>814597034112</v>
      </c>
      <c r="AF106" s="10">
        <v>721417034112</v>
      </c>
      <c r="AG106" s="10">
        <v>0</v>
      </c>
      <c r="AH106" s="10">
        <v>0</v>
      </c>
      <c r="AI106" s="10">
        <v>5750000000</v>
      </c>
      <c r="AJ106" s="10">
        <v>0</v>
      </c>
      <c r="AK106" s="10">
        <v>0</v>
      </c>
      <c r="AL106" s="11">
        <v>0</v>
      </c>
      <c r="AM106" s="10">
        <v>0</v>
      </c>
      <c r="AN106" s="11">
        <v>25</v>
      </c>
      <c r="AO106" s="10">
        <v>32494769075</v>
      </c>
      <c r="AP106" s="12">
        <v>4</v>
      </c>
      <c r="AQ106" s="10">
        <v>12944087427</v>
      </c>
      <c r="AR106" s="10">
        <v>95057143209</v>
      </c>
      <c r="AS106" s="10">
        <v>7019724674</v>
      </c>
      <c r="AT106" s="10">
        <v>88037418535</v>
      </c>
      <c r="AU106" s="13">
        <v>1254.1400000000001</v>
      </c>
      <c r="AV106" s="10">
        <v>263878759331</v>
      </c>
      <c r="AW106" s="10">
        <v>50254733817</v>
      </c>
      <c r="AX106" s="10">
        <v>88407712817</v>
      </c>
      <c r="AY106" s="10">
        <v>164422684917</v>
      </c>
      <c r="AZ106" s="10">
        <v>215127402100</v>
      </c>
      <c r="BA106" s="10">
        <v>728672328764</v>
      </c>
      <c r="BB106" s="10">
        <v>169564409217</v>
      </c>
      <c r="BC106" s="10">
        <v>1278423580469</v>
      </c>
      <c r="BD106" s="12">
        <v>89085</v>
      </c>
      <c r="BE106" s="10">
        <v>258186512839</v>
      </c>
      <c r="BF106" s="10">
        <v>215127402100</v>
      </c>
      <c r="BG106" s="10">
        <v>805109665530</v>
      </c>
      <c r="BH106" s="10">
        <v>727297484112</v>
      </c>
      <c r="BI106" s="10">
        <v>87299550000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</row>
    <row r="107" spans="1:67" x14ac:dyDescent="0.25">
      <c r="A107" s="25" t="s">
        <v>153</v>
      </c>
      <c r="B107" s="9">
        <v>1599</v>
      </c>
      <c r="C107" s="9" t="s">
        <v>161</v>
      </c>
      <c r="D107" s="10">
        <v>0</v>
      </c>
      <c r="E107" s="10">
        <v>207480000</v>
      </c>
      <c r="F107" s="10">
        <v>0</v>
      </c>
      <c r="G107" s="10">
        <v>0</v>
      </c>
      <c r="H107" s="10">
        <v>207480000</v>
      </c>
      <c r="I107" s="10">
        <v>13832425</v>
      </c>
      <c r="J107" s="10">
        <v>153148800</v>
      </c>
      <c r="K107" s="10">
        <v>40498775</v>
      </c>
      <c r="L107" s="10">
        <v>0</v>
      </c>
      <c r="M107" s="10">
        <v>207480000</v>
      </c>
      <c r="N107" s="46" t="s">
        <v>595</v>
      </c>
      <c r="O107" s="10">
        <v>0</v>
      </c>
      <c r="P107" s="11">
        <v>0</v>
      </c>
      <c r="Q107" s="11">
        <v>0</v>
      </c>
      <c r="R107" s="11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46" t="s">
        <v>595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1">
        <v>0</v>
      </c>
      <c r="AM107" s="10">
        <v>0</v>
      </c>
      <c r="AN107" s="11">
        <v>0</v>
      </c>
      <c r="AO107" s="10">
        <v>0</v>
      </c>
      <c r="AP107" s="12">
        <v>0</v>
      </c>
      <c r="AQ107" s="10">
        <v>0</v>
      </c>
      <c r="AR107" s="10">
        <v>0</v>
      </c>
      <c r="AS107" s="10">
        <v>0</v>
      </c>
      <c r="AT107" s="10">
        <v>0</v>
      </c>
      <c r="AU107" s="11" t="s">
        <v>593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207480000</v>
      </c>
      <c r="BD107" s="11">
        <v>0</v>
      </c>
      <c r="BE107" s="10">
        <v>207480000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</row>
    <row r="108" spans="1:67" x14ac:dyDescent="0.25">
      <c r="A108" s="19" t="s">
        <v>622</v>
      </c>
      <c r="B108" s="20" t="s">
        <v>593</v>
      </c>
      <c r="C108" s="20" t="s">
        <v>593</v>
      </c>
      <c r="D108" s="21">
        <v>8078236263571</v>
      </c>
      <c r="E108" s="21">
        <v>200945853723</v>
      </c>
      <c r="F108" s="21">
        <v>39399000000</v>
      </c>
      <c r="G108" s="21">
        <v>0</v>
      </c>
      <c r="H108" s="21">
        <v>8318581117294</v>
      </c>
      <c r="I108" s="21">
        <v>584595982823</v>
      </c>
      <c r="J108" s="21">
        <v>40016644497</v>
      </c>
      <c r="K108" s="21">
        <v>7693968489974</v>
      </c>
      <c r="L108" s="21">
        <v>5800148998654</v>
      </c>
      <c r="M108" s="21">
        <v>2518432118640</v>
      </c>
      <c r="N108" s="47">
        <v>43.420127986788529</v>
      </c>
      <c r="O108" s="21">
        <v>10586634414324</v>
      </c>
      <c r="P108" s="22">
        <v>163.15</v>
      </c>
      <c r="Q108" s="22">
        <v>137.6</v>
      </c>
      <c r="R108" s="22">
        <v>2.67</v>
      </c>
      <c r="S108" s="21">
        <v>12484512853973</v>
      </c>
      <c r="T108" s="21">
        <v>354409954957</v>
      </c>
      <c r="U108" s="21">
        <v>231515053976</v>
      </c>
      <c r="V108" s="21">
        <v>92886245090</v>
      </c>
      <c r="W108" s="21">
        <v>30008655891</v>
      </c>
      <c r="X108" s="21">
        <v>12838922808930</v>
      </c>
      <c r="Y108" s="21">
        <v>8277214475</v>
      </c>
      <c r="Z108" s="21">
        <v>596137541838</v>
      </c>
      <c r="AA108" s="21">
        <v>136501587766</v>
      </c>
      <c r="AB108" s="21">
        <v>13571561938534</v>
      </c>
      <c r="AC108" s="21">
        <v>8433739040679</v>
      </c>
      <c r="AD108" s="47">
        <v>52.232867853785748</v>
      </c>
      <c r="AE108" s="21">
        <v>7064564220909</v>
      </c>
      <c r="AF108" s="21">
        <v>6529765783764</v>
      </c>
      <c r="AG108" s="21">
        <v>0</v>
      </c>
      <c r="AH108" s="21">
        <v>176427130</v>
      </c>
      <c r="AI108" s="21">
        <v>43071690498</v>
      </c>
      <c r="AJ108" s="21">
        <v>0</v>
      </c>
      <c r="AK108" s="21">
        <v>0</v>
      </c>
      <c r="AL108" s="22">
        <v>1</v>
      </c>
      <c r="AM108" s="21">
        <v>35420000000</v>
      </c>
      <c r="AN108" s="22">
        <v>266</v>
      </c>
      <c r="AO108" s="21">
        <v>680392877175</v>
      </c>
      <c r="AP108" s="23">
        <v>69</v>
      </c>
      <c r="AQ108" s="21">
        <v>266869079904</v>
      </c>
      <c r="AR108" s="21">
        <v>354409954957</v>
      </c>
      <c r="AS108" s="21">
        <v>192193629638</v>
      </c>
      <c r="AT108" s="21">
        <v>162216325319</v>
      </c>
      <c r="AU108" s="22">
        <v>84.4</v>
      </c>
      <c r="AV108" s="21">
        <v>2839505194982</v>
      </c>
      <c r="AW108" s="21">
        <v>784296311193</v>
      </c>
      <c r="AX108" s="21">
        <v>415989444104</v>
      </c>
      <c r="AY108" s="21">
        <v>1777915858171</v>
      </c>
      <c r="AZ108" s="21">
        <v>1591462724724</v>
      </c>
      <c r="BA108" s="21">
        <v>4292868236572</v>
      </c>
      <c r="BB108" s="21">
        <v>1219877850778</v>
      </c>
      <c r="BC108" s="21">
        <v>8318581117294</v>
      </c>
      <c r="BD108" s="23">
        <v>612339</v>
      </c>
      <c r="BE108" s="21">
        <v>2241899427060</v>
      </c>
      <c r="BF108" s="21">
        <v>1630861724724</v>
      </c>
      <c r="BG108" s="21">
        <v>4445819965510</v>
      </c>
      <c r="BH108" s="21">
        <v>6435770259631</v>
      </c>
      <c r="BI108" s="21">
        <v>628793961278</v>
      </c>
      <c r="BJ108" s="21">
        <v>0</v>
      </c>
      <c r="BK108" s="21">
        <v>0</v>
      </c>
      <c r="BL108" s="21">
        <v>0</v>
      </c>
      <c r="BM108" s="21">
        <v>0</v>
      </c>
      <c r="BN108" s="21">
        <v>0</v>
      </c>
      <c r="BO108" s="21">
        <v>1751427130</v>
      </c>
    </row>
    <row r="109" spans="1:67" x14ac:dyDescent="0.25">
      <c r="A109" s="25" t="s">
        <v>162</v>
      </c>
      <c r="B109" s="9">
        <v>1600</v>
      </c>
      <c r="C109" s="9" t="s">
        <v>162</v>
      </c>
      <c r="D109" s="10">
        <v>3234619718705</v>
      </c>
      <c r="E109" s="10">
        <v>255143011534</v>
      </c>
      <c r="F109" s="10">
        <v>53000000000</v>
      </c>
      <c r="G109" s="10">
        <v>1017475688059</v>
      </c>
      <c r="H109" s="10">
        <v>4560238418298</v>
      </c>
      <c r="I109" s="10">
        <v>377645571204</v>
      </c>
      <c r="J109" s="10">
        <v>16125312433</v>
      </c>
      <c r="K109" s="10">
        <v>4166467534661</v>
      </c>
      <c r="L109" s="10">
        <v>2714856942975</v>
      </c>
      <c r="M109" s="10">
        <v>1845381475323</v>
      </c>
      <c r="N109" s="46">
        <v>67.973433373649158</v>
      </c>
      <c r="O109" s="10">
        <v>4107765957252</v>
      </c>
      <c r="P109" s="11">
        <v>138.41</v>
      </c>
      <c r="Q109" s="11">
        <v>98.59</v>
      </c>
      <c r="R109" s="11">
        <v>2.2400000000000002</v>
      </c>
      <c r="S109" s="10">
        <v>5938530170533</v>
      </c>
      <c r="T109" s="10">
        <v>105737903961</v>
      </c>
      <c r="U109" s="10">
        <v>13043059925</v>
      </c>
      <c r="V109" s="10">
        <v>52855392293</v>
      </c>
      <c r="W109" s="10">
        <v>39839451743</v>
      </c>
      <c r="X109" s="10">
        <v>6044268074494</v>
      </c>
      <c r="Y109" s="10">
        <v>35421981111</v>
      </c>
      <c r="Z109" s="10">
        <v>243726122888</v>
      </c>
      <c r="AA109" s="10">
        <v>23870890258</v>
      </c>
      <c r="AB109" s="10">
        <v>6311865087640</v>
      </c>
      <c r="AC109" s="10">
        <v>4402074253886</v>
      </c>
      <c r="AD109" s="46">
        <v>37.305000458779809</v>
      </c>
      <c r="AE109" s="10">
        <v>2517942544569</v>
      </c>
      <c r="AF109" s="10">
        <v>1815314330640</v>
      </c>
      <c r="AG109" s="10">
        <v>0</v>
      </c>
      <c r="AH109" s="10">
        <v>135000000</v>
      </c>
      <c r="AI109" s="10">
        <v>0</v>
      </c>
      <c r="AJ109" s="10">
        <v>0</v>
      </c>
      <c r="AK109" s="10">
        <v>0</v>
      </c>
      <c r="AL109" s="11">
        <v>0</v>
      </c>
      <c r="AM109" s="10">
        <v>0</v>
      </c>
      <c r="AN109" s="11">
        <v>64</v>
      </c>
      <c r="AO109" s="10">
        <v>845826000000</v>
      </c>
      <c r="AP109" s="12">
        <v>92</v>
      </c>
      <c r="AQ109" s="10">
        <v>82487145036</v>
      </c>
      <c r="AR109" s="10">
        <v>105737903961</v>
      </c>
      <c r="AS109" s="10">
        <v>65218402163</v>
      </c>
      <c r="AT109" s="10">
        <v>40519501798</v>
      </c>
      <c r="AU109" s="11">
        <v>62.13</v>
      </c>
      <c r="AV109" s="10">
        <v>1005351929534</v>
      </c>
      <c r="AW109" s="10">
        <v>91657104606</v>
      </c>
      <c r="AX109" s="10">
        <v>918009378712</v>
      </c>
      <c r="AY109" s="10">
        <v>106673271088</v>
      </c>
      <c r="AZ109" s="10">
        <v>1959424068905</v>
      </c>
      <c r="BA109" s="10">
        <v>250513000000</v>
      </c>
      <c r="BB109" s="10">
        <v>1796022844994</v>
      </c>
      <c r="BC109" s="10">
        <v>4560238418298</v>
      </c>
      <c r="BD109" s="12">
        <v>31313</v>
      </c>
      <c r="BE109" s="10">
        <v>2265834269151</v>
      </c>
      <c r="BF109" s="10">
        <v>2012424068905</v>
      </c>
      <c r="BG109" s="10">
        <v>281980080242</v>
      </c>
      <c r="BH109" s="10">
        <v>1896051763106</v>
      </c>
      <c r="BI109" s="10">
        <v>621890781463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135000000</v>
      </c>
    </row>
    <row r="110" spans="1:67" x14ac:dyDescent="0.25">
      <c r="A110" s="25" t="s">
        <v>162</v>
      </c>
      <c r="B110" s="9">
        <v>1601</v>
      </c>
      <c r="C110" s="9" t="s">
        <v>163</v>
      </c>
      <c r="D110" s="10">
        <v>1026866071755</v>
      </c>
      <c r="E110" s="10">
        <v>12800357039</v>
      </c>
      <c r="F110" s="10">
        <v>0</v>
      </c>
      <c r="G110" s="10">
        <v>0</v>
      </c>
      <c r="H110" s="10">
        <v>1039666428794</v>
      </c>
      <c r="I110" s="10">
        <v>81854355912</v>
      </c>
      <c r="J110" s="10">
        <v>4392814440</v>
      </c>
      <c r="K110" s="10">
        <v>953419258442</v>
      </c>
      <c r="L110" s="10">
        <v>944427797656</v>
      </c>
      <c r="M110" s="10">
        <v>95238631138</v>
      </c>
      <c r="N110" s="46">
        <v>10.084268101211681</v>
      </c>
      <c r="O110" s="10">
        <v>1152808252490</v>
      </c>
      <c r="P110" s="11">
        <v>127.35</v>
      </c>
      <c r="Q110" s="11">
        <v>120.91</v>
      </c>
      <c r="R110" s="11">
        <v>4.87</v>
      </c>
      <c r="S110" s="10">
        <v>1198019564008</v>
      </c>
      <c r="T110" s="10">
        <v>45817332700</v>
      </c>
      <c r="U110" s="10">
        <v>10571130841</v>
      </c>
      <c r="V110" s="10">
        <v>25670113069</v>
      </c>
      <c r="W110" s="10">
        <v>9576088790</v>
      </c>
      <c r="X110" s="10">
        <v>1243836896708</v>
      </c>
      <c r="Y110" s="10">
        <v>18627796080</v>
      </c>
      <c r="Z110" s="10">
        <v>66162704634</v>
      </c>
      <c r="AA110" s="10">
        <v>13999990000</v>
      </c>
      <c r="AB110" s="10">
        <v>1323999591342</v>
      </c>
      <c r="AC110" s="10">
        <v>924010205169</v>
      </c>
      <c r="AD110" s="46">
        <v>34.612896021046026</v>
      </c>
      <c r="AE110" s="10">
        <v>850047980383</v>
      </c>
      <c r="AF110" s="10">
        <v>846657980383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1">
        <v>1</v>
      </c>
      <c r="AM110" s="10">
        <v>127791487720</v>
      </c>
      <c r="AN110" s="11">
        <v>40</v>
      </c>
      <c r="AO110" s="10">
        <v>112294936743</v>
      </c>
      <c r="AP110" s="12">
        <v>11</v>
      </c>
      <c r="AQ110" s="10">
        <v>16530009442</v>
      </c>
      <c r="AR110" s="10">
        <v>45817332700</v>
      </c>
      <c r="AS110" s="10">
        <v>47107367290</v>
      </c>
      <c r="AT110" s="10">
        <v>-1290034590</v>
      </c>
      <c r="AU110" s="11">
        <v>-2.74</v>
      </c>
      <c r="AV110" s="10">
        <v>493807772710</v>
      </c>
      <c r="AW110" s="10">
        <v>98016052155</v>
      </c>
      <c r="AX110" s="10">
        <v>137487898977</v>
      </c>
      <c r="AY110" s="10">
        <v>193084057704</v>
      </c>
      <c r="AZ110" s="10">
        <v>264835115074</v>
      </c>
      <c r="BA110" s="10">
        <v>431459000000</v>
      </c>
      <c r="BB110" s="10">
        <v>173265507688</v>
      </c>
      <c r="BC110" s="10">
        <v>1039666428794</v>
      </c>
      <c r="BD110" s="12">
        <v>54311</v>
      </c>
      <c r="BE110" s="10">
        <v>339376580876</v>
      </c>
      <c r="BF110" s="10">
        <v>264835115074</v>
      </c>
      <c r="BG110" s="10">
        <v>435454732844</v>
      </c>
      <c r="BH110" s="10">
        <v>445057909928</v>
      </c>
      <c r="BI110" s="10">
        <v>404990070455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</row>
    <row r="111" spans="1:67" x14ac:dyDescent="0.25">
      <c r="A111" s="25" t="s">
        <v>162</v>
      </c>
      <c r="B111" s="9">
        <v>1602</v>
      </c>
      <c r="C111" s="9" t="s">
        <v>164</v>
      </c>
      <c r="D111" s="10">
        <v>1202464111974</v>
      </c>
      <c r="E111" s="10">
        <v>118204372672</v>
      </c>
      <c r="F111" s="10">
        <v>0</v>
      </c>
      <c r="G111" s="10">
        <v>0</v>
      </c>
      <c r="H111" s="10">
        <v>1320668484646</v>
      </c>
      <c r="I111" s="10">
        <v>108727734003</v>
      </c>
      <c r="J111" s="10">
        <v>2459795612</v>
      </c>
      <c r="K111" s="10">
        <v>1209480955031</v>
      </c>
      <c r="L111" s="10">
        <v>1275241911077</v>
      </c>
      <c r="M111" s="10">
        <v>45426573569</v>
      </c>
      <c r="N111" s="46">
        <v>3.5621926455220705</v>
      </c>
      <c r="O111" s="10">
        <v>1576834005367</v>
      </c>
      <c r="P111" s="11">
        <v>152.13</v>
      </c>
      <c r="Q111" s="11">
        <v>130.37</v>
      </c>
      <c r="R111" s="11">
        <v>1.71</v>
      </c>
      <c r="S111" s="10">
        <v>1919951777590</v>
      </c>
      <c r="T111" s="10">
        <v>31436261327</v>
      </c>
      <c r="U111" s="10">
        <v>20726925317</v>
      </c>
      <c r="V111" s="10">
        <v>4747487497</v>
      </c>
      <c r="W111" s="10">
        <v>5961848513</v>
      </c>
      <c r="X111" s="10">
        <v>1951388038917</v>
      </c>
      <c r="Y111" s="10">
        <v>2943216997</v>
      </c>
      <c r="Z111" s="10">
        <v>45011011658</v>
      </c>
      <c r="AA111" s="10">
        <v>12694529000</v>
      </c>
      <c r="AB111" s="10">
        <v>2009093579575</v>
      </c>
      <c r="AC111" s="10">
        <v>946283395403</v>
      </c>
      <c r="AD111" s="46">
        <v>106.2160287707415</v>
      </c>
      <c r="AE111" s="10">
        <v>1617320454515</v>
      </c>
      <c r="AF111" s="10">
        <v>1265819900000</v>
      </c>
      <c r="AG111" s="10">
        <v>0</v>
      </c>
      <c r="AH111" s="10">
        <v>0</v>
      </c>
      <c r="AI111" s="10">
        <v>41143691260</v>
      </c>
      <c r="AJ111" s="10">
        <v>0</v>
      </c>
      <c r="AK111" s="10">
        <v>0</v>
      </c>
      <c r="AL111" s="11">
        <v>0</v>
      </c>
      <c r="AM111" s="10">
        <v>0</v>
      </c>
      <c r="AN111" s="11">
        <v>55</v>
      </c>
      <c r="AO111" s="10">
        <v>237971391503</v>
      </c>
      <c r="AP111" s="12">
        <v>17</v>
      </c>
      <c r="AQ111" s="10">
        <v>63005082727</v>
      </c>
      <c r="AR111" s="10">
        <v>31436261327</v>
      </c>
      <c r="AS111" s="10">
        <v>28035192167</v>
      </c>
      <c r="AT111" s="10">
        <v>3401069160</v>
      </c>
      <c r="AU111" s="11">
        <v>12.13</v>
      </c>
      <c r="AV111" s="10">
        <v>447170877945</v>
      </c>
      <c r="AW111" s="10">
        <v>139214770050</v>
      </c>
      <c r="AX111" s="10">
        <v>139201262372</v>
      </c>
      <c r="AY111" s="10">
        <v>94759036513</v>
      </c>
      <c r="AZ111" s="10">
        <v>345647313089</v>
      </c>
      <c r="BA111" s="10">
        <v>622856500000</v>
      </c>
      <c r="BB111" s="10">
        <v>314815517808</v>
      </c>
      <c r="BC111" s="10">
        <v>1320668484646</v>
      </c>
      <c r="BD111" s="12">
        <v>4869</v>
      </c>
      <c r="BE111" s="10">
        <v>350364780902</v>
      </c>
      <c r="BF111" s="10">
        <v>345647313089</v>
      </c>
      <c r="BG111" s="10">
        <v>624656390655</v>
      </c>
      <c r="BH111" s="10">
        <v>825168125749</v>
      </c>
      <c r="BI111" s="10">
        <v>792152328766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</row>
    <row r="112" spans="1:67" x14ac:dyDescent="0.25">
      <c r="A112" s="25" t="s">
        <v>162</v>
      </c>
      <c r="B112" s="9">
        <v>1603</v>
      </c>
      <c r="C112" s="9" t="s">
        <v>165</v>
      </c>
      <c r="D112" s="10">
        <v>1557842617215</v>
      </c>
      <c r="E112" s="10">
        <v>135483000454</v>
      </c>
      <c r="F112" s="10">
        <v>0</v>
      </c>
      <c r="G112" s="10">
        <v>0</v>
      </c>
      <c r="H112" s="10">
        <v>1693325617669</v>
      </c>
      <c r="I112" s="10">
        <v>126984930219</v>
      </c>
      <c r="J112" s="10">
        <v>3630520958</v>
      </c>
      <c r="K112" s="10">
        <v>1562710166492</v>
      </c>
      <c r="L112" s="10">
        <v>881354451476</v>
      </c>
      <c r="M112" s="10">
        <v>811971166193</v>
      </c>
      <c r="N112" s="46">
        <v>92.127652482289719</v>
      </c>
      <c r="O112" s="10">
        <v>1270888517874</v>
      </c>
      <c r="P112" s="11">
        <v>88.82</v>
      </c>
      <c r="Q112" s="11">
        <v>81.33</v>
      </c>
      <c r="R112" s="11">
        <v>3.1</v>
      </c>
      <c r="S112" s="10">
        <v>1389515287409</v>
      </c>
      <c r="T112" s="10">
        <v>39316724090</v>
      </c>
      <c r="U112" s="10">
        <v>23009521874</v>
      </c>
      <c r="V112" s="10">
        <v>313220157</v>
      </c>
      <c r="W112" s="10">
        <v>15993982059</v>
      </c>
      <c r="X112" s="10">
        <v>1428832011499</v>
      </c>
      <c r="Y112" s="10">
        <v>7280296742</v>
      </c>
      <c r="Z112" s="10">
        <v>64578867687</v>
      </c>
      <c r="AA112" s="10">
        <v>10550630000</v>
      </c>
      <c r="AB112" s="10">
        <v>1503961509186</v>
      </c>
      <c r="AC112" s="10">
        <v>895387375840</v>
      </c>
      <c r="AD112" s="46">
        <v>59.576966355880714</v>
      </c>
      <c r="AE112" s="10">
        <v>996853173618</v>
      </c>
      <c r="AF112" s="10">
        <v>974991261509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1">
        <v>0</v>
      </c>
      <c r="AM112" s="10">
        <v>0</v>
      </c>
      <c r="AN112" s="11">
        <v>138</v>
      </c>
      <c r="AO112" s="10">
        <v>2348046146663</v>
      </c>
      <c r="AP112" s="12">
        <v>40</v>
      </c>
      <c r="AQ112" s="10">
        <v>78826653637</v>
      </c>
      <c r="AR112" s="10">
        <v>39316724090</v>
      </c>
      <c r="AS112" s="10">
        <v>24292599708</v>
      </c>
      <c r="AT112" s="10">
        <v>15024124382</v>
      </c>
      <c r="AU112" s="11">
        <v>61.85</v>
      </c>
      <c r="AV112" s="10">
        <v>471839576568</v>
      </c>
      <c r="AW112" s="10">
        <v>108987000156</v>
      </c>
      <c r="AX112" s="10">
        <v>202729725622</v>
      </c>
      <c r="AY112" s="10">
        <v>370576611740</v>
      </c>
      <c r="AZ112" s="10">
        <v>422568279853</v>
      </c>
      <c r="BA112" s="10">
        <v>561968000000</v>
      </c>
      <c r="BB112" s="10">
        <v>356706917960</v>
      </c>
      <c r="BC112" s="10">
        <v>1693325617669</v>
      </c>
      <c r="BD112" s="12">
        <v>29285</v>
      </c>
      <c r="BE112" s="10">
        <v>706804159746</v>
      </c>
      <c r="BF112" s="10">
        <v>422568279853</v>
      </c>
      <c r="BG112" s="10">
        <v>563953178070</v>
      </c>
      <c r="BH112" s="10">
        <v>452863736653</v>
      </c>
      <c r="BI112" s="10">
        <v>543989436965</v>
      </c>
      <c r="BJ112" s="10">
        <v>0</v>
      </c>
      <c r="BK112" s="10">
        <v>0</v>
      </c>
      <c r="BL112" s="10">
        <v>0</v>
      </c>
      <c r="BM112" s="10">
        <v>0</v>
      </c>
      <c r="BN112" s="10">
        <v>7364400000</v>
      </c>
      <c r="BO112" s="10">
        <v>0</v>
      </c>
    </row>
    <row r="113" spans="1:67" x14ac:dyDescent="0.25">
      <c r="A113" s="25" t="s">
        <v>162</v>
      </c>
      <c r="B113" s="9">
        <v>1604</v>
      </c>
      <c r="C113" s="9" t="s">
        <v>166</v>
      </c>
      <c r="D113" s="10">
        <v>2753719343209</v>
      </c>
      <c r="E113" s="10">
        <v>65413936948</v>
      </c>
      <c r="F113" s="10">
        <v>0</v>
      </c>
      <c r="G113" s="10">
        <v>0</v>
      </c>
      <c r="H113" s="10">
        <v>2819133280157</v>
      </c>
      <c r="I113" s="10">
        <v>139283740580</v>
      </c>
      <c r="J113" s="10">
        <v>1380211200</v>
      </c>
      <c r="K113" s="10">
        <v>2678469328377</v>
      </c>
      <c r="L113" s="10">
        <v>2165284240771</v>
      </c>
      <c r="M113" s="10">
        <v>653849039386</v>
      </c>
      <c r="N113" s="46">
        <v>30.196914893408255</v>
      </c>
      <c r="O113" s="10">
        <v>1462271493752</v>
      </c>
      <c r="P113" s="11">
        <v>59.49</v>
      </c>
      <c r="Q113" s="11">
        <v>54.59</v>
      </c>
      <c r="R113" s="11">
        <v>3.07</v>
      </c>
      <c r="S113" s="10">
        <v>1548261607572</v>
      </c>
      <c r="T113" s="10">
        <v>47030400944</v>
      </c>
      <c r="U113" s="10">
        <v>28498242886</v>
      </c>
      <c r="V113" s="10">
        <v>1443653519</v>
      </c>
      <c r="W113" s="10">
        <v>17088504539</v>
      </c>
      <c r="X113" s="10">
        <v>1595292008516</v>
      </c>
      <c r="Y113" s="10">
        <v>4399194909</v>
      </c>
      <c r="Z113" s="10">
        <v>63651348737</v>
      </c>
      <c r="AA113" s="10">
        <v>18175918599</v>
      </c>
      <c r="AB113" s="10">
        <v>1677119275852</v>
      </c>
      <c r="AC113" s="10">
        <v>1267345057709</v>
      </c>
      <c r="AD113" s="46">
        <v>25.87668992056788</v>
      </c>
      <c r="AE113" s="10">
        <v>928312049810</v>
      </c>
      <c r="AF113" s="10">
        <v>928312049810</v>
      </c>
      <c r="AG113" s="10">
        <v>0</v>
      </c>
      <c r="AH113" s="10">
        <v>9713850300</v>
      </c>
      <c r="AI113" s="10">
        <v>0</v>
      </c>
      <c r="AJ113" s="10">
        <v>0</v>
      </c>
      <c r="AK113" s="10">
        <v>0</v>
      </c>
      <c r="AL113" s="11">
        <v>0</v>
      </c>
      <c r="AM113" s="10">
        <v>0</v>
      </c>
      <c r="AN113" s="11">
        <v>50</v>
      </c>
      <c r="AO113" s="10">
        <v>274369026545</v>
      </c>
      <c r="AP113" s="12">
        <v>39</v>
      </c>
      <c r="AQ113" s="10">
        <v>352317792906</v>
      </c>
      <c r="AR113" s="10">
        <v>47030400944</v>
      </c>
      <c r="AS113" s="10">
        <v>64671358130</v>
      </c>
      <c r="AT113" s="10">
        <v>-17640957186</v>
      </c>
      <c r="AU113" s="11">
        <v>-27.28</v>
      </c>
      <c r="AV113" s="10">
        <v>626189468661</v>
      </c>
      <c r="AW113" s="10">
        <v>184210413382</v>
      </c>
      <c r="AX113" s="10">
        <v>1463638622029</v>
      </c>
      <c r="AY113" s="10">
        <v>319310563350</v>
      </c>
      <c r="AZ113" s="10">
        <v>499251057830</v>
      </c>
      <c r="BA113" s="10">
        <v>471519100000</v>
      </c>
      <c r="BB113" s="10">
        <v>433023833185</v>
      </c>
      <c r="BC113" s="10">
        <v>2819133280157</v>
      </c>
      <c r="BD113" s="12">
        <v>74668</v>
      </c>
      <c r="BE113" s="10">
        <v>1847088925410</v>
      </c>
      <c r="BF113" s="10">
        <v>499251057830</v>
      </c>
      <c r="BG113" s="10">
        <v>472793296917</v>
      </c>
      <c r="BH113" s="10">
        <v>675964521604</v>
      </c>
      <c r="BI113" s="10">
        <v>252347528206</v>
      </c>
      <c r="BJ113" s="10">
        <v>0</v>
      </c>
      <c r="BK113" s="10">
        <v>0</v>
      </c>
      <c r="BL113" s="10">
        <v>0</v>
      </c>
      <c r="BM113" s="10">
        <v>0</v>
      </c>
      <c r="BN113" s="10">
        <v>9713850300</v>
      </c>
      <c r="BO113" s="10">
        <v>0</v>
      </c>
    </row>
    <row r="114" spans="1:67" x14ac:dyDescent="0.25">
      <c r="A114" s="25" t="s">
        <v>162</v>
      </c>
      <c r="B114" s="9">
        <v>1605</v>
      </c>
      <c r="C114" s="9" t="s">
        <v>167</v>
      </c>
      <c r="D114" s="10">
        <v>736138371934</v>
      </c>
      <c r="E114" s="10">
        <v>28840173705</v>
      </c>
      <c r="F114" s="10">
        <v>0</v>
      </c>
      <c r="G114" s="10">
        <v>0</v>
      </c>
      <c r="H114" s="10">
        <v>764978545639</v>
      </c>
      <c r="I114" s="10">
        <v>63199631902</v>
      </c>
      <c r="J114" s="10">
        <v>2510324000</v>
      </c>
      <c r="K114" s="10">
        <v>699268589737</v>
      </c>
      <c r="L114" s="10">
        <v>626621416719</v>
      </c>
      <c r="M114" s="10">
        <v>138357128920</v>
      </c>
      <c r="N114" s="46">
        <v>22.079859581633869</v>
      </c>
      <c r="O114" s="10">
        <v>1042338169581</v>
      </c>
      <c r="P114" s="11">
        <v>158.69999999999999</v>
      </c>
      <c r="Q114" s="11">
        <v>149.06</v>
      </c>
      <c r="R114" s="11">
        <v>1.1299999999999999</v>
      </c>
      <c r="S114" s="10">
        <v>1133123968639</v>
      </c>
      <c r="T114" s="10">
        <v>13698302440</v>
      </c>
      <c r="U114" s="10">
        <v>13002709845</v>
      </c>
      <c r="V114" s="10">
        <v>695592595</v>
      </c>
      <c r="W114" s="10">
        <v>0</v>
      </c>
      <c r="X114" s="10">
        <v>1146822271079</v>
      </c>
      <c r="Y114" s="10">
        <v>0</v>
      </c>
      <c r="Z114" s="10">
        <v>47697544352</v>
      </c>
      <c r="AA114" s="10">
        <v>19498389501</v>
      </c>
      <c r="AB114" s="10">
        <v>1214018204932</v>
      </c>
      <c r="AC114" s="10">
        <v>817196434147</v>
      </c>
      <c r="AD114" s="46">
        <v>40.336181505254324</v>
      </c>
      <c r="AE114" s="10">
        <v>657416727097</v>
      </c>
      <c r="AF114" s="10">
        <v>657416727097</v>
      </c>
      <c r="AG114" s="10">
        <v>0</v>
      </c>
      <c r="AH114" s="10">
        <v>0</v>
      </c>
      <c r="AI114" s="10">
        <v>0</v>
      </c>
      <c r="AJ114" s="10">
        <v>0</v>
      </c>
      <c r="AK114" s="10">
        <v>4446564120</v>
      </c>
      <c r="AL114" s="11">
        <v>0</v>
      </c>
      <c r="AM114" s="10">
        <v>0</v>
      </c>
      <c r="AN114" s="11">
        <v>65</v>
      </c>
      <c r="AO114" s="10">
        <v>766537161965</v>
      </c>
      <c r="AP114" s="12">
        <v>23</v>
      </c>
      <c r="AQ114" s="10">
        <v>259860256058</v>
      </c>
      <c r="AR114" s="10">
        <v>13698302440</v>
      </c>
      <c r="AS114" s="10">
        <v>11550648692</v>
      </c>
      <c r="AT114" s="10">
        <v>2147653748</v>
      </c>
      <c r="AU114" s="11">
        <v>18.59</v>
      </c>
      <c r="AV114" s="10">
        <v>339738463708</v>
      </c>
      <c r="AW114" s="10">
        <v>71201905466</v>
      </c>
      <c r="AX114" s="10">
        <v>157704099973</v>
      </c>
      <c r="AY114" s="10">
        <v>109286820161</v>
      </c>
      <c r="AZ114" s="10">
        <v>265518951800</v>
      </c>
      <c r="BA114" s="10">
        <v>203628500000</v>
      </c>
      <c r="BB114" s="10">
        <v>175043494185</v>
      </c>
      <c r="BC114" s="10">
        <v>764978545639</v>
      </c>
      <c r="BD114" s="12">
        <v>35720</v>
      </c>
      <c r="BE114" s="10">
        <v>295793155277</v>
      </c>
      <c r="BF114" s="10">
        <v>265518951800</v>
      </c>
      <c r="BG114" s="10">
        <v>203666438562</v>
      </c>
      <c r="BH114" s="10">
        <v>483667436897</v>
      </c>
      <c r="BI114" s="10">
        <v>173749290200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</row>
    <row r="115" spans="1:67" x14ac:dyDescent="0.25">
      <c r="A115" s="25" t="s">
        <v>162</v>
      </c>
      <c r="B115" s="9">
        <v>1606</v>
      </c>
      <c r="C115" s="9" t="s">
        <v>168</v>
      </c>
      <c r="D115" s="10">
        <v>2542043113664</v>
      </c>
      <c r="E115" s="10">
        <v>37149415837</v>
      </c>
      <c r="F115" s="10">
        <v>0</v>
      </c>
      <c r="G115" s="10">
        <v>0</v>
      </c>
      <c r="H115" s="10">
        <v>2579192529501</v>
      </c>
      <c r="I115" s="10">
        <v>138993875915</v>
      </c>
      <c r="J115" s="10">
        <v>730481145</v>
      </c>
      <c r="K115" s="10">
        <v>2439468172441</v>
      </c>
      <c r="L115" s="10">
        <v>2176599810549</v>
      </c>
      <c r="M115" s="10">
        <v>402592718952</v>
      </c>
      <c r="N115" s="46">
        <v>18.49640512696979</v>
      </c>
      <c r="O115" s="10">
        <v>2568518262994</v>
      </c>
      <c r="P115" s="11">
        <v>116.64</v>
      </c>
      <c r="Q115" s="11">
        <v>105.29</v>
      </c>
      <c r="R115" s="11">
        <v>1.32</v>
      </c>
      <c r="S115" s="10">
        <v>2745292632609</v>
      </c>
      <c r="T115" s="10">
        <v>38155428939</v>
      </c>
      <c r="U115" s="10">
        <v>22904382645</v>
      </c>
      <c r="V115" s="10">
        <v>7482637918</v>
      </c>
      <c r="W115" s="10">
        <v>7768408376</v>
      </c>
      <c r="X115" s="10">
        <v>2783448061548</v>
      </c>
      <c r="Y115" s="10">
        <v>1553583974</v>
      </c>
      <c r="Z115" s="10">
        <v>195367013221</v>
      </c>
      <c r="AA115" s="10">
        <v>29438590000</v>
      </c>
      <c r="AB115" s="10">
        <v>3008253664769</v>
      </c>
      <c r="AC115" s="10">
        <v>1717184869551</v>
      </c>
      <c r="AD115" s="46">
        <v>62.09367499702001</v>
      </c>
      <c r="AE115" s="10">
        <v>2184315447306</v>
      </c>
      <c r="AF115" s="10">
        <v>2150494293870</v>
      </c>
      <c r="AG115" s="10">
        <v>0</v>
      </c>
      <c r="AH115" s="10">
        <v>0</v>
      </c>
      <c r="AI115" s="10">
        <v>18630000000</v>
      </c>
      <c r="AJ115" s="10">
        <v>0</v>
      </c>
      <c r="AK115" s="10">
        <v>0</v>
      </c>
      <c r="AL115" s="11">
        <v>0</v>
      </c>
      <c r="AM115" s="10">
        <v>0</v>
      </c>
      <c r="AN115" s="11">
        <v>82</v>
      </c>
      <c r="AO115" s="10">
        <v>539314391808</v>
      </c>
      <c r="AP115" s="12">
        <v>20</v>
      </c>
      <c r="AQ115" s="10">
        <v>38004493854</v>
      </c>
      <c r="AR115" s="10">
        <v>38155428939</v>
      </c>
      <c r="AS115" s="10">
        <v>18575697588</v>
      </c>
      <c r="AT115" s="10">
        <v>19579731351</v>
      </c>
      <c r="AU115" s="11">
        <v>105.41</v>
      </c>
      <c r="AV115" s="10">
        <v>1119054586597</v>
      </c>
      <c r="AW115" s="10">
        <v>202370104668</v>
      </c>
      <c r="AX115" s="10">
        <v>690111454949</v>
      </c>
      <c r="AY115" s="10">
        <v>267767540984</v>
      </c>
      <c r="AZ115" s="10">
        <v>1111751953731</v>
      </c>
      <c r="BA115" s="10">
        <v>472412164000</v>
      </c>
      <c r="BB115" s="10">
        <v>1021323561997</v>
      </c>
      <c r="BC115" s="10">
        <v>2579192529501</v>
      </c>
      <c r="BD115" s="12">
        <v>35199</v>
      </c>
      <c r="BE115" s="10">
        <v>994720209942</v>
      </c>
      <c r="BF115" s="10">
        <v>1111751953731</v>
      </c>
      <c r="BG115" s="10">
        <v>472720365828</v>
      </c>
      <c r="BH115" s="10">
        <v>1550265731702</v>
      </c>
      <c r="BI115" s="10">
        <v>634049715604</v>
      </c>
      <c r="BJ115" s="10">
        <v>0</v>
      </c>
      <c r="BK115" s="10">
        <v>0</v>
      </c>
      <c r="BL115" s="10">
        <v>0</v>
      </c>
      <c r="BM115" s="10">
        <v>0</v>
      </c>
      <c r="BN115" s="10">
        <v>986400000</v>
      </c>
      <c r="BO115" s="10">
        <v>0</v>
      </c>
    </row>
    <row r="116" spans="1:67" x14ac:dyDescent="0.25">
      <c r="A116" s="25" t="s">
        <v>162</v>
      </c>
      <c r="B116" s="9">
        <v>1607</v>
      </c>
      <c r="C116" s="9" t="s">
        <v>169</v>
      </c>
      <c r="D116" s="10">
        <v>388018818585</v>
      </c>
      <c r="E116" s="10">
        <v>3992576973</v>
      </c>
      <c r="F116" s="10">
        <v>0</v>
      </c>
      <c r="G116" s="10">
        <v>0</v>
      </c>
      <c r="H116" s="10">
        <v>392011395558</v>
      </c>
      <c r="I116" s="10">
        <v>29666449413</v>
      </c>
      <c r="J116" s="10">
        <v>3316961949</v>
      </c>
      <c r="K116" s="10">
        <v>359027984196</v>
      </c>
      <c r="L116" s="10">
        <v>601949972845</v>
      </c>
      <c r="M116" s="10">
        <v>-209938577287</v>
      </c>
      <c r="N116" s="46">
        <v>-34.876416107266515</v>
      </c>
      <c r="O116" s="10">
        <v>346223545151</v>
      </c>
      <c r="P116" s="11">
        <v>100.07</v>
      </c>
      <c r="Q116" s="11">
        <v>96.43</v>
      </c>
      <c r="R116" s="11">
        <v>2.27</v>
      </c>
      <c r="S116" s="10">
        <v>369710604544</v>
      </c>
      <c r="T116" s="10">
        <v>8912547927</v>
      </c>
      <c r="U116" s="10">
        <v>7286530690</v>
      </c>
      <c r="V116" s="10">
        <v>1371453404</v>
      </c>
      <c r="W116" s="10">
        <v>254563833</v>
      </c>
      <c r="X116" s="10">
        <v>378623152471</v>
      </c>
      <c r="Y116" s="10">
        <v>7690808</v>
      </c>
      <c r="Z116" s="10">
        <v>13664272350</v>
      </c>
      <c r="AA116" s="10">
        <v>0</v>
      </c>
      <c r="AB116" s="10">
        <v>392287424821</v>
      </c>
      <c r="AC116" s="10">
        <v>332433351978</v>
      </c>
      <c r="AD116" s="46">
        <v>13.894454397601111</v>
      </c>
      <c r="AE116" s="10">
        <v>157020000000</v>
      </c>
      <c r="AF116" s="10">
        <v>157020000000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1">
        <v>0</v>
      </c>
      <c r="AM116" s="10">
        <v>0</v>
      </c>
      <c r="AN116" s="11">
        <v>19</v>
      </c>
      <c r="AO116" s="10">
        <v>73001822031</v>
      </c>
      <c r="AP116" s="12">
        <v>3</v>
      </c>
      <c r="AQ116" s="10">
        <v>2240240000</v>
      </c>
      <c r="AR116" s="10">
        <v>8912547927</v>
      </c>
      <c r="AS116" s="10">
        <v>3233668305</v>
      </c>
      <c r="AT116" s="10">
        <v>5678879622</v>
      </c>
      <c r="AU116" s="11">
        <v>175.62</v>
      </c>
      <c r="AV116" s="10">
        <v>114218017715</v>
      </c>
      <c r="AW116" s="10">
        <v>28049285506</v>
      </c>
      <c r="AX116" s="10">
        <v>49900535389</v>
      </c>
      <c r="AY116" s="10">
        <v>96609222789</v>
      </c>
      <c r="AZ116" s="10">
        <v>120049060407</v>
      </c>
      <c r="BA116" s="10">
        <v>121460000000</v>
      </c>
      <c r="BB116" s="10">
        <v>72299316127</v>
      </c>
      <c r="BC116" s="10">
        <v>392011395558</v>
      </c>
      <c r="BD116" s="12">
        <v>2663</v>
      </c>
      <c r="BE116" s="10">
        <v>148041178270</v>
      </c>
      <c r="BF116" s="10">
        <v>120049060407</v>
      </c>
      <c r="BG116" s="10">
        <v>123921156881</v>
      </c>
      <c r="BH116" s="10">
        <v>101480000000</v>
      </c>
      <c r="BI116" s="10">
        <v>55540000000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</row>
    <row r="117" spans="1:67" x14ac:dyDescent="0.25">
      <c r="A117" s="25" t="s">
        <v>162</v>
      </c>
      <c r="B117" s="9">
        <v>1608</v>
      </c>
      <c r="C117" s="9" t="s">
        <v>170</v>
      </c>
      <c r="D117" s="10">
        <v>2174931430696</v>
      </c>
      <c r="E117" s="10">
        <v>417905217845</v>
      </c>
      <c r="F117" s="10">
        <v>0</v>
      </c>
      <c r="G117" s="10">
        <v>0</v>
      </c>
      <c r="H117" s="10">
        <v>2592836648541</v>
      </c>
      <c r="I117" s="10">
        <v>250193691413</v>
      </c>
      <c r="J117" s="10">
        <v>2613725120</v>
      </c>
      <c r="K117" s="10">
        <v>2340029232008</v>
      </c>
      <c r="L117" s="10">
        <v>2452356936394</v>
      </c>
      <c r="M117" s="10">
        <v>140479712147</v>
      </c>
      <c r="N117" s="46">
        <v>5.7283550392776217</v>
      </c>
      <c r="O117" s="10">
        <v>4500771441914</v>
      </c>
      <c r="P117" s="11">
        <v>215.11</v>
      </c>
      <c r="Q117" s="11">
        <v>192.34</v>
      </c>
      <c r="R117" s="11">
        <v>1.96</v>
      </c>
      <c r="S117" s="10">
        <v>5106208059891</v>
      </c>
      <c r="T117" s="10">
        <v>107595350461</v>
      </c>
      <c r="U117" s="10">
        <v>79467012679</v>
      </c>
      <c r="V117" s="10">
        <v>23386427471</v>
      </c>
      <c r="W117" s="10">
        <v>4741910311</v>
      </c>
      <c r="X117" s="10">
        <v>5213803410352</v>
      </c>
      <c r="Y117" s="10">
        <v>1763570453</v>
      </c>
      <c r="Z117" s="10">
        <v>343519025976</v>
      </c>
      <c r="AA117" s="10">
        <v>20064097662</v>
      </c>
      <c r="AB117" s="10">
        <v>5577386533990</v>
      </c>
      <c r="AC117" s="10">
        <v>3735770533955</v>
      </c>
      <c r="AD117" s="46">
        <v>39.5643378779004</v>
      </c>
      <c r="AE117" s="10">
        <v>2515134948023</v>
      </c>
      <c r="AF117" s="10">
        <v>2515134948023</v>
      </c>
      <c r="AG117" s="10">
        <v>0</v>
      </c>
      <c r="AH117" s="10">
        <v>0</v>
      </c>
      <c r="AI117" s="10">
        <v>39419841269</v>
      </c>
      <c r="AJ117" s="10">
        <v>0</v>
      </c>
      <c r="AK117" s="10">
        <v>0</v>
      </c>
      <c r="AL117" s="11">
        <v>0</v>
      </c>
      <c r="AM117" s="10">
        <v>0</v>
      </c>
      <c r="AN117" s="11">
        <v>446</v>
      </c>
      <c r="AO117" s="10">
        <v>3628587396297</v>
      </c>
      <c r="AP117" s="12">
        <v>299</v>
      </c>
      <c r="AQ117" s="10">
        <v>4258213495672</v>
      </c>
      <c r="AR117" s="10">
        <v>107595350461</v>
      </c>
      <c r="AS117" s="10">
        <v>74218953328</v>
      </c>
      <c r="AT117" s="10">
        <v>33376397133</v>
      </c>
      <c r="AU117" s="11">
        <v>44.97</v>
      </c>
      <c r="AV117" s="10">
        <v>1628307085400</v>
      </c>
      <c r="AW117" s="10">
        <v>438827257362</v>
      </c>
      <c r="AX117" s="10">
        <v>601941711711</v>
      </c>
      <c r="AY117" s="10">
        <v>400419099604</v>
      </c>
      <c r="AZ117" s="10">
        <v>848803619381</v>
      </c>
      <c r="BA117" s="10">
        <v>323767000000</v>
      </c>
      <c r="BB117" s="10">
        <v>741904581772</v>
      </c>
      <c r="BC117" s="10">
        <v>2592836648541</v>
      </c>
      <c r="BD117" s="12">
        <v>38421</v>
      </c>
      <c r="BE117" s="10">
        <v>1382396210437</v>
      </c>
      <c r="BF117" s="10">
        <v>848803619381</v>
      </c>
      <c r="BG117" s="10">
        <v>361636818723</v>
      </c>
      <c r="BH117" s="10">
        <v>1976205145642</v>
      </c>
      <c r="BI117" s="10">
        <v>538929802381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0</v>
      </c>
    </row>
    <row r="118" spans="1:67" x14ac:dyDescent="0.25">
      <c r="A118" s="25" t="s">
        <v>162</v>
      </c>
      <c r="B118" s="9">
        <v>1609</v>
      </c>
      <c r="C118" s="9" t="s">
        <v>171</v>
      </c>
      <c r="D118" s="10">
        <v>3557725406205</v>
      </c>
      <c r="E118" s="10">
        <v>260084935967</v>
      </c>
      <c r="F118" s="10">
        <v>0</v>
      </c>
      <c r="G118" s="10">
        <v>0</v>
      </c>
      <c r="H118" s="10">
        <v>3817810342172</v>
      </c>
      <c r="I118" s="10">
        <v>133473035441</v>
      </c>
      <c r="J118" s="10">
        <v>1437525786</v>
      </c>
      <c r="K118" s="10">
        <v>3682899780945</v>
      </c>
      <c r="L118" s="10">
        <v>1745823519105</v>
      </c>
      <c r="M118" s="10">
        <v>2071986823067</v>
      </c>
      <c r="N118" s="46">
        <v>118.68248997637562</v>
      </c>
      <c r="O118" s="10">
        <v>1681598019972</v>
      </c>
      <c r="P118" s="11">
        <v>52.69</v>
      </c>
      <c r="Q118" s="11">
        <v>45.66</v>
      </c>
      <c r="R118" s="11">
        <v>2.5499999999999998</v>
      </c>
      <c r="S118" s="10">
        <v>1808969690837</v>
      </c>
      <c r="T118" s="10">
        <v>40491764991</v>
      </c>
      <c r="U118" s="10">
        <v>18960646372</v>
      </c>
      <c r="V118" s="10">
        <v>3089558146</v>
      </c>
      <c r="W118" s="10">
        <v>18441560473</v>
      </c>
      <c r="X118" s="10">
        <v>1849461455828</v>
      </c>
      <c r="Y118" s="10">
        <v>10875920269</v>
      </c>
      <c r="Z118" s="10">
        <v>115351442166</v>
      </c>
      <c r="AA118" s="10">
        <v>46857326024</v>
      </c>
      <c r="AB118" s="10">
        <v>2011670224018</v>
      </c>
      <c r="AC118" s="10">
        <v>1162518569203</v>
      </c>
      <c r="AD118" s="46">
        <v>59.090917325815674</v>
      </c>
      <c r="AE118" s="10">
        <v>1172209346129</v>
      </c>
      <c r="AF118" s="10">
        <v>1172209346129</v>
      </c>
      <c r="AG118" s="10">
        <v>0</v>
      </c>
      <c r="AH118" s="10">
        <v>1401892561</v>
      </c>
      <c r="AI118" s="10">
        <v>0</v>
      </c>
      <c r="AJ118" s="10">
        <v>0</v>
      </c>
      <c r="AK118" s="10">
        <v>0</v>
      </c>
      <c r="AL118" s="11">
        <v>0</v>
      </c>
      <c r="AM118" s="10">
        <v>0</v>
      </c>
      <c r="AN118" s="11">
        <v>149</v>
      </c>
      <c r="AO118" s="10">
        <v>3729426085527</v>
      </c>
      <c r="AP118" s="12">
        <v>115</v>
      </c>
      <c r="AQ118" s="10">
        <v>1917664452363</v>
      </c>
      <c r="AR118" s="10">
        <v>40491764991</v>
      </c>
      <c r="AS118" s="10">
        <v>49114487481</v>
      </c>
      <c r="AT118" s="10">
        <v>-8622722490</v>
      </c>
      <c r="AU118" s="11">
        <v>-17.559999999999999</v>
      </c>
      <c r="AV118" s="10">
        <v>573186164723</v>
      </c>
      <c r="AW118" s="10">
        <v>124260740858</v>
      </c>
      <c r="AX118" s="10">
        <v>477763810874</v>
      </c>
      <c r="AY118" s="10">
        <v>272294045538</v>
      </c>
      <c r="AZ118" s="10">
        <v>701289049793</v>
      </c>
      <c r="BA118" s="10">
        <v>2106378500000</v>
      </c>
      <c r="BB118" s="10">
        <v>655577126709</v>
      </c>
      <c r="BC118" s="10">
        <v>3817810342172</v>
      </c>
      <c r="BD118" s="12">
        <v>79882</v>
      </c>
      <c r="BE118" s="10">
        <v>1010142792379</v>
      </c>
      <c r="BF118" s="10">
        <v>701289049793</v>
      </c>
      <c r="BG118" s="10">
        <v>2106378500000</v>
      </c>
      <c r="BH118" s="10">
        <v>948014669182</v>
      </c>
      <c r="BI118" s="10">
        <v>224194676947</v>
      </c>
      <c r="BJ118" s="10">
        <v>0</v>
      </c>
      <c r="BK118" s="10">
        <v>0</v>
      </c>
      <c r="BL118" s="10">
        <v>0</v>
      </c>
      <c r="BM118" s="10">
        <v>0</v>
      </c>
      <c r="BN118" s="10">
        <v>6097876827</v>
      </c>
      <c r="BO118" s="10">
        <v>8709928993</v>
      </c>
    </row>
    <row r="119" spans="1:67" x14ac:dyDescent="0.25">
      <c r="A119" s="25" t="s">
        <v>162</v>
      </c>
      <c r="B119" s="9">
        <v>1610</v>
      </c>
      <c r="C119" s="9" t="s">
        <v>172</v>
      </c>
      <c r="D119" s="10">
        <v>2073447210156</v>
      </c>
      <c r="E119" s="10">
        <v>218710873066</v>
      </c>
      <c r="F119" s="10">
        <v>0</v>
      </c>
      <c r="G119" s="10">
        <v>0</v>
      </c>
      <c r="H119" s="10">
        <v>2292158083222</v>
      </c>
      <c r="I119" s="10">
        <v>156946263121</v>
      </c>
      <c r="J119" s="10">
        <v>1093892642</v>
      </c>
      <c r="K119" s="10">
        <v>2134117927459</v>
      </c>
      <c r="L119" s="10">
        <v>1865484335437</v>
      </c>
      <c r="M119" s="10">
        <v>426673747785</v>
      </c>
      <c r="N119" s="46">
        <v>22.87200914421237</v>
      </c>
      <c r="O119" s="10">
        <v>2807901611407</v>
      </c>
      <c r="P119" s="11">
        <v>153.75</v>
      </c>
      <c r="Q119" s="11">
        <v>131.57</v>
      </c>
      <c r="R119" s="11">
        <v>0.65</v>
      </c>
      <c r="S119" s="10">
        <v>3328492589176</v>
      </c>
      <c r="T119" s="10">
        <v>23052977972</v>
      </c>
      <c r="U119" s="10">
        <v>18461129327</v>
      </c>
      <c r="V119" s="10">
        <v>4022520712</v>
      </c>
      <c r="W119" s="10">
        <v>569327933</v>
      </c>
      <c r="X119" s="10">
        <v>3351545567148</v>
      </c>
      <c r="Y119" s="10">
        <v>13543089</v>
      </c>
      <c r="Z119" s="10">
        <v>131665764570</v>
      </c>
      <c r="AA119" s="10">
        <v>41090714385</v>
      </c>
      <c r="AB119" s="10">
        <v>3524302046103</v>
      </c>
      <c r="AC119" s="10">
        <v>2324923621719</v>
      </c>
      <c r="AD119" s="46">
        <v>44.157233202780965</v>
      </c>
      <c r="AE119" s="10">
        <v>2248628441432</v>
      </c>
      <c r="AF119" s="10">
        <v>1562195005691</v>
      </c>
      <c r="AG119" s="10">
        <v>0</v>
      </c>
      <c r="AH119" s="10">
        <v>1500667986</v>
      </c>
      <c r="AI119" s="10">
        <v>0</v>
      </c>
      <c r="AJ119" s="10">
        <v>0</v>
      </c>
      <c r="AK119" s="10">
        <v>0</v>
      </c>
      <c r="AL119" s="11">
        <v>0</v>
      </c>
      <c r="AM119" s="10">
        <v>0</v>
      </c>
      <c r="AN119" s="11">
        <v>407</v>
      </c>
      <c r="AO119" s="10">
        <v>5787305885212</v>
      </c>
      <c r="AP119" s="12">
        <v>205</v>
      </c>
      <c r="AQ119" s="10">
        <v>1811253618362</v>
      </c>
      <c r="AR119" s="10">
        <v>23052977972</v>
      </c>
      <c r="AS119" s="10">
        <v>31723775963</v>
      </c>
      <c r="AT119" s="10">
        <v>-8670797991</v>
      </c>
      <c r="AU119" s="11">
        <v>-27.33</v>
      </c>
      <c r="AV119" s="10">
        <v>984786735635</v>
      </c>
      <c r="AW119" s="10">
        <v>385002714976</v>
      </c>
      <c r="AX119" s="10">
        <v>669684122253</v>
      </c>
      <c r="AY119" s="10">
        <v>403535498145</v>
      </c>
      <c r="AZ119" s="10">
        <v>570103900698</v>
      </c>
      <c r="BA119" s="10">
        <v>430123689060</v>
      </c>
      <c r="BB119" s="10">
        <v>447237811623</v>
      </c>
      <c r="BC119" s="10">
        <v>2292158083222</v>
      </c>
      <c r="BD119" s="12">
        <v>140206</v>
      </c>
      <c r="BE119" s="10">
        <v>1291648064886</v>
      </c>
      <c r="BF119" s="10">
        <v>570003900698</v>
      </c>
      <c r="BG119" s="10">
        <v>430506117638</v>
      </c>
      <c r="BH119" s="10">
        <v>1043874452221</v>
      </c>
      <c r="BI119" s="10">
        <v>1204753989211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1500667986</v>
      </c>
    </row>
    <row r="120" spans="1:67" x14ac:dyDescent="0.25">
      <c r="A120" s="25" t="s">
        <v>162</v>
      </c>
      <c r="B120" s="9">
        <v>1611</v>
      </c>
      <c r="C120" s="9" t="s">
        <v>173</v>
      </c>
      <c r="D120" s="10">
        <v>271113227833</v>
      </c>
      <c r="E120" s="10">
        <v>850429920</v>
      </c>
      <c r="F120" s="10">
        <v>0</v>
      </c>
      <c r="G120" s="10">
        <v>0</v>
      </c>
      <c r="H120" s="10">
        <v>271963657753</v>
      </c>
      <c r="I120" s="10">
        <v>23828848269</v>
      </c>
      <c r="J120" s="10">
        <v>1413067000</v>
      </c>
      <c r="K120" s="10">
        <v>246721742484</v>
      </c>
      <c r="L120" s="10">
        <v>390402674457</v>
      </c>
      <c r="M120" s="10">
        <v>-118439016704</v>
      </c>
      <c r="N120" s="46">
        <v>-30.337655055445882</v>
      </c>
      <c r="O120" s="10">
        <v>519001161278</v>
      </c>
      <c r="P120" s="11">
        <v>224.43</v>
      </c>
      <c r="Q120" s="11">
        <v>210.36</v>
      </c>
      <c r="R120" s="11">
        <v>0.1</v>
      </c>
      <c r="S120" s="10">
        <v>534595731438</v>
      </c>
      <c r="T120" s="10">
        <v>627725899</v>
      </c>
      <c r="U120" s="10">
        <v>627725899</v>
      </c>
      <c r="V120" s="10">
        <v>0</v>
      </c>
      <c r="W120" s="10">
        <v>0</v>
      </c>
      <c r="X120" s="10">
        <v>535223457337</v>
      </c>
      <c r="Y120" s="10">
        <v>0</v>
      </c>
      <c r="Z120" s="10">
        <v>48931548805</v>
      </c>
      <c r="AA120" s="10">
        <v>26206800000</v>
      </c>
      <c r="AB120" s="10">
        <v>610361806142</v>
      </c>
      <c r="AC120" s="10">
        <v>105500196787</v>
      </c>
      <c r="AD120" s="46">
        <v>407.31986634829821</v>
      </c>
      <c r="AE120" s="10">
        <v>421175092882</v>
      </c>
      <c r="AF120" s="10">
        <v>421175092882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1">
        <v>0</v>
      </c>
      <c r="AM120" s="10">
        <v>0</v>
      </c>
      <c r="AN120" s="11">
        <v>0</v>
      </c>
      <c r="AO120" s="10">
        <v>0</v>
      </c>
      <c r="AP120" s="12">
        <v>0</v>
      </c>
      <c r="AQ120" s="10">
        <v>0</v>
      </c>
      <c r="AR120" s="10">
        <v>627725899</v>
      </c>
      <c r="AS120" s="10">
        <v>0</v>
      </c>
      <c r="AT120" s="10">
        <v>627725899</v>
      </c>
      <c r="AU120" s="11" t="s">
        <v>593</v>
      </c>
      <c r="AV120" s="10">
        <v>55407302061</v>
      </c>
      <c r="AW120" s="10">
        <v>11031757082</v>
      </c>
      <c r="AX120" s="10">
        <v>14889623342</v>
      </c>
      <c r="AY120" s="10">
        <v>30392514907</v>
      </c>
      <c r="AZ120" s="10">
        <v>81042089584</v>
      </c>
      <c r="BA120" s="10">
        <v>144789000000</v>
      </c>
      <c r="BB120" s="10">
        <v>80902017359</v>
      </c>
      <c r="BC120" s="10">
        <v>271963657753</v>
      </c>
      <c r="BD120" s="12">
        <v>3492</v>
      </c>
      <c r="BE120" s="10">
        <v>46132568169</v>
      </c>
      <c r="BF120" s="10">
        <v>81042089584</v>
      </c>
      <c r="BG120" s="10">
        <v>144789000000</v>
      </c>
      <c r="BH120" s="10">
        <v>380675818882</v>
      </c>
      <c r="BI120" s="10">
        <v>40499274000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</row>
    <row r="121" spans="1:67" x14ac:dyDescent="0.25">
      <c r="A121" s="25" t="s">
        <v>162</v>
      </c>
      <c r="B121" s="9">
        <v>1699</v>
      </c>
      <c r="C121" s="9" t="s">
        <v>174</v>
      </c>
      <c r="D121" s="10">
        <v>4</v>
      </c>
      <c r="E121" s="10">
        <v>647690226</v>
      </c>
      <c r="F121" s="10">
        <v>0</v>
      </c>
      <c r="G121" s="10">
        <v>0</v>
      </c>
      <c r="H121" s="10">
        <v>647690230</v>
      </c>
      <c r="I121" s="10">
        <v>41393905</v>
      </c>
      <c r="J121" s="10">
        <v>55100000</v>
      </c>
      <c r="K121" s="10">
        <v>551196325</v>
      </c>
      <c r="L121" s="10">
        <v>710150226</v>
      </c>
      <c r="M121" s="10">
        <v>-62459996</v>
      </c>
      <c r="N121" s="46">
        <v>-8.7953215690450275</v>
      </c>
      <c r="O121" s="10">
        <v>0</v>
      </c>
      <c r="P121" s="11">
        <v>0</v>
      </c>
      <c r="Q121" s="11">
        <v>0</v>
      </c>
      <c r="R121" s="11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46" t="s">
        <v>595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1">
        <v>0</v>
      </c>
      <c r="AM121" s="10">
        <v>0</v>
      </c>
      <c r="AN121" s="11">
        <v>0</v>
      </c>
      <c r="AO121" s="10">
        <v>0</v>
      </c>
      <c r="AP121" s="12">
        <v>0</v>
      </c>
      <c r="AQ121" s="10">
        <v>0</v>
      </c>
      <c r="AR121" s="10">
        <v>0</v>
      </c>
      <c r="AS121" s="10">
        <v>0</v>
      </c>
      <c r="AT121" s="10">
        <v>0</v>
      </c>
      <c r="AU121" s="11" t="s">
        <v>593</v>
      </c>
      <c r="AV121" s="10">
        <v>0</v>
      </c>
      <c r="AW121" s="10">
        <v>0</v>
      </c>
      <c r="AX121" s="10">
        <v>0</v>
      </c>
      <c r="AY121" s="10">
        <v>4</v>
      </c>
      <c r="AZ121" s="10">
        <v>0</v>
      </c>
      <c r="BA121" s="10">
        <v>0</v>
      </c>
      <c r="BB121" s="10">
        <v>0</v>
      </c>
      <c r="BC121" s="10">
        <v>647690230</v>
      </c>
      <c r="BD121" s="11">
        <v>0</v>
      </c>
      <c r="BE121" s="10">
        <v>647690230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</row>
    <row r="122" spans="1:67" x14ac:dyDescent="0.25">
      <c r="A122" s="19" t="s">
        <v>621</v>
      </c>
      <c r="B122" s="20" t="s">
        <v>593</v>
      </c>
      <c r="C122" s="20" t="s">
        <v>593</v>
      </c>
      <c r="D122" s="21">
        <v>21518929441935</v>
      </c>
      <c r="E122" s="21">
        <v>1555225992186</v>
      </c>
      <c r="F122" s="21">
        <v>53000000000</v>
      </c>
      <c r="G122" s="21">
        <v>1017475688059</v>
      </c>
      <c r="H122" s="21">
        <v>24144631122180</v>
      </c>
      <c r="I122" s="21">
        <v>1630839521297</v>
      </c>
      <c r="J122" s="21">
        <v>41159732285</v>
      </c>
      <c r="K122" s="21">
        <v>22472631868598</v>
      </c>
      <c r="L122" s="21">
        <v>17841114159687</v>
      </c>
      <c r="M122" s="21">
        <v>6303516962493</v>
      </c>
      <c r="N122" s="47">
        <v>35.331408711772895</v>
      </c>
      <c r="O122" s="21">
        <v>23036920439032</v>
      </c>
      <c r="P122" s="22">
        <v>120.79</v>
      </c>
      <c r="Q122" s="22">
        <v>102.51</v>
      </c>
      <c r="R122" s="22">
        <v>2.0099999999999998</v>
      </c>
      <c r="S122" s="21">
        <v>27020671684246</v>
      </c>
      <c r="T122" s="21">
        <v>501872721651</v>
      </c>
      <c r="U122" s="21">
        <v>256559018300</v>
      </c>
      <c r="V122" s="21">
        <v>125078056781</v>
      </c>
      <c r="W122" s="21">
        <v>120235646570</v>
      </c>
      <c r="X122" s="21">
        <v>27522544405897</v>
      </c>
      <c r="Y122" s="21">
        <v>82886794432</v>
      </c>
      <c r="Z122" s="21">
        <v>1379326667044</v>
      </c>
      <c r="AA122" s="21">
        <v>262447875429</v>
      </c>
      <c r="AB122" s="21">
        <v>29164318948370</v>
      </c>
      <c r="AC122" s="21">
        <v>18630627865347</v>
      </c>
      <c r="AD122" s="47">
        <v>47.72741211308815</v>
      </c>
      <c r="AE122" s="21">
        <v>16266376205764</v>
      </c>
      <c r="AF122" s="21">
        <v>14466740936034</v>
      </c>
      <c r="AG122" s="21">
        <v>0</v>
      </c>
      <c r="AH122" s="21">
        <v>12751410847</v>
      </c>
      <c r="AI122" s="21">
        <v>99193532529</v>
      </c>
      <c r="AJ122" s="21">
        <v>0</v>
      </c>
      <c r="AK122" s="21">
        <v>4446564120</v>
      </c>
      <c r="AL122" s="22">
        <v>1</v>
      </c>
      <c r="AM122" s="21">
        <v>127791487720</v>
      </c>
      <c r="AN122" s="23">
        <v>1515</v>
      </c>
      <c r="AO122" s="21">
        <v>18342680244294</v>
      </c>
      <c r="AP122" s="23">
        <v>864</v>
      </c>
      <c r="AQ122" s="21">
        <v>8880403240057</v>
      </c>
      <c r="AR122" s="21">
        <v>501872721651</v>
      </c>
      <c r="AS122" s="21">
        <v>417742150815</v>
      </c>
      <c r="AT122" s="21">
        <v>84130570836</v>
      </c>
      <c r="AU122" s="22">
        <v>20.14</v>
      </c>
      <c r="AV122" s="21">
        <v>7859057981257</v>
      </c>
      <c r="AW122" s="21">
        <v>1882829106267</v>
      </c>
      <c r="AX122" s="21">
        <v>5523062246203</v>
      </c>
      <c r="AY122" s="21">
        <v>2664708282527</v>
      </c>
      <c r="AZ122" s="21">
        <v>7190284460145</v>
      </c>
      <c r="BA122" s="21">
        <v>6140874453060</v>
      </c>
      <c r="BB122" s="21">
        <v>6268122531407</v>
      </c>
      <c r="BC122" s="21">
        <v>24144631122180</v>
      </c>
      <c r="BD122" s="23">
        <v>530029</v>
      </c>
      <c r="BE122" s="21">
        <v>10678990585675</v>
      </c>
      <c r="BF122" s="21">
        <v>7243184460145</v>
      </c>
      <c r="BG122" s="21">
        <v>6222456076360</v>
      </c>
      <c r="BH122" s="21">
        <v>10779289311566</v>
      </c>
      <c r="BI122" s="21">
        <v>5487086894198</v>
      </c>
      <c r="BJ122" s="21">
        <v>0</v>
      </c>
      <c r="BK122" s="21">
        <v>0</v>
      </c>
      <c r="BL122" s="21">
        <v>0</v>
      </c>
      <c r="BM122" s="21">
        <v>0</v>
      </c>
      <c r="BN122" s="21">
        <v>24162527127</v>
      </c>
      <c r="BO122" s="21">
        <v>10345596979</v>
      </c>
    </row>
    <row r="123" spans="1:67" x14ac:dyDescent="0.25">
      <c r="A123" s="25" t="s">
        <v>175</v>
      </c>
      <c r="B123" s="9">
        <v>1700</v>
      </c>
      <c r="C123" s="9" t="s">
        <v>176</v>
      </c>
      <c r="D123" s="10">
        <v>17372795305914</v>
      </c>
      <c r="E123" s="10">
        <v>870720893765</v>
      </c>
      <c r="F123" s="10">
        <v>0</v>
      </c>
      <c r="G123" s="10">
        <v>768442401671</v>
      </c>
      <c r="H123" s="10">
        <v>19011958601350</v>
      </c>
      <c r="I123" s="10">
        <v>1606308971360</v>
      </c>
      <c r="J123" s="10">
        <v>32616338530</v>
      </c>
      <c r="K123" s="10">
        <v>17373033291460</v>
      </c>
      <c r="L123" s="10">
        <v>15765752954888</v>
      </c>
      <c r="M123" s="10">
        <v>3246205646462</v>
      </c>
      <c r="N123" s="46">
        <v>20.590235402969125</v>
      </c>
      <c r="O123" s="10">
        <v>40688850518190</v>
      </c>
      <c r="P123" s="11">
        <v>265.60000000000002</v>
      </c>
      <c r="Q123" s="11">
        <v>234.21</v>
      </c>
      <c r="R123" s="11">
        <v>2.73</v>
      </c>
      <c r="S123" s="10">
        <v>47432893549084</v>
      </c>
      <c r="T123" s="10">
        <v>764694528162</v>
      </c>
      <c r="U123" s="10">
        <v>43574090076</v>
      </c>
      <c r="V123" s="10">
        <v>25964688445</v>
      </c>
      <c r="W123" s="10">
        <v>695155749641</v>
      </c>
      <c r="X123" s="10">
        <v>48197588077246</v>
      </c>
      <c r="Y123" s="10">
        <v>612058525233</v>
      </c>
      <c r="Z123" s="10">
        <v>2265264806670</v>
      </c>
      <c r="AA123" s="10">
        <v>33224163719</v>
      </c>
      <c r="AB123" s="10">
        <v>50496077047635</v>
      </c>
      <c r="AC123" s="10">
        <v>34025395664641</v>
      </c>
      <c r="AD123" s="46">
        <v>41.651807821099531</v>
      </c>
      <c r="AE123" s="10">
        <v>42755702010704</v>
      </c>
      <c r="AF123" s="10">
        <v>42624842850795</v>
      </c>
      <c r="AG123" s="10">
        <v>5250695076209</v>
      </c>
      <c r="AH123" s="10">
        <v>369575223797</v>
      </c>
      <c r="AI123" s="10">
        <v>0</v>
      </c>
      <c r="AJ123" s="10">
        <v>0</v>
      </c>
      <c r="AK123" s="10">
        <v>5000000000000</v>
      </c>
      <c r="AL123" s="11">
        <v>59</v>
      </c>
      <c r="AM123" s="10">
        <v>7293357923734</v>
      </c>
      <c r="AN123" s="11">
        <v>385</v>
      </c>
      <c r="AO123" s="10">
        <v>6152044365879</v>
      </c>
      <c r="AP123" s="12">
        <v>187</v>
      </c>
      <c r="AQ123" s="10">
        <v>2598472997508</v>
      </c>
      <c r="AR123" s="10">
        <v>764694528162</v>
      </c>
      <c r="AS123" s="10">
        <v>349479184199</v>
      </c>
      <c r="AT123" s="10">
        <v>415215343963</v>
      </c>
      <c r="AU123" s="13">
        <v>118.81</v>
      </c>
      <c r="AV123" s="10">
        <v>30573120361772</v>
      </c>
      <c r="AW123" s="10">
        <v>11728247125070</v>
      </c>
      <c r="AX123" s="10">
        <v>2973039130413</v>
      </c>
      <c r="AY123" s="10">
        <v>1613021644677</v>
      </c>
      <c r="AZ123" s="10">
        <v>4357353987484</v>
      </c>
      <c r="BA123" s="10">
        <v>8429380543340</v>
      </c>
      <c r="BB123" s="10">
        <v>1418262104147</v>
      </c>
      <c r="BC123" s="10">
        <v>19011958601350</v>
      </c>
      <c r="BD123" s="12">
        <v>91340</v>
      </c>
      <c r="BE123" s="10">
        <v>6225224070526</v>
      </c>
      <c r="BF123" s="10">
        <v>4357353987484</v>
      </c>
      <c r="BG123" s="10">
        <v>8429380543340</v>
      </c>
      <c r="BH123" s="10">
        <v>34548853397634</v>
      </c>
      <c r="BI123" s="10">
        <v>8206848613070</v>
      </c>
      <c r="BJ123" s="10">
        <v>33002388839</v>
      </c>
      <c r="BK123" s="10">
        <v>609490638906</v>
      </c>
      <c r="BL123" s="10">
        <v>4948227157934</v>
      </c>
      <c r="BM123" s="10">
        <v>14358568014</v>
      </c>
      <c r="BN123" s="10">
        <v>17068163998</v>
      </c>
      <c r="BO123" s="10">
        <v>364819629819</v>
      </c>
    </row>
    <row r="124" spans="1:67" x14ac:dyDescent="0.25">
      <c r="A124" s="25" t="s">
        <v>175</v>
      </c>
      <c r="B124" s="9">
        <v>1701</v>
      </c>
      <c r="C124" s="9" t="s">
        <v>177</v>
      </c>
      <c r="D124" s="10">
        <v>6315436677860</v>
      </c>
      <c r="E124" s="10">
        <v>98837675293</v>
      </c>
      <c r="F124" s="10">
        <v>0</v>
      </c>
      <c r="G124" s="10">
        <v>9111763411</v>
      </c>
      <c r="H124" s="10">
        <v>6423386116564</v>
      </c>
      <c r="I124" s="10">
        <v>624134888336</v>
      </c>
      <c r="J124" s="10">
        <v>6023630495</v>
      </c>
      <c r="K124" s="10">
        <v>5793227597733</v>
      </c>
      <c r="L124" s="10">
        <v>4181599011375</v>
      </c>
      <c r="M124" s="10">
        <v>2241787105189</v>
      </c>
      <c r="N124" s="46">
        <v>53.610762272775936</v>
      </c>
      <c r="O124" s="10">
        <v>3883488461284</v>
      </c>
      <c r="P124" s="11">
        <v>66.52</v>
      </c>
      <c r="Q124" s="11">
        <v>67.03</v>
      </c>
      <c r="R124" s="11">
        <v>65.69</v>
      </c>
      <c r="S124" s="10">
        <v>1095330564989</v>
      </c>
      <c r="T124" s="10">
        <v>2574405531739</v>
      </c>
      <c r="U124" s="10">
        <v>433080344219</v>
      </c>
      <c r="V124" s="10">
        <v>714303589968</v>
      </c>
      <c r="W124" s="10">
        <v>1427021597552</v>
      </c>
      <c r="X124" s="10">
        <v>3669736096728</v>
      </c>
      <c r="Y124" s="10">
        <v>232150031989</v>
      </c>
      <c r="Z124" s="10">
        <v>588619645133</v>
      </c>
      <c r="AA124" s="10">
        <v>14368500000</v>
      </c>
      <c r="AB124" s="10">
        <v>4272724241861</v>
      </c>
      <c r="AC124" s="10">
        <v>2079143317307</v>
      </c>
      <c r="AD124" s="46">
        <v>76.502315457561025</v>
      </c>
      <c r="AE124" s="10">
        <v>4845286837657</v>
      </c>
      <c r="AF124" s="10">
        <v>4845286837657</v>
      </c>
      <c r="AG124" s="10">
        <v>3581627581580</v>
      </c>
      <c r="AH124" s="10">
        <v>1370200000</v>
      </c>
      <c r="AI124" s="10">
        <v>0</v>
      </c>
      <c r="AJ124" s="10">
        <v>0</v>
      </c>
      <c r="AK124" s="10">
        <v>0</v>
      </c>
      <c r="AL124" s="11">
        <v>10</v>
      </c>
      <c r="AM124" s="10">
        <v>863140943002</v>
      </c>
      <c r="AN124" s="11">
        <v>12</v>
      </c>
      <c r="AO124" s="10">
        <v>182641000000</v>
      </c>
      <c r="AP124" s="12">
        <v>28</v>
      </c>
      <c r="AQ124" s="10">
        <v>446329324528</v>
      </c>
      <c r="AR124" s="10">
        <v>2574405531739</v>
      </c>
      <c r="AS124" s="10">
        <v>37092702549</v>
      </c>
      <c r="AT124" s="10">
        <v>2537312829190</v>
      </c>
      <c r="AU124" s="13">
        <v>6840.46</v>
      </c>
      <c r="AV124" s="10">
        <v>2858743460038</v>
      </c>
      <c r="AW124" s="10">
        <v>187691650417</v>
      </c>
      <c r="AX124" s="10">
        <v>589022786573</v>
      </c>
      <c r="AY124" s="10">
        <v>736001018789</v>
      </c>
      <c r="AZ124" s="10">
        <v>397565872498</v>
      </c>
      <c r="BA124" s="10">
        <v>4592847000000</v>
      </c>
      <c r="BB124" s="10">
        <v>98960806682</v>
      </c>
      <c r="BC124" s="10">
        <v>6423386116564</v>
      </c>
      <c r="BD124" s="12">
        <v>83380</v>
      </c>
      <c r="BE124" s="10">
        <v>1432973244066</v>
      </c>
      <c r="BF124" s="10">
        <v>397565872498</v>
      </c>
      <c r="BG124" s="10">
        <v>4592847000000</v>
      </c>
      <c r="BH124" s="10">
        <v>4227733045828</v>
      </c>
      <c r="BI124" s="10">
        <v>617553791829</v>
      </c>
      <c r="BJ124" s="10">
        <v>107666991136</v>
      </c>
      <c r="BK124" s="10">
        <v>1392689163415</v>
      </c>
      <c r="BL124" s="10">
        <v>1682529116371</v>
      </c>
      <c r="BM124" s="10">
        <v>0</v>
      </c>
      <c r="BN124" s="10">
        <v>0</v>
      </c>
      <c r="BO124" s="10">
        <v>1370200000</v>
      </c>
    </row>
    <row r="125" spans="1:67" x14ac:dyDescent="0.25">
      <c r="A125" s="25" t="s">
        <v>175</v>
      </c>
      <c r="B125" s="9">
        <v>1703</v>
      </c>
      <c r="C125" s="9" t="s">
        <v>178</v>
      </c>
      <c r="D125" s="10">
        <v>1848630767720</v>
      </c>
      <c r="E125" s="10">
        <v>8889259441</v>
      </c>
      <c r="F125" s="10">
        <v>0</v>
      </c>
      <c r="G125" s="10">
        <v>0</v>
      </c>
      <c r="H125" s="10">
        <v>1857520027161</v>
      </c>
      <c r="I125" s="10">
        <v>136111393213</v>
      </c>
      <c r="J125" s="10">
        <v>1558512000</v>
      </c>
      <c r="K125" s="10">
        <v>1719850121948</v>
      </c>
      <c r="L125" s="10">
        <v>1171465108799</v>
      </c>
      <c r="M125" s="10">
        <v>686054918362</v>
      </c>
      <c r="N125" s="46">
        <v>58.563837130868691</v>
      </c>
      <c r="O125" s="10">
        <v>2094929509667</v>
      </c>
      <c r="P125" s="11">
        <v>128.1</v>
      </c>
      <c r="Q125" s="11">
        <v>121.81</v>
      </c>
      <c r="R125" s="11">
        <v>10.4</v>
      </c>
      <c r="S125" s="10">
        <v>1956157540692</v>
      </c>
      <c r="T125" s="10">
        <v>241881105288</v>
      </c>
      <c r="U125" s="10">
        <v>187606518333</v>
      </c>
      <c r="V125" s="10">
        <v>2836182615</v>
      </c>
      <c r="W125" s="10">
        <v>51438404340</v>
      </c>
      <c r="X125" s="10">
        <v>2198038645980</v>
      </c>
      <c r="Y125" s="10">
        <v>5693017871</v>
      </c>
      <c r="Z125" s="10">
        <v>135285838215</v>
      </c>
      <c r="AA125" s="10">
        <v>46243298871</v>
      </c>
      <c r="AB125" s="10">
        <v>2379567783066</v>
      </c>
      <c r="AC125" s="10">
        <v>1674510462435</v>
      </c>
      <c r="AD125" s="46">
        <v>31.264551359309404</v>
      </c>
      <c r="AE125" s="10">
        <v>1031734135649</v>
      </c>
      <c r="AF125" s="10">
        <v>1031734135649</v>
      </c>
      <c r="AG125" s="10">
        <v>0</v>
      </c>
      <c r="AH125" s="10">
        <v>64800000</v>
      </c>
      <c r="AI125" s="10">
        <v>0</v>
      </c>
      <c r="AJ125" s="10">
        <v>0</v>
      </c>
      <c r="AK125" s="10">
        <v>0</v>
      </c>
      <c r="AL125" s="11">
        <v>0</v>
      </c>
      <c r="AM125" s="10">
        <v>0</v>
      </c>
      <c r="AN125" s="11">
        <v>7</v>
      </c>
      <c r="AO125" s="10">
        <v>10496422603</v>
      </c>
      <c r="AP125" s="12">
        <v>18</v>
      </c>
      <c r="AQ125" s="10">
        <v>6129009198</v>
      </c>
      <c r="AR125" s="10">
        <v>241881105288</v>
      </c>
      <c r="AS125" s="10">
        <v>32702719898</v>
      </c>
      <c r="AT125" s="10">
        <v>209178385390</v>
      </c>
      <c r="AU125" s="11">
        <v>639.64</v>
      </c>
      <c r="AV125" s="10">
        <v>503015778220</v>
      </c>
      <c r="AW125" s="10">
        <v>88398022036</v>
      </c>
      <c r="AX125" s="10">
        <v>995619053630</v>
      </c>
      <c r="AY125" s="10">
        <v>307279453448</v>
      </c>
      <c r="AZ125" s="10">
        <v>295841677221</v>
      </c>
      <c r="BA125" s="10">
        <v>249890583421</v>
      </c>
      <c r="BB125" s="10">
        <v>179401651342</v>
      </c>
      <c r="BC125" s="10">
        <v>1857520027161</v>
      </c>
      <c r="BD125" s="12">
        <v>27721</v>
      </c>
      <c r="BE125" s="10">
        <v>1311777511268</v>
      </c>
      <c r="BF125" s="10">
        <v>295841677221</v>
      </c>
      <c r="BG125" s="10">
        <v>249900838672</v>
      </c>
      <c r="BH125" s="10">
        <v>710710567319</v>
      </c>
      <c r="BI125" s="10">
        <v>321023568330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64800000</v>
      </c>
    </row>
    <row r="126" spans="1:67" x14ac:dyDescent="0.25">
      <c r="A126" s="25" t="s">
        <v>175</v>
      </c>
      <c r="B126" s="9">
        <v>1704</v>
      </c>
      <c r="C126" s="9" t="s">
        <v>179</v>
      </c>
      <c r="D126" s="10">
        <v>1969979648263</v>
      </c>
      <c r="E126" s="10">
        <v>35788955352</v>
      </c>
      <c r="F126" s="10">
        <v>0</v>
      </c>
      <c r="G126" s="10">
        <v>0</v>
      </c>
      <c r="H126" s="10">
        <v>2005768603615</v>
      </c>
      <c r="I126" s="10">
        <v>141902059665</v>
      </c>
      <c r="J126" s="10">
        <v>1264248051</v>
      </c>
      <c r="K126" s="10">
        <v>1862602295899</v>
      </c>
      <c r="L126" s="10">
        <v>1852540147637</v>
      </c>
      <c r="M126" s="10">
        <v>153228455978</v>
      </c>
      <c r="N126" s="46">
        <v>8.2712623623002131</v>
      </c>
      <c r="O126" s="10">
        <v>1858495820801</v>
      </c>
      <c r="P126" s="11">
        <v>108.94</v>
      </c>
      <c r="Q126" s="11">
        <v>99.78</v>
      </c>
      <c r="R126" s="11">
        <v>2.23</v>
      </c>
      <c r="S126" s="10">
        <v>1975258128236</v>
      </c>
      <c r="T126" s="10">
        <v>42134604024</v>
      </c>
      <c r="U126" s="10">
        <v>18518275438</v>
      </c>
      <c r="V126" s="10">
        <v>16017844664</v>
      </c>
      <c r="W126" s="10">
        <v>7598483922</v>
      </c>
      <c r="X126" s="10">
        <v>2017392732260</v>
      </c>
      <c r="Y126" s="10">
        <v>6508804271</v>
      </c>
      <c r="Z126" s="10">
        <v>113716858703</v>
      </c>
      <c r="AA126" s="10">
        <v>53942448680</v>
      </c>
      <c r="AB126" s="10">
        <v>2185052039643</v>
      </c>
      <c r="AC126" s="10">
        <v>1502631015404</v>
      </c>
      <c r="AD126" s="46">
        <v>34.257360029108696</v>
      </c>
      <c r="AE126" s="10">
        <v>1235385907916</v>
      </c>
      <c r="AF126" s="10">
        <v>1044042832996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1">
        <v>0</v>
      </c>
      <c r="AM126" s="10">
        <v>0</v>
      </c>
      <c r="AN126" s="11">
        <v>169</v>
      </c>
      <c r="AO126" s="10">
        <v>501171239440</v>
      </c>
      <c r="AP126" s="12">
        <v>21</v>
      </c>
      <c r="AQ126" s="10">
        <v>46757142473</v>
      </c>
      <c r="AR126" s="10">
        <v>42134604024</v>
      </c>
      <c r="AS126" s="10">
        <v>24297805992</v>
      </c>
      <c r="AT126" s="10">
        <v>17836798032</v>
      </c>
      <c r="AU126" s="11">
        <v>73.41</v>
      </c>
      <c r="AV126" s="10">
        <v>720737788156</v>
      </c>
      <c r="AW126" s="10">
        <v>91872123809</v>
      </c>
      <c r="AX126" s="10">
        <v>560122486770</v>
      </c>
      <c r="AY126" s="10">
        <v>615848087240</v>
      </c>
      <c r="AZ126" s="10">
        <v>449817923043</v>
      </c>
      <c r="BA126" s="10">
        <v>344191151210</v>
      </c>
      <c r="BB126" s="10">
        <v>177595643637</v>
      </c>
      <c r="BC126" s="10">
        <v>2005768603615</v>
      </c>
      <c r="BD126" s="12">
        <v>178307</v>
      </c>
      <c r="BE126" s="10">
        <v>1211803605882</v>
      </c>
      <c r="BF126" s="10">
        <v>449817923043</v>
      </c>
      <c r="BG126" s="10">
        <v>344147074690</v>
      </c>
      <c r="BH126" s="10">
        <v>419397854705</v>
      </c>
      <c r="BI126" s="10">
        <v>815988053211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</row>
    <row r="127" spans="1:67" x14ac:dyDescent="0.25">
      <c r="A127" s="25" t="s">
        <v>175</v>
      </c>
      <c r="B127" s="9">
        <v>1705</v>
      </c>
      <c r="C127" s="9" t="s">
        <v>180</v>
      </c>
      <c r="D127" s="10">
        <v>5238730839923</v>
      </c>
      <c r="E127" s="10">
        <v>29034849929</v>
      </c>
      <c r="F127" s="10">
        <v>0</v>
      </c>
      <c r="G127" s="10">
        <v>0</v>
      </c>
      <c r="H127" s="10">
        <v>5267765689852</v>
      </c>
      <c r="I127" s="10">
        <v>439723965475</v>
      </c>
      <c r="J127" s="10">
        <v>3206530400</v>
      </c>
      <c r="K127" s="10">
        <v>4824835193977</v>
      </c>
      <c r="L127" s="10">
        <v>3468382893075</v>
      </c>
      <c r="M127" s="10">
        <v>1799382796777</v>
      </c>
      <c r="N127" s="46">
        <v>51.879589199037447</v>
      </c>
      <c r="O127" s="10">
        <v>3172789672881</v>
      </c>
      <c r="P127" s="11">
        <v>72.22</v>
      </c>
      <c r="Q127" s="11">
        <v>65.760000000000005</v>
      </c>
      <c r="R127" s="11">
        <v>3.45</v>
      </c>
      <c r="S127" s="10">
        <v>3507336996840</v>
      </c>
      <c r="T127" s="10">
        <v>115041397511</v>
      </c>
      <c r="U127" s="10">
        <v>68406788615</v>
      </c>
      <c r="V127" s="10">
        <v>35946777648</v>
      </c>
      <c r="W127" s="10">
        <v>10687831248</v>
      </c>
      <c r="X127" s="10">
        <v>3622378394351</v>
      </c>
      <c r="Y127" s="10">
        <v>16135047967</v>
      </c>
      <c r="Z127" s="10">
        <v>155575583736</v>
      </c>
      <c r="AA127" s="10">
        <v>26586710000</v>
      </c>
      <c r="AB127" s="10">
        <v>3804540688087</v>
      </c>
      <c r="AC127" s="10">
        <v>1968398746909</v>
      </c>
      <c r="AD127" s="46">
        <v>84.02665618636793</v>
      </c>
      <c r="AE127" s="10">
        <v>2632845735383</v>
      </c>
      <c r="AF127" s="10">
        <v>1781244603884</v>
      </c>
      <c r="AG127" s="10">
        <v>0</v>
      </c>
      <c r="AH127" s="10">
        <v>416511985</v>
      </c>
      <c r="AI127" s="10">
        <v>0</v>
      </c>
      <c r="AJ127" s="10">
        <v>0</v>
      </c>
      <c r="AK127" s="10">
        <v>0</v>
      </c>
      <c r="AL127" s="11">
        <v>0</v>
      </c>
      <c r="AM127" s="10">
        <v>0</v>
      </c>
      <c r="AN127" s="11">
        <v>88</v>
      </c>
      <c r="AO127" s="10">
        <v>467344075694</v>
      </c>
      <c r="AP127" s="12">
        <v>41</v>
      </c>
      <c r="AQ127" s="10">
        <v>158878552552</v>
      </c>
      <c r="AR127" s="10">
        <v>115041397511</v>
      </c>
      <c r="AS127" s="10">
        <v>44623270894</v>
      </c>
      <c r="AT127" s="10">
        <v>70418126617</v>
      </c>
      <c r="AU127" s="11">
        <v>157.81</v>
      </c>
      <c r="AV127" s="10">
        <v>723595481960</v>
      </c>
      <c r="AW127" s="10">
        <v>160335821861</v>
      </c>
      <c r="AX127" s="10">
        <v>4385048099660</v>
      </c>
      <c r="AY127" s="10">
        <v>213869903903</v>
      </c>
      <c r="AZ127" s="10">
        <v>334421460560</v>
      </c>
      <c r="BA127" s="10">
        <v>305391375800</v>
      </c>
      <c r="BB127" s="10">
        <v>122753104505</v>
      </c>
      <c r="BC127" s="10">
        <v>5267765689852</v>
      </c>
      <c r="BD127" s="12">
        <v>11820</v>
      </c>
      <c r="BE127" s="10">
        <v>4627952853492</v>
      </c>
      <c r="BF127" s="10">
        <v>333921460560</v>
      </c>
      <c r="BG127" s="10">
        <v>305891375800</v>
      </c>
      <c r="BH127" s="10">
        <v>1382464114291</v>
      </c>
      <c r="BI127" s="10">
        <v>1250381621092</v>
      </c>
      <c r="BJ127" s="10">
        <v>0</v>
      </c>
      <c r="BK127" s="10">
        <v>0</v>
      </c>
      <c r="BL127" s="10">
        <v>0</v>
      </c>
      <c r="BM127" s="10">
        <v>0</v>
      </c>
      <c r="BN127" s="10">
        <v>737768537</v>
      </c>
      <c r="BO127" s="10">
        <v>416511985</v>
      </c>
    </row>
    <row r="128" spans="1:67" x14ac:dyDescent="0.25">
      <c r="A128" s="25" t="s">
        <v>175</v>
      </c>
      <c r="B128" s="9">
        <v>1706</v>
      </c>
      <c r="C128" s="9" t="s">
        <v>181</v>
      </c>
      <c r="D128" s="10">
        <v>2321435942232</v>
      </c>
      <c r="E128" s="10">
        <v>50051842931</v>
      </c>
      <c r="F128" s="10">
        <v>0</v>
      </c>
      <c r="G128" s="10">
        <v>0</v>
      </c>
      <c r="H128" s="10">
        <v>2371487785163</v>
      </c>
      <c r="I128" s="10">
        <v>188501889256</v>
      </c>
      <c r="J128" s="10">
        <v>7402127400</v>
      </c>
      <c r="K128" s="10">
        <v>2175583768507</v>
      </c>
      <c r="L128" s="10">
        <v>1771578144949</v>
      </c>
      <c r="M128" s="10">
        <v>599909640214</v>
      </c>
      <c r="N128" s="46">
        <v>33.863007506861635</v>
      </c>
      <c r="O128" s="10">
        <v>2229330686821</v>
      </c>
      <c r="P128" s="11">
        <v>106.6</v>
      </c>
      <c r="Q128" s="11">
        <v>102.47</v>
      </c>
      <c r="R128" s="11">
        <v>1.59</v>
      </c>
      <c r="S128" s="10">
        <v>2277443715071</v>
      </c>
      <c r="T128" s="10">
        <v>34164778970</v>
      </c>
      <c r="U128" s="10">
        <v>17551581538</v>
      </c>
      <c r="V128" s="10">
        <v>6785427540</v>
      </c>
      <c r="W128" s="10">
        <v>9827769892</v>
      </c>
      <c r="X128" s="10">
        <v>2311608494041</v>
      </c>
      <c r="Y128" s="10">
        <v>6148408046</v>
      </c>
      <c r="Z128" s="10">
        <v>155679896494</v>
      </c>
      <c r="AA128" s="10">
        <v>60800492233</v>
      </c>
      <c r="AB128" s="10">
        <v>2528088882768</v>
      </c>
      <c r="AC128" s="10">
        <v>1978234787089</v>
      </c>
      <c r="AD128" s="46">
        <v>16.852079901120536</v>
      </c>
      <c r="AE128" s="10">
        <v>1582290151816</v>
      </c>
      <c r="AF128" s="10">
        <v>1478262646339</v>
      </c>
      <c r="AG128" s="10">
        <v>0</v>
      </c>
      <c r="AH128" s="10">
        <v>2300525636</v>
      </c>
      <c r="AI128" s="10">
        <v>0</v>
      </c>
      <c r="AJ128" s="10">
        <v>0</v>
      </c>
      <c r="AK128" s="10">
        <v>0</v>
      </c>
      <c r="AL128" s="11">
        <v>0</v>
      </c>
      <c r="AM128" s="10">
        <v>0</v>
      </c>
      <c r="AN128" s="11">
        <v>127</v>
      </c>
      <c r="AO128" s="10">
        <v>393449452093</v>
      </c>
      <c r="AP128" s="12">
        <v>56</v>
      </c>
      <c r="AQ128" s="10">
        <v>191258212685</v>
      </c>
      <c r="AR128" s="10">
        <v>34164778970</v>
      </c>
      <c r="AS128" s="10">
        <v>26127527889</v>
      </c>
      <c r="AT128" s="10">
        <v>8037251081</v>
      </c>
      <c r="AU128" s="11">
        <v>30.76</v>
      </c>
      <c r="AV128" s="10">
        <v>1150489430416</v>
      </c>
      <c r="AW128" s="10">
        <v>91905432919</v>
      </c>
      <c r="AX128" s="10">
        <v>667660141344</v>
      </c>
      <c r="AY128" s="10">
        <v>153399658764</v>
      </c>
      <c r="AZ128" s="10">
        <v>772931202870</v>
      </c>
      <c r="BA128" s="10">
        <v>727444939254</v>
      </c>
      <c r="BB128" s="10">
        <v>581439908191</v>
      </c>
      <c r="BC128" s="10">
        <v>2371487785163</v>
      </c>
      <c r="BD128" s="12">
        <v>59120</v>
      </c>
      <c r="BE128" s="10">
        <v>871111643039</v>
      </c>
      <c r="BF128" s="10">
        <v>772931202870</v>
      </c>
      <c r="BG128" s="10">
        <v>727444939254</v>
      </c>
      <c r="BH128" s="10">
        <v>805675281575</v>
      </c>
      <c r="BI128" s="10">
        <v>776614870241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2300525636</v>
      </c>
    </row>
    <row r="129" spans="1:67" x14ac:dyDescent="0.25">
      <c r="A129" s="25" t="s">
        <v>175</v>
      </c>
      <c r="B129" s="9">
        <v>1708</v>
      </c>
      <c r="C129" s="9" t="s">
        <v>182</v>
      </c>
      <c r="D129" s="10">
        <v>1084498888227</v>
      </c>
      <c r="E129" s="10">
        <v>71857906232</v>
      </c>
      <c r="F129" s="10">
        <v>0</v>
      </c>
      <c r="G129" s="10">
        <v>0</v>
      </c>
      <c r="H129" s="10">
        <v>1156356794459</v>
      </c>
      <c r="I129" s="10">
        <v>83490488474</v>
      </c>
      <c r="J129" s="10">
        <v>4418336200</v>
      </c>
      <c r="K129" s="10">
        <v>1068447969785</v>
      </c>
      <c r="L129" s="10">
        <v>832245035525</v>
      </c>
      <c r="M129" s="10">
        <v>324111758934</v>
      </c>
      <c r="N129" s="46">
        <v>38.94427062932764</v>
      </c>
      <c r="O129" s="10">
        <v>1144698459751</v>
      </c>
      <c r="P129" s="11">
        <v>115.16</v>
      </c>
      <c r="Q129" s="11">
        <v>107.14</v>
      </c>
      <c r="R129" s="11">
        <v>5.38</v>
      </c>
      <c r="S129" s="10">
        <v>1125595875131</v>
      </c>
      <c r="T129" s="10">
        <v>70183255728</v>
      </c>
      <c r="U129" s="10">
        <v>26409222887</v>
      </c>
      <c r="V129" s="10">
        <v>7055516800</v>
      </c>
      <c r="W129" s="10">
        <v>36718516041</v>
      </c>
      <c r="X129" s="10">
        <v>1195779130859</v>
      </c>
      <c r="Y129" s="10">
        <v>1412095184</v>
      </c>
      <c r="Z129" s="10">
        <v>110463109701</v>
      </c>
      <c r="AA129" s="10">
        <v>25427217244</v>
      </c>
      <c r="AB129" s="10">
        <v>1331669457804</v>
      </c>
      <c r="AC129" s="10">
        <v>846182241290</v>
      </c>
      <c r="AD129" s="46">
        <v>41.314609608923199</v>
      </c>
      <c r="AE129" s="10">
        <v>779563839514</v>
      </c>
      <c r="AF129" s="10">
        <v>779563839514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1">
        <v>0</v>
      </c>
      <c r="AM129" s="10">
        <v>0</v>
      </c>
      <c r="AN129" s="11">
        <v>68</v>
      </c>
      <c r="AO129" s="10">
        <v>175784068911</v>
      </c>
      <c r="AP129" s="12">
        <v>14</v>
      </c>
      <c r="AQ129" s="10">
        <v>117129610874</v>
      </c>
      <c r="AR129" s="10">
        <v>70183255728</v>
      </c>
      <c r="AS129" s="10">
        <v>42481395710</v>
      </c>
      <c r="AT129" s="10">
        <v>27701860018</v>
      </c>
      <c r="AU129" s="11">
        <v>65.209999999999994</v>
      </c>
      <c r="AV129" s="10">
        <v>450568228960</v>
      </c>
      <c r="AW129" s="10">
        <v>48180145009</v>
      </c>
      <c r="AX129" s="10">
        <v>525019469385</v>
      </c>
      <c r="AY129" s="10">
        <v>158657911127</v>
      </c>
      <c r="AZ129" s="10">
        <v>232552126559</v>
      </c>
      <c r="BA129" s="10">
        <v>168269381156</v>
      </c>
      <c r="BB129" s="10">
        <v>91746942040</v>
      </c>
      <c r="BC129" s="10">
        <v>1156356794459</v>
      </c>
      <c r="BD129" s="12">
        <v>120570</v>
      </c>
      <c r="BE129" s="10">
        <v>698940694115</v>
      </c>
      <c r="BF129" s="10">
        <v>232552126559</v>
      </c>
      <c r="BG129" s="10">
        <v>224863973785</v>
      </c>
      <c r="BH129" s="10">
        <v>499505813052</v>
      </c>
      <c r="BI129" s="10">
        <v>280058026462</v>
      </c>
      <c r="BJ129" s="10">
        <v>0</v>
      </c>
      <c r="BK129" s="10">
        <v>0</v>
      </c>
      <c r="BL129" s="10">
        <v>0</v>
      </c>
      <c r="BM129" s="10">
        <v>0</v>
      </c>
      <c r="BN129" s="10">
        <v>35058192391</v>
      </c>
      <c r="BO129" s="10">
        <v>0</v>
      </c>
    </row>
    <row r="130" spans="1:67" x14ac:dyDescent="0.25">
      <c r="A130" s="25" t="s">
        <v>175</v>
      </c>
      <c r="B130" s="9">
        <v>1709</v>
      </c>
      <c r="C130" s="9" t="s">
        <v>183</v>
      </c>
      <c r="D130" s="10">
        <v>3031136282602</v>
      </c>
      <c r="E130" s="10">
        <v>14408306929</v>
      </c>
      <c r="F130" s="10">
        <v>0</v>
      </c>
      <c r="G130" s="10">
        <v>0</v>
      </c>
      <c r="H130" s="10">
        <v>3045544589531</v>
      </c>
      <c r="I130" s="10">
        <v>181551362142</v>
      </c>
      <c r="J130" s="10">
        <v>5783807364</v>
      </c>
      <c r="K130" s="10">
        <v>2858209420025</v>
      </c>
      <c r="L130" s="10">
        <v>2746992277201</v>
      </c>
      <c r="M130" s="10">
        <v>298552312330</v>
      </c>
      <c r="N130" s="46">
        <v>10.86833460755866</v>
      </c>
      <c r="O130" s="10">
        <v>2450981858563</v>
      </c>
      <c r="P130" s="11">
        <v>95.12</v>
      </c>
      <c r="Q130" s="11">
        <v>85.75</v>
      </c>
      <c r="R130" s="11">
        <v>1.79</v>
      </c>
      <c r="S130" s="10">
        <v>2608012308005</v>
      </c>
      <c r="T130" s="10">
        <v>49787113004</v>
      </c>
      <c r="U130" s="10">
        <v>40482211782</v>
      </c>
      <c r="V130" s="10">
        <v>7436030236</v>
      </c>
      <c r="W130" s="10">
        <v>1868870986</v>
      </c>
      <c r="X130" s="10">
        <v>2657799421009</v>
      </c>
      <c r="Y130" s="10">
        <v>1948321916</v>
      </c>
      <c r="Z130" s="10">
        <v>202690478546</v>
      </c>
      <c r="AA130" s="10">
        <v>36299744967</v>
      </c>
      <c r="AB130" s="10">
        <v>2896789644522</v>
      </c>
      <c r="AC130" s="10">
        <v>2058456206330</v>
      </c>
      <c r="AD130" s="46">
        <v>29.116150872481413</v>
      </c>
      <c r="AE130" s="10">
        <v>1922284889312</v>
      </c>
      <c r="AF130" s="10">
        <v>1922284889312</v>
      </c>
      <c r="AG130" s="10">
        <v>38091563411</v>
      </c>
      <c r="AH130" s="10">
        <v>9819863</v>
      </c>
      <c r="AI130" s="10">
        <v>0</v>
      </c>
      <c r="AJ130" s="10">
        <v>0</v>
      </c>
      <c r="AK130" s="10">
        <v>0</v>
      </c>
      <c r="AL130" s="11">
        <v>3</v>
      </c>
      <c r="AM130" s="10">
        <v>375840678524</v>
      </c>
      <c r="AN130" s="11">
        <v>24</v>
      </c>
      <c r="AO130" s="10">
        <v>29704681896</v>
      </c>
      <c r="AP130" s="12">
        <v>9</v>
      </c>
      <c r="AQ130" s="10">
        <v>4341542579</v>
      </c>
      <c r="AR130" s="10">
        <v>49787113004</v>
      </c>
      <c r="AS130" s="10">
        <v>16963690317</v>
      </c>
      <c r="AT130" s="10">
        <v>32823422687</v>
      </c>
      <c r="AU130" s="11">
        <v>193.49</v>
      </c>
      <c r="AV130" s="10">
        <v>1414831014473</v>
      </c>
      <c r="AW130" s="10">
        <v>98239031286</v>
      </c>
      <c r="AX130" s="10">
        <v>1012264279768</v>
      </c>
      <c r="AY130" s="10">
        <v>632952775174</v>
      </c>
      <c r="AZ130" s="10">
        <v>849047889583</v>
      </c>
      <c r="BA130" s="10">
        <v>536871338077</v>
      </c>
      <c r="BB130" s="10">
        <v>449938219942</v>
      </c>
      <c r="BC130" s="10">
        <v>3045544589531</v>
      </c>
      <c r="BD130" s="12">
        <v>14428</v>
      </c>
      <c r="BE130" s="10">
        <v>1659625649271</v>
      </c>
      <c r="BF130" s="10">
        <v>849047889583</v>
      </c>
      <c r="BG130" s="10">
        <v>536871050677</v>
      </c>
      <c r="BH130" s="10">
        <v>441595655922</v>
      </c>
      <c r="BI130" s="10">
        <v>1480689233390</v>
      </c>
      <c r="BJ130" s="10">
        <v>0</v>
      </c>
      <c r="BK130" s="10">
        <v>0</v>
      </c>
      <c r="BL130" s="10">
        <v>38091563411</v>
      </c>
      <c r="BM130" s="10">
        <v>0</v>
      </c>
      <c r="BN130" s="10">
        <v>0</v>
      </c>
      <c r="BO130" s="10">
        <v>9819863</v>
      </c>
    </row>
    <row r="131" spans="1:67" x14ac:dyDescent="0.25">
      <c r="A131" s="25" t="s">
        <v>175</v>
      </c>
      <c r="B131" s="9">
        <v>1710</v>
      </c>
      <c r="C131" s="9" t="s">
        <v>184</v>
      </c>
      <c r="D131" s="10">
        <v>1496322500872</v>
      </c>
      <c r="E131" s="10">
        <v>34600324895</v>
      </c>
      <c r="F131" s="10">
        <v>0</v>
      </c>
      <c r="G131" s="10">
        <v>0</v>
      </c>
      <c r="H131" s="10">
        <v>1530922825767</v>
      </c>
      <c r="I131" s="10">
        <v>116290812970</v>
      </c>
      <c r="J131" s="10">
        <v>2850705240</v>
      </c>
      <c r="K131" s="10">
        <v>1411781307557</v>
      </c>
      <c r="L131" s="10">
        <v>1032646414162</v>
      </c>
      <c r="M131" s="10">
        <v>498276411605</v>
      </c>
      <c r="N131" s="46">
        <v>48.252374169076539</v>
      </c>
      <c r="O131" s="10">
        <v>837883833357</v>
      </c>
      <c r="P131" s="11">
        <v>63.65</v>
      </c>
      <c r="Q131" s="11">
        <v>59.35</v>
      </c>
      <c r="R131" s="11">
        <v>0.68</v>
      </c>
      <c r="S131" s="10">
        <v>896182564432</v>
      </c>
      <c r="T131" s="10">
        <v>3559823946</v>
      </c>
      <c r="U131" s="10">
        <v>3227647178</v>
      </c>
      <c r="V131" s="10">
        <v>332176768</v>
      </c>
      <c r="W131" s="10">
        <v>0</v>
      </c>
      <c r="X131" s="10">
        <v>899742388378</v>
      </c>
      <c r="Y131" s="10">
        <v>3070539680</v>
      </c>
      <c r="Z131" s="10">
        <v>45942977708</v>
      </c>
      <c r="AA131" s="10">
        <v>28750000000</v>
      </c>
      <c r="AB131" s="10">
        <v>974435366086</v>
      </c>
      <c r="AC131" s="10">
        <v>488734923809</v>
      </c>
      <c r="AD131" s="46">
        <v>84.096192955841175</v>
      </c>
      <c r="AE131" s="10">
        <v>910991265764</v>
      </c>
      <c r="AF131" s="10">
        <v>910991265764</v>
      </c>
      <c r="AG131" s="10">
        <v>152574189825</v>
      </c>
      <c r="AH131" s="10">
        <v>0</v>
      </c>
      <c r="AI131" s="10">
        <v>0</v>
      </c>
      <c r="AJ131" s="10">
        <v>0</v>
      </c>
      <c r="AK131" s="10">
        <v>0</v>
      </c>
      <c r="AL131" s="11">
        <v>10</v>
      </c>
      <c r="AM131" s="10">
        <v>305718987977</v>
      </c>
      <c r="AN131" s="11">
        <v>178</v>
      </c>
      <c r="AO131" s="10">
        <v>539758282905</v>
      </c>
      <c r="AP131" s="12">
        <v>16</v>
      </c>
      <c r="AQ131" s="10">
        <v>174841700209</v>
      </c>
      <c r="AR131" s="10">
        <v>3559823946</v>
      </c>
      <c r="AS131" s="10">
        <v>0</v>
      </c>
      <c r="AT131" s="10">
        <v>3559823946</v>
      </c>
      <c r="AU131" s="11" t="s">
        <v>593</v>
      </c>
      <c r="AV131" s="10">
        <v>556586505213</v>
      </c>
      <c r="AW131" s="10">
        <v>27871963680</v>
      </c>
      <c r="AX131" s="10">
        <v>432124213103</v>
      </c>
      <c r="AY131" s="10">
        <v>171824490214</v>
      </c>
      <c r="AZ131" s="10">
        <v>564250497555</v>
      </c>
      <c r="BA131" s="10">
        <v>328123300000</v>
      </c>
      <c r="BB131" s="10">
        <v>373217517053</v>
      </c>
      <c r="BC131" s="10">
        <v>1530922825767</v>
      </c>
      <c r="BD131" s="12">
        <v>80453</v>
      </c>
      <c r="BE131" s="10">
        <v>638549028212</v>
      </c>
      <c r="BF131" s="10">
        <v>564250497555</v>
      </c>
      <c r="BG131" s="10">
        <v>328123300000</v>
      </c>
      <c r="BH131" s="10">
        <v>490118147025</v>
      </c>
      <c r="BI131" s="10">
        <v>420873118739</v>
      </c>
      <c r="BJ131" s="10">
        <v>0</v>
      </c>
      <c r="BK131" s="10">
        <v>0</v>
      </c>
      <c r="BL131" s="10">
        <v>152574189825</v>
      </c>
      <c r="BM131" s="10">
        <v>0</v>
      </c>
      <c r="BN131" s="10">
        <v>0</v>
      </c>
      <c r="BO131" s="10">
        <v>0</v>
      </c>
    </row>
    <row r="132" spans="1:67" x14ac:dyDescent="0.25">
      <c r="A132" s="25" t="s">
        <v>175</v>
      </c>
      <c r="B132" s="9">
        <v>1711</v>
      </c>
      <c r="C132" s="9" t="s">
        <v>185</v>
      </c>
      <c r="D132" s="10">
        <v>18524537207534</v>
      </c>
      <c r="E132" s="10">
        <v>122141641927</v>
      </c>
      <c r="F132" s="10">
        <v>0</v>
      </c>
      <c r="G132" s="10">
        <v>50842800</v>
      </c>
      <c r="H132" s="10">
        <v>18646729692261</v>
      </c>
      <c r="I132" s="10">
        <v>1529159867284</v>
      </c>
      <c r="J132" s="10">
        <v>8851000360</v>
      </c>
      <c r="K132" s="10">
        <v>17108718824617</v>
      </c>
      <c r="L132" s="10">
        <v>11107904120715</v>
      </c>
      <c r="M132" s="10">
        <v>7538825571546</v>
      </c>
      <c r="N132" s="46">
        <v>67.869019120240097</v>
      </c>
      <c r="O132" s="10">
        <v>2640596685284</v>
      </c>
      <c r="P132" s="11">
        <v>20.100000000000001</v>
      </c>
      <c r="Q132" s="11">
        <v>15.43</v>
      </c>
      <c r="R132" s="11">
        <v>0.43</v>
      </c>
      <c r="S132" s="10">
        <v>3673539071836</v>
      </c>
      <c r="T132" s="10">
        <v>15963931490</v>
      </c>
      <c r="U132" s="10">
        <v>15844434449</v>
      </c>
      <c r="V132" s="10">
        <v>0</v>
      </c>
      <c r="W132" s="10">
        <v>119497041</v>
      </c>
      <c r="X132" s="10">
        <v>3689503003326</v>
      </c>
      <c r="Y132" s="10">
        <v>312465940</v>
      </c>
      <c r="Z132" s="10">
        <v>48645252624</v>
      </c>
      <c r="AA132" s="10">
        <v>9695600000</v>
      </c>
      <c r="AB132" s="10">
        <v>3747843855950</v>
      </c>
      <c r="AC132" s="10">
        <v>728655154340</v>
      </c>
      <c r="AD132" s="46">
        <v>406.34418508544991</v>
      </c>
      <c r="AE132" s="10">
        <v>2645253780480</v>
      </c>
      <c r="AF132" s="10">
        <v>2645253780480</v>
      </c>
      <c r="AG132" s="10">
        <v>155203029776</v>
      </c>
      <c r="AH132" s="10">
        <v>0</v>
      </c>
      <c r="AI132" s="10">
        <v>0</v>
      </c>
      <c r="AJ132" s="10">
        <v>0</v>
      </c>
      <c r="AK132" s="10">
        <v>0</v>
      </c>
      <c r="AL132" s="11">
        <v>25</v>
      </c>
      <c r="AM132" s="10">
        <v>905690851377</v>
      </c>
      <c r="AN132" s="11">
        <v>14</v>
      </c>
      <c r="AO132" s="10">
        <v>101322864484</v>
      </c>
      <c r="AP132" s="12">
        <v>11</v>
      </c>
      <c r="AQ132" s="10">
        <v>143717055381</v>
      </c>
      <c r="AR132" s="10">
        <v>15963931490</v>
      </c>
      <c r="AS132" s="10">
        <v>1057252880</v>
      </c>
      <c r="AT132" s="10">
        <v>14906678610</v>
      </c>
      <c r="AU132" s="13">
        <v>1409.94</v>
      </c>
      <c r="AV132" s="10">
        <v>627838210842</v>
      </c>
      <c r="AW132" s="10">
        <v>59189098606</v>
      </c>
      <c r="AX132" s="10">
        <v>415921432009</v>
      </c>
      <c r="AY132" s="10">
        <v>165320054237</v>
      </c>
      <c r="AZ132" s="10">
        <v>167345721288</v>
      </c>
      <c r="BA132" s="10">
        <v>17775950000000</v>
      </c>
      <c r="BB132" s="10">
        <v>55193565671</v>
      </c>
      <c r="BC132" s="10">
        <v>18646729692261</v>
      </c>
      <c r="BD132" s="12">
        <v>84061</v>
      </c>
      <c r="BE132" s="10">
        <v>699509245064</v>
      </c>
      <c r="BF132" s="10">
        <v>167343221288</v>
      </c>
      <c r="BG132" s="10">
        <v>17779877225909</v>
      </c>
      <c r="BH132" s="10">
        <v>2085165726084</v>
      </c>
      <c r="BI132" s="10">
        <v>560088054396</v>
      </c>
      <c r="BJ132" s="10">
        <v>0</v>
      </c>
      <c r="BK132" s="10">
        <v>0</v>
      </c>
      <c r="BL132" s="10">
        <v>155203029776</v>
      </c>
      <c r="BM132" s="10">
        <v>0</v>
      </c>
      <c r="BN132" s="10">
        <v>0</v>
      </c>
      <c r="BO132" s="10">
        <v>0</v>
      </c>
    </row>
    <row r="133" spans="1:67" x14ac:dyDescent="0.25">
      <c r="A133" s="25" t="s">
        <v>175</v>
      </c>
      <c r="B133" s="9">
        <v>1714</v>
      </c>
      <c r="C133" s="9" t="s">
        <v>186</v>
      </c>
      <c r="D133" s="10">
        <v>1827900524824</v>
      </c>
      <c r="E133" s="10">
        <v>214513120323</v>
      </c>
      <c r="F133" s="10">
        <v>0</v>
      </c>
      <c r="G133" s="10">
        <v>0</v>
      </c>
      <c r="H133" s="10">
        <v>2042413645147</v>
      </c>
      <c r="I133" s="10">
        <v>200629939215</v>
      </c>
      <c r="J133" s="10">
        <v>4444936702</v>
      </c>
      <c r="K133" s="10">
        <v>1837338769230</v>
      </c>
      <c r="L133" s="10">
        <v>1036677137588</v>
      </c>
      <c r="M133" s="10">
        <v>1005736507559</v>
      </c>
      <c r="N133" s="46">
        <v>97.015403455217651</v>
      </c>
      <c r="O133" s="10">
        <v>786380292005</v>
      </c>
      <c r="P133" s="11">
        <v>46.45</v>
      </c>
      <c r="Q133" s="11">
        <v>42.8</v>
      </c>
      <c r="R133" s="11">
        <v>3.6</v>
      </c>
      <c r="S133" s="10">
        <v>837662608090</v>
      </c>
      <c r="T133" s="10">
        <v>23559420693</v>
      </c>
      <c r="U133" s="10">
        <v>2565607528</v>
      </c>
      <c r="V133" s="10">
        <v>1356353076</v>
      </c>
      <c r="W133" s="10">
        <v>19637460089</v>
      </c>
      <c r="X133" s="10">
        <v>861222028783</v>
      </c>
      <c r="Y133" s="10">
        <v>10595785316</v>
      </c>
      <c r="Z133" s="10">
        <v>84564439377</v>
      </c>
      <c r="AA133" s="10">
        <v>3000000000</v>
      </c>
      <c r="AB133" s="10">
        <v>948786468160</v>
      </c>
      <c r="AC133" s="10">
        <v>390059141479</v>
      </c>
      <c r="AD133" s="46">
        <v>120.79267916077453</v>
      </c>
      <c r="AE133" s="10">
        <v>1582286820474</v>
      </c>
      <c r="AF133" s="10">
        <v>1582286820474</v>
      </c>
      <c r="AG133" s="10">
        <v>546398633798</v>
      </c>
      <c r="AH133" s="10">
        <v>107929365</v>
      </c>
      <c r="AI133" s="10">
        <v>0</v>
      </c>
      <c r="AJ133" s="10">
        <v>0</v>
      </c>
      <c r="AK133" s="10">
        <v>0</v>
      </c>
      <c r="AL133" s="11">
        <v>9</v>
      </c>
      <c r="AM133" s="10">
        <v>966901004189</v>
      </c>
      <c r="AN133" s="11">
        <v>60</v>
      </c>
      <c r="AO133" s="10">
        <v>1036742404489</v>
      </c>
      <c r="AP133" s="12">
        <v>55</v>
      </c>
      <c r="AQ133" s="10">
        <v>925356982105</v>
      </c>
      <c r="AR133" s="10">
        <v>23559420693</v>
      </c>
      <c r="AS133" s="10">
        <v>62101976415</v>
      </c>
      <c r="AT133" s="10">
        <v>-38542555722</v>
      </c>
      <c r="AU133" s="11">
        <v>-62.06</v>
      </c>
      <c r="AV133" s="10">
        <v>1172756788341</v>
      </c>
      <c r="AW133" s="10">
        <v>84640399489</v>
      </c>
      <c r="AX133" s="10">
        <v>189798134802</v>
      </c>
      <c r="AY133" s="10">
        <v>520277184675</v>
      </c>
      <c r="AZ133" s="10">
        <v>368883841340</v>
      </c>
      <c r="BA133" s="10">
        <v>748941364007</v>
      </c>
      <c r="BB133" s="10">
        <v>166101839722</v>
      </c>
      <c r="BC133" s="10">
        <v>2042413645147</v>
      </c>
      <c r="BD133" s="12">
        <v>24589</v>
      </c>
      <c r="BE133" s="10">
        <v>924588439800</v>
      </c>
      <c r="BF133" s="10">
        <v>368883841340</v>
      </c>
      <c r="BG133" s="10">
        <v>748941364007</v>
      </c>
      <c r="BH133" s="10">
        <v>555090609306</v>
      </c>
      <c r="BI133" s="10">
        <v>1027196211168</v>
      </c>
      <c r="BJ133" s="10">
        <v>0</v>
      </c>
      <c r="BK133" s="10">
        <v>16191413586</v>
      </c>
      <c r="BL133" s="10">
        <v>546398633798</v>
      </c>
      <c r="BM133" s="10">
        <v>0</v>
      </c>
      <c r="BN133" s="10">
        <v>0</v>
      </c>
      <c r="BO133" s="10">
        <v>107929365</v>
      </c>
    </row>
    <row r="134" spans="1:67" x14ac:dyDescent="0.25">
      <c r="A134" s="25" t="s">
        <v>175</v>
      </c>
      <c r="B134" s="9">
        <v>1715</v>
      </c>
      <c r="C134" s="9" t="s">
        <v>187</v>
      </c>
      <c r="D134" s="10">
        <v>2936486432790</v>
      </c>
      <c r="E134" s="10">
        <v>549561875887</v>
      </c>
      <c r="F134" s="10">
        <v>0</v>
      </c>
      <c r="G134" s="10">
        <v>0</v>
      </c>
      <c r="H134" s="10">
        <v>3486048308677</v>
      </c>
      <c r="I134" s="10">
        <v>643705236596</v>
      </c>
      <c r="J134" s="10">
        <v>4213422800</v>
      </c>
      <c r="K134" s="10">
        <v>2838129649281</v>
      </c>
      <c r="L134" s="10">
        <v>1613036663205</v>
      </c>
      <c r="M134" s="10">
        <v>1873011645472</v>
      </c>
      <c r="N134" s="46">
        <v>116.11711551245503</v>
      </c>
      <c r="O134" s="10">
        <v>2671208401464</v>
      </c>
      <c r="P134" s="11">
        <v>88.07</v>
      </c>
      <c r="Q134" s="11">
        <v>94.12</v>
      </c>
      <c r="R134" s="11">
        <v>10.88</v>
      </c>
      <c r="S134" s="10">
        <v>2548068201739</v>
      </c>
      <c r="T134" s="10">
        <v>318203438259</v>
      </c>
      <c r="U134" s="10">
        <v>281009586577</v>
      </c>
      <c r="V134" s="10">
        <v>37167242749</v>
      </c>
      <c r="W134" s="10">
        <v>26608933</v>
      </c>
      <c r="X134" s="10">
        <v>2866271639998</v>
      </c>
      <c r="Y134" s="10">
        <v>15765962222</v>
      </c>
      <c r="Z134" s="10">
        <v>172023524582</v>
      </c>
      <c r="AA134" s="10">
        <v>31995808000</v>
      </c>
      <c r="AB134" s="10">
        <v>3070290972580</v>
      </c>
      <c r="AC134" s="10">
        <v>1741233204890</v>
      </c>
      <c r="AD134" s="46">
        <v>64.611588611364255</v>
      </c>
      <c r="AE134" s="10">
        <v>3331279007513</v>
      </c>
      <c r="AF134" s="10">
        <v>3227513703409</v>
      </c>
      <c r="AG134" s="10">
        <v>84110294586</v>
      </c>
      <c r="AH134" s="10">
        <v>0</v>
      </c>
      <c r="AI134" s="10">
        <v>278017784698</v>
      </c>
      <c r="AJ134" s="10">
        <v>0</v>
      </c>
      <c r="AK134" s="10">
        <v>0</v>
      </c>
      <c r="AL134" s="11">
        <v>11</v>
      </c>
      <c r="AM134" s="10">
        <v>1452412912811</v>
      </c>
      <c r="AN134" s="11">
        <v>68</v>
      </c>
      <c r="AO134" s="10">
        <v>5431086401456</v>
      </c>
      <c r="AP134" s="12">
        <v>25</v>
      </c>
      <c r="AQ134" s="10">
        <v>137460644478</v>
      </c>
      <c r="AR134" s="10">
        <v>318203438259</v>
      </c>
      <c r="AS134" s="10">
        <v>2612701996</v>
      </c>
      <c r="AT134" s="10">
        <v>315590736263</v>
      </c>
      <c r="AU134" s="13">
        <v>12079.09</v>
      </c>
      <c r="AV134" s="10">
        <v>2325080387943</v>
      </c>
      <c r="AW134" s="10">
        <v>160719929175</v>
      </c>
      <c r="AX134" s="10">
        <v>1695121363996</v>
      </c>
      <c r="AY134" s="10">
        <v>261913220942</v>
      </c>
      <c r="AZ134" s="10">
        <v>251125847852</v>
      </c>
      <c r="BA134" s="10">
        <v>728326000000</v>
      </c>
      <c r="BB134" s="10">
        <v>166144923640</v>
      </c>
      <c r="BC134" s="10">
        <v>3486048308677</v>
      </c>
      <c r="BD134" s="12">
        <v>89152</v>
      </c>
      <c r="BE134" s="10">
        <v>2506596460825</v>
      </c>
      <c r="BF134" s="10">
        <v>251125847852</v>
      </c>
      <c r="BG134" s="10">
        <v>728326000000</v>
      </c>
      <c r="BH134" s="10">
        <v>1323220037296</v>
      </c>
      <c r="BI134" s="10">
        <v>2008058970217</v>
      </c>
      <c r="BJ134" s="10">
        <v>0</v>
      </c>
      <c r="BK134" s="10">
        <v>0</v>
      </c>
      <c r="BL134" s="10">
        <v>163762999252</v>
      </c>
      <c r="BM134" s="10">
        <v>0</v>
      </c>
      <c r="BN134" s="10">
        <v>0</v>
      </c>
      <c r="BO134" s="10">
        <v>0</v>
      </c>
    </row>
    <row r="135" spans="1:67" x14ac:dyDescent="0.25">
      <c r="A135" s="25" t="s">
        <v>175</v>
      </c>
      <c r="B135" s="9">
        <v>1716</v>
      </c>
      <c r="C135" s="9" t="s">
        <v>188</v>
      </c>
      <c r="D135" s="10">
        <v>11042604738746</v>
      </c>
      <c r="E135" s="10">
        <v>194776200685</v>
      </c>
      <c r="F135" s="10">
        <v>0</v>
      </c>
      <c r="G135" s="10">
        <v>13741545059</v>
      </c>
      <c r="H135" s="10">
        <v>11251122484490</v>
      </c>
      <c r="I135" s="10">
        <v>783093523912</v>
      </c>
      <c r="J135" s="10">
        <v>16465159810</v>
      </c>
      <c r="K135" s="10">
        <v>10451563800768</v>
      </c>
      <c r="L135" s="10">
        <v>11544462842677</v>
      </c>
      <c r="M135" s="10">
        <v>-293340358187</v>
      </c>
      <c r="N135" s="46">
        <v>-2.5409615170884683</v>
      </c>
      <c r="O135" s="10">
        <v>11600686040399</v>
      </c>
      <c r="P135" s="11">
        <v>160.41</v>
      </c>
      <c r="Q135" s="11">
        <v>110.99</v>
      </c>
      <c r="R135" s="11">
        <v>0.76</v>
      </c>
      <c r="S135" s="10">
        <v>17760255642536</v>
      </c>
      <c r="T135" s="10">
        <v>106102479888</v>
      </c>
      <c r="U135" s="10">
        <v>70297883297</v>
      </c>
      <c r="V135" s="10">
        <v>17937636129</v>
      </c>
      <c r="W135" s="10">
        <v>17866960462</v>
      </c>
      <c r="X135" s="10">
        <v>17866358122424</v>
      </c>
      <c r="Y135" s="10">
        <v>31652733370</v>
      </c>
      <c r="Z135" s="10">
        <v>152099307518</v>
      </c>
      <c r="AA135" s="10">
        <v>29655065367</v>
      </c>
      <c r="AB135" s="10">
        <v>18048112495309</v>
      </c>
      <c r="AC135" s="10">
        <v>15794779274548</v>
      </c>
      <c r="AD135" s="46">
        <v>13.115592259109189</v>
      </c>
      <c r="AE135" s="10">
        <v>8990498071476</v>
      </c>
      <c r="AF135" s="10">
        <v>8990498071476</v>
      </c>
      <c r="AG135" s="10">
        <v>2159915452209</v>
      </c>
      <c r="AH135" s="10">
        <v>12196328424</v>
      </c>
      <c r="AI135" s="10">
        <v>0</v>
      </c>
      <c r="AJ135" s="10">
        <v>0</v>
      </c>
      <c r="AK135" s="10">
        <v>0</v>
      </c>
      <c r="AL135" s="11">
        <v>16</v>
      </c>
      <c r="AM135" s="10">
        <v>5074970650746</v>
      </c>
      <c r="AN135" s="11">
        <v>57</v>
      </c>
      <c r="AO135" s="10">
        <v>1643178930088</v>
      </c>
      <c r="AP135" s="12">
        <v>28</v>
      </c>
      <c r="AQ135" s="10">
        <v>657170335391</v>
      </c>
      <c r="AR135" s="10">
        <v>106102479888</v>
      </c>
      <c r="AS135" s="10">
        <v>29050649316</v>
      </c>
      <c r="AT135" s="10">
        <v>77051830572</v>
      </c>
      <c r="AU135" s="11">
        <v>265.23</v>
      </c>
      <c r="AV135" s="10">
        <v>7674794797666</v>
      </c>
      <c r="AW135" s="10">
        <v>275660667888</v>
      </c>
      <c r="AX135" s="10">
        <v>716223237350</v>
      </c>
      <c r="AY135" s="10">
        <v>202106612869</v>
      </c>
      <c r="AZ135" s="10">
        <v>2859006188527</v>
      </c>
      <c r="BA135" s="10">
        <v>7265268700000</v>
      </c>
      <c r="BB135" s="10">
        <v>146616887097</v>
      </c>
      <c r="BC135" s="10">
        <v>11251122484490</v>
      </c>
      <c r="BD135" s="12">
        <v>185022</v>
      </c>
      <c r="BE135" s="10">
        <v>1126847595963</v>
      </c>
      <c r="BF135" s="10">
        <v>2859006188527</v>
      </c>
      <c r="BG135" s="10">
        <v>7265268700000</v>
      </c>
      <c r="BH135" s="10">
        <v>8243705729928</v>
      </c>
      <c r="BI135" s="10">
        <v>746792341548</v>
      </c>
      <c r="BJ135" s="10">
        <v>0</v>
      </c>
      <c r="BK135" s="10">
        <v>0</v>
      </c>
      <c r="BL135" s="10">
        <v>2437884812283</v>
      </c>
      <c r="BM135" s="10">
        <v>0</v>
      </c>
      <c r="BN135" s="10">
        <v>0</v>
      </c>
      <c r="BO135" s="10">
        <v>12196328424</v>
      </c>
    </row>
    <row r="136" spans="1:67" x14ac:dyDescent="0.25">
      <c r="A136" s="25" t="s">
        <v>175</v>
      </c>
      <c r="B136" s="9">
        <v>1718</v>
      </c>
      <c r="C136" s="9" t="s">
        <v>189</v>
      </c>
      <c r="D136" s="10">
        <v>4043946259227</v>
      </c>
      <c r="E136" s="10">
        <v>31298153701</v>
      </c>
      <c r="F136" s="10">
        <v>240700000001</v>
      </c>
      <c r="G136" s="10">
        <v>0</v>
      </c>
      <c r="H136" s="10">
        <v>4315944412929</v>
      </c>
      <c r="I136" s="10">
        <v>375013931755</v>
      </c>
      <c r="J136" s="10">
        <v>3603628400</v>
      </c>
      <c r="K136" s="10">
        <v>3937326852774</v>
      </c>
      <c r="L136" s="10">
        <v>2748631030045</v>
      </c>
      <c r="M136" s="10">
        <v>1567313382884</v>
      </c>
      <c r="N136" s="46">
        <v>57.021599689149269</v>
      </c>
      <c r="O136" s="10">
        <v>1184301705825</v>
      </c>
      <c r="P136" s="11">
        <v>31.48</v>
      </c>
      <c r="Q136" s="11">
        <v>30.08</v>
      </c>
      <c r="R136" s="11">
        <v>2.4900000000000002</v>
      </c>
      <c r="S136" s="10">
        <v>1238129658104</v>
      </c>
      <c r="T136" s="10">
        <v>33675839616</v>
      </c>
      <c r="U136" s="10">
        <v>12379991934</v>
      </c>
      <c r="V136" s="10">
        <v>1436477346</v>
      </c>
      <c r="W136" s="10">
        <v>19859370336</v>
      </c>
      <c r="X136" s="10">
        <v>1271805497720</v>
      </c>
      <c r="Y136" s="10">
        <v>152529769</v>
      </c>
      <c r="Z136" s="10">
        <v>62005385968</v>
      </c>
      <c r="AA136" s="10">
        <v>24832471850</v>
      </c>
      <c r="AB136" s="10">
        <v>1358643355538</v>
      </c>
      <c r="AC136" s="10">
        <v>1087100591390</v>
      </c>
      <c r="AD136" s="46">
        <v>16.990599379017048</v>
      </c>
      <c r="AE136" s="10">
        <v>1361128416517</v>
      </c>
      <c r="AF136" s="10">
        <v>1361128416517</v>
      </c>
      <c r="AG136" s="10">
        <v>195259117795</v>
      </c>
      <c r="AH136" s="10">
        <v>0</v>
      </c>
      <c r="AI136" s="10">
        <v>0</v>
      </c>
      <c r="AJ136" s="10">
        <v>0</v>
      </c>
      <c r="AK136" s="10">
        <v>0</v>
      </c>
      <c r="AL136" s="11">
        <v>8</v>
      </c>
      <c r="AM136" s="10">
        <v>386857087251</v>
      </c>
      <c r="AN136" s="11">
        <v>19</v>
      </c>
      <c r="AO136" s="10">
        <v>750827328204</v>
      </c>
      <c r="AP136" s="12">
        <v>7</v>
      </c>
      <c r="AQ136" s="10">
        <v>56452106559</v>
      </c>
      <c r="AR136" s="10">
        <v>33675839616</v>
      </c>
      <c r="AS136" s="10">
        <v>31598723935</v>
      </c>
      <c r="AT136" s="10">
        <v>2077115681</v>
      </c>
      <c r="AU136" s="11">
        <v>6.57</v>
      </c>
      <c r="AV136" s="10">
        <v>1159430546343</v>
      </c>
      <c r="AW136" s="10">
        <v>127347030457</v>
      </c>
      <c r="AX136" s="10">
        <v>1060909038877</v>
      </c>
      <c r="AY136" s="10">
        <v>309151717246</v>
      </c>
      <c r="AZ136" s="10">
        <v>356115503104</v>
      </c>
      <c r="BA136" s="10">
        <v>2317770000000</v>
      </c>
      <c r="BB136" s="10">
        <v>248539663066</v>
      </c>
      <c r="BC136" s="10">
        <v>4315944412929</v>
      </c>
      <c r="BD136" s="12">
        <v>86503</v>
      </c>
      <c r="BE136" s="10">
        <v>1401358909824</v>
      </c>
      <c r="BF136" s="10">
        <v>596815503105</v>
      </c>
      <c r="BG136" s="10">
        <v>2317770000000</v>
      </c>
      <c r="BH136" s="10">
        <v>635592325464</v>
      </c>
      <c r="BI136" s="10">
        <v>725536091053</v>
      </c>
      <c r="BJ136" s="10">
        <v>0</v>
      </c>
      <c r="BK136" s="10">
        <v>0</v>
      </c>
      <c r="BL136" s="10">
        <v>195259117795</v>
      </c>
      <c r="BM136" s="10">
        <v>0</v>
      </c>
      <c r="BN136" s="10">
        <v>19803254116</v>
      </c>
      <c r="BO136" s="10">
        <v>0</v>
      </c>
    </row>
    <row r="137" spans="1:67" x14ac:dyDescent="0.25">
      <c r="A137" s="25" t="s">
        <v>175</v>
      </c>
      <c r="B137" s="9">
        <v>1719</v>
      </c>
      <c r="C137" s="9" t="s">
        <v>190</v>
      </c>
      <c r="D137" s="10">
        <v>2356882164611</v>
      </c>
      <c r="E137" s="10">
        <v>79165004713</v>
      </c>
      <c r="F137" s="10">
        <v>0</v>
      </c>
      <c r="G137" s="10">
        <v>0</v>
      </c>
      <c r="H137" s="10">
        <v>2436047169324</v>
      </c>
      <c r="I137" s="10">
        <v>196444825525</v>
      </c>
      <c r="J137" s="10">
        <v>5404364793</v>
      </c>
      <c r="K137" s="10">
        <v>2234197979006</v>
      </c>
      <c r="L137" s="10">
        <v>2284284365870</v>
      </c>
      <c r="M137" s="10">
        <v>151762803454</v>
      </c>
      <c r="N137" s="46">
        <v>6.6437789323221637</v>
      </c>
      <c r="O137" s="10">
        <v>1614641474478</v>
      </c>
      <c r="P137" s="11">
        <v>77.55</v>
      </c>
      <c r="Q137" s="11">
        <v>72.27</v>
      </c>
      <c r="R137" s="11">
        <v>2.97</v>
      </c>
      <c r="S137" s="10">
        <v>1587724776494</v>
      </c>
      <c r="T137" s="10">
        <v>51643243643</v>
      </c>
      <c r="U137" s="10">
        <v>21397944933</v>
      </c>
      <c r="V137" s="10">
        <v>11747475076</v>
      </c>
      <c r="W137" s="10">
        <v>18497823634</v>
      </c>
      <c r="X137" s="10">
        <v>1639368020137</v>
      </c>
      <c r="Y137" s="10">
        <v>4541203359</v>
      </c>
      <c r="Z137" s="10">
        <v>200464618539</v>
      </c>
      <c r="AA137" s="10">
        <v>49287864786</v>
      </c>
      <c r="AB137" s="10">
        <v>1889120503462</v>
      </c>
      <c r="AC137" s="10">
        <v>1518837035131</v>
      </c>
      <c r="AD137" s="46">
        <v>7.9357417693995185</v>
      </c>
      <c r="AE137" s="10">
        <v>1214370437346</v>
      </c>
      <c r="AF137" s="10">
        <v>1214370437346</v>
      </c>
      <c r="AG137" s="10">
        <v>218483100766</v>
      </c>
      <c r="AH137" s="10">
        <v>117166440</v>
      </c>
      <c r="AI137" s="10">
        <v>0</v>
      </c>
      <c r="AJ137" s="10">
        <v>0</v>
      </c>
      <c r="AK137" s="10">
        <v>0</v>
      </c>
      <c r="AL137" s="11">
        <v>7</v>
      </c>
      <c r="AM137" s="10">
        <v>240977747731</v>
      </c>
      <c r="AN137" s="11">
        <v>152</v>
      </c>
      <c r="AO137" s="10">
        <v>1148540168537</v>
      </c>
      <c r="AP137" s="12">
        <v>106</v>
      </c>
      <c r="AQ137" s="10">
        <v>469369383795</v>
      </c>
      <c r="AR137" s="10">
        <v>51643243643</v>
      </c>
      <c r="AS137" s="10">
        <v>51896723298</v>
      </c>
      <c r="AT137" s="10">
        <v>-253479655</v>
      </c>
      <c r="AU137" s="11">
        <v>-0.49</v>
      </c>
      <c r="AV137" s="10">
        <v>1096938853132</v>
      </c>
      <c r="AW137" s="10">
        <v>191685598102</v>
      </c>
      <c r="AX137" s="10">
        <v>643581679464</v>
      </c>
      <c r="AY137" s="10">
        <v>198257970832</v>
      </c>
      <c r="AZ137" s="10">
        <v>808299124603</v>
      </c>
      <c r="BA137" s="10">
        <v>706743389712</v>
      </c>
      <c r="BB137" s="10">
        <v>491680430023</v>
      </c>
      <c r="BC137" s="10">
        <v>2436047169324</v>
      </c>
      <c r="BD137" s="12">
        <v>158213</v>
      </c>
      <c r="BE137" s="10">
        <v>921004655009</v>
      </c>
      <c r="BF137" s="10">
        <v>808299124603</v>
      </c>
      <c r="BG137" s="10">
        <v>706743389712</v>
      </c>
      <c r="BH137" s="10">
        <v>205590289342</v>
      </c>
      <c r="BI137" s="10">
        <v>1008780148004</v>
      </c>
      <c r="BJ137" s="10">
        <v>0</v>
      </c>
      <c r="BK137" s="10">
        <v>16021343124</v>
      </c>
      <c r="BL137" s="10">
        <v>230423776091</v>
      </c>
      <c r="BM137" s="10">
        <v>0</v>
      </c>
      <c r="BN137" s="10">
        <v>0</v>
      </c>
      <c r="BO137" s="10">
        <v>165160440</v>
      </c>
    </row>
    <row r="138" spans="1:67" x14ac:dyDescent="0.25">
      <c r="A138" s="25" t="s">
        <v>175</v>
      </c>
      <c r="B138" s="9">
        <v>17199</v>
      </c>
      <c r="C138" s="9" t="s">
        <v>191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46" t="s">
        <v>595</v>
      </c>
      <c r="O138" s="10">
        <v>0</v>
      </c>
      <c r="P138" s="11" t="s">
        <v>593</v>
      </c>
      <c r="Q138" s="11" t="s">
        <v>593</v>
      </c>
      <c r="R138" s="11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46" t="s">
        <v>595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1">
        <v>0</v>
      </c>
      <c r="AM138" s="10">
        <v>0</v>
      </c>
      <c r="AN138" s="11">
        <v>0</v>
      </c>
      <c r="AO138" s="10">
        <v>0</v>
      </c>
      <c r="AP138" s="12">
        <v>0</v>
      </c>
      <c r="AQ138" s="10">
        <v>0</v>
      </c>
      <c r="AR138" s="10">
        <v>0</v>
      </c>
      <c r="AS138" s="10">
        <v>0</v>
      </c>
      <c r="AT138" s="10">
        <v>0</v>
      </c>
      <c r="AU138" s="11" t="s">
        <v>593</v>
      </c>
      <c r="AV138" s="10">
        <v>0</v>
      </c>
      <c r="AW138" s="10">
        <v>0</v>
      </c>
      <c r="AX138" s="10">
        <v>0</v>
      </c>
      <c r="AY138" s="10">
        <v>0</v>
      </c>
      <c r="AZ138" s="10">
        <v>0</v>
      </c>
      <c r="BA138" s="10">
        <v>0</v>
      </c>
      <c r="BB138" s="10">
        <v>0</v>
      </c>
      <c r="BC138" s="10">
        <v>0</v>
      </c>
      <c r="BD138" s="11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</row>
    <row r="139" spans="1:67" x14ac:dyDescent="0.25">
      <c r="A139" s="25" t="s">
        <v>175</v>
      </c>
      <c r="B139" s="9">
        <v>1720</v>
      </c>
      <c r="C139" s="9" t="s">
        <v>192</v>
      </c>
      <c r="D139" s="10">
        <v>2643768837392</v>
      </c>
      <c r="E139" s="10">
        <v>94476211942</v>
      </c>
      <c r="F139" s="10">
        <v>0</v>
      </c>
      <c r="G139" s="10">
        <v>0</v>
      </c>
      <c r="H139" s="10">
        <v>2738245049334</v>
      </c>
      <c r="I139" s="10">
        <v>215283044772</v>
      </c>
      <c r="J139" s="10">
        <v>6291447158</v>
      </c>
      <c r="K139" s="10">
        <v>2516670557404</v>
      </c>
      <c r="L139" s="10">
        <v>2379572239642</v>
      </c>
      <c r="M139" s="10">
        <v>358672809692</v>
      </c>
      <c r="N139" s="46">
        <v>15.072995209675218</v>
      </c>
      <c r="O139" s="10">
        <v>1732151952158</v>
      </c>
      <c r="P139" s="11">
        <v>72.69</v>
      </c>
      <c r="Q139" s="11">
        <v>68.83</v>
      </c>
      <c r="R139" s="11">
        <v>1.95</v>
      </c>
      <c r="S139" s="10">
        <v>1748886065165</v>
      </c>
      <c r="T139" s="10">
        <v>34523552606</v>
      </c>
      <c r="U139" s="10">
        <v>19155763625</v>
      </c>
      <c r="V139" s="10">
        <v>8778162508</v>
      </c>
      <c r="W139" s="10">
        <v>6589626473</v>
      </c>
      <c r="X139" s="10">
        <v>1783409617771</v>
      </c>
      <c r="Y139" s="10">
        <v>4367799927</v>
      </c>
      <c r="Z139" s="10">
        <v>167887342447</v>
      </c>
      <c r="AA139" s="10">
        <v>39223796970</v>
      </c>
      <c r="AB139" s="10">
        <v>1990520757188</v>
      </c>
      <c r="AC139" s="10">
        <v>1243288311659</v>
      </c>
      <c r="AD139" s="46">
        <v>43.442965002323653</v>
      </c>
      <c r="AE139" s="10">
        <v>1131837270566</v>
      </c>
      <c r="AF139" s="10">
        <v>1131837270566</v>
      </c>
      <c r="AG139" s="10">
        <v>0</v>
      </c>
      <c r="AH139" s="10">
        <v>34818656910</v>
      </c>
      <c r="AI139" s="10">
        <v>0</v>
      </c>
      <c r="AJ139" s="10">
        <v>0</v>
      </c>
      <c r="AK139" s="10">
        <v>0</v>
      </c>
      <c r="AL139" s="11">
        <v>0</v>
      </c>
      <c r="AM139" s="10">
        <v>0</v>
      </c>
      <c r="AN139" s="11">
        <v>98</v>
      </c>
      <c r="AO139" s="10">
        <v>604744729691</v>
      </c>
      <c r="AP139" s="12">
        <v>56</v>
      </c>
      <c r="AQ139" s="10">
        <v>264907870582</v>
      </c>
      <c r="AR139" s="10">
        <v>34523552606</v>
      </c>
      <c r="AS139" s="10">
        <v>26612174897</v>
      </c>
      <c r="AT139" s="10">
        <v>7911377709</v>
      </c>
      <c r="AU139" s="11">
        <v>29.73</v>
      </c>
      <c r="AV139" s="10">
        <v>634084728953</v>
      </c>
      <c r="AW139" s="10">
        <v>84746652634</v>
      </c>
      <c r="AX139" s="10">
        <v>683974942295</v>
      </c>
      <c r="AY139" s="10">
        <v>268489592032</v>
      </c>
      <c r="AZ139" s="10">
        <v>1223052404911</v>
      </c>
      <c r="BA139" s="10">
        <v>468251898154</v>
      </c>
      <c r="BB139" s="10">
        <v>926409616989</v>
      </c>
      <c r="BC139" s="10">
        <v>2738245049334</v>
      </c>
      <c r="BD139" s="12">
        <v>65182</v>
      </c>
      <c r="BE139" s="10">
        <v>1046940746269</v>
      </c>
      <c r="BF139" s="10">
        <v>1223052404911</v>
      </c>
      <c r="BG139" s="10">
        <v>468251898154</v>
      </c>
      <c r="BH139" s="10">
        <v>720336609007</v>
      </c>
      <c r="BI139" s="10">
        <v>411500661559</v>
      </c>
      <c r="BJ139" s="10">
        <v>0</v>
      </c>
      <c r="BK139" s="10">
        <v>0</v>
      </c>
      <c r="BL139" s="10">
        <v>0</v>
      </c>
      <c r="BM139" s="10">
        <v>0</v>
      </c>
      <c r="BN139" s="10">
        <v>0</v>
      </c>
      <c r="BO139" s="10">
        <v>34818656910</v>
      </c>
    </row>
    <row r="140" spans="1:67" x14ac:dyDescent="0.25">
      <c r="A140" s="25" t="s">
        <v>175</v>
      </c>
      <c r="B140" s="9">
        <v>1722</v>
      </c>
      <c r="C140" s="9" t="s">
        <v>193</v>
      </c>
      <c r="D140" s="10">
        <v>4390898337966</v>
      </c>
      <c r="E140" s="10">
        <v>59851315557</v>
      </c>
      <c r="F140" s="10">
        <v>0</v>
      </c>
      <c r="G140" s="10">
        <v>91548969278</v>
      </c>
      <c r="H140" s="10">
        <v>4542298622801</v>
      </c>
      <c r="I140" s="10">
        <v>296489880020</v>
      </c>
      <c r="J140" s="10">
        <v>3693302943</v>
      </c>
      <c r="K140" s="10">
        <v>4242115439838</v>
      </c>
      <c r="L140" s="10">
        <v>2650921221597</v>
      </c>
      <c r="M140" s="10">
        <v>1891377401204</v>
      </c>
      <c r="N140" s="46">
        <v>71.347929383754888</v>
      </c>
      <c r="O140" s="10">
        <v>2280534759287</v>
      </c>
      <c r="P140" s="11">
        <v>55.26</v>
      </c>
      <c r="Q140" s="11">
        <v>53.76</v>
      </c>
      <c r="R140" s="11">
        <v>0.38</v>
      </c>
      <c r="S140" s="10">
        <v>2363369998488</v>
      </c>
      <c r="T140" s="10">
        <v>9616516013</v>
      </c>
      <c r="U140" s="10">
        <v>5079252866</v>
      </c>
      <c r="V140" s="10">
        <v>337263147</v>
      </c>
      <c r="W140" s="10">
        <v>4200000000</v>
      </c>
      <c r="X140" s="10">
        <v>2372986514501</v>
      </c>
      <c r="Y140" s="10">
        <v>0</v>
      </c>
      <c r="Z140" s="10">
        <v>111198787261</v>
      </c>
      <c r="AA140" s="10">
        <v>25777989939</v>
      </c>
      <c r="AB140" s="10">
        <v>2509963291701</v>
      </c>
      <c r="AC140" s="10">
        <v>2229126949486</v>
      </c>
      <c r="AD140" s="46">
        <v>6.453628181569993</v>
      </c>
      <c r="AE140" s="10">
        <v>2731960624534</v>
      </c>
      <c r="AF140" s="10">
        <v>2731960624534</v>
      </c>
      <c r="AG140" s="10">
        <v>37271960235</v>
      </c>
      <c r="AH140" s="10">
        <v>27248545400</v>
      </c>
      <c r="AI140" s="10">
        <v>0</v>
      </c>
      <c r="AJ140" s="10">
        <v>0</v>
      </c>
      <c r="AK140" s="10">
        <v>0</v>
      </c>
      <c r="AL140" s="11">
        <v>8</v>
      </c>
      <c r="AM140" s="10">
        <v>233482574000</v>
      </c>
      <c r="AN140" s="11">
        <v>42</v>
      </c>
      <c r="AO140" s="10">
        <v>166985135097</v>
      </c>
      <c r="AP140" s="12">
        <v>19</v>
      </c>
      <c r="AQ140" s="10">
        <v>70754598205</v>
      </c>
      <c r="AR140" s="10">
        <v>9616516013</v>
      </c>
      <c r="AS140" s="10">
        <v>42629310456</v>
      </c>
      <c r="AT140" s="10">
        <v>-33012794443</v>
      </c>
      <c r="AU140" s="11">
        <v>-77.44</v>
      </c>
      <c r="AV140" s="10">
        <v>2561208911829</v>
      </c>
      <c r="AW140" s="10">
        <v>1026257831698</v>
      </c>
      <c r="AX140" s="10">
        <v>1439690712223</v>
      </c>
      <c r="AY140" s="10">
        <v>60786545242</v>
      </c>
      <c r="AZ140" s="10">
        <v>459119861852</v>
      </c>
      <c r="BA140" s="10">
        <v>2431301218649</v>
      </c>
      <c r="BB140" s="10">
        <v>329988076654</v>
      </c>
      <c r="BC140" s="10">
        <v>4542298622801</v>
      </c>
      <c r="BD140" s="12">
        <v>282322</v>
      </c>
      <c r="BE140" s="10">
        <v>1651877542300</v>
      </c>
      <c r="BF140" s="10">
        <v>459119861852</v>
      </c>
      <c r="BG140" s="10">
        <v>2431301218649</v>
      </c>
      <c r="BH140" s="10">
        <v>1989788803554</v>
      </c>
      <c r="BI140" s="10">
        <v>742171820980</v>
      </c>
      <c r="BJ140" s="10">
        <v>0</v>
      </c>
      <c r="BK140" s="10">
        <v>0</v>
      </c>
      <c r="BL140" s="10">
        <v>37271960235</v>
      </c>
      <c r="BM140" s="10">
        <v>0</v>
      </c>
      <c r="BN140" s="10">
        <v>4200000000</v>
      </c>
      <c r="BO140" s="10">
        <v>27248545400</v>
      </c>
    </row>
    <row r="141" spans="1:67" x14ac:dyDescent="0.25">
      <c r="A141" s="25" t="s">
        <v>175</v>
      </c>
      <c r="B141" s="9">
        <v>1723</v>
      </c>
      <c r="C141" s="9" t="s">
        <v>194</v>
      </c>
      <c r="D141" s="10">
        <v>4960771793035</v>
      </c>
      <c r="E141" s="10">
        <v>-1479665997292</v>
      </c>
      <c r="F141" s="10">
        <v>0</v>
      </c>
      <c r="G141" s="10">
        <v>0</v>
      </c>
      <c r="H141" s="10">
        <v>3481105795743</v>
      </c>
      <c r="I141" s="10">
        <v>317534553182</v>
      </c>
      <c r="J141" s="10">
        <v>6318721800</v>
      </c>
      <c r="K141" s="10">
        <v>3157252520761</v>
      </c>
      <c r="L141" s="10">
        <v>3157068483730</v>
      </c>
      <c r="M141" s="10">
        <v>324037312013</v>
      </c>
      <c r="N141" s="46">
        <v>10.263867055242265</v>
      </c>
      <c r="O141" s="10">
        <v>1912181130985</v>
      </c>
      <c r="P141" s="11">
        <v>59.4</v>
      </c>
      <c r="Q141" s="11">
        <v>60.56</v>
      </c>
      <c r="R141" s="11">
        <v>0.54</v>
      </c>
      <c r="S141" s="10">
        <v>1981262726086</v>
      </c>
      <c r="T141" s="10">
        <v>11137728424</v>
      </c>
      <c r="U141" s="10">
        <v>8039975898</v>
      </c>
      <c r="V141" s="10">
        <v>3028485009</v>
      </c>
      <c r="W141" s="10">
        <v>69267517</v>
      </c>
      <c r="X141" s="10">
        <v>1992400454510</v>
      </c>
      <c r="Y141" s="10">
        <v>120769820</v>
      </c>
      <c r="Z141" s="10">
        <v>59237643566</v>
      </c>
      <c r="AA141" s="10">
        <v>16121371200</v>
      </c>
      <c r="AB141" s="10">
        <v>2067759469276</v>
      </c>
      <c r="AC141" s="10">
        <v>1399815389916</v>
      </c>
      <c r="AD141" s="46">
        <v>42.333086838655184</v>
      </c>
      <c r="AE141" s="10">
        <v>1826895539345</v>
      </c>
      <c r="AF141" s="10">
        <v>1826895539345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1">
        <v>0</v>
      </c>
      <c r="AM141" s="10">
        <v>0</v>
      </c>
      <c r="AN141" s="11">
        <v>31</v>
      </c>
      <c r="AO141" s="10">
        <v>259026801034</v>
      </c>
      <c r="AP141" s="12">
        <v>6</v>
      </c>
      <c r="AQ141" s="10">
        <v>75358704208</v>
      </c>
      <c r="AR141" s="10">
        <v>11137728424</v>
      </c>
      <c r="AS141" s="10">
        <v>5328475184</v>
      </c>
      <c r="AT141" s="10">
        <v>5809253240</v>
      </c>
      <c r="AU141" s="11">
        <v>109.02</v>
      </c>
      <c r="AV141" s="10">
        <v>1266664209263</v>
      </c>
      <c r="AW141" s="10">
        <v>46564278702</v>
      </c>
      <c r="AX141" s="10">
        <v>3697589683347</v>
      </c>
      <c r="AY141" s="10">
        <v>330081730251</v>
      </c>
      <c r="AZ141" s="10">
        <v>832232762437</v>
      </c>
      <c r="BA141" s="10">
        <v>100867617000</v>
      </c>
      <c r="BB141" s="10">
        <v>153806760777</v>
      </c>
      <c r="BC141" s="10">
        <v>3481105795743</v>
      </c>
      <c r="BD141" s="12">
        <v>41375</v>
      </c>
      <c r="BE141" s="10">
        <v>2548005416306</v>
      </c>
      <c r="BF141" s="10">
        <v>832232762437</v>
      </c>
      <c r="BG141" s="10">
        <v>100867617000</v>
      </c>
      <c r="BH141" s="10">
        <v>836175741776</v>
      </c>
      <c r="BI141" s="10">
        <v>990719797569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</row>
    <row r="142" spans="1:67" x14ac:dyDescent="0.25">
      <c r="A142" s="25" t="s">
        <v>175</v>
      </c>
      <c r="B142" s="9">
        <v>1724</v>
      </c>
      <c r="C142" s="9" t="s">
        <v>195</v>
      </c>
      <c r="D142" s="10">
        <v>2085570990823</v>
      </c>
      <c r="E142" s="10">
        <v>150455034704</v>
      </c>
      <c r="F142" s="10">
        <v>0</v>
      </c>
      <c r="G142" s="10">
        <v>0</v>
      </c>
      <c r="H142" s="10">
        <v>2236026025527</v>
      </c>
      <c r="I142" s="10">
        <v>156538320374</v>
      </c>
      <c r="J142" s="10">
        <v>7408325400</v>
      </c>
      <c r="K142" s="10">
        <v>2072079379753</v>
      </c>
      <c r="L142" s="10">
        <v>1509686090507</v>
      </c>
      <c r="M142" s="10">
        <v>726339935020</v>
      </c>
      <c r="N142" s="46">
        <v>48.111984311657281</v>
      </c>
      <c r="O142" s="10">
        <v>918495903907</v>
      </c>
      <c r="P142" s="11">
        <v>46.22</v>
      </c>
      <c r="Q142" s="11">
        <v>44.33</v>
      </c>
      <c r="R142" s="11">
        <v>1.03</v>
      </c>
      <c r="S142" s="10">
        <v>974969352777</v>
      </c>
      <c r="T142" s="10">
        <v>9925647775</v>
      </c>
      <c r="U142" s="10">
        <v>9155515879</v>
      </c>
      <c r="V142" s="10">
        <v>0</v>
      </c>
      <c r="W142" s="10">
        <v>770131896</v>
      </c>
      <c r="X142" s="10">
        <v>984895000552</v>
      </c>
      <c r="Y142" s="10">
        <v>712738568</v>
      </c>
      <c r="Z142" s="10">
        <v>40512689004</v>
      </c>
      <c r="AA142" s="10">
        <v>7999999997</v>
      </c>
      <c r="AB142" s="10">
        <v>1033407689553</v>
      </c>
      <c r="AC142" s="10">
        <v>495397245800</v>
      </c>
      <c r="AD142" s="46">
        <v>98.809139312336484</v>
      </c>
      <c r="AE142" s="10">
        <v>1114612795831</v>
      </c>
      <c r="AF142" s="10">
        <v>1114612795831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1">
        <v>0</v>
      </c>
      <c r="AM142" s="10">
        <v>0</v>
      </c>
      <c r="AN142" s="11">
        <v>38</v>
      </c>
      <c r="AO142" s="10">
        <v>406844198513</v>
      </c>
      <c r="AP142" s="12">
        <v>21</v>
      </c>
      <c r="AQ142" s="10">
        <v>206577555176</v>
      </c>
      <c r="AR142" s="10">
        <v>9925647775</v>
      </c>
      <c r="AS142" s="10">
        <v>4615719719</v>
      </c>
      <c r="AT142" s="10">
        <v>5309928056</v>
      </c>
      <c r="AU142" s="11">
        <v>115.04</v>
      </c>
      <c r="AV142" s="10">
        <v>689460404699</v>
      </c>
      <c r="AW142" s="10">
        <v>59246263349</v>
      </c>
      <c r="AX142" s="10">
        <v>381163391622</v>
      </c>
      <c r="AY142" s="10">
        <v>180355064497</v>
      </c>
      <c r="AZ142" s="10">
        <v>437841534704</v>
      </c>
      <c r="BA142" s="10">
        <v>1086211000000</v>
      </c>
      <c r="BB142" s="10">
        <v>284714479369</v>
      </c>
      <c r="BC142" s="10">
        <v>2236026025527</v>
      </c>
      <c r="BD142" s="12">
        <v>81808</v>
      </c>
      <c r="BE142" s="10">
        <v>711973490823</v>
      </c>
      <c r="BF142" s="10">
        <v>437841534704</v>
      </c>
      <c r="BG142" s="10">
        <v>1086211000000</v>
      </c>
      <c r="BH142" s="10">
        <v>680021214383</v>
      </c>
      <c r="BI142" s="10">
        <v>434591581448</v>
      </c>
      <c r="BJ142" s="10">
        <v>0</v>
      </c>
      <c r="BK142" s="10">
        <v>0</v>
      </c>
      <c r="BL142" s="10">
        <v>0</v>
      </c>
      <c r="BM142" s="10">
        <v>0</v>
      </c>
      <c r="BN142" s="10">
        <v>0</v>
      </c>
      <c r="BO142" s="10">
        <v>0</v>
      </c>
    </row>
    <row r="143" spans="1:67" x14ac:dyDescent="0.25">
      <c r="A143" s="25" t="s">
        <v>175</v>
      </c>
      <c r="B143" s="9">
        <v>1725</v>
      </c>
      <c r="C143" s="9" t="s">
        <v>196</v>
      </c>
      <c r="D143" s="10">
        <v>2423942724585</v>
      </c>
      <c r="E143" s="10">
        <v>103687526656</v>
      </c>
      <c r="F143" s="10">
        <v>0</v>
      </c>
      <c r="G143" s="10">
        <v>0</v>
      </c>
      <c r="H143" s="10">
        <v>2527630251241</v>
      </c>
      <c r="I143" s="10">
        <v>231958208470</v>
      </c>
      <c r="J143" s="10">
        <v>2009053000</v>
      </c>
      <c r="K143" s="10">
        <v>2293662989771</v>
      </c>
      <c r="L143" s="10">
        <v>1912713374197</v>
      </c>
      <c r="M143" s="10">
        <v>614916877044</v>
      </c>
      <c r="N143" s="46">
        <v>32.148929648288565</v>
      </c>
      <c r="O143" s="10">
        <v>1760222104591</v>
      </c>
      <c r="P143" s="11">
        <v>76.13</v>
      </c>
      <c r="Q143" s="11">
        <v>76.739999999999995</v>
      </c>
      <c r="R143" s="11">
        <v>0.45</v>
      </c>
      <c r="S143" s="10">
        <v>1825326351696</v>
      </c>
      <c r="T143" s="10">
        <v>8178010411</v>
      </c>
      <c r="U143" s="10">
        <v>3452126960</v>
      </c>
      <c r="V143" s="10">
        <v>801578552</v>
      </c>
      <c r="W143" s="10">
        <v>3924304899</v>
      </c>
      <c r="X143" s="10">
        <v>1833504362107</v>
      </c>
      <c r="Y143" s="10">
        <v>556526781</v>
      </c>
      <c r="Z143" s="10">
        <v>70832981393</v>
      </c>
      <c r="AA143" s="10">
        <v>19849210660</v>
      </c>
      <c r="AB143" s="10">
        <v>1924186554160</v>
      </c>
      <c r="AC143" s="10">
        <v>1171428600501</v>
      </c>
      <c r="AD143" s="46">
        <v>56.518661173445949</v>
      </c>
      <c r="AE143" s="10">
        <v>1526854275488</v>
      </c>
      <c r="AF143" s="10">
        <v>1526854275488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1">
        <v>0</v>
      </c>
      <c r="AM143" s="10">
        <v>0</v>
      </c>
      <c r="AN143" s="11">
        <v>66</v>
      </c>
      <c r="AO143" s="10">
        <v>1037880139750</v>
      </c>
      <c r="AP143" s="12">
        <v>33</v>
      </c>
      <c r="AQ143" s="10">
        <v>399037379186</v>
      </c>
      <c r="AR143" s="10">
        <v>8178010411</v>
      </c>
      <c r="AS143" s="10">
        <v>13248617796</v>
      </c>
      <c r="AT143" s="10">
        <v>-5070607385</v>
      </c>
      <c r="AU143" s="11">
        <v>-38.270000000000003</v>
      </c>
      <c r="AV143" s="10">
        <v>861693725659</v>
      </c>
      <c r="AW143" s="10">
        <v>173518454708</v>
      </c>
      <c r="AX143" s="10">
        <v>245133019746</v>
      </c>
      <c r="AY143" s="10">
        <v>211920936137</v>
      </c>
      <c r="AZ143" s="10">
        <v>1717377768702</v>
      </c>
      <c r="BA143" s="10">
        <v>249511000000</v>
      </c>
      <c r="BB143" s="10">
        <v>1561778538347</v>
      </c>
      <c r="BC143" s="10">
        <v>2527630251241</v>
      </c>
      <c r="BD143" s="12">
        <v>34979</v>
      </c>
      <c r="BE143" s="10">
        <v>560741482539</v>
      </c>
      <c r="BF143" s="10">
        <v>1717377768702</v>
      </c>
      <c r="BG143" s="10">
        <v>249511000000</v>
      </c>
      <c r="BH143" s="10">
        <v>514277096001</v>
      </c>
      <c r="BI143" s="10">
        <v>1012577179487</v>
      </c>
      <c r="BJ143" s="10">
        <v>0</v>
      </c>
      <c r="BK143" s="10">
        <v>0</v>
      </c>
      <c r="BL143" s="10">
        <v>0</v>
      </c>
      <c r="BM143" s="10">
        <v>0</v>
      </c>
      <c r="BN143" s="10">
        <v>3600000000</v>
      </c>
      <c r="BO143" s="10">
        <v>0</v>
      </c>
    </row>
    <row r="144" spans="1:67" x14ac:dyDescent="0.25">
      <c r="A144" s="25" t="s">
        <v>175</v>
      </c>
      <c r="B144" s="9">
        <v>1726</v>
      </c>
      <c r="C144" s="9" t="s">
        <v>197</v>
      </c>
      <c r="D144" s="10">
        <v>5973010019004</v>
      </c>
      <c r="E144" s="10">
        <v>136387114043</v>
      </c>
      <c r="F144" s="10">
        <v>0</v>
      </c>
      <c r="G144" s="10">
        <v>0</v>
      </c>
      <c r="H144" s="10">
        <v>6109397133047</v>
      </c>
      <c r="I144" s="10">
        <v>423450179144</v>
      </c>
      <c r="J144" s="10">
        <v>7686630760</v>
      </c>
      <c r="K144" s="10">
        <v>5678260323143</v>
      </c>
      <c r="L144" s="10">
        <v>4782633435616</v>
      </c>
      <c r="M144" s="10">
        <v>1326763697431</v>
      </c>
      <c r="N144" s="46">
        <v>27.741279261560503</v>
      </c>
      <c r="O144" s="10">
        <v>1651919157997</v>
      </c>
      <c r="P144" s="11">
        <v>31.69</v>
      </c>
      <c r="Q144" s="11">
        <v>29.09</v>
      </c>
      <c r="R144" s="11">
        <v>1.1200000000000001</v>
      </c>
      <c r="S144" s="10">
        <v>1799372712345</v>
      </c>
      <c r="T144" s="10">
        <v>21737031219</v>
      </c>
      <c r="U144" s="10">
        <v>21028187630</v>
      </c>
      <c r="V144" s="10">
        <v>467823992</v>
      </c>
      <c r="W144" s="10">
        <v>241019597</v>
      </c>
      <c r="X144" s="10">
        <v>1821109743564</v>
      </c>
      <c r="Y144" s="10">
        <v>23557801</v>
      </c>
      <c r="Z144" s="10">
        <v>85847112306</v>
      </c>
      <c r="AA144" s="10">
        <v>29078722987</v>
      </c>
      <c r="AB144" s="10">
        <v>1936035578857</v>
      </c>
      <c r="AC144" s="10">
        <v>1632275278987</v>
      </c>
      <c r="AD144" s="46">
        <v>11.568787875914644</v>
      </c>
      <c r="AE144" s="10">
        <v>1286160917677</v>
      </c>
      <c r="AF144" s="10">
        <v>1286160917677</v>
      </c>
      <c r="AG144" s="10">
        <v>74934572026</v>
      </c>
      <c r="AH144" s="10">
        <v>58460387553</v>
      </c>
      <c r="AI144" s="10">
        <v>0</v>
      </c>
      <c r="AJ144" s="10">
        <v>0</v>
      </c>
      <c r="AK144" s="10">
        <v>0</v>
      </c>
      <c r="AL144" s="11">
        <v>2</v>
      </c>
      <c r="AM144" s="10">
        <v>101953125000</v>
      </c>
      <c r="AN144" s="11">
        <v>43</v>
      </c>
      <c r="AO144" s="10">
        <v>842163208358</v>
      </c>
      <c r="AP144" s="12">
        <v>25</v>
      </c>
      <c r="AQ144" s="10">
        <v>211710572724</v>
      </c>
      <c r="AR144" s="10">
        <v>21737031219</v>
      </c>
      <c r="AS144" s="10">
        <v>4362352739</v>
      </c>
      <c r="AT144" s="10">
        <v>17374678480</v>
      </c>
      <c r="AU144" s="13">
        <v>398.29</v>
      </c>
      <c r="AV144" s="10">
        <v>1101364471628</v>
      </c>
      <c r="AW144" s="10">
        <v>137745663419</v>
      </c>
      <c r="AX144" s="10">
        <v>843976821287</v>
      </c>
      <c r="AY144" s="10">
        <v>95266801229</v>
      </c>
      <c r="AZ144" s="10">
        <v>351196396488</v>
      </c>
      <c r="BA144" s="10">
        <v>4682570000000</v>
      </c>
      <c r="BB144" s="10">
        <v>124842178002</v>
      </c>
      <c r="BC144" s="10">
        <v>6109397133047</v>
      </c>
      <c r="BD144" s="12">
        <v>16507</v>
      </c>
      <c r="BE144" s="10">
        <v>989089783159</v>
      </c>
      <c r="BF144" s="10">
        <v>351196396488</v>
      </c>
      <c r="BG144" s="10">
        <v>4769110953400</v>
      </c>
      <c r="BH144" s="10">
        <v>621204601074</v>
      </c>
      <c r="BI144" s="10">
        <v>664956316603</v>
      </c>
      <c r="BJ144" s="10">
        <v>0</v>
      </c>
      <c r="BK144" s="10">
        <v>0</v>
      </c>
      <c r="BL144" s="10">
        <v>94972317754</v>
      </c>
      <c r="BM144" s="10">
        <v>0</v>
      </c>
      <c r="BN144" s="10">
        <v>0</v>
      </c>
      <c r="BO144" s="10">
        <v>58460387553</v>
      </c>
    </row>
    <row r="145" spans="1:67" x14ac:dyDescent="0.25">
      <c r="A145" s="25" t="s">
        <v>175</v>
      </c>
      <c r="B145" s="9">
        <v>1727</v>
      </c>
      <c r="C145" s="9" t="s">
        <v>198</v>
      </c>
      <c r="D145" s="10">
        <v>1224149413972</v>
      </c>
      <c r="E145" s="10">
        <v>121473130327</v>
      </c>
      <c r="F145" s="10">
        <v>0</v>
      </c>
      <c r="G145" s="10">
        <v>0</v>
      </c>
      <c r="H145" s="10">
        <v>1345622544299</v>
      </c>
      <c r="I145" s="10">
        <v>161942572588</v>
      </c>
      <c r="J145" s="10">
        <v>2941638200</v>
      </c>
      <c r="K145" s="10">
        <v>1180738333511</v>
      </c>
      <c r="L145" s="10">
        <v>1144892899852</v>
      </c>
      <c r="M145" s="10">
        <v>200729644447</v>
      </c>
      <c r="N145" s="46">
        <v>17.532613266528969</v>
      </c>
      <c r="O145" s="10">
        <v>1418390170778</v>
      </c>
      <c r="P145" s="11">
        <v>225.58</v>
      </c>
      <c r="Q145" s="11">
        <v>120.13</v>
      </c>
      <c r="R145" s="11">
        <v>0.2</v>
      </c>
      <c r="S145" s="10">
        <v>2928369410939</v>
      </c>
      <c r="T145" s="10">
        <v>6214106561</v>
      </c>
      <c r="U145" s="10">
        <v>3693087236</v>
      </c>
      <c r="V145" s="10">
        <v>2301605554</v>
      </c>
      <c r="W145" s="10">
        <v>219413771</v>
      </c>
      <c r="X145" s="10">
        <v>2934583517500</v>
      </c>
      <c r="Y145" s="10">
        <v>6744290</v>
      </c>
      <c r="Z145" s="10">
        <v>88863394574</v>
      </c>
      <c r="AA145" s="10">
        <v>12019225469</v>
      </c>
      <c r="AB145" s="10">
        <v>3035466137543</v>
      </c>
      <c r="AC145" s="10">
        <v>1437159695226</v>
      </c>
      <c r="AD145" s="46">
        <v>104.19327978986519</v>
      </c>
      <c r="AE145" s="10">
        <v>789510580117</v>
      </c>
      <c r="AF145" s="10">
        <v>789510580117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1">
        <v>0</v>
      </c>
      <c r="AM145" s="10">
        <v>0</v>
      </c>
      <c r="AN145" s="11">
        <v>4</v>
      </c>
      <c r="AO145" s="10">
        <v>120316342877</v>
      </c>
      <c r="AP145" s="12">
        <v>10</v>
      </c>
      <c r="AQ145" s="10">
        <v>21545864466</v>
      </c>
      <c r="AR145" s="10">
        <v>6214106561</v>
      </c>
      <c r="AS145" s="10">
        <v>4859549612</v>
      </c>
      <c r="AT145" s="10">
        <v>1354556949</v>
      </c>
      <c r="AU145" s="11">
        <v>27.87</v>
      </c>
      <c r="AV145" s="10">
        <v>249775826931</v>
      </c>
      <c r="AW145" s="10">
        <v>18381011847</v>
      </c>
      <c r="AX145" s="10">
        <v>334077260959</v>
      </c>
      <c r="AY145" s="10">
        <v>147870236445</v>
      </c>
      <c r="AZ145" s="10">
        <v>674540596561</v>
      </c>
      <c r="BA145" s="10">
        <v>67661320007</v>
      </c>
      <c r="BB145" s="10">
        <v>499026338145</v>
      </c>
      <c r="BC145" s="10">
        <v>1345622544299</v>
      </c>
      <c r="BD145" s="12">
        <v>31601</v>
      </c>
      <c r="BE145" s="10">
        <v>496873210409</v>
      </c>
      <c r="BF145" s="10">
        <v>674540596561</v>
      </c>
      <c r="BG145" s="10">
        <v>174208737329</v>
      </c>
      <c r="BH145" s="10">
        <v>214729359877</v>
      </c>
      <c r="BI145" s="10">
        <v>574781220240</v>
      </c>
      <c r="BJ145" s="10">
        <v>0</v>
      </c>
      <c r="BK145" s="10">
        <v>0</v>
      </c>
      <c r="BL145" s="10">
        <v>0</v>
      </c>
      <c r="BM145" s="10">
        <v>0</v>
      </c>
      <c r="BN145" s="10">
        <v>0</v>
      </c>
      <c r="BO145" s="10">
        <v>0</v>
      </c>
    </row>
    <row r="146" spans="1:67" x14ac:dyDescent="0.25">
      <c r="A146" s="25" t="s">
        <v>175</v>
      </c>
      <c r="B146" s="9">
        <v>1728</v>
      </c>
      <c r="C146" s="9" t="s">
        <v>199</v>
      </c>
      <c r="D146" s="10">
        <v>9090388348713</v>
      </c>
      <c r="E146" s="10">
        <v>436638892183</v>
      </c>
      <c r="F146" s="10">
        <v>0</v>
      </c>
      <c r="G146" s="10">
        <v>45737400</v>
      </c>
      <c r="H146" s="10">
        <v>9527072978296</v>
      </c>
      <c r="I146" s="10">
        <v>645862060704</v>
      </c>
      <c r="J146" s="10">
        <v>7941853648</v>
      </c>
      <c r="K146" s="10">
        <v>8873269063944</v>
      </c>
      <c r="L146" s="10">
        <v>6210792411249</v>
      </c>
      <c r="M146" s="10">
        <v>3316280567047</v>
      </c>
      <c r="N146" s="46">
        <v>53.395450168975955</v>
      </c>
      <c r="O146" s="10">
        <v>7035153922554</v>
      </c>
      <c r="P146" s="11">
        <v>79.69</v>
      </c>
      <c r="Q146" s="11">
        <v>79.28</v>
      </c>
      <c r="R146" s="11">
        <v>1.01</v>
      </c>
      <c r="S146" s="10">
        <v>6960010633898</v>
      </c>
      <c r="T146" s="10">
        <v>66255454179</v>
      </c>
      <c r="U146" s="10">
        <v>4235415882</v>
      </c>
      <c r="V146" s="10">
        <v>13918961879</v>
      </c>
      <c r="W146" s="10">
        <v>48101076418</v>
      </c>
      <c r="X146" s="10">
        <v>7026266088077</v>
      </c>
      <c r="Y146" s="10">
        <v>10472935148</v>
      </c>
      <c r="Z146" s="10">
        <v>543173128204</v>
      </c>
      <c r="AA146" s="10">
        <v>22982078200</v>
      </c>
      <c r="AB146" s="10">
        <v>7592421294481</v>
      </c>
      <c r="AC146" s="10">
        <v>4111041089238</v>
      </c>
      <c r="AD146" s="46">
        <v>70.912086149432042</v>
      </c>
      <c r="AE146" s="10">
        <v>4410019315724</v>
      </c>
      <c r="AF146" s="10">
        <v>4333196192439</v>
      </c>
      <c r="AG146" s="10">
        <v>348861783512</v>
      </c>
      <c r="AH146" s="10">
        <v>180200353150</v>
      </c>
      <c r="AI146" s="10">
        <v>0</v>
      </c>
      <c r="AJ146" s="10">
        <v>0</v>
      </c>
      <c r="AK146" s="10">
        <v>0</v>
      </c>
      <c r="AL146" s="11">
        <v>6</v>
      </c>
      <c r="AM146" s="10">
        <v>304703981660</v>
      </c>
      <c r="AN146" s="11">
        <v>346</v>
      </c>
      <c r="AO146" s="10">
        <v>7642643222890</v>
      </c>
      <c r="AP146" s="12">
        <v>221</v>
      </c>
      <c r="AQ146" s="10">
        <v>2793810302814</v>
      </c>
      <c r="AR146" s="10">
        <v>66255454179</v>
      </c>
      <c r="AS146" s="10">
        <v>58046116950</v>
      </c>
      <c r="AT146" s="10">
        <v>8209337229</v>
      </c>
      <c r="AU146" s="11">
        <v>14.14</v>
      </c>
      <c r="AV146" s="10">
        <v>2268792242055</v>
      </c>
      <c r="AW146" s="10">
        <v>680978120146</v>
      </c>
      <c r="AX146" s="10">
        <v>1359725964984</v>
      </c>
      <c r="AY146" s="10">
        <v>234830409430</v>
      </c>
      <c r="AZ146" s="10">
        <v>2676924762939</v>
      </c>
      <c r="BA146" s="10">
        <v>4818907211360</v>
      </c>
      <c r="BB146" s="10">
        <v>1214526513042</v>
      </c>
      <c r="BC146" s="10">
        <v>9527072978296</v>
      </c>
      <c r="BD146" s="12">
        <v>108401</v>
      </c>
      <c r="BE146" s="10">
        <v>2031241003997</v>
      </c>
      <c r="BF146" s="10">
        <v>2676924762939</v>
      </c>
      <c r="BG146" s="10">
        <v>4818907211360</v>
      </c>
      <c r="BH146" s="10">
        <v>3944128696410</v>
      </c>
      <c r="BI146" s="10">
        <v>465890619314</v>
      </c>
      <c r="BJ146" s="10">
        <v>0</v>
      </c>
      <c r="BK146" s="10">
        <v>0</v>
      </c>
      <c r="BL146" s="10">
        <v>348861783512</v>
      </c>
      <c r="BM146" s="10">
        <v>0</v>
      </c>
      <c r="BN146" s="10">
        <v>0</v>
      </c>
      <c r="BO146" s="10">
        <v>180200353150</v>
      </c>
    </row>
    <row r="147" spans="1:67" x14ac:dyDescent="0.25">
      <c r="A147" s="25" t="s">
        <v>175</v>
      </c>
      <c r="B147" s="9">
        <v>1729</v>
      </c>
      <c r="C147" s="9" t="s">
        <v>200</v>
      </c>
      <c r="D147" s="10">
        <v>3902137438373</v>
      </c>
      <c r="E147" s="10">
        <v>477686968325</v>
      </c>
      <c r="F147" s="10">
        <v>0</v>
      </c>
      <c r="G147" s="10">
        <v>0</v>
      </c>
      <c r="H147" s="10">
        <v>4379824406698</v>
      </c>
      <c r="I147" s="10">
        <v>324218971921</v>
      </c>
      <c r="J147" s="10">
        <v>6793905159</v>
      </c>
      <c r="K147" s="10">
        <v>4048811529618</v>
      </c>
      <c r="L147" s="10">
        <v>1968185046613</v>
      </c>
      <c r="M147" s="10">
        <v>2411639360085</v>
      </c>
      <c r="N147" s="46">
        <v>122.53112908438814</v>
      </c>
      <c r="O147" s="10">
        <v>4388419437282</v>
      </c>
      <c r="P147" s="11">
        <v>115.58</v>
      </c>
      <c r="Q147" s="11">
        <v>108.39</v>
      </c>
      <c r="R147" s="11">
        <v>0.5</v>
      </c>
      <c r="S147" s="10">
        <v>4628941021372</v>
      </c>
      <c r="T147" s="10">
        <v>19442893278</v>
      </c>
      <c r="U147" s="10">
        <v>14464524230</v>
      </c>
      <c r="V147" s="10">
        <v>2757075028</v>
      </c>
      <c r="W147" s="10">
        <v>2221294020</v>
      </c>
      <c r="X147" s="10">
        <v>4648383914650</v>
      </c>
      <c r="Y147" s="10">
        <v>5802935961</v>
      </c>
      <c r="Z147" s="10">
        <v>369711374244</v>
      </c>
      <c r="AA147" s="10">
        <v>44095682078</v>
      </c>
      <c r="AB147" s="10">
        <v>5062190970972</v>
      </c>
      <c r="AC147" s="10">
        <v>2509972110630</v>
      </c>
      <c r="AD147" s="46">
        <v>85.19663604880698</v>
      </c>
      <c r="AE147" s="10">
        <v>4476369348227</v>
      </c>
      <c r="AF147" s="10">
        <v>4476369348227</v>
      </c>
      <c r="AG147" s="10">
        <v>1093261277509</v>
      </c>
      <c r="AH147" s="10">
        <v>0</v>
      </c>
      <c r="AI147" s="10">
        <v>0</v>
      </c>
      <c r="AJ147" s="10">
        <v>0</v>
      </c>
      <c r="AK147" s="10">
        <v>0</v>
      </c>
      <c r="AL147" s="11">
        <v>14</v>
      </c>
      <c r="AM147" s="10">
        <v>2244946988205</v>
      </c>
      <c r="AN147" s="11">
        <v>79</v>
      </c>
      <c r="AO147" s="10">
        <v>993922737544</v>
      </c>
      <c r="AP147" s="12">
        <v>63</v>
      </c>
      <c r="AQ147" s="10">
        <v>305441971504</v>
      </c>
      <c r="AR147" s="10">
        <v>19442893278</v>
      </c>
      <c r="AS147" s="10">
        <v>13824683883</v>
      </c>
      <c r="AT147" s="10">
        <v>5618209395</v>
      </c>
      <c r="AU147" s="13">
        <v>40.64</v>
      </c>
      <c r="AV147" s="10">
        <v>2489996967427</v>
      </c>
      <c r="AW147" s="10">
        <v>306697897685</v>
      </c>
      <c r="AX147" s="10">
        <v>913459791087</v>
      </c>
      <c r="AY147" s="10">
        <v>323917690383</v>
      </c>
      <c r="AZ147" s="10">
        <v>1106337421103</v>
      </c>
      <c r="BA147" s="10">
        <v>1558422535800</v>
      </c>
      <c r="BB147" s="10">
        <v>586988086653</v>
      </c>
      <c r="BC147" s="10">
        <v>4379824406698</v>
      </c>
      <c r="BD147" s="12">
        <v>58831</v>
      </c>
      <c r="BE147" s="10">
        <v>1400230569856</v>
      </c>
      <c r="BF147" s="10">
        <v>1106337421103</v>
      </c>
      <c r="BG147" s="10">
        <v>1873256415739</v>
      </c>
      <c r="BH147" s="10">
        <v>3022917518779</v>
      </c>
      <c r="BI147" s="10">
        <v>1453451829448</v>
      </c>
      <c r="BJ147" s="10">
        <v>158384813171</v>
      </c>
      <c r="BK147" s="10">
        <v>0</v>
      </c>
      <c r="BL147" s="10">
        <v>922286467349</v>
      </c>
      <c r="BM147" s="10">
        <v>0</v>
      </c>
      <c r="BN147" s="10">
        <v>0</v>
      </c>
      <c r="BO147" s="10">
        <v>0</v>
      </c>
    </row>
    <row r="148" spans="1:67" x14ac:dyDescent="0.25">
      <c r="A148" s="25" t="s">
        <v>175</v>
      </c>
      <c r="B148" s="9">
        <v>1730</v>
      </c>
      <c r="C148" s="9" t="s">
        <v>201</v>
      </c>
      <c r="D148" s="10">
        <v>1916212459862</v>
      </c>
      <c r="E148" s="10">
        <v>131598678642</v>
      </c>
      <c r="F148" s="10">
        <v>0</v>
      </c>
      <c r="G148" s="10">
        <v>0</v>
      </c>
      <c r="H148" s="10">
        <v>2047811138504</v>
      </c>
      <c r="I148" s="10">
        <v>142038666157</v>
      </c>
      <c r="J148" s="10">
        <v>4787525400</v>
      </c>
      <c r="K148" s="10">
        <v>1900984946947</v>
      </c>
      <c r="L148" s="10">
        <v>1523392135071</v>
      </c>
      <c r="M148" s="10">
        <v>524419003433</v>
      </c>
      <c r="N148" s="46">
        <v>34.424426341715268</v>
      </c>
      <c r="O148" s="10">
        <v>1324941441192</v>
      </c>
      <c r="P148" s="11">
        <v>74.92</v>
      </c>
      <c r="Q148" s="11">
        <v>69.7</v>
      </c>
      <c r="R148" s="11">
        <v>0.96</v>
      </c>
      <c r="S148" s="10">
        <v>1322108900798</v>
      </c>
      <c r="T148" s="10">
        <v>13998036780</v>
      </c>
      <c r="U148" s="10">
        <v>7932839253</v>
      </c>
      <c r="V148" s="10">
        <v>5078783784</v>
      </c>
      <c r="W148" s="10">
        <v>986413743</v>
      </c>
      <c r="X148" s="10">
        <v>1336106937578</v>
      </c>
      <c r="Y148" s="10">
        <v>797649654</v>
      </c>
      <c r="Z148" s="10">
        <v>138771256087</v>
      </c>
      <c r="AA148" s="10">
        <v>59301540421</v>
      </c>
      <c r="AB148" s="10">
        <v>1534179734086</v>
      </c>
      <c r="AC148" s="10">
        <v>1034315221118</v>
      </c>
      <c r="AD148" s="46">
        <v>29.177924707884586</v>
      </c>
      <c r="AE148" s="10">
        <v>720800778137</v>
      </c>
      <c r="AF148" s="10">
        <v>720800778137</v>
      </c>
      <c r="AG148" s="10">
        <v>0</v>
      </c>
      <c r="AH148" s="10">
        <v>12281625</v>
      </c>
      <c r="AI148" s="10">
        <v>0</v>
      </c>
      <c r="AJ148" s="10">
        <v>0</v>
      </c>
      <c r="AK148" s="10">
        <v>0</v>
      </c>
      <c r="AL148" s="11">
        <v>0</v>
      </c>
      <c r="AM148" s="10">
        <v>0</v>
      </c>
      <c r="AN148" s="11">
        <v>245</v>
      </c>
      <c r="AO148" s="10">
        <v>1831702196413</v>
      </c>
      <c r="AP148" s="12">
        <v>67</v>
      </c>
      <c r="AQ148" s="10">
        <v>360979767365</v>
      </c>
      <c r="AR148" s="10">
        <v>13998036780</v>
      </c>
      <c r="AS148" s="10">
        <v>10235274984</v>
      </c>
      <c r="AT148" s="10">
        <v>3762761796</v>
      </c>
      <c r="AU148" s="11">
        <v>36.76</v>
      </c>
      <c r="AV148" s="10">
        <v>410253616703</v>
      </c>
      <c r="AW148" s="10">
        <v>47531336537</v>
      </c>
      <c r="AX148" s="10">
        <v>401632639442</v>
      </c>
      <c r="AY148" s="10">
        <v>265223662874</v>
      </c>
      <c r="AZ148" s="10">
        <v>742080557546</v>
      </c>
      <c r="BA148" s="10">
        <v>507275600000</v>
      </c>
      <c r="BB148" s="10">
        <v>573394054851</v>
      </c>
      <c r="BC148" s="10">
        <v>2047811138504</v>
      </c>
      <c r="BD148" s="12">
        <v>124116</v>
      </c>
      <c r="BE148" s="10">
        <v>798395930571</v>
      </c>
      <c r="BF148" s="10">
        <v>742080557546</v>
      </c>
      <c r="BG148" s="10">
        <v>507334650387</v>
      </c>
      <c r="BH148" s="10">
        <v>435532914505</v>
      </c>
      <c r="BI148" s="10">
        <v>285267863632</v>
      </c>
      <c r="BJ148" s="10">
        <v>0</v>
      </c>
      <c r="BK148" s="10">
        <v>0</v>
      </c>
      <c r="BL148" s="10">
        <v>0</v>
      </c>
      <c r="BM148" s="10">
        <v>0</v>
      </c>
      <c r="BN148" s="10">
        <v>0</v>
      </c>
      <c r="BO148" s="10">
        <v>12281625</v>
      </c>
    </row>
    <row r="149" spans="1:67" x14ac:dyDescent="0.25">
      <c r="A149" s="25" t="s">
        <v>175</v>
      </c>
      <c r="B149" s="9">
        <v>1731</v>
      </c>
      <c r="C149" s="9" t="s">
        <v>202</v>
      </c>
      <c r="D149" s="10">
        <v>5480104619318</v>
      </c>
      <c r="E149" s="10">
        <v>933575666284</v>
      </c>
      <c r="F149" s="10">
        <v>0</v>
      </c>
      <c r="G149" s="10">
        <v>9060244006</v>
      </c>
      <c r="H149" s="10">
        <v>6422740529608</v>
      </c>
      <c r="I149" s="10">
        <v>476157140749</v>
      </c>
      <c r="J149" s="10">
        <v>11372704444</v>
      </c>
      <c r="K149" s="10">
        <v>5935210684415</v>
      </c>
      <c r="L149" s="10">
        <v>5127543973283</v>
      </c>
      <c r="M149" s="10">
        <v>1295196556325</v>
      </c>
      <c r="N149" s="46">
        <v>25.259589446206693</v>
      </c>
      <c r="O149" s="10">
        <v>3616738101393</v>
      </c>
      <c r="P149" s="11">
        <v>65.790000000000006</v>
      </c>
      <c r="Q149" s="11">
        <v>60.94</v>
      </c>
      <c r="R149" s="11">
        <v>15.54</v>
      </c>
      <c r="S149" s="10">
        <v>3285907209097</v>
      </c>
      <c r="T149" s="10">
        <v>513893285267</v>
      </c>
      <c r="U149" s="10">
        <v>7530350634</v>
      </c>
      <c r="V149" s="10">
        <v>12119951262</v>
      </c>
      <c r="W149" s="10">
        <v>494242983371</v>
      </c>
      <c r="X149" s="10">
        <v>3799800494364</v>
      </c>
      <c r="Y149" s="10">
        <v>142809449859</v>
      </c>
      <c r="Z149" s="10">
        <v>415075451589</v>
      </c>
      <c r="AA149" s="10">
        <v>10383072000</v>
      </c>
      <c r="AB149" s="10">
        <v>4225259017953</v>
      </c>
      <c r="AC149" s="10">
        <v>2687688387647</v>
      </c>
      <c r="AD149" s="46">
        <v>41.378015093878673</v>
      </c>
      <c r="AE149" s="10">
        <v>5137066413507</v>
      </c>
      <c r="AF149" s="10">
        <v>5137066413507</v>
      </c>
      <c r="AG149" s="10">
        <v>2058547875985</v>
      </c>
      <c r="AH149" s="10">
        <v>136449455580</v>
      </c>
      <c r="AI149" s="10">
        <v>0</v>
      </c>
      <c r="AJ149" s="10">
        <v>0</v>
      </c>
      <c r="AK149" s="10">
        <v>0</v>
      </c>
      <c r="AL149" s="11">
        <v>23</v>
      </c>
      <c r="AM149" s="10">
        <v>3680678354305</v>
      </c>
      <c r="AN149" s="11">
        <v>113</v>
      </c>
      <c r="AO149" s="10">
        <v>6546122090029</v>
      </c>
      <c r="AP149" s="12">
        <v>183</v>
      </c>
      <c r="AQ149" s="10">
        <v>2521261030696</v>
      </c>
      <c r="AR149" s="10">
        <v>513893285267</v>
      </c>
      <c r="AS149" s="10">
        <v>767541898233</v>
      </c>
      <c r="AT149" s="10">
        <v>-253648612966</v>
      </c>
      <c r="AU149" s="11">
        <v>-33.049999999999997</v>
      </c>
      <c r="AV149" s="10">
        <v>4029621968789</v>
      </c>
      <c r="AW149" s="10">
        <v>455685140015</v>
      </c>
      <c r="AX149" s="10">
        <v>1432611120424</v>
      </c>
      <c r="AY149" s="10">
        <v>463684959654</v>
      </c>
      <c r="AZ149" s="10">
        <v>243756539240</v>
      </c>
      <c r="BA149" s="10">
        <v>3340052000000</v>
      </c>
      <c r="BB149" s="10">
        <v>102452913145</v>
      </c>
      <c r="BC149" s="10">
        <v>6422740529608</v>
      </c>
      <c r="BD149" s="12">
        <v>23391</v>
      </c>
      <c r="BE149" s="10">
        <v>2797133609092</v>
      </c>
      <c r="BF149" s="10">
        <v>243756539240</v>
      </c>
      <c r="BG149" s="10">
        <v>3381850381276</v>
      </c>
      <c r="BH149" s="10">
        <v>2107175597461</v>
      </c>
      <c r="BI149" s="10">
        <v>3029890816046</v>
      </c>
      <c r="BJ149" s="10">
        <v>0</v>
      </c>
      <c r="BK149" s="10">
        <v>386557850088</v>
      </c>
      <c r="BL149" s="10">
        <v>2094547875985</v>
      </c>
      <c r="BM149" s="10">
        <v>0</v>
      </c>
      <c r="BN149" s="10">
        <v>0</v>
      </c>
      <c r="BO149" s="10">
        <v>136449455580</v>
      </c>
    </row>
    <row r="150" spans="1:67" x14ac:dyDescent="0.25">
      <c r="A150" s="25" t="s">
        <v>175</v>
      </c>
      <c r="B150" s="9">
        <v>1732</v>
      </c>
      <c r="C150" s="9" t="s">
        <v>203</v>
      </c>
      <c r="D150" s="10">
        <v>7919478780508</v>
      </c>
      <c r="E150" s="10">
        <v>454037971213</v>
      </c>
      <c r="F150" s="10">
        <v>0</v>
      </c>
      <c r="G150" s="10">
        <v>5562172641</v>
      </c>
      <c r="H150" s="10">
        <v>8379078924362</v>
      </c>
      <c r="I150" s="10">
        <v>623733120076</v>
      </c>
      <c r="J150" s="10">
        <v>7969269702</v>
      </c>
      <c r="K150" s="10">
        <v>7747376534584</v>
      </c>
      <c r="L150" s="10">
        <v>2848420716913</v>
      </c>
      <c r="M150" s="10">
        <v>5530658207449</v>
      </c>
      <c r="N150" s="46">
        <v>194.16577665685907</v>
      </c>
      <c r="O150" s="10">
        <v>9243981352990</v>
      </c>
      <c r="P150" s="11">
        <v>174.24</v>
      </c>
      <c r="Q150" s="11">
        <v>119.32</v>
      </c>
      <c r="R150" s="11">
        <v>1.0900000000000001</v>
      </c>
      <c r="S150" s="10">
        <v>13895039104088</v>
      </c>
      <c r="T150" s="10">
        <v>144853937035</v>
      </c>
      <c r="U150" s="10">
        <v>15532479005</v>
      </c>
      <c r="V150" s="10">
        <v>8859073937</v>
      </c>
      <c r="W150" s="10">
        <v>120462384093</v>
      </c>
      <c r="X150" s="10">
        <v>14039893041123</v>
      </c>
      <c r="Y150" s="10">
        <v>13871838270</v>
      </c>
      <c r="Z150" s="10">
        <v>519970292290</v>
      </c>
      <c r="AA150" s="10">
        <v>39637990743</v>
      </c>
      <c r="AB150" s="10">
        <v>14599501324156</v>
      </c>
      <c r="AC150" s="10">
        <v>9531328334037</v>
      </c>
      <c r="AD150" s="46">
        <v>47.302585212447454</v>
      </c>
      <c r="AE150" s="10">
        <v>7513379787558</v>
      </c>
      <c r="AF150" s="10">
        <v>7513379787558</v>
      </c>
      <c r="AG150" s="10">
        <v>225769152000</v>
      </c>
      <c r="AH150" s="10">
        <v>1189688926</v>
      </c>
      <c r="AI150" s="10">
        <v>0</v>
      </c>
      <c r="AJ150" s="10">
        <v>0</v>
      </c>
      <c r="AK150" s="10">
        <v>0</v>
      </c>
      <c r="AL150" s="11">
        <v>2</v>
      </c>
      <c r="AM150" s="10">
        <v>244131600000</v>
      </c>
      <c r="AN150" s="11">
        <v>40</v>
      </c>
      <c r="AO150" s="10">
        <v>5829611805267</v>
      </c>
      <c r="AP150" s="12">
        <v>71</v>
      </c>
      <c r="AQ150" s="10">
        <v>2193311991583</v>
      </c>
      <c r="AR150" s="10">
        <v>144853937035</v>
      </c>
      <c r="AS150" s="10">
        <v>30140978218</v>
      </c>
      <c r="AT150" s="10">
        <v>114712958817</v>
      </c>
      <c r="AU150" s="11">
        <v>380.59</v>
      </c>
      <c r="AV150" s="10">
        <v>4505500334419</v>
      </c>
      <c r="AW150" s="10">
        <v>91343444544</v>
      </c>
      <c r="AX150" s="10">
        <v>1264384192544</v>
      </c>
      <c r="AY150" s="10">
        <v>1044572793116</v>
      </c>
      <c r="AZ150" s="10">
        <v>988712794848</v>
      </c>
      <c r="BA150" s="10">
        <v>4621809000000</v>
      </c>
      <c r="BB150" s="10">
        <v>717529447584</v>
      </c>
      <c r="BC150" s="10">
        <v>8379078924362</v>
      </c>
      <c r="BD150" s="12">
        <v>51349</v>
      </c>
      <c r="BE150" s="10">
        <v>2768557129514</v>
      </c>
      <c r="BF150" s="10">
        <v>988712794848</v>
      </c>
      <c r="BG150" s="10">
        <v>4621809000000</v>
      </c>
      <c r="BH150" s="10">
        <v>5058262803530</v>
      </c>
      <c r="BI150" s="10">
        <v>2455116984028</v>
      </c>
      <c r="BJ150" s="10">
        <v>64606080000</v>
      </c>
      <c r="BK150" s="10">
        <v>109920992154</v>
      </c>
      <c r="BL150" s="10">
        <v>30463872000</v>
      </c>
      <c r="BM150" s="10">
        <v>0</v>
      </c>
      <c r="BN150" s="10">
        <v>0</v>
      </c>
      <c r="BO150" s="10">
        <v>1189688926</v>
      </c>
    </row>
    <row r="151" spans="1:67" x14ac:dyDescent="0.25">
      <c r="A151" s="25" t="s">
        <v>175</v>
      </c>
      <c r="B151" s="9">
        <v>1733</v>
      </c>
      <c r="C151" s="9" t="s">
        <v>204</v>
      </c>
      <c r="D151" s="10">
        <v>10400906311741</v>
      </c>
      <c r="E151" s="10">
        <v>18725787924</v>
      </c>
      <c r="F151" s="10">
        <v>1700000000000</v>
      </c>
      <c r="G151" s="10">
        <v>0</v>
      </c>
      <c r="H151" s="10">
        <v>12119632099665</v>
      </c>
      <c r="I151" s="10">
        <v>1014794720402</v>
      </c>
      <c r="J151" s="10">
        <v>2736184800</v>
      </c>
      <c r="K151" s="10">
        <v>11102101194463</v>
      </c>
      <c r="L151" s="10">
        <v>8313335471312</v>
      </c>
      <c r="M151" s="10">
        <v>3806296628353</v>
      </c>
      <c r="N151" s="46">
        <v>45.785432832440421</v>
      </c>
      <c r="O151" s="10">
        <v>2503650301020</v>
      </c>
      <c r="P151" s="11">
        <v>50.19</v>
      </c>
      <c r="Q151" s="11">
        <v>22.55</v>
      </c>
      <c r="R151" s="11">
        <v>1.41</v>
      </c>
      <c r="S151" s="10">
        <v>5848232568501</v>
      </c>
      <c r="T151" s="10">
        <v>28123554244</v>
      </c>
      <c r="U151" s="10">
        <v>4913318704</v>
      </c>
      <c r="V151" s="10">
        <v>1066351085</v>
      </c>
      <c r="W151" s="10">
        <v>22143884455</v>
      </c>
      <c r="X151" s="10">
        <v>5876356122745</v>
      </c>
      <c r="Y151" s="10">
        <v>57605036355</v>
      </c>
      <c r="Z151" s="10">
        <v>165023155341</v>
      </c>
      <c r="AA151" s="10">
        <v>40925681622</v>
      </c>
      <c r="AB151" s="10">
        <v>6082304959708</v>
      </c>
      <c r="AC151" s="10">
        <v>2438301649788</v>
      </c>
      <c r="AD151" s="46">
        <v>141.00201561426678</v>
      </c>
      <c r="AE151" s="10">
        <v>2077535146071</v>
      </c>
      <c r="AF151" s="10">
        <v>2077535146071</v>
      </c>
      <c r="AG151" s="10">
        <v>85202400381</v>
      </c>
      <c r="AH151" s="10">
        <v>167860000</v>
      </c>
      <c r="AI151" s="10">
        <v>0</v>
      </c>
      <c r="AJ151" s="10">
        <v>0</v>
      </c>
      <c r="AK151" s="10">
        <v>0</v>
      </c>
      <c r="AL151" s="11">
        <v>2</v>
      </c>
      <c r="AM151" s="10">
        <v>156734424000</v>
      </c>
      <c r="AN151" s="11">
        <v>31</v>
      </c>
      <c r="AO151" s="10">
        <v>214267112128</v>
      </c>
      <c r="AP151" s="12">
        <v>10</v>
      </c>
      <c r="AQ151" s="10">
        <v>31200770000</v>
      </c>
      <c r="AR151" s="10">
        <v>28123554244</v>
      </c>
      <c r="AS151" s="10">
        <v>26530772039</v>
      </c>
      <c r="AT151" s="10">
        <v>1592782205</v>
      </c>
      <c r="AU151" s="11">
        <v>6</v>
      </c>
      <c r="AV151" s="10">
        <v>869006183629</v>
      </c>
      <c r="AW151" s="10">
        <v>43596690757</v>
      </c>
      <c r="AX151" s="10">
        <v>150449958359</v>
      </c>
      <c r="AY151" s="10">
        <v>99010053068</v>
      </c>
      <c r="AZ151" s="10">
        <v>267593951199</v>
      </c>
      <c r="BA151" s="10">
        <v>9883852349115</v>
      </c>
      <c r="BB151" s="10">
        <v>48111073178</v>
      </c>
      <c r="BC151" s="10">
        <v>12119632099665</v>
      </c>
      <c r="BD151" s="12">
        <v>522852</v>
      </c>
      <c r="BE151" s="10">
        <v>268185799351</v>
      </c>
      <c r="BF151" s="10">
        <v>1967593951199</v>
      </c>
      <c r="BG151" s="10">
        <v>9883852349115</v>
      </c>
      <c r="BH151" s="10">
        <v>909318016935</v>
      </c>
      <c r="BI151" s="10">
        <v>1168217129136</v>
      </c>
      <c r="BJ151" s="10">
        <v>18917375507</v>
      </c>
      <c r="BK151" s="10">
        <v>0</v>
      </c>
      <c r="BL151" s="10">
        <v>22723312352</v>
      </c>
      <c r="BM151" s="10">
        <v>0</v>
      </c>
      <c r="BN151" s="10">
        <v>0</v>
      </c>
      <c r="BO151" s="10">
        <v>167860000</v>
      </c>
    </row>
    <row r="152" spans="1:67" x14ac:dyDescent="0.25">
      <c r="A152" s="25" t="s">
        <v>175</v>
      </c>
      <c r="B152" s="9">
        <v>1734</v>
      </c>
      <c r="C152" s="9" t="s">
        <v>205</v>
      </c>
      <c r="D152" s="10">
        <v>5049622297169</v>
      </c>
      <c r="E152" s="10">
        <v>66224369741</v>
      </c>
      <c r="F152" s="10">
        <v>0</v>
      </c>
      <c r="G152" s="10">
        <v>0</v>
      </c>
      <c r="H152" s="10">
        <v>5115846666910</v>
      </c>
      <c r="I152" s="10">
        <v>380413417321</v>
      </c>
      <c r="J152" s="10">
        <v>3624669800</v>
      </c>
      <c r="K152" s="10">
        <v>4731808579789</v>
      </c>
      <c r="L152" s="10">
        <v>2962174861925</v>
      </c>
      <c r="M152" s="10">
        <v>2153671804985</v>
      </c>
      <c r="N152" s="46">
        <v>72.7057619949355</v>
      </c>
      <c r="O152" s="10">
        <v>2498501528518</v>
      </c>
      <c r="P152" s="11">
        <v>52.15</v>
      </c>
      <c r="Q152" s="11">
        <v>52.8</v>
      </c>
      <c r="R152" s="11">
        <v>7.0000000000000007E-2</v>
      </c>
      <c r="S152" s="10">
        <v>2595319184698</v>
      </c>
      <c r="T152" s="10">
        <v>1565884216</v>
      </c>
      <c r="U152" s="10">
        <v>1167165371</v>
      </c>
      <c r="V152" s="10">
        <v>3868141</v>
      </c>
      <c r="W152" s="10">
        <v>394850704</v>
      </c>
      <c r="X152" s="10">
        <v>2596885068914</v>
      </c>
      <c r="Y152" s="10">
        <v>404611205</v>
      </c>
      <c r="Z152" s="10">
        <v>66371452970</v>
      </c>
      <c r="AA152" s="10">
        <v>4894940000</v>
      </c>
      <c r="AB152" s="10">
        <v>2668151461884</v>
      </c>
      <c r="AC152" s="10">
        <v>1619285950619</v>
      </c>
      <c r="AD152" s="46">
        <v>60.372234929926726</v>
      </c>
      <c r="AE152" s="10">
        <v>2515212603639</v>
      </c>
      <c r="AF152" s="10">
        <v>2515212603639</v>
      </c>
      <c r="AG152" s="10">
        <v>64312405503</v>
      </c>
      <c r="AH152" s="10">
        <v>24109169614</v>
      </c>
      <c r="AI152" s="10">
        <v>0</v>
      </c>
      <c r="AJ152" s="10">
        <v>0</v>
      </c>
      <c r="AK152" s="10">
        <v>0</v>
      </c>
      <c r="AL152" s="11">
        <v>4</v>
      </c>
      <c r="AM152" s="10">
        <v>280362088122</v>
      </c>
      <c r="AN152" s="11">
        <v>25</v>
      </c>
      <c r="AO152" s="10">
        <v>674370894571</v>
      </c>
      <c r="AP152" s="12">
        <v>20</v>
      </c>
      <c r="AQ152" s="10">
        <v>72848489282</v>
      </c>
      <c r="AR152" s="10">
        <v>1565884216</v>
      </c>
      <c r="AS152" s="10">
        <v>1213726527</v>
      </c>
      <c r="AT152" s="10">
        <v>352157689</v>
      </c>
      <c r="AU152" s="11">
        <v>29.01</v>
      </c>
      <c r="AV152" s="10">
        <v>1543691747145</v>
      </c>
      <c r="AW152" s="10">
        <v>10191082988</v>
      </c>
      <c r="AX152" s="10">
        <v>994788230552</v>
      </c>
      <c r="AY152" s="10">
        <v>87013931347</v>
      </c>
      <c r="AZ152" s="10">
        <v>1339889135270</v>
      </c>
      <c r="BA152" s="10">
        <v>2627931000000</v>
      </c>
      <c r="BB152" s="10">
        <v>262613234718</v>
      </c>
      <c r="BC152" s="10">
        <v>5115084922616</v>
      </c>
      <c r="BD152" s="12">
        <v>57326</v>
      </c>
      <c r="BE152" s="10">
        <v>1148026531640</v>
      </c>
      <c r="BF152" s="10">
        <v>1339889135270</v>
      </c>
      <c r="BG152" s="10">
        <v>2627931000000</v>
      </c>
      <c r="BH152" s="10">
        <v>2242334819525</v>
      </c>
      <c r="BI152" s="10">
        <v>272877784114</v>
      </c>
      <c r="BJ152" s="10">
        <v>0</v>
      </c>
      <c r="BK152" s="10">
        <v>0</v>
      </c>
      <c r="BL152" s="10">
        <v>64312405503</v>
      </c>
      <c r="BM152" s="10">
        <v>0</v>
      </c>
      <c r="BN152" s="10">
        <v>0</v>
      </c>
      <c r="BO152" s="10">
        <v>24109169614</v>
      </c>
    </row>
    <row r="153" spans="1:67" x14ac:dyDescent="0.25">
      <c r="A153" s="25" t="s">
        <v>175</v>
      </c>
      <c r="B153" s="9">
        <v>1735</v>
      </c>
      <c r="C153" s="9" t="s">
        <v>206</v>
      </c>
      <c r="D153" s="10">
        <v>1861668062446</v>
      </c>
      <c r="E153" s="10">
        <v>8279117164</v>
      </c>
      <c r="F153" s="10">
        <v>0</v>
      </c>
      <c r="G153" s="10">
        <v>0</v>
      </c>
      <c r="H153" s="10">
        <v>1869947179610</v>
      </c>
      <c r="I153" s="10">
        <v>149397544474</v>
      </c>
      <c r="J153" s="10">
        <v>2684755129</v>
      </c>
      <c r="K153" s="10">
        <v>1717864880007</v>
      </c>
      <c r="L153" s="10">
        <v>674803630854</v>
      </c>
      <c r="M153" s="10">
        <v>1195143548756</v>
      </c>
      <c r="N153" s="46">
        <v>177.10982782405634</v>
      </c>
      <c r="O153" s="10">
        <v>824500018596</v>
      </c>
      <c r="P153" s="11">
        <v>50.8</v>
      </c>
      <c r="Q153" s="11">
        <v>48</v>
      </c>
      <c r="R153" s="11">
        <v>0.33</v>
      </c>
      <c r="S153" s="10">
        <v>838769830376</v>
      </c>
      <c r="T153" s="10">
        <v>2956030168</v>
      </c>
      <c r="U153" s="10">
        <v>1729955295</v>
      </c>
      <c r="V153" s="10">
        <v>1114033232</v>
      </c>
      <c r="W153" s="10">
        <v>112041641</v>
      </c>
      <c r="X153" s="10">
        <v>841725860544</v>
      </c>
      <c r="Y153" s="10">
        <v>166635985</v>
      </c>
      <c r="Z153" s="10">
        <v>84704667051</v>
      </c>
      <c r="AA153" s="10">
        <v>23411628814</v>
      </c>
      <c r="AB153" s="10">
        <v>949842156409</v>
      </c>
      <c r="AC153" s="10">
        <v>361610281964</v>
      </c>
      <c r="AD153" s="46">
        <v>132.77155062416</v>
      </c>
      <c r="AE153" s="10">
        <v>795515648356</v>
      </c>
      <c r="AF153" s="10">
        <v>795515648356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1">
        <v>0</v>
      </c>
      <c r="AM153" s="10">
        <v>0</v>
      </c>
      <c r="AN153" s="11">
        <v>10</v>
      </c>
      <c r="AO153" s="10">
        <v>120920664038</v>
      </c>
      <c r="AP153" s="12">
        <v>3</v>
      </c>
      <c r="AQ153" s="10">
        <v>2188789887</v>
      </c>
      <c r="AR153" s="10">
        <v>2956030168</v>
      </c>
      <c r="AS153" s="10">
        <v>3079410285</v>
      </c>
      <c r="AT153" s="10">
        <v>-123380117</v>
      </c>
      <c r="AU153" s="11">
        <v>-4.01</v>
      </c>
      <c r="AV153" s="10">
        <v>350448111095</v>
      </c>
      <c r="AW153" s="10">
        <v>12539357241</v>
      </c>
      <c r="AX153" s="10">
        <v>276159952643</v>
      </c>
      <c r="AY153" s="10">
        <v>72181922492</v>
      </c>
      <c r="AZ153" s="10">
        <v>754416247111</v>
      </c>
      <c r="BA153" s="10">
        <v>758909940200</v>
      </c>
      <c r="BB153" s="10">
        <v>550129197938</v>
      </c>
      <c r="BC153" s="10">
        <v>1869947179610</v>
      </c>
      <c r="BD153" s="12">
        <v>64975</v>
      </c>
      <c r="BE153" s="10">
        <v>356620992299</v>
      </c>
      <c r="BF153" s="10">
        <v>754416247111</v>
      </c>
      <c r="BG153" s="10">
        <v>758909940200</v>
      </c>
      <c r="BH153" s="10">
        <v>237659174400</v>
      </c>
      <c r="BI153" s="10">
        <v>557856473956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0</v>
      </c>
    </row>
    <row r="154" spans="1:67" x14ac:dyDescent="0.25">
      <c r="A154" s="25" t="s">
        <v>175</v>
      </c>
      <c r="B154" s="9">
        <v>1736</v>
      </c>
      <c r="C154" s="9" t="s">
        <v>207</v>
      </c>
      <c r="D154" s="10">
        <v>5951083134728</v>
      </c>
      <c r="E154" s="10">
        <v>94794227091</v>
      </c>
      <c r="F154" s="10">
        <v>0</v>
      </c>
      <c r="G154" s="10">
        <v>0</v>
      </c>
      <c r="H154" s="10">
        <v>6045877361819</v>
      </c>
      <c r="I154" s="10">
        <v>368592787971</v>
      </c>
      <c r="J154" s="10">
        <v>3287855488</v>
      </c>
      <c r="K154" s="10">
        <v>5673996718360</v>
      </c>
      <c r="L154" s="10">
        <v>3233705757542</v>
      </c>
      <c r="M154" s="10">
        <v>2812171604277</v>
      </c>
      <c r="N154" s="46">
        <v>86.964362719710891</v>
      </c>
      <c r="O154" s="10">
        <v>2796460551797</v>
      </c>
      <c r="P154" s="11">
        <v>60.8</v>
      </c>
      <c r="Q154" s="11">
        <v>49.29</v>
      </c>
      <c r="R154" s="11">
        <v>0.38</v>
      </c>
      <c r="S154" s="10">
        <v>3272787897893</v>
      </c>
      <c r="T154" s="10">
        <v>13766657451</v>
      </c>
      <c r="U154" s="10">
        <v>8376156306</v>
      </c>
      <c r="V154" s="10">
        <v>5257625872</v>
      </c>
      <c r="W154" s="10">
        <v>132875273</v>
      </c>
      <c r="X154" s="10">
        <v>3286554555344</v>
      </c>
      <c r="Y154" s="10">
        <v>232535791</v>
      </c>
      <c r="Z154" s="10">
        <v>348976254000</v>
      </c>
      <c r="AA154" s="10">
        <v>40237358383</v>
      </c>
      <c r="AB154" s="10">
        <v>3675768167727</v>
      </c>
      <c r="AC154" s="10">
        <v>1874629193129</v>
      </c>
      <c r="AD154" s="46">
        <v>75.317581065635324</v>
      </c>
      <c r="AE154" s="10">
        <v>2480403489926</v>
      </c>
      <c r="AF154" s="10">
        <v>2480403489926</v>
      </c>
      <c r="AG154" s="10">
        <v>0</v>
      </c>
      <c r="AH154" s="10">
        <v>104591250</v>
      </c>
      <c r="AI154" s="10">
        <v>0</v>
      </c>
      <c r="AJ154" s="10">
        <v>0</v>
      </c>
      <c r="AK154" s="10">
        <v>0</v>
      </c>
      <c r="AL154" s="11">
        <v>0</v>
      </c>
      <c r="AM154" s="10">
        <v>0</v>
      </c>
      <c r="AN154" s="11">
        <v>34</v>
      </c>
      <c r="AO154" s="10">
        <v>483094227140</v>
      </c>
      <c r="AP154" s="12">
        <v>14</v>
      </c>
      <c r="AQ154" s="10">
        <v>87404566279</v>
      </c>
      <c r="AR154" s="10">
        <v>13766657451</v>
      </c>
      <c r="AS154" s="10">
        <v>5705098017</v>
      </c>
      <c r="AT154" s="10">
        <v>8061559434</v>
      </c>
      <c r="AU154" s="11">
        <v>141.30000000000001</v>
      </c>
      <c r="AV154" s="10">
        <v>1139653418492</v>
      </c>
      <c r="AW154" s="10">
        <v>26773110475</v>
      </c>
      <c r="AX154" s="10">
        <v>502743989938</v>
      </c>
      <c r="AY154" s="10">
        <v>180833971973</v>
      </c>
      <c r="AZ154" s="10">
        <v>1117904067888</v>
      </c>
      <c r="BA154" s="10">
        <v>4149601104929</v>
      </c>
      <c r="BB154" s="10">
        <v>705405817798</v>
      </c>
      <c r="BC154" s="10">
        <v>6045877361819</v>
      </c>
      <c r="BD154" s="12">
        <v>48000</v>
      </c>
      <c r="BE154" s="10">
        <v>777486552343</v>
      </c>
      <c r="BF154" s="10">
        <v>1117904067888</v>
      </c>
      <c r="BG154" s="10">
        <v>4150486741588</v>
      </c>
      <c r="BH154" s="10">
        <v>737006116771</v>
      </c>
      <c r="BI154" s="10">
        <v>1743397373155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104591250</v>
      </c>
    </row>
    <row r="155" spans="1:67" x14ac:dyDescent="0.25">
      <c r="A155" s="25" t="s">
        <v>175</v>
      </c>
      <c r="B155" s="9">
        <v>1737</v>
      </c>
      <c r="C155" s="9" t="s">
        <v>208</v>
      </c>
      <c r="D155" s="10">
        <v>1440518513251</v>
      </c>
      <c r="E155" s="10">
        <v>13982443646</v>
      </c>
      <c r="F155" s="10">
        <v>0</v>
      </c>
      <c r="G155" s="10">
        <v>0</v>
      </c>
      <c r="H155" s="10">
        <v>1454500956897</v>
      </c>
      <c r="I155" s="10">
        <v>110150896706</v>
      </c>
      <c r="J155" s="10">
        <v>3050497200</v>
      </c>
      <c r="K155" s="10">
        <v>1341299562991</v>
      </c>
      <c r="L155" s="10">
        <v>1304136981300</v>
      </c>
      <c r="M155" s="10">
        <v>150363975597</v>
      </c>
      <c r="N155" s="46">
        <v>11.529768555992716</v>
      </c>
      <c r="O155" s="10">
        <v>572615402039</v>
      </c>
      <c r="P155" s="11">
        <v>47.78</v>
      </c>
      <c r="Q155" s="11">
        <v>42.69</v>
      </c>
      <c r="R155" s="11">
        <v>0.28000000000000003</v>
      </c>
      <c r="S155" s="10">
        <v>601679234012</v>
      </c>
      <c r="T155" s="10">
        <v>1965750994</v>
      </c>
      <c r="U155" s="10">
        <v>1681594111</v>
      </c>
      <c r="V155" s="10">
        <v>284156883</v>
      </c>
      <c r="W155" s="10">
        <v>0</v>
      </c>
      <c r="X155" s="10">
        <v>603644985006</v>
      </c>
      <c r="Y155" s="10">
        <v>0</v>
      </c>
      <c r="Z155" s="10">
        <v>54510901975</v>
      </c>
      <c r="AA155" s="10">
        <v>36807841080</v>
      </c>
      <c r="AB155" s="10">
        <v>694963728061</v>
      </c>
      <c r="AC155" s="10">
        <v>351874959449</v>
      </c>
      <c r="AD155" s="46">
        <v>71.550992418228901</v>
      </c>
      <c r="AE155" s="10">
        <v>381953188465</v>
      </c>
      <c r="AF155" s="10">
        <v>381953188465</v>
      </c>
      <c r="AG155" s="10">
        <v>0</v>
      </c>
      <c r="AH155" s="10">
        <v>36007381</v>
      </c>
      <c r="AI155" s="10">
        <v>0</v>
      </c>
      <c r="AJ155" s="10">
        <v>0</v>
      </c>
      <c r="AK155" s="10">
        <v>0</v>
      </c>
      <c r="AL155" s="11">
        <v>0</v>
      </c>
      <c r="AM155" s="10">
        <v>0</v>
      </c>
      <c r="AN155" s="11">
        <v>11</v>
      </c>
      <c r="AO155" s="10">
        <v>98401000000</v>
      </c>
      <c r="AP155" s="12">
        <v>8</v>
      </c>
      <c r="AQ155" s="10">
        <v>14491717703</v>
      </c>
      <c r="AR155" s="10">
        <v>1965750994</v>
      </c>
      <c r="AS155" s="10">
        <v>761571190</v>
      </c>
      <c r="AT155" s="10">
        <v>1204179804</v>
      </c>
      <c r="AU155" s="11">
        <v>158.12</v>
      </c>
      <c r="AV155" s="10">
        <v>165850029403</v>
      </c>
      <c r="AW155" s="10">
        <v>8252986959</v>
      </c>
      <c r="AX155" s="10">
        <v>223814584084</v>
      </c>
      <c r="AY155" s="10">
        <v>43925472560</v>
      </c>
      <c r="AZ155" s="10">
        <v>184095548591</v>
      </c>
      <c r="BA155" s="10">
        <v>988682908016</v>
      </c>
      <c r="BB155" s="10">
        <v>133356379255</v>
      </c>
      <c r="BC155" s="10">
        <v>1454500956897</v>
      </c>
      <c r="BD155" s="12">
        <v>10606</v>
      </c>
      <c r="BE155" s="10">
        <v>281722500290</v>
      </c>
      <c r="BF155" s="10">
        <v>184095548591</v>
      </c>
      <c r="BG155" s="10">
        <v>988682908016</v>
      </c>
      <c r="BH155" s="10">
        <v>192534026163</v>
      </c>
      <c r="BI155" s="10">
        <v>189419162302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36007381</v>
      </c>
    </row>
    <row r="156" spans="1:67" x14ac:dyDescent="0.25">
      <c r="A156" s="25" t="s">
        <v>175</v>
      </c>
      <c r="B156" s="9">
        <v>1738</v>
      </c>
      <c r="C156" s="9" t="s">
        <v>209</v>
      </c>
      <c r="D156" s="10">
        <v>1490789644336</v>
      </c>
      <c r="E156" s="10">
        <v>39345180201</v>
      </c>
      <c r="F156" s="10">
        <v>0</v>
      </c>
      <c r="G156" s="10">
        <v>0</v>
      </c>
      <c r="H156" s="10">
        <v>1530134824537</v>
      </c>
      <c r="I156" s="10">
        <v>112832887072</v>
      </c>
      <c r="J156" s="10">
        <v>1310073200</v>
      </c>
      <c r="K156" s="10">
        <v>1415991864265</v>
      </c>
      <c r="L156" s="10">
        <v>1189450157068</v>
      </c>
      <c r="M156" s="10">
        <v>340684667469</v>
      </c>
      <c r="N156" s="46">
        <v>28.642197862984798</v>
      </c>
      <c r="O156" s="10">
        <v>793262016836</v>
      </c>
      <c r="P156" s="11">
        <v>59.75</v>
      </c>
      <c r="Q156" s="11">
        <v>56.02</v>
      </c>
      <c r="R156" s="11">
        <v>0.48</v>
      </c>
      <c r="S156" s="10">
        <v>813978216240</v>
      </c>
      <c r="T156" s="10">
        <v>4352001319</v>
      </c>
      <c r="U156" s="10">
        <v>3629249879</v>
      </c>
      <c r="V156" s="10">
        <v>722751440</v>
      </c>
      <c r="W156" s="10">
        <v>0</v>
      </c>
      <c r="X156" s="10">
        <v>818330217559</v>
      </c>
      <c r="Y156" s="10">
        <v>0</v>
      </c>
      <c r="Z156" s="10">
        <v>73812089396</v>
      </c>
      <c r="AA156" s="10">
        <v>22080705562</v>
      </c>
      <c r="AB156" s="10">
        <v>914223012517</v>
      </c>
      <c r="AC156" s="10">
        <v>725038975485</v>
      </c>
      <c r="AD156" s="46">
        <v>12.867065803130753</v>
      </c>
      <c r="AE156" s="10">
        <v>447346509541</v>
      </c>
      <c r="AF156" s="10">
        <v>447346509541</v>
      </c>
      <c r="AG156" s="10">
        <v>0</v>
      </c>
      <c r="AH156" s="10">
        <v>24793500000</v>
      </c>
      <c r="AI156" s="10">
        <v>0</v>
      </c>
      <c r="AJ156" s="10">
        <v>0</v>
      </c>
      <c r="AK156" s="10">
        <v>0</v>
      </c>
      <c r="AL156" s="11">
        <v>0</v>
      </c>
      <c r="AM156" s="10">
        <v>0</v>
      </c>
      <c r="AN156" s="11">
        <v>90</v>
      </c>
      <c r="AO156" s="10">
        <v>303292831300</v>
      </c>
      <c r="AP156" s="12">
        <v>16</v>
      </c>
      <c r="AQ156" s="10">
        <v>83451240000</v>
      </c>
      <c r="AR156" s="10">
        <v>4352001319</v>
      </c>
      <c r="AS156" s="10">
        <v>3336218542</v>
      </c>
      <c r="AT156" s="10">
        <v>1015782777</v>
      </c>
      <c r="AU156" s="11">
        <v>30.45</v>
      </c>
      <c r="AV156" s="10">
        <v>315724491693</v>
      </c>
      <c r="AW156" s="10">
        <v>53562951120</v>
      </c>
      <c r="AX156" s="10">
        <v>145209575549</v>
      </c>
      <c r="AY156" s="10">
        <v>284737624513</v>
      </c>
      <c r="AZ156" s="10">
        <v>313685802274</v>
      </c>
      <c r="BA156" s="10">
        <v>747156642000</v>
      </c>
      <c r="BB156" s="10">
        <v>228004655919</v>
      </c>
      <c r="BC156" s="10">
        <v>1530134824537</v>
      </c>
      <c r="BD156" s="12">
        <v>9861</v>
      </c>
      <c r="BE156" s="10">
        <v>469292380263</v>
      </c>
      <c r="BF156" s="10">
        <v>313685802274</v>
      </c>
      <c r="BG156" s="10">
        <v>747156642000</v>
      </c>
      <c r="BH156" s="10">
        <v>241541981447</v>
      </c>
      <c r="BI156" s="10">
        <v>205804528094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24793500000</v>
      </c>
    </row>
    <row r="157" spans="1:67" x14ac:dyDescent="0.25">
      <c r="A157" s="25" t="s">
        <v>175</v>
      </c>
      <c r="B157" s="9">
        <v>1739</v>
      </c>
      <c r="C157" s="9" t="s">
        <v>210</v>
      </c>
      <c r="D157" s="10">
        <v>2552242503707</v>
      </c>
      <c r="E157" s="10">
        <v>167583632767</v>
      </c>
      <c r="F157" s="10">
        <v>0</v>
      </c>
      <c r="G157" s="10">
        <v>0</v>
      </c>
      <c r="H157" s="10">
        <v>2719826136474</v>
      </c>
      <c r="I157" s="10">
        <v>190440036358</v>
      </c>
      <c r="J157" s="10">
        <v>6618979600</v>
      </c>
      <c r="K157" s="10">
        <v>2522767120516</v>
      </c>
      <c r="L157" s="10">
        <v>2860994198840</v>
      </c>
      <c r="M157" s="10">
        <v>-141168062366</v>
      </c>
      <c r="N157" s="46">
        <v>-4.9342309894664265</v>
      </c>
      <c r="O157" s="10">
        <v>4237393673732</v>
      </c>
      <c r="P157" s="11">
        <v>174.8</v>
      </c>
      <c r="Q157" s="11">
        <v>167.97</v>
      </c>
      <c r="R157" s="11">
        <v>2.12</v>
      </c>
      <c r="S157" s="10">
        <v>4367458207421</v>
      </c>
      <c r="T157" s="10">
        <v>100412102268</v>
      </c>
      <c r="U157" s="10">
        <v>9853062507</v>
      </c>
      <c r="V157" s="10">
        <v>83751243900</v>
      </c>
      <c r="W157" s="10">
        <v>6807795861</v>
      </c>
      <c r="X157" s="10">
        <v>4467870309689</v>
      </c>
      <c r="Y157" s="10">
        <v>202275608</v>
      </c>
      <c r="Z157" s="10">
        <v>246665605772</v>
      </c>
      <c r="AA157" s="10">
        <v>39848585339</v>
      </c>
      <c r="AB157" s="10">
        <v>4754384500800</v>
      </c>
      <c r="AC157" s="10">
        <v>3029540691471</v>
      </c>
      <c r="AD157" s="46">
        <v>47.476821231261162</v>
      </c>
      <c r="AE157" s="10">
        <v>3653261889484</v>
      </c>
      <c r="AF157" s="10">
        <v>3653261889484</v>
      </c>
      <c r="AG157" s="10">
        <v>0</v>
      </c>
      <c r="AH157" s="10">
        <v>26352021782</v>
      </c>
      <c r="AI157" s="10">
        <v>0</v>
      </c>
      <c r="AJ157" s="10">
        <v>0</v>
      </c>
      <c r="AK157" s="10">
        <v>0</v>
      </c>
      <c r="AL157" s="11">
        <v>0</v>
      </c>
      <c r="AM157" s="10">
        <v>0</v>
      </c>
      <c r="AN157" s="11">
        <v>180</v>
      </c>
      <c r="AO157" s="10">
        <v>2972610497834</v>
      </c>
      <c r="AP157" s="12">
        <v>41</v>
      </c>
      <c r="AQ157" s="10">
        <v>368530136426</v>
      </c>
      <c r="AR157" s="10">
        <v>100412102268</v>
      </c>
      <c r="AS157" s="10">
        <v>15335531750</v>
      </c>
      <c r="AT157" s="10">
        <v>85076570518</v>
      </c>
      <c r="AU157" s="11">
        <v>554.77</v>
      </c>
      <c r="AV157" s="10">
        <v>2162667978136</v>
      </c>
      <c r="AW157" s="10">
        <v>79023772791</v>
      </c>
      <c r="AX157" s="10">
        <v>449304956305</v>
      </c>
      <c r="AY157" s="10">
        <v>331681013930</v>
      </c>
      <c r="AZ157" s="10">
        <v>711109222192</v>
      </c>
      <c r="BA157" s="10">
        <v>1060147311280</v>
      </c>
      <c r="BB157" s="10">
        <v>606962916347</v>
      </c>
      <c r="BC157" s="10">
        <v>2719826136474</v>
      </c>
      <c r="BD157" s="12">
        <v>89395</v>
      </c>
      <c r="BE157" s="10">
        <v>948569603002</v>
      </c>
      <c r="BF157" s="10">
        <v>711109222192</v>
      </c>
      <c r="BG157" s="10">
        <v>1060147311280</v>
      </c>
      <c r="BH157" s="10">
        <v>1854715996260</v>
      </c>
      <c r="BI157" s="10">
        <v>1798545893224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26352021782</v>
      </c>
    </row>
    <row r="158" spans="1:67" x14ac:dyDescent="0.25">
      <c r="A158" s="25" t="s">
        <v>175</v>
      </c>
      <c r="B158" s="9">
        <v>1740</v>
      </c>
      <c r="C158" s="9" t="s">
        <v>211</v>
      </c>
      <c r="D158" s="10">
        <v>1062433176555</v>
      </c>
      <c r="E158" s="10">
        <v>200389706672</v>
      </c>
      <c r="F158" s="10">
        <v>0</v>
      </c>
      <c r="G158" s="10">
        <v>0</v>
      </c>
      <c r="H158" s="10">
        <v>1262822883227</v>
      </c>
      <c r="I158" s="10">
        <v>79301280386</v>
      </c>
      <c r="J158" s="10">
        <v>1630175000</v>
      </c>
      <c r="K158" s="10">
        <v>1181891427841</v>
      </c>
      <c r="L158" s="10">
        <v>553584719413</v>
      </c>
      <c r="M158" s="10">
        <v>709238163814</v>
      </c>
      <c r="N158" s="46">
        <v>128.11736649198861</v>
      </c>
      <c r="O158" s="10">
        <v>813943576946</v>
      </c>
      <c r="P158" s="11">
        <v>71.650000000000006</v>
      </c>
      <c r="Q158" s="11">
        <v>68.87</v>
      </c>
      <c r="R158" s="11">
        <v>1.43</v>
      </c>
      <c r="S158" s="10">
        <v>823839184403</v>
      </c>
      <c r="T158" s="10">
        <v>12621160567</v>
      </c>
      <c r="U158" s="10">
        <v>8482751716</v>
      </c>
      <c r="V158" s="10">
        <v>2978012310</v>
      </c>
      <c r="W158" s="10">
        <v>1160396541</v>
      </c>
      <c r="X158" s="10">
        <v>836460344970</v>
      </c>
      <c r="Y158" s="10">
        <v>321942296</v>
      </c>
      <c r="Z158" s="10">
        <v>60254176667</v>
      </c>
      <c r="AA158" s="10">
        <v>8091415014</v>
      </c>
      <c r="AB158" s="10">
        <v>904805936651</v>
      </c>
      <c r="AC158" s="10">
        <v>461904384084</v>
      </c>
      <c r="AD158" s="46">
        <v>81.089501159158701</v>
      </c>
      <c r="AE158" s="10">
        <v>541821599696</v>
      </c>
      <c r="AF158" s="10">
        <v>541821599696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1">
        <v>0</v>
      </c>
      <c r="AM158" s="10">
        <v>0</v>
      </c>
      <c r="AN158" s="11">
        <v>210</v>
      </c>
      <c r="AO158" s="10">
        <v>3411304079281</v>
      </c>
      <c r="AP158" s="12">
        <v>22</v>
      </c>
      <c r="AQ158" s="10">
        <v>150308615587</v>
      </c>
      <c r="AR158" s="10">
        <v>12621160567</v>
      </c>
      <c r="AS158" s="10">
        <v>4740476659</v>
      </c>
      <c r="AT158" s="10">
        <v>7880683908</v>
      </c>
      <c r="AU158" s="11">
        <v>166.24</v>
      </c>
      <c r="AV158" s="10">
        <v>186589898455</v>
      </c>
      <c r="AW158" s="10">
        <v>21878695674</v>
      </c>
      <c r="AX158" s="10">
        <v>186699356472</v>
      </c>
      <c r="AY158" s="10">
        <v>264270338908</v>
      </c>
      <c r="AZ158" s="10">
        <v>339434481175</v>
      </c>
      <c r="BA158" s="10">
        <v>272029000000</v>
      </c>
      <c r="BB158" s="10">
        <v>307756088274</v>
      </c>
      <c r="BC158" s="10">
        <v>1262822883227</v>
      </c>
      <c r="BD158" s="12">
        <v>29178</v>
      </c>
      <c r="BE158" s="10">
        <v>651359402052</v>
      </c>
      <c r="BF158" s="10">
        <v>339434481175</v>
      </c>
      <c r="BG158" s="10">
        <v>272029000000</v>
      </c>
      <c r="BH158" s="10">
        <v>208761121177</v>
      </c>
      <c r="BI158" s="10">
        <v>333060478519</v>
      </c>
      <c r="BJ158" s="10">
        <v>0</v>
      </c>
      <c r="BK158" s="10">
        <v>0</v>
      </c>
      <c r="BL158" s="10">
        <v>0</v>
      </c>
      <c r="BM158" s="10">
        <v>0</v>
      </c>
      <c r="BN158" s="10">
        <v>0</v>
      </c>
      <c r="BO158" s="10">
        <v>0</v>
      </c>
    </row>
    <row r="159" spans="1:67" x14ac:dyDescent="0.25">
      <c r="A159" s="25" t="s">
        <v>175</v>
      </c>
      <c r="B159" s="9">
        <v>1741</v>
      </c>
      <c r="C159" s="9" t="s">
        <v>212</v>
      </c>
      <c r="D159" s="10">
        <v>1500605512405</v>
      </c>
      <c r="E159" s="10">
        <v>22948357905</v>
      </c>
      <c r="F159" s="10">
        <v>0</v>
      </c>
      <c r="G159" s="10">
        <v>0</v>
      </c>
      <c r="H159" s="10">
        <v>1523553870310</v>
      </c>
      <c r="I159" s="10">
        <v>97303834789</v>
      </c>
      <c r="J159" s="10">
        <v>658494800</v>
      </c>
      <c r="K159" s="10">
        <v>1425591540721</v>
      </c>
      <c r="L159" s="10">
        <v>966608443395</v>
      </c>
      <c r="M159" s="10">
        <v>556945426915</v>
      </c>
      <c r="N159" s="46">
        <v>57.618514582683702</v>
      </c>
      <c r="O159" s="10">
        <v>2561067073470</v>
      </c>
      <c r="P159" s="11">
        <v>207.49</v>
      </c>
      <c r="Q159" s="11">
        <v>179.65</v>
      </c>
      <c r="R159" s="11">
        <v>1.72</v>
      </c>
      <c r="S159" s="10">
        <v>2902578459366</v>
      </c>
      <c r="T159" s="10">
        <v>53725320834</v>
      </c>
      <c r="U159" s="10">
        <v>37977767095</v>
      </c>
      <c r="V159" s="10">
        <v>10754942052</v>
      </c>
      <c r="W159" s="10">
        <v>4992611687</v>
      </c>
      <c r="X159" s="10">
        <v>2956303780200</v>
      </c>
      <c r="Y159" s="10">
        <v>545294830</v>
      </c>
      <c r="Z159" s="10">
        <v>163034108680</v>
      </c>
      <c r="AA159" s="10">
        <v>41952556220</v>
      </c>
      <c r="AB159" s="10">
        <v>3161290445100</v>
      </c>
      <c r="AC159" s="10">
        <v>1708519454503</v>
      </c>
      <c r="AD159" s="46">
        <v>73.033076820303137</v>
      </c>
      <c r="AE159" s="10">
        <v>1913854929659</v>
      </c>
      <c r="AF159" s="10">
        <v>1564277056248</v>
      </c>
      <c r="AG159" s="10">
        <v>0</v>
      </c>
      <c r="AH159" s="10">
        <v>20774407500</v>
      </c>
      <c r="AI159" s="10">
        <v>0</v>
      </c>
      <c r="AJ159" s="10">
        <v>0</v>
      </c>
      <c r="AK159" s="10">
        <v>0</v>
      </c>
      <c r="AL159" s="11">
        <v>0</v>
      </c>
      <c r="AM159" s="10">
        <v>0</v>
      </c>
      <c r="AN159" s="11">
        <v>20</v>
      </c>
      <c r="AO159" s="10">
        <v>138026881150</v>
      </c>
      <c r="AP159" s="12">
        <v>11</v>
      </c>
      <c r="AQ159" s="10">
        <v>93215233650</v>
      </c>
      <c r="AR159" s="10">
        <v>53725320834</v>
      </c>
      <c r="AS159" s="10">
        <v>40037645846</v>
      </c>
      <c r="AT159" s="10">
        <v>13687674988</v>
      </c>
      <c r="AU159" s="11">
        <v>34.19</v>
      </c>
      <c r="AV159" s="10">
        <v>718344885367</v>
      </c>
      <c r="AW159" s="10">
        <v>176815267621</v>
      </c>
      <c r="AX159" s="10">
        <v>355368852015</v>
      </c>
      <c r="AY159" s="10">
        <v>262826480432</v>
      </c>
      <c r="AZ159" s="10">
        <v>454734179958</v>
      </c>
      <c r="BA159" s="10">
        <v>427676000000</v>
      </c>
      <c r="BB159" s="10">
        <v>284529155036</v>
      </c>
      <c r="BC159" s="10">
        <v>1523553870310</v>
      </c>
      <c r="BD159" s="12">
        <v>6122</v>
      </c>
      <c r="BE159" s="10">
        <v>641143690352</v>
      </c>
      <c r="BF159" s="10">
        <v>454734179958</v>
      </c>
      <c r="BG159" s="10">
        <v>427676000000</v>
      </c>
      <c r="BH159" s="10">
        <v>1473420445626</v>
      </c>
      <c r="BI159" s="10">
        <v>440434484033</v>
      </c>
      <c r="BJ159" s="10">
        <v>0</v>
      </c>
      <c r="BK159" s="10">
        <v>0</v>
      </c>
      <c r="BL159" s="10">
        <v>0</v>
      </c>
      <c r="BM159" s="10">
        <v>13550143970</v>
      </c>
      <c r="BN159" s="10">
        <v>0</v>
      </c>
      <c r="BO159" s="10">
        <v>5935545000</v>
      </c>
    </row>
    <row r="160" spans="1:67" x14ac:dyDescent="0.25">
      <c r="A160" s="25" t="s">
        <v>175</v>
      </c>
      <c r="B160" s="9">
        <v>1742</v>
      </c>
      <c r="C160" s="9" t="s">
        <v>213</v>
      </c>
      <c r="D160" s="10">
        <v>600482287777</v>
      </c>
      <c r="E160" s="10">
        <v>19587945979</v>
      </c>
      <c r="F160" s="10">
        <v>0</v>
      </c>
      <c r="G160" s="10">
        <v>0</v>
      </c>
      <c r="H160" s="10">
        <v>620070233756</v>
      </c>
      <c r="I160" s="10">
        <v>48540125128</v>
      </c>
      <c r="J160" s="10">
        <v>2770358183</v>
      </c>
      <c r="K160" s="10">
        <v>568759750445</v>
      </c>
      <c r="L160" s="10">
        <v>423768175541</v>
      </c>
      <c r="M160" s="10">
        <v>196302058215</v>
      </c>
      <c r="N160" s="46">
        <v>46.322982598774118</v>
      </c>
      <c r="O160" s="10">
        <v>596921763180</v>
      </c>
      <c r="P160" s="11">
        <v>110.86</v>
      </c>
      <c r="Q160" s="11">
        <v>104.95</v>
      </c>
      <c r="R160" s="11">
        <v>0.96</v>
      </c>
      <c r="S160" s="10">
        <v>596898502558</v>
      </c>
      <c r="T160" s="10">
        <v>6610078141</v>
      </c>
      <c r="U160" s="10">
        <v>4763997802</v>
      </c>
      <c r="V160" s="10">
        <v>1846080339</v>
      </c>
      <c r="W160" s="10">
        <v>0</v>
      </c>
      <c r="X160" s="10">
        <v>603508580699</v>
      </c>
      <c r="Y160" s="10">
        <v>0</v>
      </c>
      <c r="Z160" s="10">
        <v>62889837422</v>
      </c>
      <c r="AA160" s="10">
        <v>20994370598</v>
      </c>
      <c r="AB160" s="10">
        <v>687392788719</v>
      </c>
      <c r="AC160" s="10">
        <v>338410399265</v>
      </c>
      <c r="AD160" s="46">
        <v>78.336298769119324</v>
      </c>
      <c r="AE160" s="10">
        <v>483960402901</v>
      </c>
      <c r="AF160" s="10">
        <v>483960402901</v>
      </c>
      <c r="AG160" s="10">
        <v>0</v>
      </c>
      <c r="AH160" s="10">
        <v>1134000000</v>
      </c>
      <c r="AI160" s="10">
        <v>0</v>
      </c>
      <c r="AJ160" s="10">
        <v>0</v>
      </c>
      <c r="AK160" s="10">
        <v>0</v>
      </c>
      <c r="AL160" s="11">
        <v>0</v>
      </c>
      <c r="AM160" s="10">
        <v>0</v>
      </c>
      <c r="AN160" s="11">
        <v>126</v>
      </c>
      <c r="AO160" s="10">
        <v>353458319062</v>
      </c>
      <c r="AP160" s="12">
        <v>13</v>
      </c>
      <c r="AQ160" s="10">
        <v>27658897850</v>
      </c>
      <c r="AR160" s="10">
        <v>6610078141</v>
      </c>
      <c r="AS160" s="10">
        <v>1813304106</v>
      </c>
      <c r="AT160" s="10">
        <v>4796774035</v>
      </c>
      <c r="AU160" s="11">
        <v>264.52999999999997</v>
      </c>
      <c r="AV160" s="10">
        <v>235590948836</v>
      </c>
      <c r="AW160" s="10">
        <v>24060427268</v>
      </c>
      <c r="AX160" s="10">
        <v>84032722347</v>
      </c>
      <c r="AY160" s="10">
        <v>140345666987</v>
      </c>
      <c r="AZ160" s="10">
        <v>193556241054</v>
      </c>
      <c r="BA160" s="10">
        <v>182547657389</v>
      </c>
      <c r="BB160" s="10">
        <v>151443140655</v>
      </c>
      <c r="BC160" s="10">
        <v>620070233756</v>
      </c>
      <c r="BD160" s="12">
        <v>0</v>
      </c>
      <c r="BE160" s="10">
        <v>243966335313</v>
      </c>
      <c r="BF160" s="10">
        <v>193556241054</v>
      </c>
      <c r="BG160" s="10">
        <v>182547657389</v>
      </c>
      <c r="BH160" s="10">
        <v>214849865332</v>
      </c>
      <c r="BI160" s="10">
        <v>269110537569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1134000000</v>
      </c>
    </row>
    <row r="161" spans="1:67" x14ac:dyDescent="0.25">
      <c r="A161" s="25" t="s">
        <v>175</v>
      </c>
      <c r="B161" s="9">
        <v>1743</v>
      </c>
      <c r="C161" s="9" t="s">
        <v>214</v>
      </c>
      <c r="D161" s="10">
        <v>596328229533</v>
      </c>
      <c r="E161" s="10">
        <v>58429136867</v>
      </c>
      <c r="F161" s="10">
        <v>0</v>
      </c>
      <c r="G161" s="10">
        <v>0</v>
      </c>
      <c r="H161" s="10">
        <v>654757366400</v>
      </c>
      <c r="I161" s="10">
        <v>57388146267</v>
      </c>
      <c r="J161" s="10">
        <v>1794275028</v>
      </c>
      <c r="K161" s="10">
        <v>595574945105</v>
      </c>
      <c r="L161" s="10">
        <v>191638935487</v>
      </c>
      <c r="M161" s="10">
        <v>463118430913</v>
      </c>
      <c r="N161" s="46">
        <v>241.66197215409602</v>
      </c>
      <c r="O161" s="10">
        <v>111610512354</v>
      </c>
      <c r="P161" s="11">
        <v>21.64</v>
      </c>
      <c r="Q161" s="11">
        <v>18.739999999999998</v>
      </c>
      <c r="R161" s="11">
        <v>0.06</v>
      </c>
      <c r="S161" s="10">
        <v>111467824878</v>
      </c>
      <c r="T161" s="10">
        <v>88717709</v>
      </c>
      <c r="U161" s="10">
        <v>88717709</v>
      </c>
      <c r="V161" s="10">
        <v>0</v>
      </c>
      <c r="W161" s="10">
        <v>0</v>
      </c>
      <c r="X161" s="10">
        <v>111556542587</v>
      </c>
      <c r="Y161" s="10">
        <v>0</v>
      </c>
      <c r="Z161" s="10">
        <v>19000236018</v>
      </c>
      <c r="AA161" s="10">
        <v>11151699138</v>
      </c>
      <c r="AB161" s="10">
        <v>141708477743</v>
      </c>
      <c r="AC161" s="10">
        <v>500000000</v>
      </c>
      <c r="AD161" s="46">
        <v>22211.308517400001</v>
      </c>
      <c r="AE161" s="10">
        <v>129241739937</v>
      </c>
      <c r="AF161" s="10">
        <v>129241739937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1">
        <v>0</v>
      </c>
      <c r="AM161" s="10">
        <v>0</v>
      </c>
      <c r="AN161" s="11">
        <v>68</v>
      </c>
      <c r="AO161" s="10">
        <v>1161555224844</v>
      </c>
      <c r="AP161" s="12">
        <v>17</v>
      </c>
      <c r="AQ161" s="10">
        <v>262965966440</v>
      </c>
      <c r="AR161" s="10">
        <v>88717709</v>
      </c>
      <c r="AS161" s="10">
        <v>0</v>
      </c>
      <c r="AT161" s="10">
        <v>88717709</v>
      </c>
      <c r="AU161" s="11" t="s">
        <v>593</v>
      </c>
      <c r="AV161" s="10">
        <v>30383591563</v>
      </c>
      <c r="AW161" s="10">
        <v>39459243</v>
      </c>
      <c r="AX161" s="10">
        <v>9413259059</v>
      </c>
      <c r="AY161" s="10">
        <v>12485189084</v>
      </c>
      <c r="AZ161" s="10">
        <v>143552159473</v>
      </c>
      <c r="BA161" s="10">
        <v>430877621917</v>
      </c>
      <c r="BB161" s="10">
        <v>70000251778</v>
      </c>
      <c r="BC161" s="10">
        <v>654757366400</v>
      </c>
      <c r="BD161" s="12">
        <v>217</v>
      </c>
      <c r="BE161" s="10">
        <v>80327585010</v>
      </c>
      <c r="BF161" s="10">
        <v>143552159473</v>
      </c>
      <c r="BG161" s="10">
        <v>430877621917</v>
      </c>
      <c r="BH161" s="10">
        <v>19600000000</v>
      </c>
      <c r="BI161" s="10">
        <v>109641739937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</row>
    <row r="162" spans="1:67" x14ac:dyDescent="0.25">
      <c r="A162" s="25" t="s">
        <v>175</v>
      </c>
      <c r="B162" s="9">
        <v>1744</v>
      </c>
      <c r="C162" s="9" t="s">
        <v>215</v>
      </c>
      <c r="D162" s="10">
        <v>535585847155</v>
      </c>
      <c r="E162" s="10">
        <v>756020431</v>
      </c>
      <c r="F162" s="10">
        <v>0</v>
      </c>
      <c r="G162" s="10">
        <v>0</v>
      </c>
      <c r="H162" s="10">
        <v>536341867586</v>
      </c>
      <c r="I162" s="10">
        <v>43879192684</v>
      </c>
      <c r="J162" s="10">
        <v>948789400</v>
      </c>
      <c r="K162" s="10">
        <v>491513885502</v>
      </c>
      <c r="L162" s="10">
        <v>17011084469</v>
      </c>
      <c r="M162" s="10">
        <v>519330783117</v>
      </c>
      <c r="N162" s="46">
        <v>3052.8963868435189</v>
      </c>
      <c r="O162" s="10">
        <v>21677119612</v>
      </c>
      <c r="P162" s="11">
        <v>5.05</v>
      </c>
      <c r="Q162" s="11">
        <v>4.41</v>
      </c>
      <c r="R162" s="11">
        <v>0</v>
      </c>
      <c r="S162" s="10">
        <v>19001999759</v>
      </c>
      <c r="T162" s="10">
        <v>0</v>
      </c>
      <c r="U162" s="10">
        <v>0</v>
      </c>
      <c r="V162" s="10">
        <v>0</v>
      </c>
      <c r="W162" s="10">
        <v>0</v>
      </c>
      <c r="X162" s="10">
        <v>19001999759</v>
      </c>
      <c r="Y162" s="10">
        <v>0</v>
      </c>
      <c r="Z162" s="10">
        <v>5138365429</v>
      </c>
      <c r="AA162" s="10">
        <v>2925163950</v>
      </c>
      <c r="AB162" s="10">
        <v>27065529138</v>
      </c>
      <c r="AC162" s="10">
        <v>0</v>
      </c>
      <c r="AD162" s="46" t="s">
        <v>595</v>
      </c>
      <c r="AE162" s="10">
        <v>19958540384</v>
      </c>
      <c r="AF162" s="10">
        <v>19958540384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1">
        <v>0</v>
      </c>
      <c r="AM162" s="10">
        <v>0</v>
      </c>
      <c r="AN162" s="11">
        <v>4</v>
      </c>
      <c r="AO162" s="10">
        <v>6410555200</v>
      </c>
      <c r="AP162" s="12">
        <v>1</v>
      </c>
      <c r="AQ162" s="10">
        <v>500000000</v>
      </c>
      <c r="AR162" s="10">
        <v>0</v>
      </c>
      <c r="AS162" s="10">
        <v>0</v>
      </c>
      <c r="AT162" s="10">
        <v>0</v>
      </c>
      <c r="AU162" s="11" t="s">
        <v>593</v>
      </c>
      <c r="AV162" s="10">
        <v>1340803197</v>
      </c>
      <c r="AW162" s="10">
        <v>0</v>
      </c>
      <c r="AX162" s="10">
        <v>17711123902</v>
      </c>
      <c r="AY162" s="10">
        <v>2379822817</v>
      </c>
      <c r="AZ162" s="10">
        <v>10294900436</v>
      </c>
      <c r="BA162" s="10">
        <v>505200000000</v>
      </c>
      <c r="BB162" s="10">
        <v>9704647236</v>
      </c>
      <c r="BC162" s="10">
        <v>536341867586</v>
      </c>
      <c r="BD162" s="12">
        <v>2461</v>
      </c>
      <c r="BE162" s="10">
        <v>20846967150</v>
      </c>
      <c r="BF162" s="10">
        <v>10294900436</v>
      </c>
      <c r="BG162" s="10">
        <v>505200000000</v>
      </c>
      <c r="BH162" s="10">
        <v>11978263836</v>
      </c>
      <c r="BI162" s="10">
        <v>7980276548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</row>
    <row r="163" spans="1:67" x14ac:dyDescent="0.25">
      <c r="A163" s="25" t="s">
        <v>175</v>
      </c>
      <c r="B163" s="9">
        <v>1745</v>
      </c>
      <c r="C163" s="9" t="s">
        <v>216</v>
      </c>
      <c r="D163" s="10">
        <v>502629661115</v>
      </c>
      <c r="E163" s="10">
        <v>5867679808</v>
      </c>
      <c r="F163" s="10">
        <v>0</v>
      </c>
      <c r="G163" s="10">
        <v>0</v>
      </c>
      <c r="H163" s="10">
        <v>508497340923</v>
      </c>
      <c r="I163" s="10">
        <v>40597988610</v>
      </c>
      <c r="J163" s="10">
        <v>975494000</v>
      </c>
      <c r="K163" s="10">
        <v>466923858313</v>
      </c>
      <c r="L163" s="10">
        <v>167232403343</v>
      </c>
      <c r="M163" s="10">
        <v>341264937580</v>
      </c>
      <c r="N163" s="46">
        <v>204.06627588796451</v>
      </c>
      <c r="O163" s="10">
        <v>207884724990</v>
      </c>
      <c r="P163" s="11">
        <v>44.56</v>
      </c>
      <c r="Q163" s="11">
        <v>44.52</v>
      </c>
      <c r="R163" s="11">
        <v>0.22</v>
      </c>
      <c r="S163" s="10">
        <v>186912019763</v>
      </c>
      <c r="T163" s="10">
        <v>500431899</v>
      </c>
      <c r="U163" s="10">
        <v>500431899</v>
      </c>
      <c r="V163" s="10">
        <v>0</v>
      </c>
      <c r="W163" s="10">
        <v>0</v>
      </c>
      <c r="X163" s="10">
        <v>187412451662</v>
      </c>
      <c r="Y163" s="10">
        <v>0</v>
      </c>
      <c r="Z163" s="10">
        <v>16904921373</v>
      </c>
      <c r="AA163" s="10">
        <v>22264662000</v>
      </c>
      <c r="AB163" s="10">
        <v>226582035035</v>
      </c>
      <c r="AC163" s="10">
        <v>0</v>
      </c>
      <c r="AD163" s="46" t="s">
        <v>595</v>
      </c>
      <c r="AE163" s="10">
        <v>208932704420</v>
      </c>
      <c r="AF163" s="10">
        <v>208932704420</v>
      </c>
      <c r="AG163" s="10">
        <v>0</v>
      </c>
      <c r="AH163" s="10">
        <v>0</v>
      </c>
      <c r="AI163" s="10">
        <v>0</v>
      </c>
      <c r="AJ163" s="10">
        <v>0</v>
      </c>
      <c r="AK163" s="10">
        <v>0</v>
      </c>
      <c r="AL163" s="11">
        <v>0</v>
      </c>
      <c r="AM163" s="10">
        <v>0</v>
      </c>
      <c r="AN163" s="11">
        <v>15</v>
      </c>
      <c r="AO163" s="10">
        <v>36679216561</v>
      </c>
      <c r="AP163" s="12">
        <v>2</v>
      </c>
      <c r="AQ163" s="10">
        <v>1616230611</v>
      </c>
      <c r="AR163" s="10">
        <v>500431899</v>
      </c>
      <c r="AS163" s="10">
        <v>0</v>
      </c>
      <c r="AT163" s="10">
        <v>500431899</v>
      </c>
      <c r="AU163" s="11" t="s">
        <v>593</v>
      </c>
      <c r="AV163" s="10">
        <v>24703627543</v>
      </c>
      <c r="AW163" s="10">
        <v>2433927557</v>
      </c>
      <c r="AX163" s="10">
        <v>21285109554</v>
      </c>
      <c r="AY163" s="10">
        <v>69406560695</v>
      </c>
      <c r="AZ163" s="10">
        <v>106207990866</v>
      </c>
      <c r="BA163" s="10">
        <v>305730000000</v>
      </c>
      <c r="BB163" s="10">
        <v>103683595232</v>
      </c>
      <c r="BC163" s="10">
        <v>508497340923</v>
      </c>
      <c r="BD163" s="12">
        <v>3065</v>
      </c>
      <c r="BE163" s="10">
        <v>96559350057</v>
      </c>
      <c r="BF163" s="10">
        <v>106207990866</v>
      </c>
      <c r="BG163" s="10">
        <v>305730000000</v>
      </c>
      <c r="BH163" s="10">
        <v>89594445000</v>
      </c>
      <c r="BI163" s="10">
        <v>119338259420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0</v>
      </c>
    </row>
    <row r="164" spans="1:67" x14ac:dyDescent="0.25">
      <c r="A164" s="25" t="s">
        <v>175</v>
      </c>
      <c r="B164" s="9">
        <v>1790</v>
      </c>
      <c r="C164" s="9" t="s">
        <v>217</v>
      </c>
      <c r="D164" s="10">
        <v>7944884319302</v>
      </c>
      <c r="E164" s="10">
        <v>854389788075</v>
      </c>
      <c r="F164" s="10">
        <v>0</v>
      </c>
      <c r="G164" s="10">
        <v>1645670705526</v>
      </c>
      <c r="H164" s="10">
        <v>10444944812903</v>
      </c>
      <c r="I164" s="10">
        <v>858427038699</v>
      </c>
      <c r="J164" s="10">
        <v>7150296300</v>
      </c>
      <c r="K164" s="10">
        <v>9579367477904</v>
      </c>
      <c r="L164" s="10">
        <v>4452807326114</v>
      </c>
      <c r="M164" s="10">
        <v>5992137486789</v>
      </c>
      <c r="N164" s="46">
        <v>134.56988025615709</v>
      </c>
      <c r="O164" s="10">
        <v>2193090605655</v>
      </c>
      <c r="P164" s="11">
        <v>29.54</v>
      </c>
      <c r="Q164" s="11">
        <v>22.89</v>
      </c>
      <c r="R164" s="11">
        <v>0.15</v>
      </c>
      <c r="S164" s="10">
        <v>3004572095549</v>
      </c>
      <c r="T164" s="10">
        <v>4769333806</v>
      </c>
      <c r="U164" s="10">
        <v>3845162807</v>
      </c>
      <c r="V164" s="10">
        <v>924170999</v>
      </c>
      <c r="W164" s="10">
        <v>0</v>
      </c>
      <c r="X164" s="10">
        <v>3009341429355</v>
      </c>
      <c r="Y164" s="10">
        <v>0</v>
      </c>
      <c r="Z164" s="10">
        <v>64592948604</v>
      </c>
      <c r="AA164" s="10">
        <v>11186000000</v>
      </c>
      <c r="AB164" s="10">
        <v>3085120377959</v>
      </c>
      <c r="AC164" s="10">
        <v>1107224114030</v>
      </c>
      <c r="AD164" s="46">
        <v>171.79153625924937</v>
      </c>
      <c r="AE164" s="10">
        <v>1768613628962</v>
      </c>
      <c r="AF164" s="10">
        <v>1768613628962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1">
        <v>4</v>
      </c>
      <c r="AM164" s="10">
        <v>959989592000</v>
      </c>
      <c r="AN164" s="11">
        <v>11</v>
      </c>
      <c r="AO164" s="10">
        <v>3648701412000</v>
      </c>
      <c r="AP164" s="12">
        <v>5</v>
      </c>
      <c r="AQ164" s="10">
        <v>48155350538</v>
      </c>
      <c r="AR164" s="10">
        <v>4769333806</v>
      </c>
      <c r="AS164" s="10">
        <v>2382838581</v>
      </c>
      <c r="AT164" s="10">
        <v>2386495225</v>
      </c>
      <c r="AU164" s="11">
        <v>100.15</v>
      </c>
      <c r="AV164" s="10">
        <v>409601710722</v>
      </c>
      <c r="AW164" s="10">
        <v>15871625507</v>
      </c>
      <c r="AX164" s="10">
        <v>938443256443</v>
      </c>
      <c r="AY164" s="10">
        <v>227749787128</v>
      </c>
      <c r="AZ164" s="10">
        <v>255210275731</v>
      </c>
      <c r="BA164" s="10">
        <v>6523481000000</v>
      </c>
      <c r="BB164" s="10">
        <v>179092250949</v>
      </c>
      <c r="BC164" s="10">
        <v>10444944812903</v>
      </c>
      <c r="BD164" s="12">
        <v>11908</v>
      </c>
      <c r="BE164" s="10">
        <v>3662490578459</v>
      </c>
      <c r="BF164" s="10">
        <v>255210275731</v>
      </c>
      <c r="BG164" s="10">
        <v>6527243958713</v>
      </c>
      <c r="BH164" s="10">
        <v>1219926648743</v>
      </c>
      <c r="BI164" s="10">
        <v>548686980219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</row>
    <row r="165" spans="1:67" x14ac:dyDescent="0.25">
      <c r="A165" s="25" t="s">
        <v>175</v>
      </c>
      <c r="B165" s="9">
        <v>1799</v>
      </c>
      <c r="C165" s="9" t="s">
        <v>218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213181777800</v>
      </c>
      <c r="K165" s="10">
        <v>-213181777800</v>
      </c>
      <c r="L165" s="10">
        <v>0</v>
      </c>
      <c r="M165" s="10">
        <v>0</v>
      </c>
      <c r="N165" s="46" t="s">
        <v>595</v>
      </c>
      <c r="O165" s="10">
        <v>0</v>
      </c>
      <c r="P165" s="11" t="s">
        <v>593</v>
      </c>
      <c r="Q165" s="11">
        <v>0</v>
      </c>
      <c r="R165" s="11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46" t="s">
        <v>595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1">
        <v>0</v>
      </c>
      <c r="AM165" s="10">
        <v>0</v>
      </c>
      <c r="AN165" s="11">
        <v>0</v>
      </c>
      <c r="AO165" s="10">
        <v>0</v>
      </c>
      <c r="AP165" s="12">
        <v>0</v>
      </c>
      <c r="AQ165" s="10">
        <v>0</v>
      </c>
      <c r="AR165" s="10">
        <v>0</v>
      </c>
      <c r="AS165" s="10">
        <v>0</v>
      </c>
      <c r="AT165" s="10">
        <v>0</v>
      </c>
      <c r="AU165" s="11" t="s">
        <v>593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1">
        <v>570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</row>
    <row r="166" spans="1:67" x14ac:dyDescent="0.25">
      <c r="A166" s="25" t="s">
        <v>175</v>
      </c>
      <c r="B166" s="26">
        <v>4299</v>
      </c>
      <c r="C166" s="26" t="s">
        <v>586</v>
      </c>
      <c r="D166" s="27">
        <v>0</v>
      </c>
      <c r="E166" s="27">
        <v>0</v>
      </c>
      <c r="F166" s="27">
        <v>0</v>
      </c>
      <c r="G166" s="27">
        <v>0</v>
      </c>
      <c r="H166" s="27">
        <v>0</v>
      </c>
      <c r="I166" s="27">
        <v>0</v>
      </c>
      <c r="J166" s="27">
        <v>0</v>
      </c>
      <c r="K166" s="27">
        <v>0</v>
      </c>
      <c r="L166" s="27">
        <v>0</v>
      </c>
      <c r="M166" s="10">
        <v>0</v>
      </c>
      <c r="N166" s="46" t="s">
        <v>595</v>
      </c>
      <c r="O166" s="27">
        <v>0</v>
      </c>
      <c r="P166" s="28" t="s">
        <v>593</v>
      </c>
      <c r="Q166" s="28" t="s">
        <v>593</v>
      </c>
      <c r="R166" s="28">
        <v>0</v>
      </c>
      <c r="S166" s="27">
        <v>0</v>
      </c>
      <c r="T166" s="27">
        <v>0</v>
      </c>
      <c r="U166" s="27">
        <v>0</v>
      </c>
      <c r="V166" s="27">
        <v>0</v>
      </c>
      <c r="W166" s="27">
        <v>0</v>
      </c>
      <c r="X166" s="27">
        <v>0</v>
      </c>
      <c r="Y166" s="10">
        <v>0</v>
      </c>
      <c r="Z166" s="27">
        <v>0</v>
      </c>
      <c r="AA166" s="27">
        <v>0</v>
      </c>
      <c r="AB166" s="27">
        <v>0</v>
      </c>
      <c r="AC166" s="27">
        <v>0</v>
      </c>
      <c r="AD166" s="46" t="s">
        <v>595</v>
      </c>
      <c r="AE166" s="27">
        <v>0</v>
      </c>
      <c r="AF166" s="27">
        <v>0</v>
      </c>
      <c r="AG166" s="27">
        <v>0</v>
      </c>
      <c r="AH166" s="27">
        <v>0</v>
      </c>
      <c r="AI166" s="27">
        <v>0</v>
      </c>
      <c r="AJ166" s="27">
        <v>0</v>
      </c>
      <c r="AK166" s="27">
        <v>0</v>
      </c>
      <c r="AL166" s="28">
        <v>0</v>
      </c>
      <c r="AM166" s="27">
        <v>0</v>
      </c>
      <c r="AN166" s="29">
        <v>0</v>
      </c>
      <c r="AO166" s="27">
        <v>0</v>
      </c>
      <c r="AP166" s="12">
        <v>0</v>
      </c>
      <c r="AQ166" s="10">
        <v>0</v>
      </c>
      <c r="AR166" s="27">
        <v>0</v>
      </c>
      <c r="AS166" s="27">
        <v>0</v>
      </c>
      <c r="AT166" s="27">
        <v>0</v>
      </c>
      <c r="AU166" s="28" t="s">
        <v>593</v>
      </c>
      <c r="AV166" s="27">
        <v>0</v>
      </c>
      <c r="AW166" s="27">
        <v>0</v>
      </c>
      <c r="AX166" s="27">
        <v>0</v>
      </c>
      <c r="AY166" s="27">
        <v>0</v>
      </c>
      <c r="AZ166" s="27">
        <v>0</v>
      </c>
      <c r="BA166" s="27">
        <v>0</v>
      </c>
      <c r="BB166" s="27">
        <v>0</v>
      </c>
      <c r="BC166" s="27">
        <v>0</v>
      </c>
      <c r="BD166" s="29">
        <v>0</v>
      </c>
      <c r="BE166" s="27">
        <v>0</v>
      </c>
      <c r="BF166" s="27">
        <v>0</v>
      </c>
      <c r="BG166" s="27">
        <v>0</v>
      </c>
      <c r="BH166" s="27">
        <v>0</v>
      </c>
      <c r="BI166" s="27">
        <v>0</v>
      </c>
      <c r="BJ166" s="27">
        <v>0</v>
      </c>
      <c r="BK166" s="27">
        <v>0</v>
      </c>
      <c r="BL166" s="27">
        <v>0</v>
      </c>
      <c r="BM166" s="27">
        <v>0</v>
      </c>
      <c r="BN166" s="27">
        <v>0</v>
      </c>
      <c r="BO166" s="27">
        <v>0</v>
      </c>
    </row>
    <row r="167" spans="1:67" x14ac:dyDescent="0.25">
      <c r="A167" s="19" t="s">
        <v>620</v>
      </c>
      <c r="B167" s="20" t="s">
        <v>593</v>
      </c>
      <c r="C167" s="20" t="s">
        <v>593</v>
      </c>
      <c r="D167" s="21">
        <v>174911537446116</v>
      </c>
      <c r="E167" s="21">
        <v>5597151918858</v>
      </c>
      <c r="F167" s="21">
        <v>1940700000001</v>
      </c>
      <c r="G167" s="21">
        <v>2543234381792</v>
      </c>
      <c r="H167" s="21">
        <v>184992623746767</v>
      </c>
      <c r="I167" s="21">
        <v>14813329770202</v>
      </c>
      <c r="J167" s="21">
        <v>435743801887</v>
      </c>
      <c r="K167" s="21">
        <v>169743550174678</v>
      </c>
      <c r="L167" s="21">
        <v>125685272322584</v>
      </c>
      <c r="M167" s="21">
        <v>59307351424183</v>
      </c>
      <c r="N167" s="47">
        <v>47.187192523213596</v>
      </c>
      <c r="O167" s="21">
        <v>136874971724629</v>
      </c>
      <c r="P167" s="22">
        <v>94.82</v>
      </c>
      <c r="Q167" s="22">
        <v>80.64</v>
      </c>
      <c r="R167" s="22">
        <v>3.83</v>
      </c>
      <c r="S167" s="21">
        <v>160216649913445</v>
      </c>
      <c r="T167" s="21">
        <v>5536233715125</v>
      </c>
      <c r="U167" s="21">
        <v>1448660979083</v>
      </c>
      <c r="V167" s="21">
        <v>1053475419965</v>
      </c>
      <c r="W167" s="21">
        <v>3034097316077</v>
      </c>
      <c r="X167" s="21">
        <v>165752883628570</v>
      </c>
      <c r="Y167" s="21">
        <v>1187166750282</v>
      </c>
      <c r="Z167" s="21">
        <v>8536001897177</v>
      </c>
      <c r="AA167" s="21">
        <v>1127352674101</v>
      </c>
      <c r="AB167" s="21">
        <v>175416238199848</v>
      </c>
      <c r="AC167" s="21">
        <v>111382028435024</v>
      </c>
      <c r="AD167" s="47">
        <v>48.814746828985854</v>
      </c>
      <c r="AE167" s="21">
        <v>126903980975673</v>
      </c>
      <c r="AF167" s="21">
        <v>125095983803068</v>
      </c>
      <c r="AG167" s="21">
        <v>16370519467106</v>
      </c>
      <c r="AH167" s="21">
        <v>922009432181</v>
      </c>
      <c r="AI167" s="21">
        <v>278017784698</v>
      </c>
      <c r="AJ167" s="21">
        <v>0</v>
      </c>
      <c r="AK167" s="21">
        <v>5000000000000</v>
      </c>
      <c r="AL167" s="22">
        <v>223</v>
      </c>
      <c r="AM167" s="21">
        <v>26072851514634</v>
      </c>
      <c r="AN167" s="23">
        <v>3408</v>
      </c>
      <c r="AO167" s="21">
        <v>58469147209251</v>
      </c>
      <c r="AP167" s="23">
        <v>1580</v>
      </c>
      <c r="AQ167" s="21">
        <v>16802898213077</v>
      </c>
      <c r="AR167" s="21">
        <v>5536233715125</v>
      </c>
      <c r="AS167" s="21">
        <v>1838468071501</v>
      </c>
      <c r="AT167" s="21">
        <v>3697765643624</v>
      </c>
      <c r="AU167" s="22">
        <v>201.13</v>
      </c>
      <c r="AV167" s="21">
        <v>82230542467106</v>
      </c>
      <c r="AW167" s="21">
        <v>17025719490289</v>
      </c>
      <c r="AX167" s="21">
        <v>34214319014326</v>
      </c>
      <c r="AY167" s="21">
        <v>11965729961361</v>
      </c>
      <c r="AZ167" s="21">
        <v>30709416468636</v>
      </c>
      <c r="BA167" s="21">
        <v>98022072001793</v>
      </c>
      <c r="BB167" s="21">
        <v>15483842614629</v>
      </c>
      <c r="BC167" s="21">
        <v>184991862002473</v>
      </c>
      <c r="BD167" s="23">
        <v>3071077</v>
      </c>
      <c r="BE167" s="21">
        <v>53705521788772</v>
      </c>
      <c r="BF167" s="21">
        <v>32649613968637</v>
      </c>
      <c r="BG167" s="21">
        <v>98637487989358</v>
      </c>
      <c r="BH167" s="21">
        <v>86372210472343</v>
      </c>
      <c r="BI167" s="21">
        <v>40531770503330</v>
      </c>
      <c r="BJ167" s="21">
        <v>382577648653</v>
      </c>
      <c r="BK167" s="21">
        <v>2530871401273</v>
      </c>
      <c r="BL167" s="21">
        <v>14165794391226</v>
      </c>
      <c r="BM167" s="21">
        <v>27908711984</v>
      </c>
      <c r="BN167" s="21">
        <v>80467379042</v>
      </c>
      <c r="BO167" s="21">
        <v>902462969703</v>
      </c>
    </row>
    <row r="168" spans="1:67" x14ac:dyDescent="0.25">
      <c r="A168" s="25" t="s">
        <v>219</v>
      </c>
      <c r="B168" s="9">
        <v>3806</v>
      </c>
      <c r="C168" s="9" t="s">
        <v>220</v>
      </c>
      <c r="D168" s="10">
        <v>1904373931805</v>
      </c>
      <c r="E168" s="10">
        <v>14828415664</v>
      </c>
      <c r="F168" s="10">
        <v>0</v>
      </c>
      <c r="G168" s="10">
        <v>0</v>
      </c>
      <c r="H168" s="10">
        <v>1919202347469</v>
      </c>
      <c r="I168" s="10">
        <v>143836991061</v>
      </c>
      <c r="J168" s="10">
        <v>1336919000</v>
      </c>
      <c r="K168" s="10">
        <v>1774028437408</v>
      </c>
      <c r="L168" s="10">
        <v>1876967828591</v>
      </c>
      <c r="M168" s="10">
        <v>42234518878</v>
      </c>
      <c r="N168" s="46">
        <v>2.2501461258238273</v>
      </c>
      <c r="O168" s="10">
        <v>1963012367062</v>
      </c>
      <c r="P168" s="11">
        <v>123.15</v>
      </c>
      <c r="Q168" s="11">
        <v>110.65</v>
      </c>
      <c r="R168" s="11">
        <v>1.04</v>
      </c>
      <c r="S168" s="10">
        <v>2263854979906</v>
      </c>
      <c r="T168" s="10">
        <v>24332690705</v>
      </c>
      <c r="U168" s="10">
        <v>24332690705</v>
      </c>
      <c r="V168" s="10">
        <v>0</v>
      </c>
      <c r="W168" s="10">
        <v>0</v>
      </c>
      <c r="X168" s="10">
        <v>2288187670611</v>
      </c>
      <c r="Y168" s="10">
        <v>222958463</v>
      </c>
      <c r="Z168" s="10">
        <v>55636059778</v>
      </c>
      <c r="AA168" s="10">
        <v>19663984040</v>
      </c>
      <c r="AB168" s="10">
        <v>2363487714429</v>
      </c>
      <c r="AC168" s="10">
        <v>1673520749493</v>
      </c>
      <c r="AD168" s="46">
        <v>36.728969228748184</v>
      </c>
      <c r="AE168" s="10">
        <v>1579818730069</v>
      </c>
      <c r="AF168" s="10">
        <v>1456243730069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1">
        <v>0</v>
      </c>
      <c r="AM168" s="10">
        <v>0</v>
      </c>
      <c r="AN168" s="11">
        <v>13</v>
      </c>
      <c r="AO168" s="10">
        <v>193129340000</v>
      </c>
      <c r="AP168" s="12">
        <v>16</v>
      </c>
      <c r="AQ168" s="10">
        <v>167490000000</v>
      </c>
      <c r="AR168" s="10">
        <v>24332690705</v>
      </c>
      <c r="AS168" s="10">
        <v>14037803841</v>
      </c>
      <c r="AT168" s="10">
        <v>10294886864</v>
      </c>
      <c r="AU168" s="11">
        <v>73.34</v>
      </c>
      <c r="AV168" s="10">
        <v>926814666656</v>
      </c>
      <c r="AW168" s="10">
        <v>138021913778</v>
      </c>
      <c r="AX168" s="10">
        <v>338334228788</v>
      </c>
      <c r="AY168" s="10">
        <v>253461202150</v>
      </c>
      <c r="AZ168" s="10">
        <v>392733507957</v>
      </c>
      <c r="BA168" s="10">
        <v>919844992910</v>
      </c>
      <c r="BB168" s="10">
        <v>248158162837</v>
      </c>
      <c r="BC168" s="10">
        <v>1919202347469</v>
      </c>
      <c r="BD168" s="12">
        <v>114750</v>
      </c>
      <c r="BE168" s="10">
        <v>606623846602</v>
      </c>
      <c r="BF168" s="10">
        <v>392263507957</v>
      </c>
      <c r="BG168" s="10">
        <v>920314992910</v>
      </c>
      <c r="BH168" s="10">
        <v>1133758002261</v>
      </c>
      <c r="BI168" s="10">
        <v>446060727808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</row>
    <row r="169" spans="1:67" x14ac:dyDescent="0.25">
      <c r="A169" s="25" t="s">
        <v>219</v>
      </c>
      <c r="B169" s="9">
        <v>4000</v>
      </c>
      <c r="C169" s="9" t="s">
        <v>221</v>
      </c>
      <c r="D169" s="10">
        <v>2832102949511</v>
      </c>
      <c r="E169" s="10">
        <v>259189316322</v>
      </c>
      <c r="F169" s="10">
        <v>0</v>
      </c>
      <c r="G169" s="10">
        <v>654502194</v>
      </c>
      <c r="H169" s="10">
        <v>3091946768027</v>
      </c>
      <c r="I169" s="10">
        <v>224592278240</v>
      </c>
      <c r="J169" s="10">
        <v>10504278850</v>
      </c>
      <c r="K169" s="10">
        <v>2856850210937</v>
      </c>
      <c r="L169" s="10">
        <v>2488964965599</v>
      </c>
      <c r="M169" s="10">
        <v>602981802428</v>
      </c>
      <c r="N169" s="46">
        <v>24.226206907773211</v>
      </c>
      <c r="O169" s="10">
        <v>4431399308542</v>
      </c>
      <c r="P169" s="11">
        <v>199.4</v>
      </c>
      <c r="Q169" s="11">
        <v>155.11000000000001</v>
      </c>
      <c r="R169" s="11">
        <v>0.21</v>
      </c>
      <c r="S169" s="10">
        <v>5950928920568</v>
      </c>
      <c r="T169" s="10">
        <v>12243800551</v>
      </c>
      <c r="U169" s="10">
        <v>12243800551</v>
      </c>
      <c r="V169" s="10">
        <v>0</v>
      </c>
      <c r="W169" s="10">
        <v>0</v>
      </c>
      <c r="X169" s="10">
        <v>5963172721119</v>
      </c>
      <c r="Y169" s="10">
        <v>423634874</v>
      </c>
      <c r="Z169" s="10">
        <v>147351739553</v>
      </c>
      <c r="AA169" s="10">
        <v>54833414350</v>
      </c>
      <c r="AB169" s="10">
        <v>6165357875022</v>
      </c>
      <c r="AC169" s="10">
        <v>4614201721348</v>
      </c>
      <c r="AD169" s="46">
        <v>29.23519779228268</v>
      </c>
      <c r="AE169" s="10">
        <v>3145735568526</v>
      </c>
      <c r="AF169" s="10">
        <v>2777951529241</v>
      </c>
      <c r="AG169" s="10">
        <v>0</v>
      </c>
      <c r="AH169" s="10">
        <v>2889954000</v>
      </c>
      <c r="AI169" s="10">
        <v>0</v>
      </c>
      <c r="AJ169" s="10">
        <v>0</v>
      </c>
      <c r="AK169" s="10">
        <v>0</v>
      </c>
      <c r="AL169" s="11">
        <v>0</v>
      </c>
      <c r="AM169" s="10">
        <v>0</v>
      </c>
      <c r="AN169" s="11">
        <v>246</v>
      </c>
      <c r="AO169" s="10">
        <v>2123391489416</v>
      </c>
      <c r="AP169" s="12">
        <v>169</v>
      </c>
      <c r="AQ169" s="10">
        <v>1125309613573</v>
      </c>
      <c r="AR169" s="10">
        <v>12243800551</v>
      </c>
      <c r="AS169" s="10">
        <v>4935313496</v>
      </c>
      <c r="AT169" s="10">
        <v>7308487055</v>
      </c>
      <c r="AU169" s="13">
        <v>148.09</v>
      </c>
      <c r="AV169" s="10">
        <v>2291034886654</v>
      </c>
      <c r="AW169" s="10">
        <v>190151388728</v>
      </c>
      <c r="AX169" s="10">
        <v>774457493983</v>
      </c>
      <c r="AY169" s="10">
        <v>225596441105</v>
      </c>
      <c r="AZ169" s="10">
        <v>767120233877</v>
      </c>
      <c r="BA169" s="10">
        <v>1064928780546</v>
      </c>
      <c r="BB169" s="10">
        <v>528110901215</v>
      </c>
      <c r="BC169" s="10">
        <v>3091946768027</v>
      </c>
      <c r="BD169" s="12">
        <v>57970</v>
      </c>
      <c r="BE169" s="10">
        <v>1202878302870</v>
      </c>
      <c r="BF169" s="10">
        <v>767120233877</v>
      </c>
      <c r="BG169" s="10">
        <v>1121948231280</v>
      </c>
      <c r="BH169" s="10">
        <v>2733425469193</v>
      </c>
      <c r="BI169" s="10">
        <v>412310099333</v>
      </c>
      <c r="BJ169" s="10">
        <v>0</v>
      </c>
      <c r="BK169" s="10">
        <v>0</v>
      </c>
      <c r="BL169" s="10">
        <v>0</v>
      </c>
      <c r="BM169" s="10">
        <v>2889954000</v>
      </c>
      <c r="BN169" s="10">
        <v>0</v>
      </c>
      <c r="BO169" s="10">
        <v>0</v>
      </c>
    </row>
    <row r="170" spans="1:67" x14ac:dyDescent="0.25">
      <c r="A170" s="25" t="s">
        <v>219</v>
      </c>
      <c r="B170" s="9">
        <v>4001</v>
      </c>
      <c r="C170" s="9" t="s">
        <v>222</v>
      </c>
      <c r="D170" s="10">
        <v>1876732276195</v>
      </c>
      <c r="E170" s="10">
        <v>48583449914</v>
      </c>
      <c r="F170" s="10">
        <v>0</v>
      </c>
      <c r="G170" s="10">
        <v>0</v>
      </c>
      <c r="H170" s="10">
        <v>1925315726109</v>
      </c>
      <c r="I170" s="10">
        <v>151990596366</v>
      </c>
      <c r="J170" s="10">
        <v>2003393600</v>
      </c>
      <c r="K170" s="10">
        <v>1771321736143</v>
      </c>
      <c r="L170" s="10">
        <v>1807419896944</v>
      </c>
      <c r="M170" s="10">
        <v>117895829165</v>
      </c>
      <c r="N170" s="46">
        <v>6.5228798999247051</v>
      </c>
      <c r="O170" s="10">
        <v>2701227657664</v>
      </c>
      <c r="P170" s="11">
        <v>163.95</v>
      </c>
      <c r="Q170" s="11">
        <v>152.5</v>
      </c>
      <c r="R170" s="11">
        <v>0.18</v>
      </c>
      <c r="S170" s="10">
        <v>3007499082020</v>
      </c>
      <c r="T170" s="10">
        <v>5524460998</v>
      </c>
      <c r="U170" s="10">
        <v>4902382470</v>
      </c>
      <c r="V170" s="10">
        <v>622078528</v>
      </c>
      <c r="W170" s="10">
        <v>0</v>
      </c>
      <c r="X170" s="10">
        <v>3013023543018</v>
      </c>
      <c r="Y170" s="10">
        <v>111534770</v>
      </c>
      <c r="Z170" s="10">
        <v>101916651723</v>
      </c>
      <c r="AA170" s="10">
        <v>41546855737</v>
      </c>
      <c r="AB170" s="10">
        <v>3156487050478</v>
      </c>
      <c r="AC170" s="10">
        <v>2151742422655</v>
      </c>
      <c r="AD170" s="46">
        <v>40.027147826563706</v>
      </c>
      <c r="AE170" s="10">
        <v>2616881785045</v>
      </c>
      <c r="AF170" s="10">
        <v>2470590527738</v>
      </c>
      <c r="AG170" s="10">
        <v>450228024119</v>
      </c>
      <c r="AH170" s="10">
        <v>9112500</v>
      </c>
      <c r="AI170" s="10">
        <v>0</v>
      </c>
      <c r="AJ170" s="10">
        <v>0</v>
      </c>
      <c r="AK170" s="10">
        <v>0</v>
      </c>
      <c r="AL170" s="11">
        <v>9</v>
      </c>
      <c r="AM170" s="10">
        <v>454679169610</v>
      </c>
      <c r="AN170" s="11">
        <v>20</v>
      </c>
      <c r="AO170" s="10">
        <v>377104632762</v>
      </c>
      <c r="AP170" s="12">
        <v>25</v>
      </c>
      <c r="AQ170" s="10">
        <v>238432879787</v>
      </c>
      <c r="AR170" s="10">
        <v>5524460998</v>
      </c>
      <c r="AS170" s="10">
        <v>408268324</v>
      </c>
      <c r="AT170" s="10">
        <v>5116192674</v>
      </c>
      <c r="AU170" s="13">
        <v>1253.1400000000001</v>
      </c>
      <c r="AV170" s="10">
        <v>1693576894989</v>
      </c>
      <c r="AW170" s="10">
        <v>285950000118</v>
      </c>
      <c r="AX170" s="10">
        <v>224558452459</v>
      </c>
      <c r="AY170" s="10">
        <v>510113101356</v>
      </c>
      <c r="AZ170" s="10">
        <v>379832722380</v>
      </c>
      <c r="BA170" s="10">
        <v>762228000000</v>
      </c>
      <c r="BB170" s="10">
        <v>284599732311</v>
      </c>
      <c r="BC170" s="10">
        <v>1925315726109</v>
      </c>
      <c r="BD170" s="12">
        <v>147730</v>
      </c>
      <c r="BE170" s="10">
        <v>783255003729</v>
      </c>
      <c r="BF170" s="10">
        <v>379832722380</v>
      </c>
      <c r="BG170" s="10">
        <v>762228000000</v>
      </c>
      <c r="BH170" s="10">
        <v>1808262855126</v>
      </c>
      <c r="BI170" s="10">
        <v>808618929919</v>
      </c>
      <c r="BJ170" s="10">
        <v>0</v>
      </c>
      <c r="BK170" s="10">
        <v>0</v>
      </c>
      <c r="BL170" s="10">
        <v>450228024119</v>
      </c>
      <c r="BM170" s="10">
        <v>0</v>
      </c>
      <c r="BN170" s="10">
        <v>0</v>
      </c>
      <c r="BO170" s="10">
        <v>9112500</v>
      </c>
    </row>
    <row r="171" spans="1:67" x14ac:dyDescent="0.25">
      <c r="A171" s="25" t="s">
        <v>219</v>
      </c>
      <c r="B171" s="9">
        <v>4002</v>
      </c>
      <c r="C171" s="9" t="s">
        <v>223</v>
      </c>
      <c r="D171" s="10">
        <v>774538185476</v>
      </c>
      <c r="E171" s="10">
        <v>15358490911</v>
      </c>
      <c r="F171" s="10">
        <v>0</v>
      </c>
      <c r="G171" s="10">
        <v>0</v>
      </c>
      <c r="H171" s="10">
        <v>789896676387</v>
      </c>
      <c r="I171" s="10">
        <v>51657683235</v>
      </c>
      <c r="J171" s="10">
        <v>1364298600</v>
      </c>
      <c r="K171" s="10">
        <v>736874694552</v>
      </c>
      <c r="L171" s="10">
        <v>465340382200</v>
      </c>
      <c r="M171" s="10">
        <v>324556294187</v>
      </c>
      <c r="N171" s="46">
        <v>69.745998112733744</v>
      </c>
      <c r="O171" s="10">
        <v>810568142947</v>
      </c>
      <c r="P171" s="11">
        <v>114.76</v>
      </c>
      <c r="Q171" s="11">
        <v>110</v>
      </c>
      <c r="R171" s="11">
        <v>0.93</v>
      </c>
      <c r="S171" s="10">
        <v>828784179400</v>
      </c>
      <c r="T171" s="10">
        <v>8422824574</v>
      </c>
      <c r="U171" s="10">
        <v>8422824574</v>
      </c>
      <c r="V171" s="10">
        <v>0</v>
      </c>
      <c r="W171" s="10">
        <v>0</v>
      </c>
      <c r="X171" s="10">
        <v>837207003974</v>
      </c>
      <c r="Y171" s="10">
        <v>0</v>
      </c>
      <c r="Z171" s="10">
        <v>47389610721</v>
      </c>
      <c r="AA171" s="10">
        <v>21862802428</v>
      </c>
      <c r="AB171" s="10">
        <v>906459417123</v>
      </c>
      <c r="AC171" s="10">
        <v>511991258362</v>
      </c>
      <c r="AD171" s="46">
        <v>63.519784820634264</v>
      </c>
      <c r="AE171" s="10">
        <v>529344090404</v>
      </c>
      <c r="AF171" s="10">
        <v>523368859474</v>
      </c>
      <c r="AG171" s="10">
        <v>0</v>
      </c>
      <c r="AH171" s="10">
        <v>131574840</v>
      </c>
      <c r="AI171" s="10">
        <v>0</v>
      </c>
      <c r="AJ171" s="10">
        <v>0</v>
      </c>
      <c r="AK171" s="10">
        <v>0</v>
      </c>
      <c r="AL171" s="11">
        <v>0</v>
      </c>
      <c r="AM171" s="10">
        <v>0</v>
      </c>
      <c r="AN171" s="11">
        <v>33</v>
      </c>
      <c r="AO171" s="10">
        <v>256408249025</v>
      </c>
      <c r="AP171" s="12">
        <v>11</v>
      </c>
      <c r="AQ171" s="10">
        <v>74342229652</v>
      </c>
      <c r="AR171" s="10">
        <v>8422824574</v>
      </c>
      <c r="AS171" s="10">
        <v>3695011628</v>
      </c>
      <c r="AT171" s="10">
        <v>4727812946</v>
      </c>
      <c r="AU171" s="11">
        <v>127.95</v>
      </c>
      <c r="AV171" s="10">
        <v>218104198223</v>
      </c>
      <c r="AW171" s="10">
        <v>60941638132</v>
      </c>
      <c r="AX171" s="10">
        <v>79078604004</v>
      </c>
      <c r="AY171" s="10">
        <v>137352255739</v>
      </c>
      <c r="AZ171" s="10">
        <v>183774425733</v>
      </c>
      <c r="BA171" s="10">
        <v>374332900000</v>
      </c>
      <c r="BB171" s="10">
        <v>148325365317</v>
      </c>
      <c r="BC171" s="10">
        <v>789896676387</v>
      </c>
      <c r="BD171" s="12">
        <v>5204</v>
      </c>
      <c r="BE171" s="10">
        <v>231789350654</v>
      </c>
      <c r="BF171" s="10">
        <v>183774425733</v>
      </c>
      <c r="BG171" s="10">
        <v>374332900000</v>
      </c>
      <c r="BH171" s="10">
        <v>450658825564</v>
      </c>
      <c r="BI171" s="10">
        <v>78685264840</v>
      </c>
      <c r="BJ171" s="10">
        <v>0</v>
      </c>
      <c r="BK171" s="10">
        <v>0</v>
      </c>
      <c r="BL171" s="10">
        <v>0</v>
      </c>
      <c r="BM171" s="10">
        <v>0</v>
      </c>
      <c r="BN171" s="10">
        <v>0</v>
      </c>
      <c r="BO171" s="10">
        <v>131574840</v>
      </c>
    </row>
    <row r="172" spans="1:67" x14ac:dyDescent="0.25">
      <c r="A172" s="25" t="s">
        <v>219</v>
      </c>
      <c r="B172" s="9">
        <v>4003</v>
      </c>
      <c r="C172" s="9" t="s">
        <v>224</v>
      </c>
      <c r="D172" s="10">
        <v>1478576437670</v>
      </c>
      <c r="E172" s="10">
        <v>51524650503</v>
      </c>
      <c r="F172" s="10">
        <v>0</v>
      </c>
      <c r="G172" s="10">
        <v>0</v>
      </c>
      <c r="H172" s="10">
        <v>1530101088173</v>
      </c>
      <c r="I172" s="10">
        <v>102489924231</v>
      </c>
      <c r="J172" s="10">
        <v>2565610640</v>
      </c>
      <c r="K172" s="10">
        <v>1425045553302</v>
      </c>
      <c r="L172" s="10">
        <v>941344859843</v>
      </c>
      <c r="M172" s="10">
        <v>588756228330</v>
      </c>
      <c r="N172" s="46">
        <v>62.544159260421772</v>
      </c>
      <c r="O172" s="10">
        <v>1517940323378</v>
      </c>
      <c r="P172" s="11">
        <v>115.21</v>
      </c>
      <c r="Q172" s="11">
        <v>106.52</v>
      </c>
      <c r="R172" s="11">
        <v>9.4600000000000009</v>
      </c>
      <c r="S172" s="10">
        <v>1446858802038</v>
      </c>
      <c r="T172" s="10">
        <v>138754142382</v>
      </c>
      <c r="U172" s="10">
        <v>5711231517</v>
      </c>
      <c r="V172" s="10">
        <v>0</v>
      </c>
      <c r="W172" s="10">
        <v>133042910865</v>
      </c>
      <c r="X172" s="10">
        <v>1585612944420</v>
      </c>
      <c r="Y172" s="10">
        <v>27927829628</v>
      </c>
      <c r="Z172" s="10">
        <v>135396793704</v>
      </c>
      <c r="AA172" s="10">
        <v>41825000000</v>
      </c>
      <c r="AB172" s="10">
        <v>1762834738124</v>
      </c>
      <c r="AC172" s="10">
        <v>1589579076426</v>
      </c>
      <c r="AD172" s="46">
        <v>-0.24950831731614304</v>
      </c>
      <c r="AE172" s="10">
        <v>1023988265278</v>
      </c>
      <c r="AF172" s="10">
        <v>972708265278</v>
      </c>
      <c r="AG172" s="10">
        <v>139772880001</v>
      </c>
      <c r="AH172" s="10">
        <v>727704570</v>
      </c>
      <c r="AI172" s="10">
        <v>0</v>
      </c>
      <c r="AJ172" s="10">
        <v>0</v>
      </c>
      <c r="AK172" s="10">
        <v>0</v>
      </c>
      <c r="AL172" s="11">
        <v>1</v>
      </c>
      <c r="AM172" s="10">
        <v>114000040000</v>
      </c>
      <c r="AN172" s="11">
        <v>59</v>
      </c>
      <c r="AO172" s="10">
        <v>363989703636</v>
      </c>
      <c r="AP172" s="12">
        <v>53</v>
      </c>
      <c r="AQ172" s="10">
        <v>375268260134</v>
      </c>
      <c r="AR172" s="10">
        <v>138754142382</v>
      </c>
      <c r="AS172" s="10">
        <v>52946833506</v>
      </c>
      <c r="AT172" s="10">
        <v>85807308876</v>
      </c>
      <c r="AU172" s="11">
        <v>162.06</v>
      </c>
      <c r="AV172" s="10">
        <v>994084835070</v>
      </c>
      <c r="AW172" s="10">
        <v>568453654638</v>
      </c>
      <c r="AX172" s="10">
        <v>256488424380</v>
      </c>
      <c r="AY172" s="10">
        <v>408544966520</v>
      </c>
      <c r="AZ172" s="10">
        <v>207673005675</v>
      </c>
      <c r="BA172" s="10">
        <v>605870041095</v>
      </c>
      <c r="BB172" s="10">
        <v>140394274104</v>
      </c>
      <c r="BC172" s="10">
        <v>1530101088173</v>
      </c>
      <c r="BD172" s="12">
        <v>92564</v>
      </c>
      <c r="BE172" s="10">
        <v>716558041403</v>
      </c>
      <c r="BF172" s="10">
        <v>207673005675</v>
      </c>
      <c r="BG172" s="10">
        <v>605870041095</v>
      </c>
      <c r="BH172" s="10">
        <v>802787680707</v>
      </c>
      <c r="BI172" s="10">
        <v>221200584571</v>
      </c>
      <c r="BJ172" s="10">
        <v>0</v>
      </c>
      <c r="BK172" s="10">
        <v>133042910865</v>
      </c>
      <c r="BL172" s="10">
        <v>424722385676</v>
      </c>
      <c r="BM172" s="10">
        <v>0</v>
      </c>
      <c r="BN172" s="10">
        <v>0</v>
      </c>
      <c r="BO172" s="10">
        <v>727704570</v>
      </c>
    </row>
    <row r="173" spans="1:67" x14ac:dyDescent="0.25">
      <c r="A173" s="25" t="s">
        <v>219</v>
      </c>
      <c r="B173" s="9">
        <v>4004</v>
      </c>
      <c r="C173" s="9" t="s">
        <v>225</v>
      </c>
      <c r="D173" s="10">
        <v>965989891169</v>
      </c>
      <c r="E173" s="10">
        <v>5743551288</v>
      </c>
      <c r="F173" s="10">
        <v>0</v>
      </c>
      <c r="G173" s="10">
        <v>0</v>
      </c>
      <c r="H173" s="10">
        <v>971733442457</v>
      </c>
      <c r="I173" s="10">
        <v>61496998019</v>
      </c>
      <c r="J173" s="10">
        <v>447687424</v>
      </c>
      <c r="K173" s="10">
        <v>909788757014</v>
      </c>
      <c r="L173" s="10">
        <v>525109496405</v>
      </c>
      <c r="M173" s="10">
        <v>446623946052</v>
      </c>
      <c r="N173" s="46">
        <v>85.053488674204701</v>
      </c>
      <c r="O173" s="10">
        <v>895348794223</v>
      </c>
      <c r="P173" s="11">
        <v>103.29</v>
      </c>
      <c r="Q173" s="11">
        <v>98.41</v>
      </c>
      <c r="R173" s="11">
        <v>0.2</v>
      </c>
      <c r="S173" s="10">
        <v>923845743620</v>
      </c>
      <c r="T173" s="10">
        <v>2020938875</v>
      </c>
      <c r="U173" s="10">
        <v>2020938875</v>
      </c>
      <c r="V173" s="10">
        <v>0</v>
      </c>
      <c r="W173" s="10">
        <v>0</v>
      </c>
      <c r="X173" s="10">
        <v>925866682495</v>
      </c>
      <c r="Y173" s="10">
        <v>0</v>
      </c>
      <c r="Z173" s="10">
        <v>52670867763</v>
      </c>
      <c r="AA173" s="10">
        <v>25167171478</v>
      </c>
      <c r="AB173" s="10">
        <v>1003704721736</v>
      </c>
      <c r="AC173" s="10">
        <v>572830455817</v>
      </c>
      <c r="AD173" s="46">
        <v>61.630142582848833</v>
      </c>
      <c r="AE173" s="10">
        <v>612680453848</v>
      </c>
      <c r="AF173" s="10">
        <v>607314296947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1">
        <v>0</v>
      </c>
      <c r="AM173" s="10">
        <v>0</v>
      </c>
      <c r="AN173" s="11">
        <v>10</v>
      </c>
      <c r="AO173" s="10">
        <v>40024000000</v>
      </c>
      <c r="AP173" s="12">
        <v>25</v>
      </c>
      <c r="AQ173" s="10">
        <v>53736885341</v>
      </c>
      <c r="AR173" s="10">
        <v>2020938875</v>
      </c>
      <c r="AS173" s="10">
        <v>2353259445</v>
      </c>
      <c r="AT173" s="10">
        <v>-332320570</v>
      </c>
      <c r="AU173" s="11">
        <v>-14.12</v>
      </c>
      <c r="AV173" s="10">
        <v>277412783613</v>
      </c>
      <c r="AW173" s="10">
        <v>63422492711</v>
      </c>
      <c r="AX173" s="10">
        <v>150261210764</v>
      </c>
      <c r="AY173" s="10">
        <v>280828272185</v>
      </c>
      <c r="AZ173" s="10">
        <v>184266408220</v>
      </c>
      <c r="BA173" s="10">
        <v>350634000000</v>
      </c>
      <c r="BB173" s="10">
        <v>129902713335</v>
      </c>
      <c r="BC173" s="10">
        <v>971733442457</v>
      </c>
      <c r="BD173" s="12">
        <v>76619</v>
      </c>
      <c r="BE173" s="10">
        <v>436833034237</v>
      </c>
      <c r="BF173" s="10">
        <v>184266408220</v>
      </c>
      <c r="BG173" s="10">
        <v>350634000000</v>
      </c>
      <c r="BH173" s="10">
        <v>525803548103</v>
      </c>
      <c r="BI173" s="10">
        <v>86876905745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</row>
    <row r="174" spans="1:67" x14ac:dyDescent="0.25">
      <c r="A174" s="25" t="s">
        <v>219</v>
      </c>
      <c r="B174" s="9">
        <v>4005</v>
      </c>
      <c r="C174" s="9" t="s">
        <v>226</v>
      </c>
      <c r="D174" s="10">
        <v>1010738508641</v>
      </c>
      <c r="E174" s="10">
        <v>16144449300</v>
      </c>
      <c r="F174" s="10">
        <v>0</v>
      </c>
      <c r="G174" s="10">
        <v>0</v>
      </c>
      <c r="H174" s="10">
        <v>1026882957941</v>
      </c>
      <c r="I174" s="10">
        <v>71784927682</v>
      </c>
      <c r="J174" s="10">
        <v>2561531000</v>
      </c>
      <c r="K174" s="10">
        <v>952536499259</v>
      </c>
      <c r="L174" s="10">
        <v>622127055724</v>
      </c>
      <c r="M174" s="10">
        <v>404755902217</v>
      </c>
      <c r="N174" s="46">
        <v>65.060006391454166</v>
      </c>
      <c r="O174" s="10">
        <v>858944989125</v>
      </c>
      <c r="P174" s="11">
        <v>93.91</v>
      </c>
      <c r="Q174" s="11">
        <v>90.17</v>
      </c>
      <c r="R174" s="11">
        <v>0.24</v>
      </c>
      <c r="S174" s="10">
        <v>896686899028</v>
      </c>
      <c r="T174" s="10">
        <v>2312272478</v>
      </c>
      <c r="U174" s="10">
        <v>2312272478</v>
      </c>
      <c r="V174" s="10">
        <v>0</v>
      </c>
      <c r="W174" s="10">
        <v>0</v>
      </c>
      <c r="X174" s="10">
        <v>898999171506</v>
      </c>
      <c r="Y174" s="10">
        <v>0</v>
      </c>
      <c r="Z174" s="10">
        <v>49078459770</v>
      </c>
      <c r="AA174" s="10">
        <v>16231053065</v>
      </c>
      <c r="AB174" s="10">
        <v>964308684341</v>
      </c>
      <c r="AC174" s="10">
        <v>411838604689</v>
      </c>
      <c r="AD174" s="46">
        <v>118.28919418199743</v>
      </c>
      <c r="AE174" s="10">
        <v>588513706747</v>
      </c>
      <c r="AF174" s="10">
        <v>588513706747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1">
        <v>0</v>
      </c>
      <c r="AM174" s="10">
        <v>0</v>
      </c>
      <c r="AN174" s="11">
        <v>40</v>
      </c>
      <c r="AO174" s="10">
        <v>225874352688</v>
      </c>
      <c r="AP174" s="12">
        <v>11</v>
      </c>
      <c r="AQ174" s="10">
        <v>30326492485</v>
      </c>
      <c r="AR174" s="10">
        <v>2312272478</v>
      </c>
      <c r="AS174" s="10">
        <v>1820823870</v>
      </c>
      <c r="AT174" s="10">
        <v>491448608</v>
      </c>
      <c r="AU174" s="11">
        <v>26.99</v>
      </c>
      <c r="AV174" s="10">
        <v>206844286406</v>
      </c>
      <c r="AW174" s="10">
        <v>49671092956</v>
      </c>
      <c r="AX174" s="10">
        <v>54173586804</v>
      </c>
      <c r="AY174" s="10">
        <v>158227227172</v>
      </c>
      <c r="AZ174" s="10">
        <v>307426653571</v>
      </c>
      <c r="BA174" s="10">
        <v>490911041094</v>
      </c>
      <c r="BB174" s="10">
        <v>220128890114</v>
      </c>
      <c r="BC174" s="10">
        <v>1026882957941</v>
      </c>
      <c r="BD174" s="12">
        <v>41968</v>
      </c>
      <c r="BE174" s="10">
        <v>228545263276</v>
      </c>
      <c r="BF174" s="10">
        <v>307426653571</v>
      </c>
      <c r="BG174" s="10">
        <v>490911041094</v>
      </c>
      <c r="BH174" s="10">
        <v>488528213247</v>
      </c>
      <c r="BI174" s="10">
        <v>99985493500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</row>
    <row r="175" spans="1:67" x14ac:dyDescent="0.25">
      <c r="A175" s="25" t="s">
        <v>219</v>
      </c>
      <c r="B175" s="9">
        <v>4006</v>
      </c>
      <c r="C175" s="9" t="s">
        <v>227</v>
      </c>
      <c r="D175" s="10">
        <v>931678500640</v>
      </c>
      <c r="E175" s="10">
        <v>16117053280</v>
      </c>
      <c r="F175" s="10">
        <v>0</v>
      </c>
      <c r="G175" s="10">
        <v>0</v>
      </c>
      <c r="H175" s="10">
        <v>947795553920</v>
      </c>
      <c r="I175" s="10">
        <v>73670245740</v>
      </c>
      <c r="J175" s="10">
        <v>1508652600</v>
      </c>
      <c r="K175" s="10">
        <v>872616655580</v>
      </c>
      <c r="L175" s="10">
        <v>827400351788</v>
      </c>
      <c r="M175" s="10">
        <v>120395202132</v>
      </c>
      <c r="N175" s="46">
        <v>14.551021385454785</v>
      </c>
      <c r="O175" s="10">
        <v>1458934448247</v>
      </c>
      <c r="P175" s="11">
        <v>192.49</v>
      </c>
      <c r="Q175" s="11">
        <v>167.19</v>
      </c>
      <c r="R175" s="11">
        <v>0.11</v>
      </c>
      <c r="S175" s="10">
        <v>1719553740234</v>
      </c>
      <c r="T175" s="10">
        <v>2031534898</v>
      </c>
      <c r="U175" s="10">
        <v>2031534898</v>
      </c>
      <c r="V175" s="10">
        <v>0</v>
      </c>
      <c r="W175" s="10">
        <v>0</v>
      </c>
      <c r="X175" s="10">
        <v>1721585275132</v>
      </c>
      <c r="Y175" s="10">
        <v>0</v>
      </c>
      <c r="Z175" s="10">
        <v>90649350944</v>
      </c>
      <c r="AA175" s="10">
        <v>12200000000</v>
      </c>
      <c r="AB175" s="10">
        <v>1824434626076</v>
      </c>
      <c r="AC175" s="10">
        <v>1232420247151</v>
      </c>
      <c r="AD175" s="46">
        <v>39.691414443393676</v>
      </c>
      <c r="AE175" s="10">
        <v>1013520765875</v>
      </c>
      <c r="AF175" s="10">
        <v>793297400636</v>
      </c>
      <c r="AG175" s="10">
        <v>25830067818</v>
      </c>
      <c r="AH175" s="10">
        <v>1670243440</v>
      </c>
      <c r="AI175" s="10">
        <v>0</v>
      </c>
      <c r="AJ175" s="10">
        <v>0</v>
      </c>
      <c r="AK175" s="10">
        <v>0</v>
      </c>
      <c r="AL175" s="11">
        <v>1</v>
      </c>
      <c r="AM175" s="10">
        <v>32287584772</v>
      </c>
      <c r="AN175" s="11">
        <v>51</v>
      </c>
      <c r="AO175" s="10">
        <v>79475496452</v>
      </c>
      <c r="AP175" s="12">
        <v>40</v>
      </c>
      <c r="AQ175" s="10">
        <v>168214423960</v>
      </c>
      <c r="AR175" s="10">
        <v>2031534898</v>
      </c>
      <c r="AS175" s="10">
        <v>1084878247</v>
      </c>
      <c r="AT175" s="10">
        <v>946656651</v>
      </c>
      <c r="AU175" s="11">
        <v>87.26</v>
      </c>
      <c r="AV175" s="10">
        <v>532179493716</v>
      </c>
      <c r="AW175" s="10">
        <v>73197860833</v>
      </c>
      <c r="AX175" s="10">
        <v>183830667180</v>
      </c>
      <c r="AY175" s="10">
        <v>104399030014</v>
      </c>
      <c r="AZ175" s="10">
        <v>130331263722</v>
      </c>
      <c r="BA175" s="10">
        <v>513117539724</v>
      </c>
      <c r="BB175" s="10">
        <v>57899244216</v>
      </c>
      <c r="BC175" s="10">
        <v>947795553920</v>
      </c>
      <c r="BD175" s="12">
        <v>11542</v>
      </c>
      <c r="BE175" s="10">
        <v>304346750474</v>
      </c>
      <c r="BF175" s="10">
        <v>130331263722</v>
      </c>
      <c r="BG175" s="10">
        <v>513117539724</v>
      </c>
      <c r="BH175" s="10">
        <v>691265484313</v>
      </c>
      <c r="BI175" s="10">
        <v>322255281562</v>
      </c>
      <c r="BJ175" s="10">
        <v>0</v>
      </c>
      <c r="BK175" s="10">
        <v>0</v>
      </c>
      <c r="BL175" s="10">
        <v>31944067873</v>
      </c>
      <c r="BM175" s="10">
        <v>0</v>
      </c>
      <c r="BN175" s="10">
        <v>0</v>
      </c>
      <c r="BO175" s="10">
        <v>1670243440</v>
      </c>
    </row>
    <row r="176" spans="1:67" x14ac:dyDescent="0.25">
      <c r="A176" s="25" t="s">
        <v>219</v>
      </c>
      <c r="B176" s="9">
        <v>4007</v>
      </c>
      <c r="C176" s="9" t="s">
        <v>228</v>
      </c>
      <c r="D176" s="10">
        <v>1522173531680</v>
      </c>
      <c r="E176" s="10">
        <v>74831656031</v>
      </c>
      <c r="F176" s="10">
        <v>0</v>
      </c>
      <c r="G176" s="10">
        <v>0</v>
      </c>
      <c r="H176" s="10">
        <v>1597005187711</v>
      </c>
      <c r="I176" s="10">
        <v>96779106174</v>
      </c>
      <c r="J176" s="10">
        <v>3084682960</v>
      </c>
      <c r="K176" s="10">
        <v>1497141398577</v>
      </c>
      <c r="L176" s="10">
        <v>927962958255</v>
      </c>
      <c r="M176" s="10">
        <v>669042229456</v>
      </c>
      <c r="N176" s="46">
        <v>72.097945667369004</v>
      </c>
      <c r="O176" s="10">
        <v>1939588911641</v>
      </c>
      <c r="P176" s="11">
        <v>132.1</v>
      </c>
      <c r="Q176" s="11">
        <v>129.55000000000001</v>
      </c>
      <c r="R176" s="11">
        <v>0.19</v>
      </c>
      <c r="S176" s="10">
        <v>1971912691245</v>
      </c>
      <c r="T176" s="10">
        <v>3963092741</v>
      </c>
      <c r="U176" s="10">
        <v>3963092741</v>
      </c>
      <c r="V176" s="10">
        <v>0</v>
      </c>
      <c r="W176" s="10">
        <v>0</v>
      </c>
      <c r="X176" s="10">
        <v>1975875783986</v>
      </c>
      <c r="Y176" s="10">
        <v>0</v>
      </c>
      <c r="Z176" s="10">
        <v>129120411946</v>
      </c>
      <c r="AA176" s="10">
        <v>4696219179</v>
      </c>
      <c r="AB176" s="10">
        <v>2109692415111</v>
      </c>
      <c r="AC176" s="10">
        <v>995873526379</v>
      </c>
      <c r="AD176" s="46">
        <v>98.406296748372455</v>
      </c>
      <c r="AE176" s="10">
        <v>1610990840471</v>
      </c>
      <c r="AF176" s="10">
        <v>1539307840471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1">
        <v>0</v>
      </c>
      <c r="AM176" s="10">
        <v>0</v>
      </c>
      <c r="AN176" s="11">
        <v>82</v>
      </c>
      <c r="AO176" s="10">
        <v>700521411136</v>
      </c>
      <c r="AP176" s="12">
        <v>55</v>
      </c>
      <c r="AQ176" s="10">
        <v>632745108916</v>
      </c>
      <c r="AR176" s="10">
        <v>3963092741</v>
      </c>
      <c r="AS176" s="10">
        <v>1728578022</v>
      </c>
      <c r="AT176" s="10">
        <v>2234514719</v>
      </c>
      <c r="AU176" s="11">
        <v>129.27000000000001</v>
      </c>
      <c r="AV176" s="10">
        <v>645811043471</v>
      </c>
      <c r="AW176" s="10">
        <v>29448101908</v>
      </c>
      <c r="AX176" s="10">
        <v>122538892941</v>
      </c>
      <c r="AY176" s="10">
        <v>190000626004</v>
      </c>
      <c r="AZ176" s="10">
        <v>436894971641</v>
      </c>
      <c r="BA176" s="10">
        <v>772739041094</v>
      </c>
      <c r="BB176" s="10">
        <v>400317892231</v>
      </c>
      <c r="BC176" s="10">
        <v>1597005187711</v>
      </c>
      <c r="BD176" s="12">
        <v>20576</v>
      </c>
      <c r="BE176" s="10">
        <v>387371174976</v>
      </c>
      <c r="BF176" s="10">
        <v>436894971641</v>
      </c>
      <c r="BG176" s="10">
        <v>772739041094</v>
      </c>
      <c r="BH176" s="10">
        <v>1175232752471</v>
      </c>
      <c r="BI176" s="10">
        <v>435758088000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</row>
    <row r="177" spans="1:67" x14ac:dyDescent="0.25">
      <c r="A177" s="25" t="s">
        <v>219</v>
      </c>
      <c r="B177" s="9">
        <v>4008</v>
      </c>
      <c r="C177" s="9" t="s">
        <v>229</v>
      </c>
      <c r="D177" s="10">
        <v>831147007647</v>
      </c>
      <c r="E177" s="10">
        <v>2453240979</v>
      </c>
      <c r="F177" s="10">
        <v>0</v>
      </c>
      <c r="G177" s="10">
        <v>0</v>
      </c>
      <c r="H177" s="10">
        <v>833600248626</v>
      </c>
      <c r="I177" s="10">
        <v>64512880425</v>
      </c>
      <c r="J177" s="10">
        <v>2098382924</v>
      </c>
      <c r="K177" s="10">
        <v>766988985277</v>
      </c>
      <c r="L177" s="10">
        <v>517813192561</v>
      </c>
      <c r="M177" s="10">
        <v>315787056065</v>
      </c>
      <c r="N177" s="46">
        <v>60.984745194146306</v>
      </c>
      <c r="O177" s="10">
        <v>1008545459854</v>
      </c>
      <c r="P177" s="11">
        <v>140.16999999999999</v>
      </c>
      <c r="Q177" s="11">
        <v>131.49</v>
      </c>
      <c r="R177" s="11">
        <v>0.35</v>
      </c>
      <c r="S177" s="10">
        <v>1097145068257</v>
      </c>
      <c r="T177" s="10">
        <v>4079069388</v>
      </c>
      <c r="U177" s="10">
        <v>3944251863</v>
      </c>
      <c r="V177" s="10">
        <v>134817525</v>
      </c>
      <c r="W177" s="10">
        <v>0</v>
      </c>
      <c r="X177" s="10">
        <v>1101224137645</v>
      </c>
      <c r="Y177" s="10">
        <v>0</v>
      </c>
      <c r="Z177" s="10">
        <v>51954350339</v>
      </c>
      <c r="AA177" s="10">
        <v>15288770000</v>
      </c>
      <c r="AB177" s="10">
        <v>1168467257984</v>
      </c>
      <c r="AC177" s="10">
        <v>621857491793</v>
      </c>
      <c r="AD177" s="46">
        <v>77.08625403383715</v>
      </c>
      <c r="AE177" s="10">
        <v>704458550051</v>
      </c>
      <c r="AF177" s="10">
        <v>669747865300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1">
        <v>0</v>
      </c>
      <c r="AM177" s="10">
        <v>0</v>
      </c>
      <c r="AN177" s="11">
        <v>1</v>
      </c>
      <c r="AO177" s="10">
        <v>1090000000</v>
      </c>
      <c r="AP177" s="12">
        <v>2</v>
      </c>
      <c r="AQ177" s="10">
        <v>39740000000</v>
      </c>
      <c r="AR177" s="10">
        <v>4079069388</v>
      </c>
      <c r="AS177" s="10">
        <v>809997283</v>
      </c>
      <c r="AT177" s="10">
        <v>3269072105</v>
      </c>
      <c r="AU177" s="11">
        <v>403.59</v>
      </c>
      <c r="AV177" s="10">
        <v>216693608253</v>
      </c>
      <c r="AW177" s="10">
        <v>30952973185</v>
      </c>
      <c r="AX177" s="10">
        <v>40541649256</v>
      </c>
      <c r="AY177" s="10">
        <v>192423352419</v>
      </c>
      <c r="AZ177" s="10">
        <v>182960505972</v>
      </c>
      <c r="BA177" s="10">
        <v>415221500000</v>
      </c>
      <c r="BB177" s="10">
        <v>169205257852</v>
      </c>
      <c r="BC177" s="10">
        <v>833600248626</v>
      </c>
      <c r="BD177" s="12">
        <v>10748</v>
      </c>
      <c r="BE177" s="10">
        <v>235418242654</v>
      </c>
      <c r="BF177" s="10">
        <v>182960505972</v>
      </c>
      <c r="BG177" s="10">
        <v>415221500000</v>
      </c>
      <c r="BH177" s="10">
        <v>553569890051</v>
      </c>
      <c r="BI177" s="10">
        <v>150888660000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</row>
    <row r="178" spans="1:67" x14ac:dyDescent="0.25">
      <c r="A178" s="25" t="s">
        <v>219</v>
      </c>
      <c r="B178" s="9">
        <v>4009</v>
      </c>
      <c r="C178" s="9" t="s">
        <v>230</v>
      </c>
      <c r="D178" s="10">
        <v>752515162286</v>
      </c>
      <c r="E178" s="10">
        <v>2373438347</v>
      </c>
      <c r="F178" s="10">
        <v>0</v>
      </c>
      <c r="G178" s="10">
        <v>0</v>
      </c>
      <c r="H178" s="10">
        <v>754888600633</v>
      </c>
      <c r="I178" s="10">
        <v>56410288660</v>
      </c>
      <c r="J178" s="10">
        <v>244391400</v>
      </c>
      <c r="K178" s="10">
        <v>698233920573</v>
      </c>
      <c r="L178" s="10">
        <v>350653915784</v>
      </c>
      <c r="M178" s="10">
        <v>404234684849</v>
      </c>
      <c r="N178" s="46">
        <v>115.28024261334795</v>
      </c>
      <c r="O178" s="10">
        <v>338724305425</v>
      </c>
      <c r="P178" s="11">
        <v>52.94</v>
      </c>
      <c r="Q178" s="11">
        <v>48.51</v>
      </c>
      <c r="R178" s="11">
        <v>0</v>
      </c>
      <c r="S178" s="10">
        <v>353360063344</v>
      </c>
      <c r="T178" s="10">
        <v>0</v>
      </c>
      <c r="U178" s="10">
        <v>0</v>
      </c>
      <c r="V178" s="10">
        <v>0</v>
      </c>
      <c r="W178" s="10">
        <v>0</v>
      </c>
      <c r="X178" s="10">
        <v>353360063344</v>
      </c>
      <c r="Y178" s="10">
        <v>0</v>
      </c>
      <c r="Z178" s="10">
        <v>31712823178</v>
      </c>
      <c r="AA178" s="10">
        <v>14602000000</v>
      </c>
      <c r="AB178" s="10">
        <v>399674886522</v>
      </c>
      <c r="AC178" s="10">
        <v>36416695092</v>
      </c>
      <c r="AD178" s="46">
        <v>870.32435933931288</v>
      </c>
      <c r="AE178" s="10">
        <v>343921742929</v>
      </c>
      <c r="AF178" s="10">
        <v>343921742929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1">
        <v>0</v>
      </c>
      <c r="AM178" s="10">
        <v>0</v>
      </c>
      <c r="AN178" s="11">
        <v>7</v>
      </c>
      <c r="AO178" s="10">
        <v>8320000000</v>
      </c>
      <c r="AP178" s="12">
        <v>0</v>
      </c>
      <c r="AQ178" s="10">
        <v>0</v>
      </c>
      <c r="AR178" s="10">
        <v>0</v>
      </c>
      <c r="AS178" s="10">
        <v>0</v>
      </c>
      <c r="AT178" s="10">
        <v>0</v>
      </c>
      <c r="AU178" s="11" t="s">
        <v>593</v>
      </c>
      <c r="AV178" s="10">
        <v>50991836924</v>
      </c>
      <c r="AW178" s="10">
        <v>3465771651</v>
      </c>
      <c r="AX178" s="10">
        <v>34467298936</v>
      </c>
      <c r="AY178" s="10">
        <v>274752579036</v>
      </c>
      <c r="AZ178" s="10">
        <v>56145184314</v>
      </c>
      <c r="BA178" s="10">
        <v>387150100000</v>
      </c>
      <c r="BB178" s="10">
        <v>55494187808</v>
      </c>
      <c r="BC178" s="10">
        <v>754888600633</v>
      </c>
      <c r="BD178" s="12">
        <v>35030</v>
      </c>
      <c r="BE178" s="10">
        <v>311593316319</v>
      </c>
      <c r="BF178" s="10">
        <v>56145184314</v>
      </c>
      <c r="BG178" s="10">
        <v>387150100000</v>
      </c>
      <c r="BH178" s="10">
        <v>292838909519</v>
      </c>
      <c r="BI178" s="10">
        <v>51082833410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</row>
    <row r="179" spans="1:67" x14ac:dyDescent="0.25">
      <c r="A179" s="25" t="s">
        <v>219</v>
      </c>
      <c r="B179" s="26">
        <v>4099</v>
      </c>
      <c r="C179" s="26" t="s">
        <v>231</v>
      </c>
      <c r="D179" s="27">
        <v>0</v>
      </c>
      <c r="E179" s="27">
        <v>2363050000</v>
      </c>
      <c r="F179" s="27">
        <v>0</v>
      </c>
      <c r="G179" s="27">
        <v>0</v>
      </c>
      <c r="H179" s="27">
        <v>2363050000</v>
      </c>
      <c r="I179" s="27">
        <v>11846779</v>
      </c>
      <c r="J179" s="27">
        <v>1175600</v>
      </c>
      <c r="K179" s="27">
        <v>2350027621</v>
      </c>
      <c r="L179" s="27">
        <v>140400000</v>
      </c>
      <c r="M179" s="10">
        <v>2222650000</v>
      </c>
      <c r="N179" s="46">
        <v>1583.0840455840455</v>
      </c>
      <c r="O179" s="27">
        <v>0</v>
      </c>
      <c r="P179" s="28">
        <v>0</v>
      </c>
      <c r="Q179" s="28">
        <v>0</v>
      </c>
      <c r="R179" s="28">
        <v>0</v>
      </c>
      <c r="S179" s="27">
        <v>0</v>
      </c>
      <c r="T179" s="27">
        <v>0</v>
      </c>
      <c r="U179" s="27">
        <v>0</v>
      </c>
      <c r="V179" s="27">
        <v>0</v>
      </c>
      <c r="W179" s="27">
        <v>0</v>
      </c>
      <c r="X179" s="27">
        <v>0</v>
      </c>
      <c r="Y179" s="10">
        <v>0</v>
      </c>
      <c r="Z179" s="27">
        <v>0</v>
      </c>
      <c r="AA179" s="27">
        <v>0</v>
      </c>
      <c r="AB179" s="27">
        <v>0</v>
      </c>
      <c r="AC179" s="27">
        <v>0</v>
      </c>
      <c r="AD179" s="46" t="s">
        <v>595</v>
      </c>
      <c r="AE179" s="27">
        <v>0</v>
      </c>
      <c r="AF179" s="27">
        <v>0</v>
      </c>
      <c r="AG179" s="27">
        <v>0</v>
      </c>
      <c r="AH179" s="27">
        <v>0</v>
      </c>
      <c r="AI179" s="27">
        <v>0</v>
      </c>
      <c r="AJ179" s="27">
        <v>0</v>
      </c>
      <c r="AK179" s="27">
        <v>0</v>
      </c>
      <c r="AL179" s="28">
        <v>0</v>
      </c>
      <c r="AM179" s="27">
        <v>0</v>
      </c>
      <c r="AN179" s="28">
        <v>0</v>
      </c>
      <c r="AO179" s="27">
        <v>0</v>
      </c>
      <c r="AP179" s="12">
        <v>0</v>
      </c>
      <c r="AQ179" s="10">
        <v>0</v>
      </c>
      <c r="AR179" s="27">
        <v>0</v>
      </c>
      <c r="AS179" s="27">
        <v>0</v>
      </c>
      <c r="AT179" s="27">
        <v>0</v>
      </c>
      <c r="AU179" s="28" t="s">
        <v>593</v>
      </c>
      <c r="AV179" s="27">
        <v>0</v>
      </c>
      <c r="AW179" s="27">
        <v>0</v>
      </c>
      <c r="AX179" s="27">
        <v>0</v>
      </c>
      <c r="AY179" s="27">
        <v>0</v>
      </c>
      <c r="AZ179" s="27">
        <v>0</v>
      </c>
      <c r="BA179" s="27">
        <v>0</v>
      </c>
      <c r="BB179" s="27">
        <v>0</v>
      </c>
      <c r="BC179" s="27">
        <v>2363050000</v>
      </c>
      <c r="BD179" s="29">
        <v>0</v>
      </c>
      <c r="BE179" s="27">
        <v>2363050000</v>
      </c>
      <c r="BF179" s="27">
        <v>0</v>
      </c>
      <c r="BG179" s="27">
        <v>0</v>
      </c>
      <c r="BH179" s="27">
        <v>0</v>
      </c>
      <c r="BI179" s="27">
        <v>0</v>
      </c>
      <c r="BJ179" s="27">
        <v>0</v>
      </c>
      <c r="BK179" s="27">
        <v>0</v>
      </c>
      <c r="BL179" s="27">
        <v>0</v>
      </c>
      <c r="BM179" s="27">
        <v>0</v>
      </c>
      <c r="BN179" s="27">
        <v>0</v>
      </c>
      <c r="BO179" s="27">
        <v>0</v>
      </c>
    </row>
    <row r="180" spans="1:67" x14ac:dyDescent="0.25">
      <c r="A180" s="19" t="s">
        <v>619</v>
      </c>
      <c r="B180" s="20" t="s">
        <v>593</v>
      </c>
      <c r="C180" s="20" t="s">
        <v>593</v>
      </c>
      <c r="D180" s="21">
        <v>14880566382720</v>
      </c>
      <c r="E180" s="21">
        <v>509510762539</v>
      </c>
      <c r="F180" s="21">
        <v>0</v>
      </c>
      <c r="G180" s="21">
        <v>654502194</v>
      </c>
      <c r="H180" s="21">
        <v>15390731647453</v>
      </c>
      <c r="I180" s="21">
        <v>1099233766612</v>
      </c>
      <c r="J180" s="21">
        <v>27721004598</v>
      </c>
      <c r="K180" s="21">
        <v>14263776876243</v>
      </c>
      <c r="L180" s="21">
        <v>11351245303694</v>
      </c>
      <c r="M180" s="21">
        <v>4039486343759</v>
      </c>
      <c r="N180" s="47">
        <v>35.586283581101384</v>
      </c>
      <c r="O180" s="21">
        <v>17924234708108</v>
      </c>
      <c r="P180" s="22">
        <v>141.81</v>
      </c>
      <c r="Q180" s="22">
        <v>125.66</v>
      </c>
      <c r="R180" s="22">
        <v>1.06</v>
      </c>
      <c r="S180" s="21">
        <v>20460430169660</v>
      </c>
      <c r="T180" s="21">
        <v>203684827590</v>
      </c>
      <c r="U180" s="21">
        <v>69885020672</v>
      </c>
      <c r="V180" s="21">
        <v>756896053</v>
      </c>
      <c r="W180" s="21">
        <v>133042910865</v>
      </c>
      <c r="X180" s="21">
        <v>20664114997250</v>
      </c>
      <c r="Y180" s="21">
        <v>28685957735</v>
      </c>
      <c r="Z180" s="21">
        <v>892877119419</v>
      </c>
      <c r="AA180" s="21">
        <v>267917270277</v>
      </c>
      <c r="AB180" s="21">
        <v>21824909386946</v>
      </c>
      <c r="AC180" s="21">
        <v>14412272249205</v>
      </c>
      <c r="AD180" s="47">
        <v>43.3786056767687</v>
      </c>
      <c r="AE180" s="21">
        <v>13769854499243</v>
      </c>
      <c r="AF180" s="21">
        <v>12742965764830</v>
      </c>
      <c r="AG180" s="21">
        <v>615830971938</v>
      </c>
      <c r="AH180" s="21">
        <v>5428589350</v>
      </c>
      <c r="AI180" s="21">
        <v>0</v>
      </c>
      <c r="AJ180" s="21">
        <v>0</v>
      </c>
      <c r="AK180" s="21">
        <v>0</v>
      </c>
      <c r="AL180" s="22">
        <v>11</v>
      </c>
      <c r="AM180" s="21">
        <v>600966794382</v>
      </c>
      <c r="AN180" s="22">
        <v>562</v>
      </c>
      <c r="AO180" s="21">
        <v>4369328675115</v>
      </c>
      <c r="AP180" s="23">
        <v>407</v>
      </c>
      <c r="AQ180" s="21">
        <v>2905605893848</v>
      </c>
      <c r="AR180" s="21">
        <v>203684827590</v>
      </c>
      <c r="AS180" s="21">
        <v>83820767662</v>
      </c>
      <c r="AT180" s="21">
        <v>119864059928</v>
      </c>
      <c r="AU180" s="22">
        <v>143</v>
      </c>
      <c r="AV180" s="21">
        <v>8053548533975</v>
      </c>
      <c r="AW180" s="21">
        <v>1493676888638</v>
      </c>
      <c r="AX180" s="21">
        <v>2258730509495</v>
      </c>
      <c r="AY180" s="21">
        <v>2735699053700</v>
      </c>
      <c r="AZ180" s="21">
        <v>3229158883062</v>
      </c>
      <c r="BA180" s="21">
        <v>6656977936463</v>
      </c>
      <c r="BB180" s="21">
        <v>2382536621340</v>
      </c>
      <c r="BC180" s="21">
        <v>15390731647453</v>
      </c>
      <c r="BD180" s="23">
        <v>614701</v>
      </c>
      <c r="BE180" s="21">
        <v>5447575377194</v>
      </c>
      <c r="BF180" s="21">
        <v>3228688883062</v>
      </c>
      <c r="BG180" s="21">
        <v>6714467387197</v>
      </c>
      <c r="BH180" s="21">
        <v>10656131630555</v>
      </c>
      <c r="BI180" s="21">
        <v>3113722868688</v>
      </c>
      <c r="BJ180" s="21">
        <v>0</v>
      </c>
      <c r="BK180" s="21">
        <v>133042910865</v>
      </c>
      <c r="BL180" s="21">
        <v>906894477668</v>
      </c>
      <c r="BM180" s="21">
        <v>2889954000</v>
      </c>
      <c r="BN180" s="21">
        <v>0</v>
      </c>
      <c r="BO180" s="21">
        <v>2538635350</v>
      </c>
    </row>
    <row r="181" spans="1:67" x14ac:dyDescent="0.25">
      <c r="A181" s="25" t="s">
        <v>232</v>
      </c>
      <c r="B181" s="9">
        <v>1900</v>
      </c>
      <c r="C181" s="9" t="s">
        <v>233</v>
      </c>
      <c r="D181" s="10">
        <v>5027723692672</v>
      </c>
      <c r="E181" s="10">
        <v>1070283393423</v>
      </c>
      <c r="F181" s="10">
        <v>333100000000</v>
      </c>
      <c r="G181" s="10">
        <v>21454348289</v>
      </c>
      <c r="H181" s="10">
        <v>6452561434384</v>
      </c>
      <c r="I181" s="10">
        <v>641197378262</v>
      </c>
      <c r="J181" s="10">
        <v>18481531542</v>
      </c>
      <c r="K181" s="10">
        <v>5792882524580</v>
      </c>
      <c r="L181" s="10">
        <v>4003695342749</v>
      </c>
      <c r="M181" s="10">
        <v>2448866091635</v>
      </c>
      <c r="N181" s="46">
        <v>61.165145746418617</v>
      </c>
      <c r="O181" s="10">
        <v>8186433140167</v>
      </c>
      <c r="P181" s="11">
        <v>172.75</v>
      </c>
      <c r="Q181" s="11">
        <v>141.32</v>
      </c>
      <c r="R181" s="11">
        <v>0.93</v>
      </c>
      <c r="S181" s="10">
        <v>10689171461324</v>
      </c>
      <c r="T181" s="10">
        <v>85645366569</v>
      </c>
      <c r="U181" s="10">
        <v>36379370986</v>
      </c>
      <c r="V181" s="10">
        <v>17261404137</v>
      </c>
      <c r="W181" s="10">
        <v>32004591446</v>
      </c>
      <c r="X181" s="10">
        <v>10774816827893</v>
      </c>
      <c r="Y181" s="10">
        <v>17728738114</v>
      </c>
      <c r="Z181" s="10">
        <v>339755002402</v>
      </c>
      <c r="AA181" s="10">
        <v>32458681458</v>
      </c>
      <c r="AB181" s="10">
        <v>11147030511753</v>
      </c>
      <c r="AC181" s="10">
        <v>8113145667610</v>
      </c>
      <c r="AD181" s="46">
        <v>32.806894752415857</v>
      </c>
      <c r="AE181" s="10">
        <v>9697291594571</v>
      </c>
      <c r="AF181" s="10">
        <v>9660569958722</v>
      </c>
      <c r="AG181" s="10">
        <v>2551775727758</v>
      </c>
      <c r="AH181" s="10">
        <v>305783595182</v>
      </c>
      <c r="AI181" s="10">
        <v>40345460306</v>
      </c>
      <c r="AJ181" s="10">
        <v>0</v>
      </c>
      <c r="AK181" s="10">
        <v>0</v>
      </c>
      <c r="AL181" s="11">
        <v>93</v>
      </c>
      <c r="AM181" s="10">
        <v>9788517416376</v>
      </c>
      <c r="AN181" s="11">
        <v>103</v>
      </c>
      <c r="AO181" s="10">
        <v>3107127698208</v>
      </c>
      <c r="AP181" s="12">
        <v>142</v>
      </c>
      <c r="AQ181" s="10">
        <v>2149025421009</v>
      </c>
      <c r="AR181" s="10">
        <v>85645366569</v>
      </c>
      <c r="AS181" s="10">
        <v>51392662677</v>
      </c>
      <c r="AT181" s="10">
        <v>34252703892</v>
      </c>
      <c r="AU181" s="11">
        <v>66.650000000000006</v>
      </c>
      <c r="AV181" s="10">
        <v>7569754442845</v>
      </c>
      <c r="AW181" s="10">
        <v>591414389808</v>
      </c>
      <c r="AX181" s="10">
        <v>1476164186187</v>
      </c>
      <c r="AY181" s="10">
        <v>335553909652</v>
      </c>
      <c r="AZ181" s="10">
        <v>1676878721953</v>
      </c>
      <c r="BA181" s="10">
        <v>1539126874880</v>
      </c>
      <c r="BB181" s="10">
        <v>1159081438799</v>
      </c>
      <c r="BC181" s="10">
        <v>6452561434384</v>
      </c>
      <c r="BD181" s="12">
        <v>442478</v>
      </c>
      <c r="BE181" s="10">
        <v>2623901764630</v>
      </c>
      <c r="BF181" s="10">
        <v>2009922221953</v>
      </c>
      <c r="BG181" s="10">
        <v>1818737447801</v>
      </c>
      <c r="BH181" s="10">
        <v>7653253980003</v>
      </c>
      <c r="BI181" s="10">
        <v>2044037614568</v>
      </c>
      <c r="BJ181" s="10">
        <v>169845046206</v>
      </c>
      <c r="BK181" s="10">
        <v>0</v>
      </c>
      <c r="BL181" s="10">
        <v>2737670916667</v>
      </c>
      <c r="BM181" s="10">
        <v>0</v>
      </c>
      <c r="BN181" s="10">
        <v>0</v>
      </c>
      <c r="BO181" s="10">
        <v>305783595182</v>
      </c>
    </row>
    <row r="182" spans="1:67" x14ac:dyDescent="0.25">
      <c r="A182" s="25" t="s">
        <v>232</v>
      </c>
      <c r="B182" s="9">
        <v>1901</v>
      </c>
      <c r="C182" s="9" t="s">
        <v>234</v>
      </c>
      <c r="D182" s="10">
        <v>2199598181703</v>
      </c>
      <c r="E182" s="10">
        <v>94304412347</v>
      </c>
      <c r="F182" s="10">
        <v>0</v>
      </c>
      <c r="G182" s="10">
        <v>0</v>
      </c>
      <c r="H182" s="10">
        <v>2293902594050</v>
      </c>
      <c r="I182" s="10">
        <v>189118397345</v>
      </c>
      <c r="J182" s="10">
        <v>1202478554</v>
      </c>
      <c r="K182" s="10">
        <v>2103581718151</v>
      </c>
      <c r="L182" s="10">
        <v>2029539269962</v>
      </c>
      <c r="M182" s="10">
        <v>264363324088</v>
      </c>
      <c r="N182" s="46">
        <v>13.025780185714259</v>
      </c>
      <c r="O182" s="10">
        <v>2764581459762</v>
      </c>
      <c r="P182" s="11">
        <v>133.83000000000001</v>
      </c>
      <c r="Q182" s="11">
        <v>131.41999999999999</v>
      </c>
      <c r="R182" s="11">
        <v>0.56000000000000005</v>
      </c>
      <c r="S182" s="10">
        <v>2822492494236</v>
      </c>
      <c r="T182" s="10">
        <v>10834629903</v>
      </c>
      <c r="U182" s="10">
        <v>6674168035</v>
      </c>
      <c r="V182" s="10">
        <v>1244376069</v>
      </c>
      <c r="W182" s="10">
        <v>2916085799</v>
      </c>
      <c r="X182" s="10">
        <v>2833327124139</v>
      </c>
      <c r="Y182" s="10">
        <v>6303634536</v>
      </c>
      <c r="Z182" s="10">
        <v>224627097464</v>
      </c>
      <c r="AA182" s="10">
        <v>11999880000</v>
      </c>
      <c r="AB182" s="10">
        <v>3069954101603</v>
      </c>
      <c r="AC182" s="10">
        <v>2553819029086</v>
      </c>
      <c r="AD182" s="46">
        <v>10.944710328712471</v>
      </c>
      <c r="AE182" s="10">
        <v>1425522309660</v>
      </c>
      <c r="AF182" s="10">
        <v>1425522309660</v>
      </c>
      <c r="AG182" s="10">
        <v>59718918443</v>
      </c>
      <c r="AH182" s="10">
        <v>9840000000</v>
      </c>
      <c r="AI182" s="10">
        <v>0</v>
      </c>
      <c r="AJ182" s="10">
        <v>0</v>
      </c>
      <c r="AK182" s="10">
        <v>0</v>
      </c>
      <c r="AL182" s="11">
        <v>1</v>
      </c>
      <c r="AM182" s="10">
        <v>12746019269</v>
      </c>
      <c r="AN182" s="11">
        <v>44</v>
      </c>
      <c r="AO182" s="10">
        <v>846166425468</v>
      </c>
      <c r="AP182" s="12">
        <v>38</v>
      </c>
      <c r="AQ182" s="10">
        <v>426127298802</v>
      </c>
      <c r="AR182" s="10">
        <v>10834629903</v>
      </c>
      <c r="AS182" s="10">
        <v>6252080878</v>
      </c>
      <c r="AT182" s="10">
        <v>4582549025</v>
      </c>
      <c r="AU182" s="11">
        <v>73.3</v>
      </c>
      <c r="AV182" s="10">
        <v>1220749317780</v>
      </c>
      <c r="AW182" s="10">
        <v>255608545417</v>
      </c>
      <c r="AX182" s="10">
        <v>420118113923</v>
      </c>
      <c r="AY182" s="10">
        <v>480357613955</v>
      </c>
      <c r="AZ182" s="10">
        <v>626859553825</v>
      </c>
      <c r="BA182" s="10">
        <v>672262900000</v>
      </c>
      <c r="BB182" s="10">
        <v>351428207305</v>
      </c>
      <c r="BC182" s="10">
        <v>2293902594050</v>
      </c>
      <c r="BD182" s="12">
        <v>111716</v>
      </c>
      <c r="BE182" s="10">
        <v>938827007110</v>
      </c>
      <c r="BF182" s="10">
        <v>626713933825</v>
      </c>
      <c r="BG182" s="10">
        <v>728361653115</v>
      </c>
      <c r="BH182" s="10">
        <v>998134961188</v>
      </c>
      <c r="BI182" s="10">
        <v>427387348472</v>
      </c>
      <c r="BJ182" s="10">
        <v>0</v>
      </c>
      <c r="BK182" s="10">
        <v>0</v>
      </c>
      <c r="BL182" s="10">
        <v>59718918443</v>
      </c>
      <c r="BM182" s="10">
        <v>7887739432</v>
      </c>
      <c r="BN182" s="10">
        <v>0</v>
      </c>
      <c r="BO182" s="10">
        <v>0</v>
      </c>
    </row>
    <row r="183" spans="1:67" x14ac:dyDescent="0.25">
      <c r="A183" s="25" t="s">
        <v>232</v>
      </c>
      <c r="B183" s="9">
        <v>1902</v>
      </c>
      <c r="C183" s="9" t="s">
        <v>235</v>
      </c>
      <c r="D183" s="10">
        <v>1100731283889</v>
      </c>
      <c r="E183" s="10">
        <v>13041770305</v>
      </c>
      <c r="F183" s="10">
        <v>0</v>
      </c>
      <c r="G183" s="10">
        <v>0</v>
      </c>
      <c r="H183" s="10">
        <v>1113773054194</v>
      </c>
      <c r="I183" s="10">
        <v>83035054704</v>
      </c>
      <c r="J183" s="10">
        <v>3621618646</v>
      </c>
      <c r="K183" s="10">
        <v>1027116380844</v>
      </c>
      <c r="L183" s="10">
        <v>1059308413912</v>
      </c>
      <c r="M183" s="10">
        <v>54464640282</v>
      </c>
      <c r="N183" s="46">
        <v>5.1415281486213651</v>
      </c>
      <c r="O183" s="10">
        <v>1530654004330</v>
      </c>
      <c r="P183" s="11">
        <v>157.18</v>
      </c>
      <c r="Q183" s="11">
        <v>149.02000000000001</v>
      </c>
      <c r="R183" s="11">
        <v>1.33</v>
      </c>
      <c r="S183" s="10">
        <v>1558370776181</v>
      </c>
      <c r="T183" s="10">
        <v>23022341693</v>
      </c>
      <c r="U183" s="10">
        <v>18666181547</v>
      </c>
      <c r="V183" s="10">
        <v>2865788370</v>
      </c>
      <c r="W183" s="10">
        <v>1490371776</v>
      </c>
      <c r="X183" s="10">
        <v>1581393117874</v>
      </c>
      <c r="Y183" s="10">
        <v>270475403</v>
      </c>
      <c r="Z183" s="10">
        <v>154734169414</v>
      </c>
      <c r="AA183" s="10">
        <v>14450000000</v>
      </c>
      <c r="AB183" s="10">
        <v>1750577287288</v>
      </c>
      <c r="AC183" s="10">
        <v>1310310550724</v>
      </c>
      <c r="AD183" s="46">
        <v>20.688421305942764</v>
      </c>
      <c r="AE183" s="10">
        <v>974929616581</v>
      </c>
      <c r="AF183" s="10">
        <v>974929616581</v>
      </c>
      <c r="AG183" s="10">
        <v>141872000000</v>
      </c>
      <c r="AH183" s="10">
        <v>1296906910</v>
      </c>
      <c r="AI183" s="10">
        <v>0</v>
      </c>
      <c r="AJ183" s="10">
        <v>0</v>
      </c>
      <c r="AK183" s="10">
        <v>0</v>
      </c>
      <c r="AL183" s="11">
        <v>1</v>
      </c>
      <c r="AM183" s="10">
        <v>95590000000</v>
      </c>
      <c r="AN183" s="11">
        <v>24</v>
      </c>
      <c r="AO183" s="10">
        <v>55650413884</v>
      </c>
      <c r="AP183" s="12">
        <v>78</v>
      </c>
      <c r="AQ183" s="10">
        <v>124673717761</v>
      </c>
      <c r="AR183" s="10">
        <v>23022341693</v>
      </c>
      <c r="AS183" s="10">
        <v>5536399936</v>
      </c>
      <c r="AT183" s="10">
        <v>17485941757</v>
      </c>
      <c r="AU183" s="11">
        <v>315.83999999999997</v>
      </c>
      <c r="AV183" s="10">
        <v>697258139848</v>
      </c>
      <c r="AW183" s="10">
        <v>141443573325</v>
      </c>
      <c r="AX183" s="10">
        <v>118188199908</v>
      </c>
      <c r="AY183" s="10">
        <v>189541540718</v>
      </c>
      <c r="AZ183" s="10">
        <v>307386043263</v>
      </c>
      <c r="BA183" s="10">
        <v>485615500000</v>
      </c>
      <c r="BB183" s="10">
        <v>226101864214</v>
      </c>
      <c r="BC183" s="10">
        <v>1113773054194</v>
      </c>
      <c r="BD183" s="12">
        <v>108173</v>
      </c>
      <c r="BE183" s="10">
        <v>320417142059</v>
      </c>
      <c r="BF183" s="10">
        <v>307386043263</v>
      </c>
      <c r="BG183" s="10">
        <v>485969868872</v>
      </c>
      <c r="BH183" s="10">
        <v>616137424165</v>
      </c>
      <c r="BI183" s="10">
        <v>358792192416</v>
      </c>
      <c r="BJ183" s="10">
        <v>75828747492</v>
      </c>
      <c r="BK183" s="10">
        <v>0</v>
      </c>
      <c r="BL183" s="10">
        <v>65400000000</v>
      </c>
      <c r="BM183" s="10">
        <v>980309570</v>
      </c>
      <c r="BN183" s="10">
        <v>0</v>
      </c>
      <c r="BO183" s="10">
        <v>316597340</v>
      </c>
    </row>
    <row r="184" spans="1:67" x14ac:dyDescent="0.25">
      <c r="A184" s="25" t="s">
        <v>232</v>
      </c>
      <c r="B184" s="9">
        <v>1903</v>
      </c>
      <c r="C184" s="9" t="s">
        <v>236</v>
      </c>
      <c r="D184" s="10">
        <v>678369429246</v>
      </c>
      <c r="E184" s="10">
        <v>15337900854</v>
      </c>
      <c r="F184" s="10">
        <v>0</v>
      </c>
      <c r="G184" s="10">
        <v>0</v>
      </c>
      <c r="H184" s="10">
        <v>693707330100</v>
      </c>
      <c r="I184" s="10">
        <v>47562460238</v>
      </c>
      <c r="J184" s="10">
        <v>1629846151</v>
      </c>
      <c r="K184" s="10">
        <v>644515023711</v>
      </c>
      <c r="L184" s="10">
        <v>475708790104</v>
      </c>
      <c r="M184" s="10">
        <v>217998539996</v>
      </c>
      <c r="N184" s="46">
        <v>45.826048315891093</v>
      </c>
      <c r="O184" s="10">
        <v>757999127690</v>
      </c>
      <c r="P184" s="11">
        <v>120.43</v>
      </c>
      <c r="Q184" s="11">
        <v>117.61</v>
      </c>
      <c r="R184" s="11">
        <v>0.5</v>
      </c>
      <c r="S184" s="10">
        <v>786466271027</v>
      </c>
      <c r="T184" s="10">
        <v>3411197954</v>
      </c>
      <c r="U184" s="10">
        <v>2493177769</v>
      </c>
      <c r="V184" s="10">
        <v>340575941</v>
      </c>
      <c r="W184" s="10">
        <v>577444244</v>
      </c>
      <c r="X184" s="10">
        <v>789877468981</v>
      </c>
      <c r="Y184" s="10">
        <v>745487872</v>
      </c>
      <c r="Z184" s="10">
        <v>32633114869</v>
      </c>
      <c r="AA184" s="10">
        <v>12899800000</v>
      </c>
      <c r="AB184" s="10">
        <v>835410383850</v>
      </c>
      <c r="AC184" s="10">
        <v>489018236538</v>
      </c>
      <c r="AD184" s="46">
        <v>61.523110993350691</v>
      </c>
      <c r="AE184" s="10">
        <v>521809633207</v>
      </c>
      <c r="AF184" s="10">
        <v>521809633207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1">
        <v>5</v>
      </c>
      <c r="AM184" s="10">
        <v>66546306000</v>
      </c>
      <c r="AN184" s="11">
        <v>7</v>
      </c>
      <c r="AO184" s="10">
        <v>276200000000</v>
      </c>
      <c r="AP184" s="12">
        <v>4</v>
      </c>
      <c r="AQ184" s="10">
        <v>90344785032</v>
      </c>
      <c r="AR184" s="10">
        <v>3411197954</v>
      </c>
      <c r="AS184" s="10">
        <v>3791975608</v>
      </c>
      <c r="AT184" s="10">
        <v>-380777654</v>
      </c>
      <c r="AU184" s="11">
        <v>-10.039999999999999</v>
      </c>
      <c r="AV184" s="10">
        <v>241543670292</v>
      </c>
      <c r="AW184" s="10">
        <v>51677636719</v>
      </c>
      <c r="AX184" s="10">
        <v>66460484134</v>
      </c>
      <c r="AY184" s="10">
        <v>138172126542</v>
      </c>
      <c r="AZ184" s="10">
        <v>226825018570</v>
      </c>
      <c r="BA184" s="10">
        <v>246911800000</v>
      </c>
      <c r="BB184" s="10">
        <v>172958067603</v>
      </c>
      <c r="BC184" s="10">
        <v>693707330100</v>
      </c>
      <c r="BD184" s="12">
        <v>15744</v>
      </c>
      <c r="BE184" s="10">
        <v>219834114278</v>
      </c>
      <c r="BF184" s="10">
        <v>226825018570</v>
      </c>
      <c r="BG184" s="10">
        <v>247048197252</v>
      </c>
      <c r="BH184" s="10">
        <v>365131165037</v>
      </c>
      <c r="BI184" s="10">
        <v>156678468170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</row>
    <row r="185" spans="1:67" x14ac:dyDescent="0.25">
      <c r="A185" s="25" t="s">
        <v>232</v>
      </c>
      <c r="B185" s="9">
        <v>1904</v>
      </c>
      <c r="C185" s="9" t="s">
        <v>237</v>
      </c>
      <c r="D185" s="10">
        <v>1212507100487</v>
      </c>
      <c r="E185" s="10">
        <v>76597084153</v>
      </c>
      <c r="F185" s="10">
        <v>0</v>
      </c>
      <c r="G185" s="10">
        <v>0</v>
      </c>
      <c r="H185" s="10">
        <v>1289104184640</v>
      </c>
      <c r="I185" s="10">
        <v>83690154083</v>
      </c>
      <c r="J185" s="10">
        <v>1532161708</v>
      </c>
      <c r="K185" s="10">
        <v>1203881868849</v>
      </c>
      <c r="L185" s="10">
        <v>872375498421</v>
      </c>
      <c r="M185" s="10">
        <v>416728686219</v>
      </c>
      <c r="N185" s="46">
        <v>47.769416607100851</v>
      </c>
      <c r="O185" s="10">
        <v>2419792676296</v>
      </c>
      <c r="P185" s="11">
        <v>243.31</v>
      </c>
      <c r="Q185" s="11">
        <v>201</v>
      </c>
      <c r="R185" s="11">
        <v>1.28</v>
      </c>
      <c r="S185" s="10">
        <v>2978039785343</v>
      </c>
      <c r="T185" s="10">
        <v>35202781275</v>
      </c>
      <c r="U185" s="10">
        <v>7890256671</v>
      </c>
      <c r="V185" s="10">
        <v>605803163</v>
      </c>
      <c r="W185" s="10">
        <v>26706721441</v>
      </c>
      <c r="X185" s="10">
        <v>3013242566618</v>
      </c>
      <c r="Y185" s="10">
        <v>5045065134</v>
      </c>
      <c r="Z185" s="10">
        <v>94527423028</v>
      </c>
      <c r="AA185" s="10">
        <v>28800000000</v>
      </c>
      <c r="AB185" s="10">
        <v>3136569989646</v>
      </c>
      <c r="AC185" s="10">
        <v>2457440250372</v>
      </c>
      <c r="AD185" s="46">
        <v>22.61712430899853</v>
      </c>
      <c r="AE185" s="10">
        <v>2338148754162</v>
      </c>
      <c r="AF185" s="10">
        <v>2338148754162</v>
      </c>
      <c r="AG185" s="10">
        <v>1087184338825</v>
      </c>
      <c r="AH185" s="10">
        <v>0</v>
      </c>
      <c r="AI185" s="10">
        <v>0</v>
      </c>
      <c r="AJ185" s="10">
        <v>0</v>
      </c>
      <c r="AK185" s="10">
        <v>0</v>
      </c>
      <c r="AL185" s="11">
        <v>20</v>
      </c>
      <c r="AM185" s="10">
        <v>1657845446491</v>
      </c>
      <c r="AN185" s="11">
        <v>45</v>
      </c>
      <c r="AO185" s="10">
        <v>201579498636</v>
      </c>
      <c r="AP185" s="12">
        <v>18</v>
      </c>
      <c r="AQ185" s="10">
        <v>222938293087</v>
      </c>
      <c r="AR185" s="10">
        <v>35202781275</v>
      </c>
      <c r="AS185" s="10">
        <v>11270721581</v>
      </c>
      <c r="AT185" s="10">
        <v>23932059694</v>
      </c>
      <c r="AU185" s="13">
        <v>212.34</v>
      </c>
      <c r="AV185" s="10">
        <v>1715657132513</v>
      </c>
      <c r="AW185" s="10">
        <v>427075716569</v>
      </c>
      <c r="AX185" s="10">
        <v>330305418533</v>
      </c>
      <c r="AY185" s="10">
        <v>119693135001</v>
      </c>
      <c r="AZ185" s="10">
        <v>442022746953</v>
      </c>
      <c r="BA185" s="10">
        <v>320485800000</v>
      </c>
      <c r="BB185" s="10">
        <v>367159728443</v>
      </c>
      <c r="BC185" s="10">
        <v>1289104184640</v>
      </c>
      <c r="BD185" s="12">
        <v>55328</v>
      </c>
      <c r="BE185" s="10">
        <v>526595637687</v>
      </c>
      <c r="BF185" s="10">
        <v>441862646953</v>
      </c>
      <c r="BG185" s="10">
        <v>320645900000</v>
      </c>
      <c r="BH185" s="10">
        <v>2018398244599</v>
      </c>
      <c r="BI185" s="10">
        <v>319750509563</v>
      </c>
      <c r="BJ185" s="10">
        <v>158926949638</v>
      </c>
      <c r="BK185" s="10">
        <v>24046106899</v>
      </c>
      <c r="BL185" s="10">
        <v>907047668354</v>
      </c>
      <c r="BM185" s="10">
        <v>0</v>
      </c>
      <c r="BN185" s="10">
        <v>0</v>
      </c>
      <c r="BO185" s="10">
        <v>0</v>
      </c>
    </row>
    <row r="186" spans="1:67" x14ac:dyDescent="0.25">
      <c r="A186" s="25" t="s">
        <v>232</v>
      </c>
      <c r="B186" s="9">
        <v>1905</v>
      </c>
      <c r="C186" s="9" t="s">
        <v>238</v>
      </c>
      <c r="D186" s="10">
        <v>3315680075502</v>
      </c>
      <c r="E186" s="10">
        <v>91468249256</v>
      </c>
      <c r="F186" s="10">
        <v>0</v>
      </c>
      <c r="G186" s="10">
        <v>35965927488</v>
      </c>
      <c r="H186" s="10">
        <v>3443114252246</v>
      </c>
      <c r="I186" s="10">
        <v>329239376190</v>
      </c>
      <c r="J186" s="10">
        <v>20973180118</v>
      </c>
      <c r="K186" s="10">
        <v>3092901695938</v>
      </c>
      <c r="L186" s="10">
        <v>2739926579514</v>
      </c>
      <c r="M186" s="10">
        <v>703187672732</v>
      </c>
      <c r="N186" s="46">
        <v>25.664471376336273</v>
      </c>
      <c r="O186" s="10">
        <v>1629038668751</v>
      </c>
      <c r="P186" s="11">
        <v>53.86</v>
      </c>
      <c r="Q186" s="11">
        <v>52.67</v>
      </c>
      <c r="R186" s="11">
        <v>0.24</v>
      </c>
      <c r="S186" s="10">
        <v>1773037117741</v>
      </c>
      <c r="T186" s="10">
        <v>4356498991</v>
      </c>
      <c r="U186" s="10">
        <v>3733730443</v>
      </c>
      <c r="V186" s="10">
        <v>504203086</v>
      </c>
      <c r="W186" s="10">
        <v>118565462</v>
      </c>
      <c r="X186" s="10">
        <v>1777393616732</v>
      </c>
      <c r="Y186" s="10">
        <v>49875263</v>
      </c>
      <c r="Z186" s="10">
        <v>60723801326</v>
      </c>
      <c r="AA186" s="10">
        <v>16293406689</v>
      </c>
      <c r="AB186" s="10">
        <v>1854410824747</v>
      </c>
      <c r="AC186" s="10">
        <v>1826920403272</v>
      </c>
      <c r="AD186" s="46">
        <v>-2.7109438622119453</v>
      </c>
      <c r="AE186" s="10">
        <v>1848957697902</v>
      </c>
      <c r="AF186" s="10">
        <v>1848957697902</v>
      </c>
      <c r="AG186" s="10">
        <v>50567299949</v>
      </c>
      <c r="AH186" s="10">
        <v>61267386148</v>
      </c>
      <c r="AI186" s="10">
        <v>0</v>
      </c>
      <c r="AJ186" s="10">
        <v>0</v>
      </c>
      <c r="AK186" s="10">
        <v>0</v>
      </c>
      <c r="AL186" s="11">
        <v>8</v>
      </c>
      <c r="AM186" s="10">
        <v>1119820574480</v>
      </c>
      <c r="AN186" s="11">
        <v>164</v>
      </c>
      <c r="AO186" s="10">
        <v>876369023851</v>
      </c>
      <c r="AP186" s="12">
        <v>73</v>
      </c>
      <c r="AQ186" s="10">
        <v>626026861357</v>
      </c>
      <c r="AR186" s="10">
        <v>4356498991</v>
      </c>
      <c r="AS186" s="10">
        <v>2441202118</v>
      </c>
      <c r="AT186" s="10">
        <v>1915296873</v>
      </c>
      <c r="AU186" s="13">
        <v>78.459999999999994</v>
      </c>
      <c r="AV186" s="10">
        <v>1947659269968</v>
      </c>
      <c r="AW186" s="10">
        <v>103745508274</v>
      </c>
      <c r="AX186" s="10">
        <v>465609251687</v>
      </c>
      <c r="AY186" s="10">
        <v>123698310135</v>
      </c>
      <c r="AZ186" s="10">
        <v>1715615413680</v>
      </c>
      <c r="BA186" s="10">
        <v>1010757100000</v>
      </c>
      <c r="BB186" s="10">
        <v>949517236316</v>
      </c>
      <c r="BC186" s="10">
        <v>3443114252246</v>
      </c>
      <c r="BD186" s="12">
        <v>117213</v>
      </c>
      <c r="BE186" s="10">
        <v>716741738566</v>
      </c>
      <c r="BF186" s="10">
        <v>1715615413680</v>
      </c>
      <c r="BG186" s="10">
        <v>1010757100000</v>
      </c>
      <c r="BH186" s="10">
        <v>1119228947585</v>
      </c>
      <c r="BI186" s="10">
        <v>729728750317</v>
      </c>
      <c r="BJ186" s="10">
        <v>0</v>
      </c>
      <c r="BK186" s="10">
        <v>0</v>
      </c>
      <c r="BL186" s="10">
        <v>52609781394</v>
      </c>
      <c r="BM186" s="10">
        <v>0</v>
      </c>
      <c r="BN186" s="10">
        <v>0</v>
      </c>
      <c r="BO186" s="10">
        <v>61267386148</v>
      </c>
    </row>
    <row r="187" spans="1:67" x14ac:dyDescent="0.25">
      <c r="A187" s="25" t="s">
        <v>232</v>
      </c>
      <c r="B187" s="9">
        <v>1906</v>
      </c>
      <c r="C187" s="9" t="s">
        <v>239</v>
      </c>
      <c r="D187" s="10">
        <v>1131857371425</v>
      </c>
      <c r="E187" s="10">
        <v>43910834662</v>
      </c>
      <c r="F187" s="10">
        <v>0</v>
      </c>
      <c r="G187" s="10">
        <v>0</v>
      </c>
      <c r="H187" s="10">
        <v>1175768206087</v>
      </c>
      <c r="I187" s="10">
        <v>80561575802</v>
      </c>
      <c r="J187" s="10">
        <v>1570458697</v>
      </c>
      <c r="K187" s="10">
        <v>1093636171588</v>
      </c>
      <c r="L187" s="10">
        <v>1158736442663</v>
      </c>
      <c r="M187" s="10">
        <v>17031763424</v>
      </c>
      <c r="N187" s="46">
        <v>1.4698565434653734</v>
      </c>
      <c r="O187" s="10">
        <v>2062189199521</v>
      </c>
      <c r="P187" s="11">
        <v>200.33</v>
      </c>
      <c r="Q187" s="11">
        <v>188.56</v>
      </c>
      <c r="R187" s="11">
        <v>1.18</v>
      </c>
      <c r="S187" s="10">
        <v>2138605265407</v>
      </c>
      <c r="T187" s="10">
        <v>27696675164</v>
      </c>
      <c r="U187" s="10">
        <v>26388102956</v>
      </c>
      <c r="V187" s="10">
        <v>1308572208</v>
      </c>
      <c r="W187" s="10">
        <v>0</v>
      </c>
      <c r="X187" s="10">
        <v>2166301940571</v>
      </c>
      <c r="Y187" s="10">
        <v>197570005</v>
      </c>
      <c r="Z187" s="10">
        <v>170140717824</v>
      </c>
      <c r="AA187" s="10">
        <v>18944230000</v>
      </c>
      <c r="AB187" s="10">
        <v>2355386888395</v>
      </c>
      <c r="AC187" s="10">
        <v>1583513529803</v>
      </c>
      <c r="AD187" s="46">
        <v>36.803500557428322</v>
      </c>
      <c r="AE187" s="10">
        <v>1498246912844</v>
      </c>
      <c r="AF187" s="10">
        <v>1475046912844</v>
      </c>
      <c r="AG187" s="10">
        <v>186861758535</v>
      </c>
      <c r="AH187" s="10">
        <v>1803772113</v>
      </c>
      <c r="AI187" s="10">
        <v>0</v>
      </c>
      <c r="AJ187" s="10">
        <v>0</v>
      </c>
      <c r="AK187" s="10">
        <v>0</v>
      </c>
      <c r="AL187" s="11">
        <v>19</v>
      </c>
      <c r="AM187" s="10">
        <v>377826860325</v>
      </c>
      <c r="AN187" s="11">
        <v>57</v>
      </c>
      <c r="AO187" s="10">
        <v>314964737811</v>
      </c>
      <c r="AP187" s="12">
        <v>87</v>
      </c>
      <c r="AQ187" s="10">
        <v>294977661617</v>
      </c>
      <c r="AR187" s="10">
        <v>27696675164</v>
      </c>
      <c r="AS187" s="10">
        <v>23033271428</v>
      </c>
      <c r="AT187" s="10">
        <v>4663403736</v>
      </c>
      <c r="AU187" s="11">
        <v>20.25</v>
      </c>
      <c r="AV187" s="10">
        <v>1146147881961</v>
      </c>
      <c r="AW187" s="10">
        <v>382494842927</v>
      </c>
      <c r="AX187" s="10">
        <v>256392932985</v>
      </c>
      <c r="AY187" s="10">
        <v>194054765214</v>
      </c>
      <c r="AZ187" s="10">
        <v>440462673226</v>
      </c>
      <c r="BA187" s="10">
        <v>240947000000</v>
      </c>
      <c r="BB187" s="10">
        <v>339357072700</v>
      </c>
      <c r="BC187" s="10">
        <v>1175768206087</v>
      </c>
      <c r="BD187" s="12">
        <v>71981</v>
      </c>
      <c r="BE187" s="10">
        <v>494358532861</v>
      </c>
      <c r="BF187" s="10">
        <v>440462673226</v>
      </c>
      <c r="BG187" s="10">
        <v>240947000000</v>
      </c>
      <c r="BH187" s="10">
        <v>1428031146344</v>
      </c>
      <c r="BI187" s="10">
        <v>70215766500</v>
      </c>
      <c r="BJ187" s="10">
        <v>12982140000</v>
      </c>
      <c r="BK187" s="10">
        <v>0</v>
      </c>
      <c r="BL187" s="10">
        <v>177298240035</v>
      </c>
      <c r="BM187" s="10">
        <v>0</v>
      </c>
      <c r="BN187" s="10">
        <v>0</v>
      </c>
      <c r="BO187" s="10">
        <v>1803772113</v>
      </c>
    </row>
    <row r="188" spans="1:67" x14ac:dyDescent="0.25">
      <c r="A188" s="25" t="s">
        <v>232</v>
      </c>
      <c r="B188" s="9">
        <v>1907</v>
      </c>
      <c r="C188" s="9" t="s">
        <v>587</v>
      </c>
      <c r="D188" s="10">
        <v>1287660139904</v>
      </c>
      <c r="E188" s="10">
        <v>13497173026</v>
      </c>
      <c r="F188" s="10">
        <v>0</v>
      </c>
      <c r="G188" s="10">
        <v>0</v>
      </c>
      <c r="H188" s="10">
        <v>1301157312930</v>
      </c>
      <c r="I188" s="10">
        <v>96032048087</v>
      </c>
      <c r="J188" s="10">
        <v>1811192017</v>
      </c>
      <c r="K188" s="10">
        <v>1203314072826</v>
      </c>
      <c r="L188" s="10">
        <v>1015994546523</v>
      </c>
      <c r="M188" s="10">
        <v>285162766407</v>
      </c>
      <c r="N188" s="46">
        <v>28.067352072203715</v>
      </c>
      <c r="O188" s="10">
        <v>1294878581551</v>
      </c>
      <c r="P188" s="11">
        <v>108.65</v>
      </c>
      <c r="Q188" s="11">
        <v>107.61</v>
      </c>
      <c r="R188" s="11">
        <v>4.12</v>
      </c>
      <c r="S188" s="10">
        <v>1287737199458</v>
      </c>
      <c r="T188" s="10">
        <v>56401787933</v>
      </c>
      <c r="U188" s="10">
        <v>53815839492</v>
      </c>
      <c r="V188" s="10">
        <v>49937656</v>
      </c>
      <c r="W188" s="10">
        <v>2536010785</v>
      </c>
      <c r="X188" s="10">
        <v>1344138987391</v>
      </c>
      <c r="Y188" s="10">
        <v>1827824168</v>
      </c>
      <c r="Z188" s="10">
        <v>60213752364</v>
      </c>
      <c r="AA188" s="10">
        <v>9372108000</v>
      </c>
      <c r="AB188" s="10">
        <v>1413724847755</v>
      </c>
      <c r="AC188" s="10">
        <v>968202486881</v>
      </c>
      <c r="AD188" s="46">
        <v>38.828293213855964</v>
      </c>
      <c r="AE188" s="10">
        <v>889543231950</v>
      </c>
      <c r="AF188" s="10">
        <v>889543231950</v>
      </c>
      <c r="AG188" s="10">
        <v>0</v>
      </c>
      <c r="AH188" s="10">
        <v>17390500000</v>
      </c>
      <c r="AI188" s="10">
        <v>0</v>
      </c>
      <c r="AJ188" s="10">
        <v>0</v>
      </c>
      <c r="AK188" s="10">
        <v>0</v>
      </c>
      <c r="AL188" s="11">
        <v>0</v>
      </c>
      <c r="AM188" s="10">
        <v>0</v>
      </c>
      <c r="AN188" s="11">
        <v>67</v>
      </c>
      <c r="AO188" s="10">
        <v>218620354864</v>
      </c>
      <c r="AP188" s="12">
        <v>35</v>
      </c>
      <c r="AQ188" s="10">
        <v>48911132110</v>
      </c>
      <c r="AR188" s="10">
        <v>56401787933</v>
      </c>
      <c r="AS188" s="10">
        <v>9800582897</v>
      </c>
      <c r="AT188" s="10">
        <v>46601205036</v>
      </c>
      <c r="AU188" s="13">
        <v>475.49</v>
      </c>
      <c r="AV188" s="10">
        <v>486276614734</v>
      </c>
      <c r="AW188" s="10">
        <v>130479493600</v>
      </c>
      <c r="AX188" s="10">
        <v>104358493853</v>
      </c>
      <c r="AY188" s="10">
        <v>178017656842</v>
      </c>
      <c r="AZ188" s="10">
        <v>432017589209</v>
      </c>
      <c r="BA188" s="10">
        <v>573266400000</v>
      </c>
      <c r="BB188" s="10">
        <v>337768000717</v>
      </c>
      <c r="BC188" s="10">
        <v>1301157312930</v>
      </c>
      <c r="BD188" s="12">
        <v>94872</v>
      </c>
      <c r="BE188" s="10">
        <v>295764819959</v>
      </c>
      <c r="BF188" s="10">
        <v>432017589209</v>
      </c>
      <c r="BG188" s="10">
        <v>573374903762</v>
      </c>
      <c r="BH188" s="10">
        <v>733706555950</v>
      </c>
      <c r="BI188" s="10">
        <v>155836676000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17390500000</v>
      </c>
    </row>
    <row r="189" spans="1:67" x14ac:dyDescent="0.25">
      <c r="A189" s="25" t="s">
        <v>232</v>
      </c>
      <c r="B189" s="9">
        <v>1908</v>
      </c>
      <c r="C189" s="9" t="s">
        <v>240</v>
      </c>
      <c r="D189" s="10">
        <v>769281323452</v>
      </c>
      <c r="E189" s="10">
        <v>72451991350</v>
      </c>
      <c r="F189" s="10">
        <v>0</v>
      </c>
      <c r="G189" s="10">
        <v>0</v>
      </c>
      <c r="H189" s="10">
        <v>841733314802</v>
      </c>
      <c r="I189" s="10">
        <v>57503055005</v>
      </c>
      <c r="J189" s="10">
        <v>1270075909</v>
      </c>
      <c r="K189" s="10">
        <v>782960183888</v>
      </c>
      <c r="L189" s="10">
        <v>927869891746</v>
      </c>
      <c r="M189" s="10">
        <v>-86136576944</v>
      </c>
      <c r="N189" s="46">
        <v>-9.2832602620518561</v>
      </c>
      <c r="O189" s="10">
        <v>795821734712</v>
      </c>
      <c r="P189" s="11">
        <v>105.87</v>
      </c>
      <c r="Q189" s="11">
        <v>101.64</v>
      </c>
      <c r="R189" s="11">
        <v>1.08</v>
      </c>
      <c r="S189" s="10">
        <v>831369181798</v>
      </c>
      <c r="T189" s="10">
        <v>8585284599</v>
      </c>
      <c r="U189" s="10">
        <v>5604557651</v>
      </c>
      <c r="V189" s="10">
        <v>527074850</v>
      </c>
      <c r="W189" s="10">
        <v>2453652098</v>
      </c>
      <c r="X189" s="10">
        <v>839954466397</v>
      </c>
      <c r="Y189" s="10">
        <v>1043120776</v>
      </c>
      <c r="Z189" s="10">
        <v>41399462554</v>
      </c>
      <c r="AA189" s="10">
        <v>9800000000</v>
      </c>
      <c r="AB189" s="10">
        <v>891153928951</v>
      </c>
      <c r="AC189" s="10">
        <v>594435518959</v>
      </c>
      <c r="AD189" s="46">
        <v>41.302872995873955</v>
      </c>
      <c r="AE189" s="10">
        <v>671974361861</v>
      </c>
      <c r="AF189" s="10">
        <v>671974361861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1">
        <v>0</v>
      </c>
      <c r="AM189" s="10">
        <v>0</v>
      </c>
      <c r="AN189" s="11">
        <v>140</v>
      </c>
      <c r="AO189" s="10">
        <v>1664245117099</v>
      </c>
      <c r="AP189" s="12">
        <v>111</v>
      </c>
      <c r="AQ189" s="10">
        <v>695714739433</v>
      </c>
      <c r="AR189" s="10">
        <v>8585284599</v>
      </c>
      <c r="AS189" s="10">
        <v>4727656819</v>
      </c>
      <c r="AT189" s="10">
        <v>3857627780</v>
      </c>
      <c r="AU189" s="11">
        <v>81.599999999999994</v>
      </c>
      <c r="AV189" s="10">
        <v>448420873182</v>
      </c>
      <c r="AW189" s="10">
        <v>68660432684</v>
      </c>
      <c r="AX189" s="10">
        <v>72512840563</v>
      </c>
      <c r="AY189" s="10">
        <v>137756305931</v>
      </c>
      <c r="AZ189" s="10">
        <v>332522176958</v>
      </c>
      <c r="BA189" s="10">
        <v>226490000000</v>
      </c>
      <c r="BB189" s="10">
        <v>257286149483</v>
      </c>
      <c r="BC189" s="10">
        <v>841733314802</v>
      </c>
      <c r="BD189" s="12">
        <v>80192</v>
      </c>
      <c r="BE189" s="10">
        <v>282364598986</v>
      </c>
      <c r="BF189" s="10">
        <v>332522176958</v>
      </c>
      <c r="BG189" s="10">
        <v>226846538858</v>
      </c>
      <c r="BH189" s="10">
        <v>597574381861</v>
      </c>
      <c r="BI189" s="10">
        <v>74399980000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</row>
    <row r="190" spans="1:67" x14ac:dyDescent="0.25">
      <c r="A190" s="25" t="s">
        <v>232</v>
      </c>
      <c r="B190" s="9">
        <v>1909</v>
      </c>
      <c r="C190" s="9" t="s">
        <v>241</v>
      </c>
      <c r="D190" s="10">
        <v>1072496707877</v>
      </c>
      <c r="E190" s="10">
        <v>5783009095</v>
      </c>
      <c r="F190" s="10">
        <v>0</v>
      </c>
      <c r="G190" s="10">
        <v>0</v>
      </c>
      <c r="H190" s="10">
        <v>1078279716972</v>
      </c>
      <c r="I190" s="10">
        <v>79651959273</v>
      </c>
      <c r="J190" s="10">
        <v>656447747</v>
      </c>
      <c r="K190" s="10">
        <v>997971309952</v>
      </c>
      <c r="L190" s="10">
        <v>825356499228</v>
      </c>
      <c r="M190" s="10">
        <v>252923217744</v>
      </c>
      <c r="N190" s="46">
        <v>30.644117781900622</v>
      </c>
      <c r="O190" s="10">
        <v>1252030650656</v>
      </c>
      <c r="P190" s="11">
        <v>128.69999999999999</v>
      </c>
      <c r="Q190" s="11">
        <v>125.46</v>
      </c>
      <c r="R190" s="11">
        <v>0.39</v>
      </c>
      <c r="S190" s="10">
        <v>1282558735916</v>
      </c>
      <c r="T190" s="10">
        <v>4636511083</v>
      </c>
      <c r="U190" s="10">
        <v>3590591518</v>
      </c>
      <c r="V190" s="10">
        <v>489642305</v>
      </c>
      <c r="W190" s="10">
        <v>556277260</v>
      </c>
      <c r="X190" s="10">
        <v>1287195246999</v>
      </c>
      <c r="Y190" s="10">
        <v>781539477</v>
      </c>
      <c r="Z190" s="10">
        <v>71799849269</v>
      </c>
      <c r="AA190" s="10">
        <v>28700000000</v>
      </c>
      <c r="AB190" s="10">
        <v>1387695096268</v>
      </c>
      <c r="AC190" s="10">
        <v>880103604122</v>
      </c>
      <c r="AD190" s="46">
        <v>46.25496827536783</v>
      </c>
      <c r="AE190" s="10">
        <v>946044777593</v>
      </c>
      <c r="AF190" s="10">
        <v>946044777593</v>
      </c>
      <c r="AG190" s="10">
        <v>0</v>
      </c>
      <c r="AH190" s="10">
        <v>18560194520</v>
      </c>
      <c r="AI190" s="10">
        <v>0</v>
      </c>
      <c r="AJ190" s="10">
        <v>0</v>
      </c>
      <c r="AK190" s="10">
        <v>1948000000</v>
      </c>
      <c r="AL190" s="11">
        <v>0</v>
      </c>
      <c r="AM190" s="10">
        <v>0</v>
      </c>
      <c r="AN190" s="11">
        <v>26</v>
      </c>
      <c r="AO190" s="10">
        <v>41114923507</v>
      </c>
      <c r="AP190" s="12">
        <v>27</v>
      </c>
      <c r="AQ190" s="10">
        <v>25160124115</v>
      </c>
      <c r="AR190" s="10">
        <v>4636511083</v>
      </c>
      <c r="AS190" s="10">
        <v>5349741473</v>
      </c>
      <c r="AT190" s="10">
        <v>-713230390</v>
      </c>
      <c r="AU190" s="11">
        <v>-13.33</v>
      </c>
      <c r="AV190" s="10">
        <v>541538140633</v>
      </c>
      <c r="AW190" s="10">
        <v>81674328939</v>
      </c>
      <c r="AX190" s="10">
        <v>82588484875</v>
      </c>
      <c r="AY190" s="10">
        <v>146231175753</v>
      </c>
      <c r="AZ190" s="10">
        <v>300652747249</v>
      </c>
      <c r="BA190" s="10">
        <v>543024300000</v>
      </c>
      <c r="BB190" s="10">
        <v>242393950023</v>
      </c>
      <c r="BC190" s="10">
        <v>1078279716972</v>
      </c>
      <c r="BD190" s="12">
        <v>36438</v>
      </c>
      <c r="BE190" s="10">
        <v>234602669723</v>
      </c>
      <c r="BF190" s="10">
        <v>300652747249</v>
      </c>
      <c r="BG190" s="10">
        <v>543024300000</v>
      </c>
      <c r="BH190" s="10">
        <v>663614253366</v>
      </c>
      <c r="BI190" s="10">
        <v>282430524227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18560194520</v>
      </c>
    </row>
    <row r="191" spans="1:67" x14ac:dyDescent="0.25">
      <c r="A191" s="25" t="s">
        <v>232</v>
      </c>
      <c r="B191" s="9">
        <v>1910</v>
      </c>
      <c r="C191" s="9" t="s">
        <v>242</v>
      </c>
      <c r="D191" s="10">
        <v>650137282257</v>
      </c>
      <c r="E191" s="10">
        <v>4982579656</v>
      </c>
      <c r="F191" s="10">
        <v>0</v>
      </c>
      <c r="G191" s="10">
        <v>0</v>
      </c>
      <c r="H191" s="10">
        <v>655119861913</v>
      </c>
      <c r="I191" s="10">
        <v>43447698518</v>
      </c>
      <c r="J191" s="10">
        <v>4091443363</v>
      </c>
      <c r="K191" s="10">
        <v>607580720032</v>
      </c>
      <c r="L191" s="10">
        <v>460470837353</v>
      </c>
      <c r="M191" s="10">
        <v>194649024560</v>
      </c>
      <c r="N191" s="46">
        <v>42.271737701986275</v>
      </c>
      <c r="O191" s="10">
        <v>1217207041168</v>
      </c>
      <c r="P191" s="11">
        <v>198.01</v>
      </c>
      <c r="Q191" s="11">
        <v>200.34</v>
      </c>
      <c r="R191" s="11">
        <v>0.79</v>
      </c>
      <c r="S191" s="10">
        <v>1250417811995</v>
      </c>
      <c r="T191" s="10">
        <v>9945840083</v>
      </c>
      <c r="U191" s="10">
        <v>8606413213</v>
      </c>
      <c r="V191" s="10">
        <v>857063319</v>
      </c>
      <c r="W191" s="10">
        <v>482363551</v>
      </c>
      <c r="X191" s="10">
        <v>1260363652078</v>
      </c>
      <c r="Y191" s="10">
        <v>283424273</v>
      </c>
      <c r="Z191" s="10">
        <v>30920329668</v>
      </c>
      <c r="AA191" s="10">
        <v>5949563000</v>
      </c>
      <c r="AB191" s="10">
        <v>1297233544746</v>
      </c>
      <c r="AC191" s="10">
        <v>744170216903</v>
      </c>
      <c r="AD191" s="46">
        <v>69.364968316420004</v>
      </c>
      <c r="AE191" s="10">
        <v>825342270000</v>
      </c>
      <c r="AF191" s="10">
        <v>825342270000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1">
        <v>0</v>
      </c>
      <c r="AM191" s="10">
        <v>0</v>
      </c>
      <c r="AN191" s="11">
        <v>16</v>
      </c>
      <c r="AO191" s="10">
        <v>25965349854</v>
      </c>
      <c r="AP191" s="12">
        <v>1</v>
      </c>
      <c r="AQ191" s="10">
        <v>180150000</v>
      </c>
      <c r="AR191" s="10">
        <v>9945840083</v>
      </c>
      <c r="AS191" s="10">
        <v>6970436553</v>
      </c>
      <c r="AT191" s="10">
        <v>2975403530</v>
      </c>
      <c r="AU191" s="11">
        <v>42.69</v>
      </c>
      <c r="AV191" s="10">
        <v>306139161911</v>
      </c>
      <c r="AW191" s="10">
        <v>94673836607</v>
      </c>
      <c r="AX191" s="10">
        <v>92752093743</v>
      </c>
      <c r="AY191" s="10">
        <v>120506660147</v>
      </c>
      <c r="AZ191" s="10">
        <v>234731528367</v>
      </c>
      <c r="BA191" s="10">
        <v>202147000000</v>
      </c>
      <c r="BB191" s="10">
        <v>192383631138</v>
      </c>
      <c r="BC191" s="10">
        <v>655119861913</v>
      </c>
      <c r="BD191" s="12">
        <v>52070</v>
      </c>
      <c r="BE191" s="10">
        <v>218241333546</v>
      </c>
      <c r="BF191" s="10">
        <v>234731528367</v>
      </c>
      <c r="BG191" s="10">
        <v>202147000000</v>
      </c>
      <c r="BH191" s="10">
        <v>651651070000</v>
      </c>
      <c r="BI191" s="10">
        <v>173691200000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</row>
    <row r="192" spans="1:67" x14ac:dyDescent="0.25">
      <c r="A192" s="25" t="s">
        <v>232</v>
      </c>
      <c r="B192" s="9">
        <v>1913</v>
      </c>
      <c r="C192" s="9" t="s">
        <v>243</v>
      </c>
      <c r="D192" s="10">
        <v>647727791648</v>
      </c>
      <c r="E192" s="10">
        <v>4507701551</v>
      </c>
      <c r="F192" s="10">
        <v>0</v>
      </c>
      <c r="G192" s="10">
        <v>0</v>
      </c>
      <c r="H192" s="10">
        <v>652235493199</v>
      </c>
      <c r="I192" s="10">
        <v>50041259539</v>
      </c>
      <c r="J192" s="10">
        <v>2324882622</v>
      </c>
      <c r="K192" s="10">
        <v>599869351038</v>
      </c>
      <c r="L192" s="10">
        <v>437866005907</v>
      </c>
      <c r="M192" s="10">
        <v>214369487292</v>
      </c>
      <c r="N192" s="46">
        <v>48.957782609305994</v>
      </c>
      <c r="O192" s="10">
        <v>433312693452</v>
      </c>
      <c r="P192" s="11">
        <v>76.86</v>
      </c>
      <c r="Q192" s="11">
        <v>72.23</v>
      </c>
      <c r="R192" s="11">
        <v>0.39</v>
      </c>
      <c r="S192" s="10">
        <v>474112225182</v>
      </c>
      <c r="T192" s="10">
        <v>1955321806</v>
      </c>
      <c r="U192" s="10">
        <v>1904940867</v>
      </c>
      <c r="V192" s="10">
        <v>50380939</v>
      </c>
      <c r="W192" s="10">
        <v>0</v>
      </c>
      <c r="X192" s="10">
        <v>476067546988</v>
      </c>
      <c r="Y192" s="10">
        <v>19219604</v>
      </c>
      <c r="Z192" s="10">
        <v>19752719317</v>
      </c>
      <c r="AA192" s="10">
        <v>5500000000</v>
      </c>
      <c r="AB192" s="10">
        <v>501320266305</v>
      </c>
      <c r="AC192" s="10">
        <v>275017096689</v>
      </c>
      <c r="AD192" s="46">
        <v>73.104709750592576</v>
      </c>
      <c r="AE192" s="10">
        <v>291601623993</v>
      </c>
      <c r="AF192" s="10">
        <v>291601623993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1">
        <v>0</v>
      </c>
      <c r="AM192" s="10">
        <v>0</v>
      </c>
      <c r="AN192" s="11">
        <v>10</v>
      </c>
      <c r="AO192" s="10">
        <v>78654379764</v>
      </c>
      <c r="AP192" s="12">
        <v>5</v>
      </c>
      <c r="AQ192" s="10">
        <v>51423857184</v>
      </c>
      <c r="AR192" s="10">
        <v>1955321806</v>
      </c>
      <c r="AS192" s="10">
        <v>2807602518</v>
      </c>
      <c r="AT192" s="10">
        <v>-852280712</v>
      </c>
      <c r="AU192" s="11">
        <v>-30.36</v>
      </c>
      <c r="AV192" s="10">
        <v>121798778097</v>
      </c>
      <c r="AW192" s="10">
        <v>29923611760</v>
      </c>
      <c r="AX192" s="10">
        <v>84585379735</v>
      </c>
      <c r="AY192" s="10">
        <v>176337767305</v>
      </c>
      <c r="AZ192" s="10">
        <v>106780644608</v>
      </c>
      <c r="BA192" s="10">
        <v>280024000000</v>
      </c>
      <c r="BB192" s="10">
        <v>75320425089</v>
      </c>
      <c r="BC192" s="10">
        <v>652235493199</v>
      </c>
      <c r="BD192" s="12">
        <v>19204</v>
      </c>
      <c r="BE192" s="10">
        <v>265430848591</v>
      </c>
      <c r="BF192" s="10">
        <v>106780644608</v>
      </c>
      <c r="BG192" s="10">
        <v>280024000000</v>
      </c>
      <c r="BH192" s="10">
        <v>235191640743</v>
      </c>
      <c r="BI192" s="10">
        <v>56409983250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</row>
    <row r="193" spans="1:67" x14ac:dyDescent="0.25">
      <c r="A193" s="25" t="s">
        <v>232</v>
      </c>
      <c r="B193" s="9">
        <v>1914</v>
      </c>
      <c r="C193" s="9" t="s">
        <v>244</v>
      </c>
      <c r="D193" s="10">
        <v>4025710195054</v>
      </c>
      <c r="E193" s="10">
        <v>274717252584</v>
      </c>
      <c r="F193" s="10">
        <v>0</v>
      </c>
      <c r="G193" s="10">
        <v>0</v>
      </c>
      <c r="H193" s="10">
        <v>4300427447638</v>
      </c>
      <c r="I193" s="10">
        <v>306600355946</v>
      </c>
      <c r="J193" s="10">
        <v>2751990200</v>
      </c>
      <c r="K193" s="10">
        <v>3991075101492</v>
      </c>
      <c r="L193" s="10">
        <v>2051747211699</v>
      </c>
      <c r="M193" s="10">
        <v>2248680235939</v>
      </c>
      <c r="N193" s="46">
        <v>109.59830836455357</v>
      </c>
      <c r="O193" s="10">
        <v>2676867727980</v>
      </c>
      <c r="P193" s="11">
        <v>69.040000000000006</v>
      </c>
      <c r="Q193" s="11">
        <v>67.069999999999993</v>
      </c>
      <c r="R193" s="11">
        <v>3.08</v>
      </c>
      <c r="S193" s="10">
        <v>2747423171706</v>
      </c>
      <c r="T193" s="10">
        <v>87592784860</v>
      </c>
      <c r="U193" s="10">
        <v>1679949982</v>
      </c>
      <c r="V193" s="10">
        <v>579135330</v>
      </c>
      <c r="W193" s="10">
        <v>85333699548</v>
      </c>
      <c r="X193" s="10">
        <v>2835015956566</v>
      </c>
      <c r="Y193" s="10">
        <v>3835006130</v>
      </c>
      <c r="Z193" s="10">
        <v>117418053842</v>
      </c>
      <c r="AA193" s="10">
        <v>16664389250</v>
      </c>
      <c r="AB193" s="10">
        <v>2969098399658</v>
      </c>
      <c r="AC193" s="10">
        <v>1605262224894</v>
      </c>
      <c r="AD193" s="46">
        <v>76.607654039401822</v>
      </c>
      <c r="AE193" s="10">
        <v>4968011814156</v>
      </c>
      <c r="AF193" s="10">
        <v>4968011814156</v>
      </c>
      <c r="AG193" s="10">
        <v>3290506630754</v>
      </c>
      <c r="AH193" s="10">
        <v>14678761334</v>
      </c>
      <c r="AI193" s="10">
        <v>0</v>
      </c>
      <c r="AJ193" s="10">
        <v>0</v>
      </c>
      <c r="AK193" s="10">
        <v>0</v>
      </c>
      <c r="AL193" s="11">
        <v>42</v>
      </c>
      <c r="AM193" s="10">
        <v>6325594161300</v>
      </c>
      <c r="AN193" s="11">
        <v>192</v>
      </c>
      <c r="AO193" s="10">
        <v>2989441750492</v>
      </c>
      <c r="AP193" s="12">
        <v>268</v>
      </c>
      <c r="AQ193" s="10">
        <v>1618835240152</v>
      </c>
      <c r="AR193" s="10">
        <v>87592784860</v>
      </c>
      <c r="AS193" s="10">
        <v>1860398434</v>
      </c>
      <c r="AT193" s="10">
        <v>85732386426</v>
      </c>
      <c r="AU193" s="13">
        <v>4608.28</v>
      </c>
      <c r="AV193" s="10">
        <v>3752821440873</v>
      </c>
      <c r="AW193" s="10">
        <v>258274848484</v>
      </c>
      <c r="AX193" s="10">
        <v>680575305319</v>
      </c>
      <c r="AY193" s="10">
        <v>161299020746</v>
      </c>
      <c r="AZ193" s="10">
        <v>569657368989</v>
      </c>
      <c r="BA193" s="10">
        <v>2614178500000</v>
      </c>
      <c r="BB193" s="10">
        <v>442613965413</v>
      </c>
      <c r="BC193" s="10">
        <v>4300427447638</v>
      </c>
      <c r="BD193" s="12">
        <v>123967</v>
      </c>
      <c r="BE193" s="10">
        <v>1116591578649</v>
      </c>
      <c r="BF193" s="10">
        <v>569657368989</v>
      </c>
      <c r="BG193" s="10">
        <v>2614178500000</v>
      </c>
      <c r="BH193" s="10">
        <v>4390892938816</v>
      </c>
      <c r="BI193" s="10">
        <v>577118875340</v>
      </c>
      <c r="BJ193" s="10">
        <v>863895021845</v>
      </c>
      <c r="BK193" s="10">
        <v>82363998847</v>
      </c>
      <c r="BL193" s="10">
        <v>2353159122624</v>
      </c>
      <c r="BM193" s="10">
        <v>0</v>
      </c>
      <c r="BN193" s="10">
        <v>2036407410</v>
      </c>
      <c r="BO193" s="10">
        <v>12642353924</v>
      </c>
    </row>
    <row r="194" spans="1:67" x14ac:dyDescent="0.25">
      <c r="A194" s="25" t="s">
        <v>232</v>
      </c>
      <c r="B194" s="9">
        <v>1916</v>
      </c>
      <c r="C194" s="9" t="s">
        <v>245</v>
      </c>
      <c r="D194" s="10">
        <v>638439515108</v>
      </c>
      <c r="E194" s="10">
        <v>29381852867</v>
      </c>
      <c r="F194" s="10">
        <v>0</v>
      </c>
      <c r="G194" s="10">
        <v>0</v>
      </c>
      <c r="H194" s="10">
        <v>667821367975</v>
      </c>
      <c r="I194" s="10">
        <v>47132217111</v>
      </c>
      <c r="J194" s="10">
        <v>2792653614</v>
      </c>
      <c r="K194" s="10">
        <v>617896497250</v>
      </c>
      <c r="L194" s="10">
        <v>686467014249</v>
      </c>
      <c r="M194" s="10">
        <v>-18645646274</v>
      </c>
      <c r="N194" s="46">
        <v>-2.7161751237819454</v>
      </c>
      <c r="O194" s="10">
        <v>1313699978748</v>
      </c>
      <c r="P194" s="11">
        <v>207.47</v>
      </c>
      <c r="Q194" s="11">
        <v>212.61</v>
      </c>
      <c r="R194" s="11">
        <v>2.25</v>
      </c>
      <c r="S194" s="10">
        <v>1325607701452</v>
      </c>
      <c r="T194" s="10">
        <v>31201130643</v>
      </c>
      <c r="U194" s="10">
        <v>26190104198</v>
      </c>
      <c r="V194" s="10">
        <v>4995396204</v>
      </c>
      <c r="W194" s="10">
        <v>15630241</v>
      </c>
      <c r="X194" s="10">
        <v>1356808832095</v>
      </c>
      <c r="Y194" s="10">
        <v>82219</v>
      </c>
      <c r="Z194" s="10">
        <v>22698252931</v>
      </c>
      <c r="AA194" s="10">
        <v>6000000000</v>
      </c>
      <c r="AB194" s="10">
        <v>1385507085026</v>
      </c>
      <c r="AC194" s="10">
        <v>1026088937737</v>
      </c>
      <c r="AD194" s="46">
        <v>32.231113911761888</v>
      </c>
      <c r="AE194" s="10">
        <v>863437262361</v>
      </c>
      <c r="AF194" s="10">
        <v>863437262361</v>
      </c>
      <c r="AG194" s="10">
        <v>0</v>
      </c>
      <c r="AH194" s="10">
        <v>135399806</v>
      </c>
      <c r="AI194" s="10">
        <v>0</v>
      </c>
      <c r="AJ194" s="10">
        <v>0</v>
      </c>
      <c r="AK194" s="10">
        <v>0</v>
      </c>
      <c r="AL194" s="11">
        <v>0</v>
      </c>
      <c r="AM194" s="10">
        <v>0</v>
      </c>
      <c r="AN194" s="11">
        <v>25</v>
      </c>
      <c r="AO194" s="10">
        <v>461743965328</v>
      </c>
      <c r="AP194" s="12">
        <v>24</v>
      </c>
      <c r="AQ194" s="10">
        <v>15199709686</v>
      </c>
      <c r="AR194" s="10">
        <v>31201130643</v>
      </c>
      <c r="AS194" s="10">
        <v>20877899339</v>
      </c>
      <c r="AT194" s="10">
        <v>10323231304</v>
      </c>
      <c r="AU194" s="11">
        <v>49.45</v>
      </c>
      <c r="AV194" s="10">
        <v>526530096375</v>
      </c>
      <c r="AW194" s="10">
        <v>153981244528</v>
      </c>
      <c r="AX194" s="10">
        <v>131771149793</v>
      </c>
      <c r="AY194" s="10">
        <v>77631674650</v>
      </c>
      <c r="AZ194" s="10">
        <v>248901690665</v>
      </c>
      <c r="BA194" s="10">
        <v>180135000000</v>
      </c>
      <c r="BB194" s="10">
        <v>237869485151</v>
      </c>
      <c r="BC194" s="10">
        <v>667821367975</v>
      </c>
      <c r="BD194" s="12">
        <v>12173</v>
      </c>
      <c r="BE194" s="10">
        <v>238784677310</v>
      </c>
      <c r="BF194" s="10">
        <v>248901690665</v>
      </c>
      <c r="BG194" s="10">
        <v>180135000000</v>
      </c>
      <c r="BH194" s="10">
        <v>731659626905</v>
      </c>
      <c r="BI194" s="10">
        <v>131777635456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135399806</v>
      </c>
    </row>
    <row r="195" spans="1:67" x14ac:dyDescent="0.25">
      <c r="A195" s="25" t="s">
        <v>232</v>
      </c>
      <c r="B195" s="9">
        <v>1917</v>
      </c>
      <c r="C195" s="9" t="s">
        <v>246</v>
      </c>
      <c r="D195" s="10">
        <v>2997717635731</v>
      </c>
      <c r="E195" s="10">
        <v>88904305766</v>
      </c>
      <c r="F195" s="10">
        <v>0</v>
      </c>
      <c r="G195" s="10">
        <v>0</v>
      </c>
      <c r="H195" s="10">
        <v>3086621941497</v>
      </c>
      <c r="I195" s="10">
        <v>243460932920</v>
      </c>
      <c r="J195" s="10">
        <v>1640864160</v>
      </c>
      <c r="K195" s="10">
        <v>2841520144417</v>
      </c>
      <c r="L195" s="10">
        <v>2755025755983</v>
      </c>
      <c r="M195" s="10">
        <v>331596185514</v>
      </c>
      <c r="N195" s="46">
        <v>12.036046661047845</v>
      </c>
      <c r="O195" s="10">
        <v>1489682238232</v>
      </c>
      <c r="P195" s="11">
        <v>55.13</v>
      </c>
      <c r="Q195" s="11">
        <v>52.43</v>
      </c>
      <c r="R195" s="11">
        <v>1.28</v>
      </c>
      <c r="S195" s="10">
        <v>1614473425455</v>
      </c>
      <c r="T195" s="10">
        <v>20682357794</v>
      </c>
      <c r="U195" s="10">
        <v>5496756877</v>
      </c>
      <c r="V195" s="10">
        <v>2145775804</v>
      </c>
      <c r="W195" s="10">
        <v>13039825113</v>
      </c>
      <c r="X195" s="10">
        <v>1635155783249</v>
      </c>
      <c r="Y195" s="10">
        <v>1105056689</v>
      </c>
      <c r="Z195" s="10">
        <v>58640257960</v>
      </c>
      <c r="AA195" s="10">
        <v>7823330000</v>
      </c>
      <c r="AB195" s="10">
        <v>1701619371209</v>
      </c>
      <c r="AC195" s="10">
        <v>1434159194073</v>
      </c>
      <c r="AD195" s="46">
        <v>14.01494269301941</v>
      </c>
      <c r="AE195" s="10">
        <v>1850751782852</v>
      </c>
      <c r="AF195" s="10">
        <v>1850751782852</v>
      </c>
      <c r="AG195" s="10">
        <v>461681427390</v>
      </c>
      <c r="AH195" s="10">
        <v>0</v>
      </c>
      <c r="AI195" s="10">
        <v>0</v>
      </c>
      <c r="AJ195" s="10">
        <v>0</v>
      </c>
      <c r="AK195" s="10">
        <v>0</v>
      </c>
      <c r="AL195" s="11">
        <v>9</v>
      </c>
      <c r="AM195" s="10">
        <v>253320608697</v>
      </c>
      <c r="AN195" s="11">
        <v>221</v>
      </c>
      <c r="AO195" s="10">
        <v>1869820409789</v>
      </c>
      <c r="AP195" s="12">
        <v>186</v>
      </c>
      <c r="AQ195" s="10">
        <v>1153371031495</v>
      </c>
      <c r="AR195" s="10">
        <v>20682357794</v>
      </c>
      <c r="AS195" s="10">
        <v>22911683438</v>
      </c>
      <c r="AT195" s="10">
        <v>-2229325644</v>
      </c>
      <c r="AU195" s="11">
        <v>-9.73</v>
      </c>
      <c r="AV195" s="10">
        <v>1672398214115</v>
      </c>
      <c r="AW195" s="10">
        <v>443286301409</v>
      </c>
      <c r="AX195" s="10">
        <v>818779441750</v>
      </c>
      <c r="AY195" s="10">
        <v>61664858668</v>
      </c>
      <c r="AZ195" s="10">
        <v>462015236459</v>
      </c>
      <c r="BA195" s="10">
        <v>1655258098854</v>
      </c>
      <c r="BB195" s="10">
        <v>277093621285</v>
      </c>
      <c r="BC195" s="10">
        <v>3086621941497</v>
      </c>
      <c r="BD195" s="12">
        <v>339063</v>
      </c>
      <c r="BE195" s="10">
        <v>969207433396</v>
      </c>
      <c r="BF195" s="10">
        <v>462015236459</v>
      </c>
      <c r="BG195" s="10">
        <v>1655399271642</v>
      </c>
      <c r="BH195" s="10">
        <v>965073534725</v>
      </c>
      <c r="BI195" s="10">
        <v>885678248127</v>
      </c>
      <c r="BJ195" s="10">
        <v>0</v>
      </c>
      <c r="BK195" s="10">
        <v>0</v>
      </c>
      <c r="BL195" s="10">
        <v>475359941923</v>
      </c>
      <c r="BM195" s="10">
        <v>0</v>
      </c>
      <c r="BN195" s="10">
        <v>6650000000</v>
      </c>
      <c r="BO195" s="10">
        <v>0</v>
      </c>
    </row>
    <row r="196" spans="1:67" x14ac:dyDescent="0.25">
      <c r="A196" s="25" t="s">
        <v>232</v>
      </c>
      <c r="B196" s="9">
        <v>1918</v>
      </c>
      <c r="C196" s="9" t="s">
        <v>247</v>
      </c>
      <c r="D196" s="10">
        <v>915040761961</v>
      </c>
      <c r="E196" s="10">
        <v>2083120091</v>
      </c>
      <c r="F196" s="10">
        <v>0</v>
      </c>
      <c r="G196" s="10">
        <v>0</v>
      </c>
      <c r="H196" s="10">
        <v>917123882052</v>
      </c>
      <c r="I196" s="10">
        <v>58399592131</v>
      </c>
      <c r="J196" s="10">
        <v>1580414000</v>
      </c>
      <c r="K196" s="10">
        <v>857143875921</v>
      </c>
      <c r="L196" s="10">
        <v>623849434534</v>
      </c>
      <c r="M196" s="10">
        <v>293274447518</v>
      </c>
      <c r="N196" s="46">
        <v>47.010453369580866</v>
      </c>
      <c r="O196" s="10">
        <v>1004865077414</v>
      </c>
      <c r="P196" s="11">
        <v>120.42</v>
      </c>
      <c r="Q196" s="11">
        <v>117.23</v>
      </c>
      <c r="R196" s="11">
        <v>0.53</v>
      </c>
      <c r="S196" s="10">
        <v>1043100615320</v>
      </c>
      <c r="T196" s="10">
        <v>5907643703</v>
      </c>
      <c r="U196" s="10">
        <v>5907643703</v>
      </c>
      <c r="V196" s="10">
        <v>0</v>
      </c>
      <c r="W196" s="10">
        <v>0</v>
      </c>
      <c r="X196" s="10">
        <v>1049008259023</v>
      </c>
      <c r="Y196" s="10">
        <v>0</v>
      </c>
      <c r="Z196" s="10">
        <v>47216774338</v>
      </c>
      <c r="AA196" s="10">
        <v>8200000000</v>
      </c>
      <c r="AB196" s="10">
        <v>1104425033361</v>
      </c>
      <c r="AC196" s="10">
        <v>796940540635</v>
      </c>
      <c r="AD196" s="46">
        <v>31.629425977897064</v>
      </c>
      <c r="AE196" s="10">
        <v>655123901488</v>
      </c>
      <c r="AF196" s="10">
        <v>644658950000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1">
        <v>0</v>
      </c>
      <c r="AM196" s="10">
        <v>0</v>
      </c>
      <c r="AN196" s="11">
        <v>11</v>
      </c>
      <c r="AO196" s="10">
        <v>12805387967</v>
      </c>
      <c r="AP196" s="12">
        <v>6</v>
      </c>
      <c r="AQ196" s="10">
        <v>14890775349</v>
      </c>
      <c r="AR196" s="10">
        <v>5907643703</v>
      </c>
      <c r="AS196" s="10">
        <v>8041824799</v>
      </c>
      <c r="AT196" s="10">
        <v>-2134181096</v>
      </c>
      <c r="AU196" s="13">
        <v>-26.54</v>
      </c>
      <c r="AV196" s="10">
        <v>413141142908</v>
      </c>
      <c r="AW196" s="10">
        <v>77171206225</v>
      </c>
      <c r="AX196" s="10">
        <v>198390246855</v>
      </c>
      <c r="AY196" s="10">
        <v>176406700990</v>
      </c>
      <c r="AZ196" s="10">
        <v>174150114116</v>
      </c>
      <c r="BA196" s="10">
        <v>366093700000</v>
      </c>
      <c r="BB196" s="10">
        <v>121360119086</v>
      </c>
      <c r="BC196" s="10">
        <v>917123882052</v>
      </c>
      <c r="BD196" s="12">
        <v>28558</v>
      </c>
      <c r="BE196" s="10">
        <v>376880067936</v>
      </c>
      <c r="BF196" s="10">
        <v>174150114116</v>
      </c>
      <c r="BG196" s="10">
        <v>366093700000</v>
      </c>
      <c r="BH196" s="10">
        <v>576694451488</v>
      </c>
      <c r="BI196" s="10">
        <v>78429450000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</row>
    <row r="197" spans="1:67" x14ac:dyDescent="0.25">
      <c r="A197" s="25" t="s">
        <v>232</v>
      </c>
      <c r="B197" s="9">
        <v>1919</v>
      </c>
      <c r="C197" s="9" t="s">
        <v>248</v>
      </c>
      <c r="D197" s="10">
        <v>5272483924953</v>
      </c>
      <c r="E197" s="10">
        <v>417752894110</v>
      </c>
      <c r="F197" s="10">
        <v>0</v>
      </c>
      <c r="G197" s="10">
        <v>0</v>
      </c>
      <c r="H197" s="10">
        <v>5690236819063</v>
      </c>
      <c r="I197" s="10">
        <v>342707438218</v>
      </c>
      <c r="J197" s="10">
        <v>1335855800</v>
      </c>
      <c r="K197" s="10">
        <v>5346193525045</v>
      </c>
      <c r="L197" s="10">
        <v>4262498713136</v>
      </c>
      <c r="M197" s="10">
        <v>1427738105927</v>
      </c>
      <c r="N197" s="46">
        <v>33.495332245545399</v>
      </c>
      <c r="O197" s="10">
        <v>2284382544820</v>
      </c>
      <c r="P197" s="11">
        <v>44.96</v>
      </c>
      <c r="Q197" s="11">
        <v>42.73</v>
      </c>
      <c r="R197" s="11">
        <v>1.46</v>
      </c>
      <c r="S197" s="10">
        <v>2354778361502</v>
      </c>
      <c r="T197" s="10">
        <v>34281806130</v>
      </c>
      <c r="U197" s="10">
        <v>29187546124</v>
      </c>
      <c r="V197" s="10">
        <v>2789539503</v>
      </c>
      <c r="W197" s="10">
        <v>2304720503</v>
      </c>
      <c r="X197" s="10">
        <v>2389060167632</v>
      </c>
      <c r="Y197" s="10">
        <v>3072827843</v>
      </c>
      <c r="Z197" s="10">
        <v>124642167136</v>
      </c>
      <c r="AA197" s="10">
        <v>44684684913</v>
      </c>
      <c r="AB197" s="10">
        <v>2558387019681</v>
      </c>
      <c r="AC197" s="10">
        <v>2860475832445</v>
      </c>
      <c r="AD197" s="46">
        <v>-16.480323289781339</v>
      </c>
      <c r="AE197" s="10">
        <v>4902828470567</v>
      </c>
      <c r="AF197" s="10">
        <v>4902828470567</v>
      </c>
      <c r="AG197" s="10">
        <v>2340897205890</v>
      </c>
      <c r="AH197" s="10">
        <v>36157308421</v>
      </c>
      <c r="AI197" s="10">
        <v>18131687795</v>
      </c>
      <c r="AJ197" s="10">
        <v>0</v>
      </c>
      <c r="AK197" s="10">
        <v>0</v>
      </c>
      <c r="AL197" s="11">
        <v>20</v>
      </c>
      <c r="AM197" s="10">
        <v>1943134905790</v>
      </c>
      <c r="AN197" s="11">
        <v>164</v>
      </c>
      <c r="AO197" s="10">
        <v>2264854175657</v>
      </c>
      <c r="AP197" s="12">
        <v>211</v>
      </c>
      <c r="AQ197" s="10">
        <v>2161863136142</v>
      </c>
      <c r="AR197" s="10">
        <v>34281806130</v>
      </c>
      <c r="AS197" s="10">
        <v>15734865090</v>
      </c>
      <c r="AT197" s="10">
        <v>18546941040</v>
      </c>
      <c r="AU197" s="13">
        <v>117.87</v>
      </c>
      <c r="AV197" s="10">
        <v>5377422713319</v>
      </c>
      <c r="AW197" s="10">
        <v>660599693203</v>
      </c>
      <c r="AX197" s="10">
        <v>409391047735</v>
      </c>
      <c r="AY197" s="10">
        <v>200945818988</v>
      </c>
      <c r="AZ197" s="10">
        <v>838106165430</v>
      </c>
      <c r="BA197" s="10">
        <v>3824040892800</v>
      </c>
      <c r="BB197" s="10">
        <v>570776839437</v>
      </c>
      <c r="BC197" s="10">
        <v>5690236819063</v>
      </c>
      <c r="BD197" s="12">
        <v>296426</v>
      </c>
      <c r="BE197" s="10">
        <v>1028089760833</v>
      </c>
      <c r="BF197" s="10">
        <v>838106165430</v>
      </c>
      <c r="BG197" s="10">
        <v>3824040892800</v>
      </c>
      <c r="BH197" s="10">
        <v>2708765280685</v>
      </c>
      <c r="BI197" s="10">
        <v>2194063189882</v>
      </c>
      <c r="BJ197" s="10">
        <v>95579055000</v>
      </c>
      <c r="BK197" s="10">
        <v>0</v>
      </c>
      <c r="BL197" s="10">
        <v>2450932465949</v>
      </c>
      <c r="BM197" s="10">
        <v>0</v>
      </c>
      <c r="BN197" s="10">
        <v>0</v>
      </c>
      <c r="BO197" s="10">
        <v>36157308421</v>
      </c>
    </row>
    <row r="198" spans="1:67" x14ac:dyDescent="0.25">
      <c r="A198" s="25" t="s">
        <v>232</v>
      </c>
      <c r="B198" s="9">
        <v>1920</v>
      </c>
      <c r="C198" s="9" t="s">
        <v>249</v>
      </c>
      <c r="D198" s="10">
        <v>595450536309</v>
      </c>
      <c r="E198" s="10">
        <v>9274011833</v>
      </c>
      <c r="F198" s="10">
        <v>0</v>
      </c>
      <c r="G198" s="10">
        <v>0</v>
      </c>
      <c r="H198" s="10">
        <v>604724548142</v>
      </c>
      <c r="I198" s="10">
        <v>48135510133</v>
      </c>
      <c r="J198" s="10">
        <v>4026204630</v>
      </c>
      <c r="K198" s="10">
        <v>552562833379</v>
      </c>
      <c r="L198" s="10">
        <v>526240068663</v>
      </c>
      <c r="M198" s="10">
        <v>78484479479</v>
      </c>
      <c r="N198" s="46">
        <v>14.914196799647508</v>
      </c>
      <c r="O198" s="10">
        <v>710797107292</v>
      </c>
      <c r="P198" s="11">
        <v>136.69</v>
      </c>
      <c r="Q198" s="11">
        <v>128.63999999999999</v>
      </c>
      <c r="R198" s="11">
        <v>0.83</v>
      </c>
      <c r="S198" s="10">
        <v>778565310035</v>
      </c>
      <c r="T198" s="10">
        <v>6858772614</v>
      </c>
      <c r="U198" s="10">
        <v>6751202770</v>
      </c>
      <c r="V198" s="10">
        <v>107569844</v>
      </c>
      <c r="W198" s="10">
        <v>0</v>
      </c>
      <c r="X198" s="10">
        <v>785424082649</v>
      </c>
      <c r="Y198" s="10">
        <v>0</v>
      </c>
      <c r="Z198" s="10">
        <v>26102256494</v>
      </c>
      <c r="AA198" s="10">
        <v>15050000000</v>
      </c>
      <c r="AB198" s="10">
        <v>826576339143</v>
      </c>
      <c r="AC198" s="10">
        <v>524175475444</v>
      </c>
      <c r="AD198" s="46">
        <v>49.839914197380331</v>
      </c>
      <c r="AE198" s="10">
        <v>510905580456</v>
      </c>
      <c r="AF198" s="10">
        <v>485535580456</v>
      </c>
      <c r="AG198" s="10">
        <v>0</v>
      </c>
      <c r="AH198" s="10">
        <v>5482479</v>
      </c>
      <c r="AI198" s="10">
        <v>0</v>
      </c>
      <c r="AJ198" s="10">
        <v>0</v>
      </c>
      <c r="AK198" s="10">
        <v>0</v>
      </c>
      <c r="AL198" s="11">
        <v>0</v>
      </c>
      <c r="AM198" s="10">
        <v>0</v>
      </c>
      <c r="AN198" s="11">
        <v>59</v>
      </c>
      <c r="AO198" s="10">
        <v>95607084300</v>
      </c>
      <c r="AP198" s="12">
        <v>26</v>
      </c>
      <c r="AQ198" s="10">
        <v>64060383928</v>
      </c>
      <c r="AR198" s="10">
        <v>6858772614</v>
      </c>
      <c r="AS198" s="10">
        <v>6888410497</v>
      </c>
      <c r="AT198" s="10">
        <v>-29637883</v>
      </c>
      <c r="AU198" s="13">
        <v>-0.43</v>
      </c>
      <c r="AV198" s="10">
        <v>268039933857</v>
      </c>
      <c r="AW198" s="10">
        <v>49152340516</v>
      </c>
      <c r="AX198" s="10">
        <v>115920609696</v>
      </c>
      <c r="AY198" s="10">
        <v>126026150211</v>
      </c>
      <c r="AZ198" s="10">
        <v>135298776402</v>
      </c>
      <c r="BA198" s="10">
        <v>218205000000</v>
      </c>
      <c r="BB198" s="10">
        <v>99731105308</v>
      </c>
      <c r="BC198" s="10">
        <v>604724548142</v>
      </c>
      <c r="BD198" s="12">
        <v>34711</v>
      </c>
      <c r="BE198" s="10">
        <v>251220771740</v>
      </c>
      <c r="BF198" s="10">
        <v>135298776402</v>
      </c>
      <c r="BG198" s="10">
        <v>218205000000</v>
      </c>
      <c r="BH198" s="10">
        <v>465887723900</v>
      </c>
      <c r="BI198" s="10">
        <v>45017856556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5482479</v>
      </c>
    </row>
    <row r="199" spans="1:67" x14ac:dyDescent="0.25">
      <c r="A199" s="25" t="s">
        <v>232</v>
      </c>
      <c r="B199" s="9">
        <v>1921</v>
      </c>
      <c r="C199" s="9" t="s">
        <v>250</v>
      </c>
      <c r="D199" s="10">
        <v>767721681896</v>
      </c>
      <c r="E199" s="10">
        <v>16891154803</v>
      </c>
      <c r="F199" s="10">
        <v>0</v>
      </c>
      <c r="G199" s="10">
        <v>0</v>
      </c>
      <c r="H199" s="10">
        <v>784612836699</v>
      </c>
      <c r="I199" s="10">
        <v>56959177511</v>
      </c>
      <c r="J199" s="10">
        <v>582362400</v>
      </c>
      <c r="K199" s="10">
        <v>727071296788</v>
      </c>
      <c r="L199" s="10">
        <v>870639196172</v>
      </c>
      <c r="M199" s="10">
        <v>-86026359473</v>
      </c>
      <c r="N199" s="46">
        <v>-9.8808277701300469</v>
      </c>
      <c r="O199" s="10">
        <v>872754320902</v>
      </c>
      <c r="P199" s="11">
        <v>127.79</v>
      </c>
      <c r="Q199" s="11">
        <v>120.04</v>
      </c>
      <c r="R199" s="11">
        <v>0.57999999999999996</v>
      </c>
      <c r="S199" s="10">
        <v>880171443651</v>
      </c>
      <c r="T199" s="10">
        <v>5765435027</v>
      </c>
      <c r="U199" s="10">
        <v>5765435027</v>
      </c>
      <c r="V199" s="10">
        <v>0</v>
      </c>
      <c r="W199" s="10">
        <v>0</v>
      </c>
      <c r="X199" s="10">
        <v>885936878678</v>
      </c>
      <c r="Y199" s="10">
        <v>0</v>
      </c>
      <c r="Z199" s="10">
        <v>80406712690</v>
      </c>
      <c r="AA199" s="10">
        <v>36315738028</v>
      </c>
      <c r="AB199" s="10">
        <v>1002659329396</v>
      </c>
      <c r="AC199" s="10">
        <v>660028105462</v>
      </c>
      <c r="AD199" s="46">
        <v>34.227144472563118</v>
      </c>
      <c r="AE199" s="10">
        <v>683608541324</v>
      </c>
      <c r="AF199" s="10">
        <v>683608541324</v>
      </c>
      <c r="AG199" s="10">
        <v>0</v>
      </c>
      <c r="AH199" s="10">
        <v>981382826</v>
      </c>
      <c r="AI199" s="10">
        <v>0</v>
      </c>
      <c r="AJ199" s="10">
        <v>0</v>
      </c>
      <c r="AK199" s="10">
        <v>0</v>
      </c>
      <c r="AL199" s="11">
        <v>0</v>
      </c>
      <c r="AM199" s="10">
        <v>0</v>
      </c>
      <c r="AN199" s="11">
        <v>19</v>
      </c>
      <c r="AO199" s="10">
        <v>250010354487</v>
      </c>
      <c r="AP199" s="12">
        <v>13</v>
      </c>
      <c r="AQ199" s="10">
        <v>45149161456</v>
      </c>
      <c r="AR199" s="10">
        <v>5765435027</v>
      </c>
      <c r="AS199" s="10">
        <v>133413923</v>
      </c>
      <c r="AT199" s="10">
        <v>5632021104</v>
      </c>
      <c r="AU199" s="13">
        <v>4221.46</v>
      </c>
      <c r="AV199" s="10">
        <v>487006712669</v>
      </c>
      <c r="AW199" s="10">
        <v>88310678249</v>
      </c>
      <c r="AX199" s="10">
        <v>118893345334</v>
      </c>
      <c r="AY199" s="10">
        <v>64548982100</v>
      </c>
      <c r="AZ199" s="10">
        <v>261732305222</v>
      </c>
      <c r="BA199" s="10">
        <v>322547049240</v>
      </c>
      <c r="BB199" s="10">
        <v>253978506269</v>
      </c>
      <c r="BC199" s="10">
        <v>784612836699</v>
      </c>
      <c r="BD199" s="12">
        <v>18159</v>
      </c>
      <c r="BE199" s="10">
        <v>200333482237</v>
      </c>
      <c r="BF199" s="10">
        <v>261732305222</v>
      </c>
      <c r="BG199" s="10">
        <v>322547049240</v>
      </c>
      <c r="BH199" s="10">
        <v>612029444498</v>
      </c>
      <c r="BI199" s="10">
        <v>71579096826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981382826</v>
      </c>
    </row>
    <row r="200" spans="1:67" x14ac:dyDescent="0.25">
      <c r="A200" s="25" t="s">
        <v>232</v>
      </c>
      <c r="B200" s="9">
        <v>1922</v>
      </c>
      <c r="C200" s="9" t="s">
        <v>251</v>
      </c>
      <c r="D200" s="10">
        <v>363985779161</v>
      </c>
      <c r="E200" s="10">
        <v>1913874438</v>
      </c>
      <c r="F200" s="10">
        <v>0</v>
      </c>
      <c r="G200" s="10">
        <v>0</v>
      </c>
      <c r="H200" s="10">
        <v>365899653599</v>
      </c>
      <c r="I200" s="10">
        <v>26888877397</v>
      </c>
      <c r="J200" s="10">
        <v>1060306762</v>
      </c>
      <c r="K200" s="10">
        <v>337950469440</v>
      </c>
      <c r="L200" s="10">
        <v>346227132868</v>
      </c>
      <c r="M200" s="10">
        <v>19672520731</v>
      </c>
      <c r="N200" s="46">
        <v>5.6819696850564858</v>
      </c>
      <c r="O200" s="10">
        <v>741558935028</v>
      </c>
      <c r="P200" s="11">
        <v>216.87</v>
      </c>
      <c r="Q200" s="11">
        <v>219.43</v>
      </c>
      <c r="R200" s="11">
        <v>0.5</v>
      </c>
      <c r="S200" s="10">
        <v>760634329659</v>
      </c>
      <c r="T200" s="10">
        <v>3956465811</v>
      </c>
      <c r="U200" s="10">
        <v>3622426509</v>
      </c>
      <c r="V200" s="10">
        <v>334039302</v>
      </c>
      <c r="W200" s="10">
        <v>0</v>
      </c>
      <c r="X200" s="10">
        <v>764590795470</v>
      </c>
      <c r="Y200" s="10">
        <v>0</v>
      </c>
      <c r="Z200" s="10">
        <v>24175968637</v>
      </c>
      <c r="AA200" s="10">
        <v>4763625528</v>
      </c>
      <c r="AB200" s="10">
        <v>793530389635</v>
      </c>
      <c r="AC200" s="10">
        <v>524007085543</v>
      </c>
      <c r="AD200" s="46">
        <v>45.912300914346645</v>
      </c>
      <c r="AE200" s="10">
        <v>365735529374</v>
      </c>
      <c r="AF200" s="10">
        <v>365735529374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1">
        <v>0</v>
      </c>
      <c r="AM200" s="10">
        <v>0</v>
      </c>
      <c r="AN200" s="11">
        <v>13</v>
      </c>
      <c r="AO200" s="10">
        <v>12496759376</v>
      </c>
      <c r="AP200" s="12">
        <v>4</v>
      </c>
      <c r="AQ200" s="10">
        <v>17309900000</v>
      </c>
      <c r="AR200" s="10">
        <v>3956465811</v>
      </c>
      <c r="AS200" s="10">
        <v>1931407714</v>
      </c>
      <c r="AT200" s="10">
        <v>2025058097</v>
      </c>
      <c r="AU200" s="11">
        <v>104.85</v>
      </c>
      <c r="AV200" s="10">
        <v>133523379052</v>
      </c>
      <c r="AW200" s="10">
        <v>29156418806</v>
      </c>
      <c r="AX200" s="10">
        <v>19956729670</v>
      </c>
      <c r="AY200" s="10">
        <v>39693080406</v>
      </c>
      <c r="AZ200" s="10">
        <v>131443969085</v>
      </c>
      <c r="BA200" s="10">
        <v>172892000000</v>
      </c>
      <c r="BB200" s="10">
        <v>113775676886</v>
      </c>
      <c r="BC200" s="10">
        <v>365899653599</v>
      </c>
      <c r="BD200" s="12">
        <v>2633</v>
      </c>
      <c r="BE200" s="10">
        <v>61563684514</v>
      </c>
      <c r="BF200" s="10">
        <v>131223969085</v>
      </c>
      <c r="BG200" s="10">
        <v>173112000000</v>
      </c>
      <c r="BH200" s="10">
        <v>348335529374</v>
      </c>
      <c r="BI200" s="10">
        <v>17400000000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</row>
    <row r="201" spans="1:67" x14ac:dyDescent="0.25">
      <c r="A201" s="25" t="s">
        <v>232</v>
      </c>
      <c r="B201" s="9">
        <v>1923</v>
      </c>
      <c r="C201" s="9" t="s">
        <v>252</v>
      </c>
      <c r="D201" s="10">
        <v>889600696968</v>
      </c>
      <c r="E201" s="10">
        <v>27277480427</v>
      </c>
      <c r="F201" s="10">
        <v>0</v>
      </c>
      <c r="G201" s="10">
        <v>0</v>
      </c>
      <c r="H201" s="10">
        <v>916878177395</v>
      </c>
      <c r="I201" s="10">
        <v>59175747046</v>
      </c>
      <c r="J201" s="10">
        <v>1287018400</v>
      </c>
      <c r="K201" s="10">
        <v>856415411949</v>
      </c>
      <c r="L201" s="10">
        <v>1856325536</v>
      </c>
      <c r="M201" s="10">
        <v>915021851859</v>
      </c>
      <c r="N201" s="46">
        <v>49292.100664126192</v>
      </c>
      <c r="O201" s="10">
        <v>122923258423</v>
      </c>
      <c r="P201" s="11">
        <v>16.489999999999998</v>
      </c>
      <c r="Q201" s="11">
        <v>14.35</v>
      </c>
      <c r="R201" s="11">
        <v>0</v>
      </c>
      <c r="S201" s="10">
        <v>136063980104</v>
      </c>
      <c r="T201" s="10">
        <v>0</v>
      </c>
      <c r="U201" s="10">
        <v>0</v>
      </c>
      <c r="V201" s="10">
        <v>0</v>
      </c>
      <c r="W201" s="10">
        <v>0</v>
      </c>
      <c r="X201" s="10">
        <v>136063980104</v>
      </c>
      <c r="Y201" s="10">
        <v>0</v>
      </c>
      <c r="Z201" s="10">
        <v>7103400258</v>
      </c>
      <c r="AA201" s="10">
        <v>8003000000</v>
      </c>
      <c r="AB201" s="10">
        <v>151170380362</v>
      </c>
      <c r="AC201" s="10">
        <v>0</v>
      </c>
      <c r="AD201" s="46" t="s">
        <v>595</v>
      </c>
      <c r="AE201" s="10">
        <v>125784731811</v>
      </c>
      <c r="AF201" s="10">
        <v>125784731811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1">
        <v>0</v>
      </c>
      <c r="AM201" s="10">
        <v>0</v>
      </c>
      <c r="AN201" s="11">
        <v>31</v>
      </c>
      <c r="AO201" s="10">
        <v>449455002245</v>
      </c>
      <c r="AP201" s="12">
        <v>1</v>
      </c>
      <c r="AQ201" s="10">
        <v>11000000000</v>
      </c>
      <c r="AR201" s="10">
        <v>0</v>
      </c>
      <c r="AS201" s="10">
        <v>0</v>
      </c>
      <c r="AT201" s="10">
        <v>0</v>
      </c>
      <c r="AU201" s="11" t="s">
        <v>593</v>
      </c>
      <c r="AV201" s="10">
        <v>11610474901</v>
      </c>
      <c r="AW201" s="10">
        <v>0</v>
      </c>
      <c r="AX201" s="10">
        <v>34618462085</v>
      </c>
      <c r="AY201" s="10">
        <v>66222993955</v>
      </c>
      <c r="AZ201" s="10">
        <v>267488240928</v>
      </c>
      <c r="BA201" s="10">
        <v>521271000000</v>
      </c>
      <c r="BB201" s="10">
        <v>265239421150</v>
      </c>
      <c r="BC201" s="10">
        <v>916878177395</v>
      </c>
      <c r="BD201" s="12">
        <v>31152</v>
      </c>
      <c r="BE201" s="10">
        <v>128118936467</v>
      </c>
      <c r="BF201" s="10">
        <v>267488240928</v>
      </c>
      <c r="BG201" s="10">
        <v>521271000000</v>
      </c>
      <c r="BH201" s="10">
        <v>105184831811</v>
      </c>
      <c r="BI201" s="10">
        <v>20599900000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</row>
    <row r="202" spans="1:67" x14ac:dyDescent="0.25">
      <c r="A202" s="25" t="s">
        <v>232</v>
      </c>
      <c r="B202" s="9">
        <v>1924</v>
      </c>
      <c r="C202" s="9" t="s">
        <v>253</v>
      </c>
      <c r="D202" s="10">
        <v>636731974159</v>
      </c>
      <c r="E202" s="10">
        <v>10842023868</v>
      </c>
      <c r="F202" s="10">
        <v>0</v>
      </c>
      <c r="G202" s="10">
        <v>0</v>
      </c>
      <c r="H202" s="10">
        <v>647573998027</v>
      </c>
      <c r="I202" s="10">
        <v>42420511636</v>
      </c>
      <c r="J202" s="10">
        <v>2994606735</v>
      </c>
      <c r="K202" s="10">
        <v>602158879656</v>
      </c>
      <c r="L202" s="10">
        <v>60216856047</v>
      </c>
      <c r="M202" s="10">
        <v>587357141980</v>
      </c>
      <c r="N202" s="46">
        <v>975.40320192332945</v>
      </c>
      <c r="O202" s="10">
        <v>138661567885</v>
      </c>
      <c r="P202" s="11">
        <v>25.21</v>
      </c>
      <c r="Q202" s="11">
        <v>23.03</v>
      </c>
      <c r="R202" s="11">
        <v>0</v>
      </c>
      <c r="S202" s="10">
        <v>125447271139</v>
      </c>
      <c r="T202" s="10">
        <v>0</v>
      </c>
      <c r="U202" s="10">
        <v>0</v>
      </c>
      <c r="V202" s="10">
        <v>0</v>
      </c>
      <c r="W202" s="10">
        <v>0</v>
      </c>
      <c r="X202" s="10">
        <v>125447271139</v>
      </c>
      <c r="Y202" s="10">
        <v>0</v>
      </c>
      <c r="Z202" s="10">
        <v>11735721243</v>
      </c>
      <c r="AA202" s="10">
        <v>26057255000</v>
      </c>
      <c r="AB202" s="10">
        <v>163240247382</v>
      </c>
      <c r="AC202" s="10">
        <v>19356237731</v>
      </c>
      <c r="AD202" s="46">
        <v>548.09738794481632</v>
      </c>
      <c r="AE202" s="10">
        <v>115019959975</v>
      </c>
      <c r="AF202" s="10">
        <v>115019959975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1">
        <v>0</v>
      </c>
      <c r="AM202" s="10">
        <v>0</v>
      </c>
      <c r="AN202" s="11">
        <v>29</v>
      </c>
      <c r="AO202" s="10">
        <v>228434170246</v>
      </c>
      <c r="AP202" s="12">
        <v>0</v>
      </c>
      <c r="AQ202" s="10">
        <v>0</v>
      </c>
      <c r="AR202" s="10">
        <v>0</v>
      </c>
      <c r="AS202" s="10">
        <v>0</v>
      </c>
      <c r="AT202" s="10">
        <v>0</v>
      </c>
      <c r="AU202" s="11" t="s">
        <v>593</v>
      </c>
      <c r="AV202" s="10">
        <v>17689441205</v>
      </c>
      <c r="AW202" s="10">
        <v>229699586</v>
      </c>
      <c r="AX202" s="10">
        <v>45728364922</v>
      </c>
      <c r="AY202" s="10">
        <v>156504211472</v>
      </c>
      <c r="AZ202" s="10">
        <v>111915397765</v>
      </c>
      <c r="BA202" s="10">
        <v>322584000000</v>
      </c>
      <c r="BB202" s="10">
        <v>111768908835</v>
      </c>
      <c r="BC202" s="10">
        <v>647573998027</v>
      </c>
      <c r="BD202" s="12">
        <v>13233</v>
      </c>
      <c r="BE202" s="10">
        <v>213074600262</v>
      </c>
      <c r="BF202" s="10">
        <v>111915397765</v>
      </c>
      <c r="BG202" s="10">
        <v>322584000000</v>
      </c>
      <c r="BH202" s="10">
        <v>107119959975</v>
      </c>
      <c r="BI202" s="10">
        <v>7900000000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</row>
    <row r="203" spans="1:67" x14ac:dyDescent="0.25">
      <c r="A203" s="25" t="s">
        <v>232</v>
      </c>
      <c r="B203" s="9">
        <v>1925</v>
      </c>
      <c r="C203" s="9" t="s">
        <v>254</v>
      </c>
      <c r="D203" s="10">
        <v>88073979218</v>
      </c>
      <c r="E203" s="10">
        <v>673739069</v>
      </c>
      <c r="F203" s="10">
        <v>0</v>
      </c>
      <c r="G203" s="10">
        <v>0</v>
      </c>
      <c r="H203" s="10">
        <v>88747718287</v>
      </c>
      <c r="I203" s="10">
        <v>8081732721</v>
      </c>
      <c r="J203" s="10">
        <v>841588600</v>
      </c>
      <c r="K203" s="10">
        <v>79824396966</v>
      </c>
      <c r="L203" s="10">
        <v>79398906009</v>
      </c>
      <c r="M203" s="10">
        <v>9348812278</v>
      </c>
      <c r="N203" s="46">
        <v>11.774484999755911</v>
      </c>
      <c r="O203" s="10">
        <v>0</v>
      </c>
      <c r="P203" s="11">
        <v>0</v>
      </c>
      <c r="Q203" s="11">
        <v>0</v>
      </c>
      <c r="R203" s="11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46" t="s">
        <v>595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1">
        <v>0</v>
      </c>
      <c r="AM203" s="10">
        <v>0</v>
      </c>
      <c r="AN203" s="11">
        <v>0</v>
      </c>
      <c r="AO203" s="10">
        <v>0</v>
      </c>
      <c r="AP203" s="12">
        <v>0</v>
      </c>
      <c r="AQ203" s="10">
        <v>0</v>
      </c>
      <c r="AR203" s="10">
        <v>0</v>
      </c>
      <c r="AS203" s="10">
        <v>0</v>
      </c>
      <c r="AT203" s="10">
        <v>0</v>
      </c>
      <c r="AU203" s="11" t="s">
        <v>593</v>
      </c>
      <c r="AV203" s="10">
        <v>0</v>
      </c>
      <c r="AW203" s="10">
        <v>0</v>
      </c>
      <c r="AX203" s="10">
        <v>2822364236</v>
      </c>
      <c r="AY203" s="10">
        <v>16559292536</v>
      </c>
      <c r="AZ203" s="10">
        <v>13396922446</v>
      </c>
      <c r="BA203" s="10">
        <v>55295400000</v>
      </c>
      <c r="BB203" s="10">
        <v>10749762407</v>
      </c>
      <c r="BC203" s="10">
        <v>88747718287</v>
      </c>
      <c r="BD203" s="12">
        <v>3223</v>
      </c>
      <c r="BE203" s="10">
        <v>20055395841</v>
      </c>
      <c r="BF203" s="10">
        <v>13396922446</v>
      </c>
      <c r="BG203" s="10">
        <v>55295400000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</row>
    <row r="204" spans="1:67" x14ac:dyDescent="0.25">
      <c r="A204" s="25" t="s">
        <v>232</v>
      </c>
      <c r="B204" s="26">
        <v>1999</v>
      </c>
      <c r="C204" s="26" t="s">
        <v>255</v>
      </c>
      <c r="D204" s="27">
        <v>0</v>
      </c>
      <c r="E204" s="27">
        <v>16492209004</v>
      </c>
      <c r="F204" s="27">
        <v>0</v>
      </c>
      <c r="G204" s="27">
        <v>0</v>
      </c>
      <c r="H204" s="27">
        <v>16492209004</v>
      </c>
      <c r="I204" s="27">
        <v>882108918</v>
      </c>
      <c r="J204" s="27">
        <v>69862957408</v>
      </c>
      <c r="K204" s="27">
        <v>-54252857322</v>
      </c>
      <c r="L204" s="27">
        <v>10436998931</v>
      </c>
      <c r="M204" s="10">
        <v>6055210073</v>
      </c>
      <c r="N204" s="46">
        <v>58.01677391203711</v>
      </c>
      <c r="O204" s="27">
        <v>0</v>
      </c>
      <c r="P204" s="28">
        <v>0</v>
      </c>
      <c r="Q204" s="28">
        <v>0</v>
      </c>
      <c r="R204" s="28">
        <v>0</v>
      </c>
      <c r="S204" s="27">
        <v>0</v>
      </c>
      <c r="T204" s="27">
        <v>0</v>
      </c>
      <c r="U204" s="27">
        <v>0</v>
      </c>
      <c r="V204" s="27">
        <v>0</v>
      </c>
      <c r="W204" s="27">
        <v>0</v>
      </c>
      <c r="X204" s="27">
        <v>0</v>
      </c>
      <c r="Y204" s="10">
        <v>0</v>
      </c>
      <c r="Z204" s="27">
        <v>0</v>
      </c>
      <c r="AA204" s="27">
        <v>0</v>
      </c>
      <c r="AB204" s="27">
        <v>0</v>
      </c>
      <c r="AC204" s="27">
        <v>0</v>
      </c>
      <c r="AD204" s="46" t="s">
        <v>595</v>
      </c>
      <c r="AE204" s="27">
        <v>0</v>
      </c>
      <c r="AF204" s="27">
        <v>0</v>
      </c>
      <c r="AG204" s="27">
        <v>0</v>
      </c>
      <c r="AH204" s="27">
        <v>0</v>
      </c>
      <c r="AI204" s="27">
        <v>0</v>
      </c>
      <c r="AJ204" s="27">
        <v>0</v>
      </c>
      <c r="AK204" s="27">
        <v>0</v>
      </c>
      <c r="AL204" s="28">
        <v>0</v>
      </c>
      <c r="AM204" s="27">
        <v>0</v>
      </c>
      <c r="AN204" s="28">
        <v>0</v>
      </c>
      <c r="AO204" s="27">
        <v>0</v>
      </c>
      <c r="AP204" s="12">
        <v>0</v>
      </c>
      <c r="AQ204" s="10">
        <v>0</v>
      </c>
      <c r="AR204" s="27">
        <v>0</v>
      </c>
      <c r="AS204" s="27">
        <v>0</v>
      </c>
      <c r="AT204" s="27">
        <v>0</v>
      </c>
      <c r="AU204" s="28" t="s">
        <v>593</v>
      </c>
      <c r="AV204" s="27">
        <v>0</v>
      </c>
      <c r="AW204" s="27">
        <v>0</v>
      </c>
      <c r="AX204" s="27">
        <v>0</v>
      </c>
      <c r="AY204" s="27">
        <v>0</v>
      </c>
      <c r="AZ204" s="27">
        <v>0</v>
      </c>
      <c r="BA204" s="27">
        <v>0</v>
      </c>
      <c r="BB204" s="27">
        <v>0</v>
      </c>
      <c r="BC204" s="27">
        <v>16492209004</v>
      </c>
      <c r="BD204" s="29">
        <v>0</v>
      </c>
      <c r="BE204" s="27">
        <v>16492209004</v>
      </c>
      <c r="BF204" s="27">
        <v>0</v>
      </c>
      <c r="BG204" s="27">
        <v>0</v>
      </c>
      <c r="BH204" s="27">
        <v>0</v>
      </c>
      <c r="BI204" s="27">
        <v>0</v>
      </c>
      <c r="BJ204" s="27">
        <v>0</v>
      </c>
      <c r="BK204" s="27">
        <v>0</v>
      </c>
      <c r="BL204" s="27">
        <v>0</v>
      </c>
      <c r="BM204" s="27">
        <v>0</v>
      </c>
      <c r="BN204" s="27">
        <v>0</v>
      </c>
      <c r="BO204" s="27">
        <v>0</v>
      </c>
    </row>
    <row r="205" spans="1:67" x14ac:dyDescent="0.25">
      <c r="A205" s="19" t="s">
        <v>618</v>
      </c>
      <c r="B205" s="20" t="s">
        <v>593</v>
      </c>
      <c r="C205" s="20" t="s">
        <v>593</v>
      </c>
      <c r="D205" s="21">
        <v>36284727060580</v>
      </c>
      <c r="E205" s="21">
        <v>2402370018538</v>
      </c>
      <c r="F205" s="21">
        <v>333100000000</v>
      </c>
      <c r="G205" s="21">
        <v>57420275777</v>
      </c>
      <c r="H205" s="21">
        <v>39077617354895</v>
      </c>
      <c r="I205" s="21">
        <v>3021924618734</v>
      </c>
      <c r="J205" s="21">
        <v>149922139783</v>
      </c>
      <c r="K205" s="21">
        <v>35905770596378</v>
      </c>
      <c r="L205" s="21">
        <v>28281451731909</v>
      </c>
      <c r="M205" s="21">
        <v>10796165622986</v>
      </c>
      <c r="N205" s="47">
        <v>38.174014988081581</v>
      </c>
      <c r="O205" s="21">
        <v>35700131734780</v>
      </c>
      <c r="P205" s="22">
        <v>108.24</v>
      </c>
      <c r="Q205" s="22">
        <v>99.43</v>
      </c>
      <c r="R205" s="22">
        <v>1.21</v>
      </c>
      <c r="S205" s="21">
        <v>39638643935631</v>
      </c>
      <c r="T205" s="21">
        <v>467940633635</v>
      </c>
      <c r="U205" s="21">
        <v>260348396338</v>
      </c>
      <c r="V205" s="21">
        <v>37056278030</v>
      </c>
      <c r="W205" s="21">
        <v>170535959267</v>
      </c>
      <c r="X205" s="21">
        <v>40106584569266</v>
      </c>
      <c r="Y205" s="21">
        <v>42308947506</v>
      </c>
      <c r="Z205" s="21">
        <v>1821367005028</v>
      </c>
      <c r="AA205" s="21">
        <v>368729691866</v>
      </c>
      <c r="AB205" s="21">
        <v>42296681266160</v>
      </c>
      <c r="AC205" s="21">
        <v>31246590224923</v>
      </c>
      <c r="AD205" s="47">
        <v>28.355075803682617</v>
      </c>
      <c r="AE205" s="21">
        <v>36970620358688</v>
      </c>
      <c r="AF205" s="21">
        <v>36874863771351</v>
      </c>
      <c r="AG205" s="21">
        <v>10171065307544</v>
      </c>
      <c r="AH205" s="21">
        <v>467900689739</v>
      </c>
      <c r="AI205" s="21">
        <v>58477148101</v>
      </c>
      <c r="AJ205" s="21">
        <v>0</v>
      </c>
      <c r="AK205" s="21">
        <v>1948000000</v>
      </c>
      <c r="AL205" s="22">
        <v>218</v>
      </c>
      <c r="AM205" s="21">
        <v>21640942298728</v>
      </c>
      <c r="AN205" s="23">
        <v>1467</v>
      </c>
      <c r="AO205" s="21">
        <v>16341326982833</v>
      </c>
      <c r="AP205" s="23">
        <v>1358</v>
      </c>
      <c r="AQ205" s="21">
        <v>9857183379715</v>
      </c>
      <c r="AR205" s="21">
        <v>467940633635</v>
      </c>
      <c r="AS205" s="21">
        <v>211754237720</v>
      </c>
      <c r="AT205" s="21">
        <v>256186395915</v>
      </c>
      <c r="AU205" s="22">
        <v>120.98</v>
      </c>
      <c r="AV205" s="21">
        <v>29103126973038</v>
      </c>
      <c r="AW205" s="21">
        <v>4119034347635</v>
      </c>
      <c r="AX205" s="21">
        <v>6146882947521</v>
      </c>
      <c r="AY205" s="21">
        <v>3487423751917</v>
      </c>
      <c r="AZ205" s="21">
        <v>10056861045368</v>
      </c>
      <c r="BA205" s="21">
        <v>16593559315774</v>
      </c>
      <c r="BB205" s="21">
        <v>7175713183057</v>
      </c>
      <c r="BC205" s="21">
        <v>39077617354895</v>
      </c>
      <c r="BD205" s="23">
        <v>2108707</v>
      </c>
      <c r="BE205" s="21">
        <v>11757492806185</v>
      </c>
      <c r="BF205" s="21">
        <v>10389378825368</v>
      </c>
      <c r="BG205" s="21">
        <v>16930745723342</v>
      </c>
      <c r="BH205" s="21">
        <v>28091697093018</v>
      </c>
      <c r="BI205" s="21">
        <v>8878923265670</v>
      </c>
      <c r="BJ205" s="21">
        <v>1377056960181</v>
      </c>
      <c r="BK205" s="21">
        <v>106410105746</v>
      </c>
      <c r="BL205" s="21">
        <v>9279197055389</v>
      </c>
      <c r="BM205" s="21">
        <v>8868049002</v>
      </c>
      <c r="BN205" s="21">
        <v>8686407410</v>
      </c>
      <c r="BO205" s="21">
        <v>455043972759</v>
      </c>
    </row>
    <row r="206" spans="1:67" x14ac:dyDescent="0.25">
      <c r="A206" s="25" t="s">
        <v>256</v>
      </c>
      <c r="B206" s="9">
        <v>3900</v>
      </c>
      <c r="C206" s="9" t="s">
        <v>257</v>
      </c>
      <c r="D206" s="10">
        <v>2119287745715</v>
      </c>
      <c r="E206" s="10">
        <v>214501522727</v>
      </c>
      <c r="F206" s="10">
        <v>179800000</v>
      </c>
      <c r="G206" s="10">
        <v>2574106308</v>
      </c>
      <c r="H206" s="10">
        <v>2336543174750</v>
      </c>
      <c r="I206" s="10">
        <v>141681487961</v>
      </c>
      <c r="J206" s="10">
        <v>7962704232</v>
      </c>
      <c r="K206" s="10">
        <v>2186898982557</v>
      </c>
      <c r="L206" s="10">
        <v>1994879244573</v>
      </c>
      <c r="M206" s="10">
        <v>341663930177</v>
      </c>
      <c r="N206" s="46">
        <v>17.12704822141415</v>
      </c>
      <c r="O206" s="10">
        <v>5841865260275</v>
      </c>
      <c r="P206" s="11">
        <v>317.77</v>
      </c>
      <c r="Q206" s="11">
        <v>267.13</v>
      </c>
      <c r="R206" s="11">
        <v>3.84</v>
      </c>
      <c r="S206" s="10">
        <v>6825943902253</v>
      </c>
      <c r="T206" s="10">
        <v>283370891293</v>
      </c>
      <c r="U206" s="10">
        <v>81543823103</v>
      </c>
      <c r="V206" s="10">
        <v>200210772101</v>
      </c>
      <c r="W206" s="10">
        <v>1616296089</v>
      </c>
      <c r="X206" s="10">
        <v>7109314793546</v>
      </c>
      <c r="Y206" s="10">
        <v>2043860476</v>
      </c>
      <c r="Z206" s="10">
        <v>289433846012</v>
      </c>
      <c r="AA206" s="10">
        <v>25968307751</v>
      </c>
      <c r="AB206" s="10">
        <v>7424716947309</v>
      </c>
      <c r="AC206" s="10">
        <v>4735847218648</v>
      </c>
      <c r="AD206" s="46">
        <v>50.11706386034097</v>
      </c>
      <c r="AE206" s="10">
        <v>4065243372681</v>
      </c>
      <c r="AF206" s="10">
        <v>3756527549588</v>
      </c>
      <c r="AG206" s="10">
        <v>73219914528</v>
      </c>
      <c r="AH206" s="10">
        <v>0</v>
      </c>
      <c r="AI206" s="10">
        <v>59401830905</v>
      </c>
      <c r="AJ206" s="10">
        <v>0</v>
      </c>
      <c r="AK206" s="10">
        <v>0</v>
      </c>
      <c r="AL206" s="11">
        <v>6</v>
      </c>
      <c r="AM206" s="10">
        <v>146945114599</v>
      </c>
      <c r="AN206" s="11">
        <v>279</v>
      </c>
      <c r="AO206" s="10">
        <v>2216348882056</v>
      </c>
      <c r="AP206" s="12">
        <v>155</v>
      </c>
      <c r="AQ206" s="10">
        <v>572260579653</v>
      </c>
      <c r="AR206" s="10">
        <v>283370891293</v>
      </c>
      <c r="AS206" s="10">
        <v>90120560741</v>
      </c>
      <c r="AT206" s="10">
        <v>193250330552</v>
      </c>
      <c r="AU206" s="11">
        <v>214.44</v>
      </c>
      <c r="AV206" s="10">
        <v>1609660487822</v>
      </c>
      <c r="AW206" s="10">
        <v>423229965412</v>
      </c>
      <c r="AX206" s="10">
        <v>413620344295</v>
      </c>
      <c r="AY206" s="10">
        <v>503709774593</v>
      </c>
      <c r="AZ206" s="10">
        <v>622835626827</v>
      </c>
      <c r="BA206" s="10">
        <v>579122000000</v>
      </c>
      <c r="BB206" s="10">
        <v>386518414431</v>
      </c>
      <c r="BC206" s="10">
        <v>2336543174750</v>
      </c>
      <c r="BD206" s="12">
        <v>179420</v>
      </c>
      <c r="BE206" s="10">
        <v>1086199456164</v>
      </c>
      <c r="BF206" s="10">
        <v>623015426827</v>
      </c>
      <c r="BG206" s="10">
        <v>627328291759</v>
      </c>
      <c r="BH206" s="10">
        <v>2663242739022</v>
      </c>
      <c r="BI206" s="10">
        <v>1402000633659</v>
      </c>
      <c r="BJ206" s="10">
        <v>0</v>
      </c>
      <c r="BK206" s="10">
        <v>0</v>
      </c>
      <c r="BL206" s="10">
        <v>82764833128</v>
      </c>
      <c r="BM206" s="10">
        <v>0</v>
      </c>
      <c r="BN206" s="10">
        <v>0</v>
      </c>
      <c r="BO206" s="10">
        <v>0</v>
      </c>
    </row>
    <row r="207" spans="1:67" x14ac:dyDescent="0.25">
      <c r="A207" s="25" t="s">
        <v>256</v>
      </c>
      <c r="B207" s="9">
        <v>3901</v>
      </c>
      <c r="C207" s="9" t="s">
        <v>258</v>
      </c>
      <c r="D207" s="10">
        <v>1480078812068</v>
      </c>
      <c r="E207" s="10">
        <v>11783464004</v>
      </c>
      <c r="F207" s="10">
        <v>0</v>
      </c>
      <c r="G207" s="10">
        <v>0</v>
      </c>
      <c r="H207" s="10">
        <v>1491862276072</v>
      </c>
      <c r="I207" s="10">
        <v>107462621633</v>
      </c>
      <c r="J207" s="10">
        <v>1290065696</v>
      </c>
      <c r="K207" s="10">
        <v>1383109588743</v>
      </c>
      <c r="L207" s="10">
        <v>1200615584558</v>
      </c>
      <c r="M207" s="10">
        <v>291246691514</v>
      </c>
      <c r="N207" s="46">
        <v>24.258113526089272</v>
      </c>
      <c r="O207" s="10">
        <v>3481113380526</v>
      </c>
      <c r="P207" s="11">
        <v>271.14999999999998</v>
      </c>
      <c r="Q207" s="11">
        <v>251.69</v>
      </c>
      <c r="R207" s="11">
        <v>0.8</v>
      </c>
      <c r="S207" s="10">
        <v>3879356545712</v>
      </c>
      <c r="T207" s="10">
        <v>26049560821</v>
      </c>
      <c r="U207" s="10">
        <v>20691941975</v>
      </c>
      <c r="V207" s="10">
        <v>5357618846</v>
      </c>
      <c r="W207" s="10">
        <v>0</v>
      </c>
      <c r="X207" s="10">
        <v>3905406106533</v>
      </c>
      <c r="Y207" s="10">
        <v>6269509267</v>
      </c>
      <c r="Z207" s="10">
        <v>118570695187</v>
      </c>
      <c r="AA207" s="10">
        <v>21196718000</v>
      </c>
      <c r="AB207" s="10">
        <v>4045173519720</v>
      </c>
      <c r="AC207" s="10">
        <v>1763019262682</v>
      </c>
      <c r="AD207" s="46">
        <v>121.51806217884911</v>
      </c>
      <c r="AE207" s="10">
        <v>3697795526529</v>
      </c>
      <c r="AF207" s="10">
        <v>3605975526529</v>
      </c>
      <c r="AG207" s="10">
        <v>1286765453970</v>
      </c>
      <c r="AH207" s="10">
        <v>55578081</v>
      </c>
      <c r="AI207" s="10">
        <v>599500411535</v>
      </c>
      <c r="AJ207" s="10">
        <v>13766176000</v>
      </c>
      <c r="AK207" s="10">
        <v>0</v>
      </c>
      <c r="AL207" s="11">
        <v>9</v>
      </c>
      <c r="AM207" s="10">
        <v>1598892454308</v>
      </c>
      <c r="AN207" s="11">
        <v>67</v>
      </c>
      <c r="AO207" s="10">
        <v>175626808119</v>
      </c>
      <c r="AP207" s="12">
        <v>25</v>
      </c>
      <c r="AQ207" s="10">
        <v>40455514993</v>
      </c>
      <c r="AR207" s="10">
        <v>26049560821</v>
      </c>
      <c r="AS207" s="10">
        <v>23602421715</v>
      </c>
      <c r="AT207" s="10">
        <v>2447139106</v>
      </c>
      <c r="AU207" s="11">
        <v>10.37</v>
      </c>
      <c r="AV207" s="10">
        <v>1573725801394</v>
      </c>
      <c r="AW207" s="10">
        <v>931506078606</v>
      </c>
      <c r="AX207" s="10">
        <v>242564518557</v>
      </c>
      <c r="AY207" s="10">
        <v>156072097102</v>
      </c>
      <c r="AZ207" s="10">
        <v>536392196409</v>
      </c>
      <c r="BA207" s="10">
        <v>545050000000</v>
      </c>
      <c r="BB207" s="10">
        <v>457393078600</v>
      </c>
      <c r="BC207" s="10">
        <v>1491862276072</v>
      </c>
      <c r="BD207" s="12">
        <v>41137</v>
      </c>
      <c r="BE207" s="10">
        <v>408017658461</v>
      </c>
      <c r="BF207" s="10">
        <v>536342196409</v>
      </c>
      <c r="BG207" s="10">
        <v>547502421202</v>
      </c>
      <c r="BH207" s="10">
        <v>3048101973913</v>
      </c>
      <c r="BI207" s="10">
        <v>649693552616</v>
      </c>
      <c r="BJ207" s="10">
        <v>0</v>
      </c>
      <c r="BK207" s="10">
        <v>0</v>
      </c>
      <c r="BL207" s="10">
        <v>758936521843</v>
      </c>
      <c r="BM207" s="10">
        <v>0</v>
      </c>
      <c r="BN207" s="10">
        <v>0</v>
      </c>
      <c r="BO207" s="10">
        <v>55578081</v>
      </c>
    </row>
    <row r="208" spans="1:67" x14ac:dyDescent="0.25">
      <c r="A208" s="25" t="s">
        <v>256</v>
      </c>
      <c r="B208" s="9">
        <v>3902</v>
      </c>
      <c r="C208" s="9" t="s">
        <v>259</v>
      </c>
      <c r="D208" s="10">
        <v>851454580085</v>
      </c>
      <c r="E208" s="10">
        <v>16994085680</v>
      </c>
      <c r="F208" s="10">
        <v>0</v>
      </c>
      <c r="G208" s="10">
        <v>0</v>
      </c>
      <c r="H208" s="10">
        <v>868448665765</v>
      </c>
      <c r="I208" s="10">
        <v>52509064108</v>
      </c>
      <c r="J208" s="10">
        <v>1294846790</v>
      </c>
      <c r="K208" s="10">
        <v>814644754867</v>
      </c>
      <c r="L208" s="10">
        <v>698390578181</v>
      </c>
      <c r="M208" s="10">
        <v>170058087584</v>
      </c>
      <c r="N208" s="46">
        <v>24.349997393568287</v>
      </c>
      <c r="O208" s="10">
        <v>1718866922567</v>
      </c>
      <c r="P208" s="11">
        <v>230.32</v>
      </c>
      <c r="Q208" s="11">
        <v>211</v>
      </c>
      <c r="R208" s="11">
        <v>2.67</v>
      </c>
      <c r="S208" s="10">
        <v>1800715984104</v>
      </c>
      <c r="T208" s="10">
        <v>50643133551</v>
      </c>
      <c r="U208" s="10">
        <v>49663850048</v>
      </c>
      <c r="V208" s="10">
        <v>979283503</v>
      </c>
      <c r="W208" s="10">
        <v>0</v>
      </c>
      <c r="X208" s="10">
        <v>1851359117655</v>
      </c>
      <c r="Y208" s="10">
        <v>2740114337</v>
      </c>
      <c r="Z208" s="10">
        <v>138971452746</v>
      </c>
      <c r="AA208" s="10">
        <v>9850000000</v>
      </c>
      <c r="AB208" s="10">
        <v>2000180570401</v>
      </c>
      <c r="AC208" s="10">
        <v>1393533127387</v>
      </c>
      <c r="AD208" s="46">
        <v>32.853613686706176</v>
      </c>
      <c r="AE208" s="10">
        <v>1474028840567</v>
      </c>
      <c r="AF208" s="10">
        <v>1474028840567</v>
      </c>
      <c r="AG208" s="10">
        <v>360896523194</v>
      </c>
      <c r="AH208" s="10">
        <v>0</v>
      </c>
      <c r="AI208" s="10">
        <v>81954859626</v>
      </c>
      <c r="AJ208" s="10">
        <v>0</v>
      </c>
      <c r="AK208" s="10">
        <v>0</v>
      </c>
      <c r="AL208" s="11">
        <v>5</v>
      </c>
      <c r="AM208" s="10">
        <v>662646816468</v>
      </c>
      <c r="AN208" s="11">
        <v>93</v>
      </c>
      <c r="AO208" s="10">
        <v>348420059590</v>
      </c>
      <c r="AP208" s="12">
        <v>33</v>
      </c>
      <c r="AQ208" s="10">
        <v>119618927287</v>
      </c>
      <c r="AR208" s="10">
        <v>50643133551</v>
      </c>
      <c r="AS208" s="10">
        <v>30760045808</v>
      </c>
      <c r="AT208" s="10">
        <v>19883087743</v>
      </c>
      <c r="AU208" s="11">
        <v>64.64</v>
      </c>
      <c r="AV208" s="10">
        <v>992806580426</v>
      </c>
      <c r="AW208" s="10">
        <v>463521087151</v>
      </c>
      <c r="AX208" s="10">
        <v>121984034239</v>
      </c>
      <c r="AY208" s="10">
        <v>111407779781</v>
      </c>
      <c r="AZ208" s="10">
        <v>331402766065</v>
      </c>
      <c r="BA208" s="10">
        <v>286660000000</v>
      </c>
      <c r="BB208" s="10">
        <v>297754679471</v>
      </c>
      <c r="BC208" s="10">
        <v>868448665765</v>
      </c>
      <c r="BD208" s="12">
        <v>34735</v>
      </c>
      <c r="BE208" s="10">
        <v>247186912358</v>
      </c>
      <c r="BF208" s="10">
        <v>331402766065</v>
      </c>
      <c r="BG208" s="10">
        <v>289858987342</v>
      </c>
      <c r="BH208" s="10">
        <v>1224791788512</v>
      </c>
      <c r="BI208" s="10">
        <v>249237052055</v>
      </c>
      <c r="BJ208" s="10">
        <v>0</v>
      </c>
      <c r="BK208" s="10">
        <v>0</v>
      </c>
      <c r="BL208" s="10">
        <v>360896523194</v>
      </c>
      <c r="BM208" s="10">
        <v>0</v>
      </c>
      <c r="BN208" s="10">
        <v>0</v>
      </c>
      <c r="BO208" s="10">
        <v>0</v>
      </c>
    </row>
    <row r="209" spans="1:67" x14ac:dyDescent="0.25">
      <c r="A209" s="25" t="s">
        <v>256</v>
      </c>
      <c r="B209" s="9">
        <v>3904</v>
      </c>
      <c r="C209" s="9" t="s">
        <v>260</v>
      </c>
      <c r="D209" s="10">
        <v>552103930799</v>
      </c>
      <c r="E209" s="10">
        <v>2384620372</v>
      </c>
      <c r="F209" s="10">
        <v>0</v>
      </c>
      <c r="G209" s="10">
        <v>0</v>
      </c>
      <c r="H209" s="10">
        <v>554488551171</v>
      </c>
      <c r="I209" s="10">
        <v>41743040354</v>
      </c>
      <c r="J209" s="10">
        <v>1604917460</v>
      </c>
      <c r="K209" s="10">
        <v>511140593357</v>
      </c>
      <c r="L209" s="10">
        <v>489714019262</v>
      </c>
      <c r="M209" s="10">
        <v>64774531909</v>
      </c>
      <c r="N209" s="46">
        <v>13.227011962331678</v>
      </c>
      <c r="O209" s="10">
        <v>1014987416836</v>
      </c>
      <c r="P209" s="11">
        <v>218.07</v>
      </c>
      <c r="Q209" s="11">
        <v>198.57</v>
      </c>
      <c r="R209" s="11">
        <v>0.82</v>
      </c>
      <c r="S209" s="10">
        <v>1084046425057</v>
      </c>
      <c r="T209" s="10">
        <v>8475290838</v>
      </c>
      <c r="U209" s="10">
        <v>7341585868</v>
      </c>
      <c r="V209" s="10">
        <v>540361978</v>
      </c>
      <c r="W209" s="10">
        <v>593342992</v>
      </c>
      <c r="X209" s="10">
        <v>1092521715895</v>
      </c>
      <c r="Y209" s="10">
        <v>1392768272</v>
      </c>
      <c r="Z209" s="10">
        <v>110734672843</v>
      </c>
      <c r="AA209" s="10">
        <v>5900000000</v>
      </c>
      <c r="AB209" s="10">
        <v>1209156388738</v>
      </c>
      <c r="AC209" s="10">
        <v>794243998547</v>
      </c>
      <c r="AD209" s="46">
        <v>37.554922403401605</v>
      </c>
      <c r="AE209" s="10">
        <v>781535558169</v>
      </c>
      <c r="AF209" s="10">
        <v>724378485855</v>
      </c>
      <c r="AG209" s="10">
        <v>0</v>
      </c>
      <c r="AH209" s="10">
        <v>0</v>
      </c>
      <c r="AI209" s="10">
        <v>37683572992</v>
      </c>
      <c r="AJ209" s="10">
        <v>0</v>
      </c>
      <c r="AK209" s="10">
        <v>0</v>
      </c>
      <c r="AL209" s="11">
        <v>1</v>
      </c>
      <c r="AM209" s="10">
        <v>7956403312</v>
      </c>
      <c r="AN209" s="11">
        <v>11</v>
      </c>
      <c r="AO209" s="10">
        <v>3379172847</v>
      </c>
      <c r="AP209" s="12">
        <v>5</v>
      </c>
      <c r="AQ209" s="10">
        <v>706735178</v>
      </c>
      <c r="AR209" s="10">
        <v>8475290838</v>
      </c>
      <c r="AS209" s="10">
        <v>9094745601</v>
      </c>
      <c r="AT209" s="10">
        <v>-619454763</v>
      </c>
      <c r="AU209" s="11">
        <v>-6.81</v>
      </c>
      <c r="AV209" s="10">
        <v>382873392228</v>
      </c>
      <c r="AW209" s="10">
        <v>127734709422</v>
      </c>
      <c r="AX209" s="10">
        <v>82924656731</v>
      </c>
      <c r="AY209" s="10">
        <v>100820270242</v>
      </c>
      <c r="AZ209" s="10">
        <v>186466003826</v>
      </c>
      <c r="BA209" s="10">
        <v>181893000000</v>
      </c>
      <c r="BB209" s="10">
        <v>130154409829</v>
      </c>
      <c r="BC209" s="10">
        <v>554488551171</v>
      </c>
      <c r="BD209" s="12">
        <v>4124</v>
      </c>
      <c r="BE209" s="10">
        <v>186052737545</v>
      </c>
      <c r="BF209" s="10">
        <v>186466003826</v>
      </c>
      <c r="BG209" s="10">
        <v>181969809800</v>
      </c>
      <c r="BH209" s="10">
        <v>515068393123</v>
      </c>
      <c r="BI209" s="10">
        <v>266467165046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</row>
    <row r="210" spans="1:67" x14ac:dyDescent="0.25">
      <c r="A210" s="25" t="s">
        <v>256</v>
      </c>
      <c r="B210" s="9">
        <v>3905</v>
      </c>
      <c r="C210" s="9" t="s">
        <v>261</v>
      </c>
      <c r="D210" s="10">
        <v>1635266451410</v>
      </c>
      <c r="E210" s="10">
        <v>29904436741</v>
      </c>
      <c r="F210" s="10">
        <v>0</v>
      </c>
      <c r="G210" s="10">
        <v>0</v>
      </c>
      <c r="H210" s="10">
        <v>1665170888151</v>
      </c>
      <c r="I210" s="10">
        <v>113581349296</v>
      </c>
      <c r="J210" s="10">
        <v>1168975800</v>
      </c>
      <c r="K210" s="10">
        <v>1550420563055</v>
      </c>
      <c r="L210" s="10">
        <v>697571758769</v>
      </c>
      <c r="M210" s="10">
        <v>967599129382</v>
      </c>
      <c r="N210" s="46">
        <v>138.70961907768677</v>
      </c>
      <c r="O210" s="10">
        <v>1931958339145</v>
      </c>
      <c r="P210" s="11">
        <v>141.63999999999999</v>
      </c>
      <c r="Q210" s="11">
        <v>124.61</v>
      </c>
      <c r="R210" s="11">
        <v>0.99</v>
      </c>
      <c r="S210" s="10">
        <v>2186050219621</v>
      </c>
      <c r="T210" s="10">
        <v>22440024364</v>
      </c>
      <c r="U210" s="10">
        <v>18757390573</v>
      </c>
      <c r="V210" s="10">
        <v>2101955292</v>
      </c>
      <c r="W210" s="10">
        <v>1580678499</v>
      </c>
      <c r="X210" s="10">
        <v>2208490243985</v>
      </c>
      <c r="Y210" s="10">
        <v>853419392</v>
      </c>
      <c r="Z210" s="10">
        <v>127597885092</v>
      </c>
      <c r="AA210" s="10">
        <v>22445000000</v>
      </c>
      <c r="AB210" s="10">
        <v>2358533129077</v>
      </c>
      <c r="AC210" s="10">
        <v>1450518262236</v>
      </c>
      <c r="AD210" s="46">
        <v>52.255252586794221</v>
      </c>
      <c r="AE210" s="10">
        <v>1547141239607</v>
      </c>
      <c r="AF210" s="10">
        <v>1437587239607</v>
      </c>
      <c r="AG210" s="10">
        <v>111400832318</v>
      </c>
      <c r="AH210" s="10">
        <v>23257440046</v>
      </c>
      <c r="AI210" s="10">
        <v>12962000000</v>
      </c>
      <c r="AJ210" s="10">
        <v>0</v>
      </c>
      <c r="AK210" s="10">
        <v>0</v>
      </c>
      <c r="AL210" s="11">
        <v>7</v>
      </c>
      <c r="AM210" s="10">
        <v>267163833029</v>
      </c>
      <c r="AN210" s="11">
        <v>45</v>
      </c>
      <c r="AO210" s="10">
        <v>420232337588</v>
      </c>
      <c r="AP210" s="12">
        <v>30</v>
      </c>
      <c r="AQ210" s="10">
        <v>177641953793</v>
      </c>
      <c r="AR210" s="10">
        <v>22440024364</v>
      </c>
      <c r="AS210" s="10">
        <v>14203337892</v>
      </c>
      <c r="AT210" s="10">
        <v>8236686472</v>
      </c>
      <c r="AU210" s="11">
        <v>57.99</v>
      </c>
      <c r="AV210" s="10">
        <v>711157255196</v>
      </c>
      <c r="AW210" s="10">
        <v>134014677383</v>
      </c>
      <c r="AX210" s="10">
        <v>124518098571</v>
      </c>
      <c r="AY210" s="10">
        <v>713411746865</v>
      </c>
      <c r="AZ210" s="10">
        <v>308978105974</v>
      </c>
      <c r="BA210" s="10">
        <v>488358500000</v>
      </c>
      <c r="BB210" s="10">
        <v>273421638584</v>
      </c>
      <c r="BC210" s="10">
        <v>1665170888151</v>
      </c>
      <c r="BD210" s="12">
        <v>15961</v>
      </c>
      <c r="BE210" s="10">
        <v>867834282177</v>
      </c>
      <c r="BF210" s="10">
        <v>308978105974</v>
      </c>
      <c r="BG210" s="10">
        <v>488358500000</v>
      </c>
      <c r="BH210" s="10">
        <v>976367244276</v>
      </c>
      <c r="BI210" s="10">
        <v>570773995331</v>
      </c>
      <c r="BJ210" s="10">
        <v>14074226151</v>
      </c>
      <c r="BK210" s="10">
        <v>0</v>
      </c>
      <c r="BL210" s="10">
        <v>93952726557</v>
      </c>
      <c r="BM210" s="10">
        <v>0</v>
      </c>
      <c r="BN210" s="10">
        <v>0</v>
      </c>
      <c r="BO210" s="10">
        <v>23257440046</v>
      </c>
    </row>
    <row r="211" spans="1:67" x14ac:dyDescent="0.25">
      <c r="A211" s="25" t="s">
        <v>256</v>
      </c>
      <c r="B211" s="9">
        <v>3906</v>
      </c>
      <c r="C211" s="9" t="s">
        <v>262</v>
      </c>
      <c r="D211" s="10">
        <v>445344114694</v>
      </c>
      <c r="E211" s="10">
        <v>180030030</v>
      </c>
      <c r="F211" s="10">
        <v>0</v>
      </c>
      <c r="G211" s="10">
        <v>0</v>
      </c>
      <c r="H211" s="10">
        <v>445524144724</v>
      </c>
      <c r="I211" s="10">
        <v>31529731737</v>
      </c>
      <c r="J211" s="10">
        <v>1681015800</v>
      </c>
      <c r="K211" s="10">
        <v>412313397187</v>
      </c>
      <c r="L211" s="10">
        <v>243419942798</v>
      </c>
      <c r="M211" s="10">
        <v>202104201926</v>
      </c>
      <c r="N211" s="46">
        <v>83.026969607709788</v>
      </c>
      <c r="O211" s="10">
        <v>270637792209</v>
      </c>
      <c r="P211" s="11">
        <v>71.010000000000005</v>
      </c>
      <c r="Q211" s="11">
        <v>65.64</v>
      </c>
      <c r="R211" s="11">
        <v>3.16</v>
      </c>
      <c r="S211" s="10">
        <v>293929900212</v>
      </c>
      <c r="T211" s="10">
        <v>9436596350</v>
      </c>
      <c r="U211" s="10">
        <v>9436596350</v>
      </c>
      <c r="V211" s="10">
        <v>0</v>
      </c>
      <c r="W211" s="10">
        <v>0</v>
      </c>
      <c r="X211" s="10">
        <v>303366496562</v>
      </c>
      <c r="Y211" s="10">
        <v>564403723</v>
      </c>
      <c r="Z211" s="10">
        <v>10757218790</v>
      </c>
      <c r="AA211" s="10">
        <v>2250000000</v>
      </c>
      <c r="AB211" s="10">
        <v>316373715352</v>
      </c>
      <c r="AC211" s="10">
        <v>69033152700</v>
      </c>
      <c r="AD211" s="46">
        <v>339.45044474551429</v>
      </c>
      <c r="AE211" s="10">
        <v>267135404400</v>
      </c>
      <c r="AF211" s="10">
        <v>267135404400</v>
      </c>
      <c r="AG211" s="10">
        <v>0</v>
      </c>
      <c r="AH211" s="10">
        <v>0</v>
      </c>
      <c r="AI211" s="10">
        <v>10627789959</v>
      </c>
      <c r="AJ211" s="10">
        <v>0</v>
      </c>
      <c r="AK211" s="10">
        <v>0</v>
      </c>
      <c r="AL211" s="11">
        <v>0</v>
      </c>
      <c r="AM211" s="10">
        <v>0</v>
      </c>
      <c r="AN211" s="11">
        <v>0</v>
      </c>
      <c r="AO211" s="10">
        <v>0</v>
      </c>
      <c r="AP211" s="12">
        <v>0</v>
      </c>
      <c r="AQ211" s="10">
        <v>0</v>
      </c>
      <c r="AR211" s="10">
        <v>9436596350</v>
      </c>
      <c r="AS211" s="10">
        <v>0</v>
      </c>
      <c r="AT211" s="10">
        <v>9436596350</v>
      </c>
      <c r="AU211" s="11" t="s">
        <v>593</v>
      </c>
      <c r="AV211" s="10">
        <v>51525598456</v>
      </c>
      <c r="AW211" s="10">
        <v>11304232945</v>
      </c>
      <c r="AX211" s="10">
        <v>42730251592</v>
      </c>
      <c r="AY211" s="10">
        <v>66648706805</v>
      </c>
      <c r="AZ211" s="10">
        <v>69690156297</v>
      </c>
      <c r="BA211" s="10">
        <v>266275000000</v>
      </c>
      <c r="BB211" s="10">
        <v>69689897375</v>
      </c>
      <c r="BC211" s="10">
        <v>445524144724</v>
      </c>
      <c r="BD211" s="12">
        <v>8243</v>
      </c>
      <c r="BE211" s="10">
        <v>109558988427</v>
      </c>
      <c r="BF211" s="10">
        <v>69690156297</v>
      </c>
      <c r="BG211" s="10">
        <v>266275000000</v>
      </c>
      <c r="BH211" s="10">
        <v>211880225342</v>
      </c>
      <c r="BI211" s="10">
        <v>55255179058</v>
      </c>
      <c r="BJ211" s="10">
        <v>0</v>
      </c>
      <c r="BK211" s="10">
        <v>0</v>
      </c>
      <c r="BL211" s="10">
        <v>0</v>
      </c>
      <c r="BM211" s="10">
        <v>0</v>
      </c>
      <c r="BN211" s="10">
        <v>0</v>
      </c>
      <c r="BO211" s="10">
        <v>0</v>
      </c>
    </row>
    <row r="212" spans="1:67" x14ac:dyDescent="0.25">
      <c r="A212" s="25" t="s">
        <v>256</v>
      </c>
      <c r="B212" s="9">
        <v>3907</v>
      </c>
      <c r="C212" s="9" t="s">
        <v>263</v>
      </c>
      <c r="D212" s="10">
        <v>293363148610</v>
      </c>
      <c r="E212" s="10">
        <v>7715774154</v>
      </c>
      <c r="F212" s="10">
        <v>0</v>
      </c>
      <c r="G212" s="10">
        <v>0</v>
      </c>
      <c r="H212" s="10">
        <v>301078922764</v>
      </c>
      <c r="I212" s="10">
        <v>22791264088</v>
      </c>
      <c r="J212" s="10">
        <v>1016831388</v>
      </c>
      <c r="K212" s="10">
        <v>277270827288</v>
      </c>
      <c r="L212" s="10">
        <v>154541030446</v>
      </c>
      <c r="M212" s="10">
        <v>146537892318</v>
      </c>
      <c r="N212" s="46">
        <v>94.821350611612189</v>
      </c>
      <c r="O212" s="10">
        <v>324487673919</v>
      </c>
      <c r="P212" s="11">
        <v>127.97</v>
      </c>
      <c r="Q212" s="11">
        <v>117.03</v>
      </c>
      <c r="R212" s="11">
        <v>0</v>
      </c>
      <c r="S212" s="10">
        <v>364519225423</v>
      </c>
      <c r="T212" s="10">
        <v>0</v>
      </c>
      <c r="U212" s="10">
        <v>0</v>
      </c>
      <c r="V212" s="10">
        <v>0</v>
      </c>
      <c r="W212" s="10">
        <v>0</v>
      </c>
      <c r="X212" s="10">
        <v>364519225423</v>
      </c>
      <c r="Y212" s="10">
        <v>0</v>
      </c>
      <c r="Z212" s="10">
        <v>11863892121</v>
      </c>
      <c r="AA212" s="10">
        <v>8900000000</v>
      </c>
      <c r="AB212" s="10">
        <v>385283117544</v>
      </c>
      <c r="AC212" s="10">
        <v>119214628737</v>
      </c>
      <c r="AD212" s="46">
        <v>205.76719424859152</v>
      </c>
      <c r="AE212" s="10">
        <v>282204680000</v>
      </c>
      <c r="AF212" s="10">
        <v>282204680000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1">
        <v>0</v>
      </c>
      <c r="AM212" s="10">
        <v>0</v>
      </c>
      <c r="AN212" s="11">
        <v>17</v>
      </c>
      <c r="AO212" s="10">
        <v>125922683414</v>
      </c>
      <c r="AP212" s="12">
        <v>4</v>
      </c>
      <c r="AQ212" s="10">
        <v>33316950813</v>
      </c>
      <c r="AR212" s="10">
        <v>0</v>
      </c>
      <c r="AS212" s="10">
        <v>0</v>
      </c>
      <c r="AT212" s="10">
        <v>0</v>
      </c>
      <c r="AU212" s="11" t="s">
        <v>593</v>
      </c>
      <c r="AV212" s="10">
        <v>67433839302</v>
      </c>
      <c r="AW212" s="10">
        <v>17491918352</v>
      </c>
      <c r="AX212" s="10">
        <v>66298163414</v>
      </c>
      <c r="AY212" s="10">
        <v>18377078070</v>
      </c>
      <c r="AZ212" s="10">
        <v>117611907126</v>
      </c>
      <c r="BA212" s="10">
        <v>91076000000</v>
      </c>
      <c r="BB212" s="10">
        <v>117582191471</v>
      </c>
      <c r="BC212" s="10">
        <v>301078922764</v>
      </c>
      <c r="BD212" s="12">
        <v>2976</v>
      </c>
      <c r="BE212" s="10">
        <v>92391015638</v>
      </c>
      <c r="BF212" s="10">
        <v>117611907126</v>
      </c>
      <c r="BG212" s="10">
        <v>91076000000</v>
      </c>
      <c r="BH212" s="10">
        <v>250904680000</v>
      </c>
      <c r="BI212" s="10">
        <v>31300000000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</row>
    <row r="213" spans="1:67" x14ac:dyDescent="0.25">
      <c r="A213" s="25" t="s">
        <v>256</v>
      </c>
      <c r="B213" s="26">
        <v>3999</v>
      </c>
      <c r="C213" s="26" t="s">
        <v>264</v>
      </c>
      <c r="D213" s="27">
        <v>0</v>
      </c>
      <c r="E213" s="27">
        <v>3501303883</v>
      </c>
      <c r="F213" s="27">
        <v>0</v>
      </c>
      <c r="G213" s="27">
        <v>0</v>
      </c>
      <c r="H213" s="27">
        <v>3501303883</v>
      </c>
      <c r="I213" s="27">
        <v>151225283</v>
      </c>
      <c r="J213" s="27">
        <v>58220000</v>
      </c>
      <c r="K213" s="27">
        <v>3291858600</v>
      </c>
      <c r="L213" s="27">
        <v>0</v>
      </c>
      <c r="M213" s="10">
        <v>3501303883</v>
      </c>
      <c r="N213" s="46" t="s">
        <v>595</v>
      </c>
      <c r="O213" s="27">
        <v>0</v>
      </c>
      <c r="P213" s="28">
        <v>0</v>
      </c>
      <c r="Q213" s="28">
        <v>0</v>
      </c>
      <c r="R213" s="28">
        <v>0</v>
      </c>
      <c r="S213" s="27">
        <v>0</v>
      </c>
      <c r="T213" s="27">
        <v>0</v>
      </c>
      <c r="U213" s="27">
        <v>0</v>
      </c>
      <c r="V213" s="27">
        <v>0</v>
      </c>
      <c r="W213" s="27">
        <v>0</v>
      </c>
      <c r="X213" s="27">
        <v>0</v>
      </c>
      <c r="Y213" s="10">
        <v>0</v>
      </c>
      <c r="Z213" s="27">
        <v>0</v>
      </c>
      <c r="AA213" s="27">
        <v>0</v>
      </c>
      <c r="AB213" s="27">
        <v>0</v>
      </c>
      <c r="AC213" s="27">
        <v>0</v>
      </c>
      <c r="AD213" s="46" t="s">
        <v>595</v>
      </c>
      <c r="AE213" s="27">
        <v>0</v>
      </c>
      <c r="AF213" s="27">
        <v>0</v>
      </c>
      <c r="AG213" s="27">
        <v>0</v>
      </c>
      <c r="AH213" s="27">
        <v>0</v>
      </c>
      <c r="AI213" s="27">
        <v>0</v>
      </c>
      <c r="AJ213" s="27">
        <v>0</v>
      </c>
      <c r="AK213" s="27">
        <v>0</v>
      </c>
      <c r="AL213" s="28">
        <v>0</v>
      </c>
      <c r="AM213" s="27">
        <v>0</v>
      </c>
      <c r="AN213" s="28">
        <v>0</v>
      </c>
      <c r="AO213" s="27">
        <v>0</v>
      </c>
      <c r="AP213" s="12">
        <v>0</v>
      </c>
      <c r="AQ213" s="10">
        <v>0</v>
      </c>
      <c r="AR213" s="27">
        <v>0</v>
      </c>
      <c r="AS213" s="27">
        <v>0</v>
      </c>
      <c r="AT213" s="27">
        <v>0</v>
      </c>
      <c r="AU213" s="28" t="s">
        <v>593</v>
      </c>
      <c r="AV213" s="27">
        <v>0</v>
      </c>
      <c r="AW213" s="27">
        <v>0</v>
      </c>
      <c r="AX213" s="27">
        <v>0</v>
      </c>
      <c r="AY213" s="27">
        <v>0</v>
      </c>
      <c r="AZ213" s="27">
        <v>0</v>
      </c>
      <c r="BA213" s="27">
        <v>0</v>
      </c>
      <c r="BB213" s="27">
        <v>0</v>
      </c>
      <c r="BC213" s="27">
        <v>3501303883</v>
      </c>
      <c r="BD213" s="29">
        <v>0</v>
      </c>
      <c r="BE213" s="27">
        <v>3501303883</v>
      </c>
      <c r="BF213" s="27">
        <v>0</v>
      </c>
      <c r="BG213" s="27">
        <v>0</v>
      </c>
      <c r="BH213" s="27">
        <v>0</v>
      </c>
      <c r="BI213" s="27">
        <v>0</v>
      </c>
      <c r="BJ213" s="27">
        <v>0</v>
      </c>
      <c r="BK213" s="27">
        <v>0</v>
      </c>
      <c r="BL213" s="27">
        <v>0</v>
      </c>
      <c r="BM213" s="27">
        <v>0</v>
      </c>
      <c r="BN213" s="27">
        <v>0</v>
      </c>
      <c r="BO213" s="27">
        <v>0</v>
      </c>
    </row>
    <row r="214" spans="1:67" x14ac:dyDescent="0.25">
      <c r="A214" s="19" t="s">
        <v>617</v>
      </c>
      <c r="B214" s="20" t="s">
        <v>593</v>
      </c>
      <c r="C214" s="20" t="s">
        <v>593</v>
      </c>
      <c r="D214" s="21">
        <v>7376898783381</v>
      </c>
      <c r="E214" s="21">
        <v>286965237591</v>
      </c>
      <c r="F214" s="21">
        <v>179800000</v>
      </c>
      <c r="G214" s="21">
        <v>2574106308</v>
      </c>
      <c r="H214" s="21">
        <v>7666617927280</v>
      </c>
      <c r="I214" s="21">
        <v>511449784460</v>
      </c>
      <c r="J214" s="21">
        <v>16077577166</v>
      </c>
      <c r="K214" s="21">
        <v>7139090565654</v>
      </c>
      <c r="L214" s="21">
        <v>5479132158587</v>
      </c>
      <c r="M214" s="21">
        <v>2187485768693</v>
      </c>
      <c r="N214" s="47">
        <v>39.923946080853895</v>
      </c>
      <c r="O214" s="21">
        <v>14583916785477</v>
      </c>
      <c r="P214" s="22">
        <v>231.39</v>
      </c>
      <c r="Q214" s="22">
        <v>204.28</v>
      </c>
      <c r="R214" s="22">
        <v>2.34</v>
      </c>
      <c r="S214" s="21">
        <v>16434562202382</v>
      </c>
      <c r="T214" s="21">
        <v>400415497217</v>
      </c>
      <c r="U214" s="21">
        <v>187435187917</v>
      </c>
      <c r="V214" s="21">
        <v>209189991720</v>
      </c>
      <c r="W214" s="21">
        <v>3790317580</v>
      </c>
      <c r="X214" s="21">
        <v>16834977699599</v>
      </c>
      <c r="Y214" s="21">
        <v>13864075467</v>
      </c>
      <c r="Z214" s="21">
        <v>807929662791</v>
      </c>
      <c r="AA214" s="21">
        <v>96510025751</v>
      </c>
      <c r="AB214" s="21">
        <v>17739417388141</v>
      </c>
      <c r="AC214" s="21">
        <v>10325409650937</v>
      </c>
      <c r="AD214" s="47">
        <v>63.044162592341081</v>
      </c>
      <c r="AE214" s="21">
        <v>12115084621953</v>
      </c>
      <c r="AF214" s="21">
        <v>11547837726546</v>
      </c>
      <c r="AG214" s="21">
        <v>1832282724010</v>
      </c>
      <c r="AH214" s="21">
        <v>23313018127</v>
      </c>
      <c r="AI214" s="21">
        <v>802130465017</v>
      </c>
      <c r="AJ214" s="21">
        <v>13766176000</v>
      </c>
      <c r="AK214" s="21">
        <v>0</v>
      </c>
      <c r="AL214" s="22">
        <v>28</v>
      </c>
      <c r="AM214" s="21">
        <v>2683604621716</v>
      </c>
      <c r="AN214" s="22">
        <v>512</v>
      </c>
      <c r="AO214" s="21">
        <v>3289929943614</v>
      </c>
      <c r="AP214" s="23">
        <v>252</v>
      </c>
      <c r="AQ214" s="21">
        <v>944000661717</v>
      </c>
      <c r="AR214" s="21">
        <v>400415497217</v>
      </c>
      <c r="AS214" s="21">
        <v>167781111757</v>
      </c>
      <c r="AT214" s="21">
        <v>232634385460</v>
      </c>
      <c r="AU214" s="22">
        <v>138.65</v>
      </c>
      <c r="AV214" s="21">
        <v>5389182954824</v>
      </c>
      <c r="AW214" s="21">
        <v>2108802669271</v>
      </c>
      <c r="AX214" s="21">
        <v>1094640067399</v>
      </c>
      <c r="AY214" s="21">
        <v>1670447453458</v>
      </c>
      <c r="AZ214" s="21">
        <v>2173376762524</v>
      </c>
      <c r="BA214" s="21">
        <v>2438434500000</v>
      </c>
      <c r="BB214" s="21">
        <v>1732514309761</v>
      </c>
      <c r="BC214" s="21">
        <v>7666617927280</v>
      </c>
      <c r="BD214" s="23">
        <v>286596</v>
      </c>
      <c r="BE214" s="21">
        <v>3000742354653</v>
      </c>
      <c r="BF214" s="21">
        <v>2173506562524</v>
      </c>
      <c r="BG214" s="21">
        <v>2492369010103</v>
      </c>
      <c r="BH214" s="21">
        <v>8890357044188</v>
      </c>
      <c r="BI214" s="21">
        <v>3224727577765</v>
      </c>
      <c r="BJ214" s="21">
        <v>14074226151</v>
      </c>
      <c r="BK214" s="21">
        <v>0</v>
      </c>
      <c r="BL214" s="21">
        <v>1296550604722</v>
      </c>
      <c r="BM214" s="21">
        <v>0</v>
      </c>
      <c r="BN214" s="21">
        <v>0</v>
      </c>
      <c r="BO214" s="21">
        <v>23313018127</v>
      </c>
    </row>
    <row r="215" spans="1:67" x14ac:dyDescent="0.25">
      <c r="A215" s="25" t="s">
        <v>265</v>
      </c>
      <c r="B215" s="9">
        <v>2000</v>
      </c>
      <c r="C215" s="9" t="s">
        <v>266</v>
      </c>
      <c r="D215" s="10">
        <v>4627510650571</v>
      </c>
      <c r="E215" s="10">
        <v>482749910739</v>
      </c>
      <c r="F215" s="10">
        <v>181911000000</v>
      </c>
      <c r="G215" s="10">
        <v>457374000</v>
      </c>
      <c r="H215" s="10">
        <v>5292628935310</v>
      </c>
      <c r="I215" s="10">
        <v>361149159015</v>
      </c>
      <c r="J215" s="10">
        <v>67613817972</v>
      </c>
      <c r="K215" s="10">
        <v>4863865958323</v>
      </c>
      <c r="L215" s="10">
        <v>4742723752166</v>
      </c>
      <c r="M215" s="10">
        <v>549905183144</v>
      </c>
      <c r="N215" s="46">
        <v>11.594712487583923</v>
      </c>
      <c r="O215" s="10">
        <v>7594504777934</v>
      </c>
      <c r="P215" s="11">
        <v>199.31</v>
      </c>
      <c r="Q215" s="11">
        <v>156.13999999999999</v>
      </c>
      <c r="R215" s="11">
        <v>6.35</v>
      </c>
      <c r="S215" s="10">
        <v>9412732815297</v>
      </c>
      <c r="T215" s="10">
        <v>624921023541</v>
      </c>
      <c r="U215" s="10">
        <v>41161438829</v>
      </c>
      <c r="V215" s="10">
        <v>39763462165</v>
      </c>
      <c r="W215" s="10">
        <v>543996122547</v>
      </c>
      <c r="X215" s="10">
        <v>10037653838838</v>
      </c>
      <c r="Y215" s="10">
        <v>45033495696</v>
      </c>
      <c r="Z215" s="10">
        <v>457339923140</v>
      </c>
      <c r="AA215" s="10">
        <v>53536226498</v>
      </c>
      <c r="AB215" s="10">
        <v>10548529988476</v>
      </c>
      <c r="AC215" s="10">
        <v>7149300328505</v>
      </c>
      <c r="AD215" s="46">
        <v>40.400506030175229</v>
      </c>
      <c r="AE215" s="10">
        <v>6465086159498</v>
      </c>
      <c r="AF215" s="10">
        <v>6319844730807</v>
      </c>
      <c r="AG215" s="10">
        <v>2015992895035</v>
      </c>
      <c r="AH215" s="10">
        <v>3694002500</v>
      </c>
      <c r="AI215" s="10">
        <v>0</v>
      </c>
      <c r="AJ215" s="10">
        <v>0</v>
      </c>
      <c r="AK215" s="10">
        <v>0</v>
      </c>
      <c r="AL215" s="11">
        <v>9</v>
      </c>
      <c r="AM215" s="10">
        <v>1380877618580</v>
      </c>
      <c r="AN215" s="12">
        <v>1072</v>
      </c>
      <c r="AO215" s="10">
        <v>8141705197180</v>
      </c>
      <c r="AP215" s="12">
        <v>549</v>
      </c>
      <c r="AQ215" s="10">
        <v>2173998439327</v>
      </c>
      <c r="AR215" s="10">
        <v>624921023541</v>
      </c>
      <c r="AS215" s="10">
        <v>293155517357</v>
      </c>
      <c r="AT215" s="10">
        <v>331765506184</v>
      </c>
      <c r="AU215" s="11">
        <v>113.17</v>
      </c>
      <c r="AV215" s="10">
        <v>3824860785155</v>
      </c>
      <c r="AW215" s="10">
        <v>1787453202500</v>
      </c>
      <c r="AX215" s="10">
        <v>1113811961869</v>
      </c>
      <c r="AY215" s="10">
        <v>625204839852</v>
      </c>
      <c r="AZ215" s="10">
        <v>1271515863850</v>
      </c>
      <c r="BA215" s="10">
        <v>1616977985000</v>
      </c>
      <c r="BB215" s="10">
        <v>576146062541</v>
      </c>
      <c r="BC215" s="10">
        <v>5292628935310</v>
      </c>
      <c r="BD215" s="12">
        <v>337574</v>
      </c>
      <c r="BE215" s="10">
        <v>2081511358628</v>
      </c>
      <c r="BF215" s="10">
        <v>1453426863850</v>
      </c>
      <c r="BG215" s="10">
        <v>1757690712832</v>
      </c>
      <c r="BH215" s="10">
        <v>4786154994062</v>
      </c>
      <c r="BI215" s="10">
        <v>1678931165436</v>
      </c>
      <c r="BJ215" s="10">
        <v>0</v>
      </c>
      <c r="BK215" s="10">
        <v>471709387426</v>
      </c>
      <c r="BL215" s="10">
        <v>1592333410037</v>
      </c>
      <c r="BM215" s="10">
        <v>598918576</v>
      </c>
      <c r="BN215" s="10">
        <v>1572234510</v>
      </c>
      <c r="BO215" s="10">
        <v>6870535914</v>
      </c>
    </row>
    <row r="216" spans="1:67" x14ac:dyDescent="0.25">
      <c r="A216" s="25" t="s">
        <v>265</v>
      </c>
      <c r="B216" s="9">
        <v>2001</v>
      </c>
      <c r="C216" s="9" t="s">
        <v>267</v>
      </c>
      <c r="D216" s="10">
        <v>1474428981975</v>
      </c>
      <c r="E216" s="10">
        <v>29623304244</v>
      </c>
      <c r="F216" s="10">
        <v>0</v>
      </c>
      <c r="G216" s="10">
        <v>0</v>
      </c>
      <c r="H216" s="10">
        <v>1504052286219</v>
      </c>
      <c r="I216" s="10">
        <v>109789268719</v>
      </c>
      <c r="J216" s="10">
        <v>2590367971</v>
      </c>
      <c r="K216" s="10">
        <v>1391672649529</v>
      </c>
      <c r="L216" s="10">
        <v>1242316141402</v>
      </c>
      <c r="M216" s="10">
        <v>261736144817</v>
      </c>
      <c r="N216" s="46">
        <v>21.068400875933321</v>
      </c>
      <c r="O216" s="10">
        <v>1345360753526</v>
      </c>
      <c r="P216" s="11">
        <v>98.94</v>
      </c>
      <c r="Q216" s="11">
        <v>96.67</v>
      </c>
      <c r="R216" s="11">
        <v>0.8</v>
      </c>
      <c r="S216" s="10">
        <v>1416860218771</v>
      </c>
      <c r="T216" s="10">
        <v>8805283378</v>
      </c>
      <c r="U216" s="10">
        <v>5076001209</v>
      </c>
      <c r="V216" s="10">
        <v>2169475922</v>
      </c>
      <c r="W216" s="10">
        <v>1559806247</v>
      </c>
      <c r="X216" s="10">
        <v>1425665502149</v>
      </c>
      <c r="Y216" s="10">
        <v>3045174217</v>
      </c>
      <c r="Z216" s="10">
        <v>55195708599</v>
      </c>
      <c r="AA216" s="10">
        <v>7258029850</v>
      </c>
      <c r="AB216" s="10">
        <v>1488119240598</v>
      </c>
      <c r="AC216" s="10">
        <v>1016240969274</v>
      </c>
      <c r="AD216" s="46">
        <v>40.288134926059108</v>
      </c>
      <c r="AE216" s="10">
        <v>1124724864694</v>
      </c>
      <c r="AF216" s="10">
        <v>1124724864694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1">
        <v>2</v>
      </c>
      <c r="AM216" s="10">
        <v>37143818380</v>
      </c>
      <c r="AN216" s="11">
        <v>123</v>
      </c>
      <c r="AO216" s="10">
        <v>441809827194</v>
      </c>
      <c r="AP216" s="12">
        <v>21</v>
      </c>
      <c r="AQ216" s="10">
        <v>67140365841</v>
      </c>
      <c r="AR216" s="10">
        <v>8805283378</v>
      </c>
      <c r="AS216" s="10">
        <v>19524981029</v>
      </c>
      <c r="AT216" s="10">
        <v>-10719697651</v>
      </c>
      <c r="AU216" s="11">
        <v>-54.9</v>
      </c>
      <c r="AV216" s="10">
        <v>704107065011</v>
      </c>
      <c r="AW216" s="10">
        <v>108138109985</v>
      </c>
      <c r="AX216" s="10">
        <v>259429831249</v>
      </c>
      <c r="AY216" s="10">
        <v>152479120554</v>
      </c>
      <c r="AZ216" s="10">
        <v>384553030172</v>
      </c>
      <c r="BA216" s="10">
        <v>677967000000</v>
      </c>
      <c r="BB216" s="10">
        <v>222065418143</v>
      </c>
      <c r="BC216" s="10">
        <v>1504052286219</v>
      </c>
      <c r="BD216" s="12">
        <v>80866</v>
      </c>
      <c r="BE216" s="10">
        <v>441532256047</v>
      </c>
      <c r="BF216" s="10">
        <v>384553030172</v>
      </c>
      <c r="BG216" s="10">
        <v>677967000000</v>
      </c>
      <c r="BH216" s="10">
        <v>976832758440</v>
      </c>
      <c r="BI216" s="10">
        <v>147892106254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</row>
    <row r="217" spans="1:67" x14ac:dyDescent="0.25">
      <c r="A217" s="25" t="s">
        <v>265</v>
      </c>
      <c r="B217" s="9">
        <v>2002</v>
      </c>
      <c r="C217" s="9" t="s">
        <v>268</v>
      </c>
      <c r="D217" s="10">
        <v>1019498307572</v>
      </c>
      <c r="E217" s="10">
        <v>52297974581</v>
      </c>
      <c r="F217" s="10">
        <v>0</v>
      </c>
      <c r="G217" s="10">
        <v>0</v>
      </c>
      <c r="H217" s="10">
        <v>1071796282153</v>
      </c>
      <c r="I217" s="10">
        <v>79376264904</v>
      </c>
      <c r="J217" s="10">
        <v>4504726611</v>
      </c>
      <c r="K217" s="10">
        <v>987915290638</v>
      </c>
      <c r="L217" s="10">
        <v>1740569073909</v>
      </c>
      <c r="M217" s="10">
        <v>-668772791756</v>
      </c>
      <c r="N217" s="46">
        <v>-38.422651636229439</v>
      </c>
      <c r="O217" s="10">
        <v>1472075754010</v>
      </c>
      <c r="P217" s="11">
        <v>149.79</v>
      </c>
      <c r="Q217" s="11">
        <v>149.01</v>
      </c>
      <c r="R217" s="11">
        <v>24.1</v>
      </c>
      <c r="S217" s="10">
        <v>1129492348910</v>
      </c>
      <c r="T217" s="10">
        <v>351834265762</v>
      </c>
      <c r="U217" s="10">
        <v>22213003193</v>
      </c>
      <c r="V217" s="10">
        <v>8862979031</v>
      </c>
      <c r="W217" s="10">
        <v>320758283538</v>
      </c>
      <c r="X217" s="10">
        <v>1481326614672</v>
      </c>
      <c r="Y217" s="10">
        <v>35068224845</v>
      </c>
      <c r="Z217" s="10">
        <v>118252357649</v>
      </c>
      <c r="AA217" s="10">
        <v>5883721800</v>
      </c>
      <c r="AB217" s="10">
        <v>1605462694121</v>
      </c>
      <c r="AC217" s="10">
        <v>1246362169260</v>
      </c>
      <c r="AD217" s="46">
        <v>18.8520199992515</v>
      </c>
      <c r="AE217" s="10">
        <v>1551350093881</v>
      </c>
      <c r="AF217" s="10">
        <v>1551350093881</v>
      </c>
      <c r="AG217" s="10">
        <v>534434718827</v>
      </c>
      <c r="AH217" s="10">
        <v>415570825755</v>
      </c>
      <c r="AI217" s="10">
        <v>0</v>
      </c>
      <c r="AJ217" s="10">
        <v>0</v>
      </c>
      <c r="AK217" s="10">
        <v>0</v>
      </c>
      <c r="AL217" s="11">
        <v>3</v>
      </c>
      <c r="AM217" s="10">
        <v>199244102000</v>
      </c>
      <c r="AN217" s="11">
        <v>65</v>
      </c>
      <c r="AO217" s="10">
        <v>1278912982209</v>
      </c>
      <c r="AP217" s="12">
        <v>62</v>
      </c>
      <c r="AQ217" s="10">
        <v>1352975899427</v>
      </c>
      <c r="AR217" s="10">
        <v>351834265762</v>
      </c>
      <c r="AS217" s="10">
        <v>15879683036</v>
      </c>
      <c r="AT217" s="10">
        <v>335954582726</v>
      </c>
      <c r="AU217" s="13">
        <v>2115.63</v>
      </c>
      <c r="AV217" s="10">
        <v>1290336909993</v>
      </c>
      <c r="AW217" s="10">
        <v>705100435603</v>
      </c>
      <c r="AX217" s="10">
        <v>153107531785</v>
      </c>
      <c r="AY217" s="10">
        <v>221979405079</v>
      </c>
      <c r="AZ217" s="10">
        <v>297503237062</v>
      </c>
      <c r="BA217" s="10">
        <v>346908133646</v>
      </c>
      <c r="BB217" s="10">
        <v>193231720814</v>
      </c>
      <c r="BC217" s="10">
        <v>1071796282153</v>
      </c>
      <c r="BD217" s="12">
        <v>39102</v>
      </c>
      <c r="BE217" s="10">
        <v>427384911445</v>
      </c>
      <c r="BF217" s="10">
        <v>296383237062</v>
      </c>
      <c r="BG217" s="10">
        <v>348028133646</v>
      </c>
      <c r="BH217" s="10">
        <v>300921181377</v>
      </c>
      <c r="BI217" s="10">
        <v>1250428912504</v>
      </c>
      <c r="BJ217" s="10">
        <v>0</v>
      </c>
      <c r="BK217" s="10">
        <v>117518920764</v>
      </c>
      <c r="BL217" s="10">
        <v>412288900947</v>
      </c>
      <c r="BM217" s="10">
        <v>187694287211</v>
      </c>
      <c r="BN217" s="10">
        <v>191296455989</v>
      </c>
      <c r="BO217" s="10">
        <v>241485669718</v>
      </c>
    </row>
    <row r="218" spans="1:67" x14ac:dyDescent="0.25">
      <c r="A218" s="25" t="s">
        <v>265</v>
      </c>
      <c r="B218" s="9">
        <v>2003</v>
      </c>
      <c r="C218" s="9" t="s">
        <v>269</v>
      </c>
      <c r="D218" s="10">
        <v>1190638262529</v>
      </c>
      <c r="E218" s="10">
        <v>15393847064</v>
      </c>
      <c r="F218" s="10">
        <v>0</v>
      </c>
      <c r="G218" s="10">
        <v>0</v>
      </c>
      <c r="H218" s="10">
        <v>1206032109593</v>
      </c>
      <c r="I218" s="10">
        <v>81857398394</v>
      </c>
      <c r="J218" s="10">
        <v>14632450713</v>
      </c>
      <c r="K218" s="10">
        <v>1109542260486</v>
      </c>
      <c r="L218" s="10">
        <v>868328270464</v>
      </c>
      <c r="M218" s="10">
        <v>337703839129</v>
      </c>
      <c r="N218" s="46">
        <v>38.891263893613015</v>
      </c>
      <c r="O218" s="10">
        <v>872299525959</v>
      </c>
      <c r="P218" s="11">
        <v>82.66</v>
      </c>
      <c r="Q218" s="11">
        <v>78.62</v>
      </c>
      <c r="R218" s="11">
        <v>0.48</v>
      </c>
      <c r="S218" s="10">
        <v>926032258170</v>
      </c>
      <c r="T218" s="10">
        <v>4199690528</v>
      </c>
      <c r="U218" s="10">
        <v>3606889859</v>
      </c>
      <c r="V218" s="10">
        <v>364032042</v>
      </c>
      <c r="W218" s="10">
        <v>228768627</v>
      </c>
      <c r="X218" s="10">
        <v>930231948698</v>
      </c>
      <c r="Y218" s="10">
        <v>631634894</v>
      </c>
      <c r="Z218" s="10">
        <v>53681607421</v>
      </c>
      <c r="AA218" s="10">
        <v>12995845000</v>
      </c>
      <c r="AB218" s="10">
        <v>996909401119</v>
      </c>
      <c r="AC218" s="10">
        <v>552995787863</v>
      </c>
      <c r="AD218" s="46">
        <v>68.216823548112998</v>
      </c>
      <c r="AE218" s="10">
        <v>671427898493</v>
      </c>
      <c r="AF218" s="10">
        <v>671427898493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1">
        <v>0</v>
      </c>
      <c r="AM218" s="10">
        <v>0</v>
      </c>
      <c r="AN218" s="11">
        <v>22</v>
      </c>
      <c r="AO218" s="10">
        <v>142605276709</v>
      </c>
      <c r="AP218" s="12">
        <v>7</v>
      </c>
      <c r="AQ218" s="10">
        <v>33866438153</v>
      </c>
      <c r="AR218" s="10">
        <v>4199690528</v>
      </c>
      <c r="AS218" s="10">
        <v>3260067137</v>
      </c>
      <c r="AT218" s="10">
        <v>939623391</v>
      </c>
      <c r="AU218" s="11">
        <v>28.82</v>
      </c>
      <c r="AV218" s="10">
        <v>327477125601</v>
      </c>
      <c r="AW218" s="10">
        <v>16205695790</v>
      </c>
      <c r="AX218" s="10">
        <v>185122959167</v>
      </c>
      <c r="AY218" s="10">
        <v>203565162747</v>
      </c>
      <c r="AZ218" s="10">
        <v>371713540615</v>
      </c>
      <c r="BA218" s="10">
        <v>430236600000</v>
      </c>
      <c r="BB218" s="10">
        <v>219234884898</v>
      </c>
      <c r="BC218" s="10">
        <v>1206032109593</v>
      </c>
      <c r="BD218" s="12">
        <v>200508</v>
      </c>
      <c r="BE218" s="10">
        <v>404081968978</v>
      </c>
      <c r="BF218" s="10">
        <v>371363540615</v>
      </c>
      <c r="BG218" s="10">
        <v>430586600000</v>
      </c>
      <c r="BH218" s="10">
        <v>665927898493</v>
      </c>
      <c r="BI218" s="10">
        <v>5500000000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</row>
    <row r="219" spans="1:67" x14ac:dyDescent="0.25">
      <c r="A219" s="25" t="s">
        <v>265</v>
      </c>
      <c r="B219" s="9">
        <v>2004</v>
      </c>
      <c r="C219" s="9" t="s">
        <v>270</v>
      </c>
      <c r="D219" s="10">
        <v>1752664628417</v>
      </c>
      <c r="E219" s="10">
        <v>62038096074</v>
      </c>
      <c r="F219" s="10">
        <v>0</v>
      </c>
      <c r="G219" s="10">
        <v>0</v>
      </c>
      <c r="H219" s="10">
        <v>1814702724491</v>
      </c>
      <c r="I219" s="10">
        <v>136830896661</v>
      </c>
      <c r="J219" s="10">
        <v>2655636579</v>
      </c>
      <c r="K219" s="10">
        <v>1675216191251</v>
      </c>
      <c r="L219" s="10">
        <v>1464044279337</v>
      </c>
      <c r="M219" s="10">
        <v>350658445154</v>
      </c>
      <c r="N219" s="46">
        <v>23.951355167536153</v>
      </c>
      <c r="O219" s="10">
        <v>983522019161</v>
      </c>
      <c r="P219" s="11">
        <v>62.88</v>
      </c>
      <c r="Q219" s="11">
        <v>58.71</v>
      </c>
      <c r="R219" s="11">
        <v>0.43</v>
      </c>
      <c r="S219" s="10">
        <v>1080816385468</v>
      </c>
      <c r="T219" s="10">
        <v>4467931559</v>
      </c>
      <c r="U219" s="10">
        <v>4467931559</v>
      </c>
      <c r="V219" s="10">
        <v>0</v>
      </c>
      <c r="W219" s="10">
        <v>0</v>
      </c>
      <c r="X219" s="10">
        <v>1085284317027</v>
      </c>
      <c r="Y219" s="10">
        <v>382677407</v>
      </c>
      <c r="Z219" s="10">
        <v>48566833464</v>
      </c>
      <c r="AA219" s="10">
        <v>7279900000</v>
      </c>
      <c r="AB219" s="10">
        <v>1141131050491</v>
      </c>
      <c r="AC219" s="10">
        <v>734080145883</v>
      </c>
      <c r="AD219" s="46">
        <v>47.842755741820056</v>
      </c>
      <c r="AE219" s="10">
        <v>621770895201</v>
      </c>
      <c r="AF219" s="10">
        <v>610470895201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1">
        <v>0</v>
      </c>
      <c r="AM219" s="10">
        <v>0</v>
      </c>
      <c r="AN219" s="11">
        <v>500</v>
      </c>
      <c r="AO219" s="10">
        <v>1893952947863</v>
      </c>
      <c r="AP219" s="12">
        <v>117</v>
      </c>
      <c r="AQ219" s="10">
        <v>359874130070</v>
      </c>
      <c r="AR219" s="10">
        <v>4467931559</v>
      </c>
      <c r="AS219" s="10">
        <v>1946743936</v>
      </c>
      <c r="AT219" s="10">
        <v>2521187623</v>
      </c>
      <c r="AU219" s="11">
        <v>129.51</v>
      </c>
      <c r="AV219" s="10">
        <v>293985337329</v>
      </c>
      <c r="AW219" s="10">
        <v>36567031390</v>
      </c>
      <c r="AX219" s="10">
        <v>118601969423</v>
      </c>
      <c r="AY219" s="10">
        <v>377033790707</v>
      </c>
      <c r="AZ219" s="10">
        <v>431920868287</v>
      </c>
      <c r="BA219" s="10">
        <v>825108000000</v>
      </c>
      <c r="BB219" s="10">
        <v>283605045186</v>
      </c>
      <c r="BC219" s="10">
        <v>1814702724491</v>
      </c>
      <c r="BD219" s="12">
        <v>70662</v>
      </c>
      <c r="BE219" s="10">
        <v>557673856204</v>
      </c>
      <c r="BF219" s="10">
        <v>431920868287</v>
      </c>
      <c r="BG219" s="10">
        <v>825108000000</v>
      </c>
      <c r="BH219" s="10">
        <v>538477180202</v>
      </c>
      <c r="BI219" s="10">
        <v>83293714999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</row>
    <row r="220" spans="1:67" x14ac:dyDescent="0.25">
      <c r="A220" s="25" t="s">
        <v>265</v>
      </c>
      <c r="B220" s="9">
        <v>2005</v>
      </c>
      <c r="C220" s="9" t="s">
        <v>271</v>
      </c>
      <c r="D220" s="10">
        <v>3547883325605</v>
      </c>
      <c r="E220" s="10">
        <v>26148360123</v>
      </c>
      <c r="F220" s="10">
        <v>0</v>
      </c>
      <c r="G220" s="10">
        <v>0</v>
      </c>
      <c r="H220" s="10">
        <v>3574031685728</v>
      </c>
      <c r="I220" s="10">
        <v>189752354945</v>
      </c>
      <c r="J220" s="10">
        <v>6640646845</v>
      </c>
      <c r="K220" s="10">
        <v>3377638683938</v>
      </c>
      <c r="L220" s="10">
        <v>2360842406365</v>
      </c>
      <c r="M220" s="10">
        <v>1213189279363</v>
      </c>
      <c r="N220" s="46">
        <v>51.387982361387394</v>
      </c>
      <c r="O220" s="10">
        <v>1344199741320</v>
      </c>
      <c r="P220" s="11">
        <v>42.95</v>
      </c>
      <c r="Q220" s="11">
        <v>39.799999999999997</v>
      </c>
      <c r="R220" s="11">
        <v>1.04</v>
      </c>
      <c r="S220" s="10">
        <v>1441001775719</v>
      </c>
      <c r="T220" s="10">
        <v>15633333227</v>
      </c>
      <c r="U220" s="10">
        <v>13874652187</v>
      </c>
      <c r="V220" s="10">
        <v>1542399079</v>
      </c>
      <c r="W220" s="10">
        <v>216281961</v>
      </c>
      <c r="X220" s="10">
        <v>1456635108946</v>
      </c>
      <c r="Y220" s="10">
        <v>362150704</v>
      </c>
      <c r="Z220" s="10">
        <v>51174318726</v>
      </c>
      <c r="AA220" s="10">
        <v>27299989000</v>
      </c>
      <c r="AB220" s="10">
        <v>1535109416672</v>
      </c>
      <c r="AC220" s="10">
        <v>1675397913546</v>
      </c>
      <c r="AD220" s="46">
        <v>-13.057364034612284</v>
      </c>
      <c r="AE220" s="10">
        <v>299336601000</v>
      </c>
      <c r="AF220" s="10">
        <v>299336601000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1">
        <v>0</v>
      </c>
      <c r="AM220" s="10">
        <v>0</v>
      </c>
      <c r="AN220" s="11">
        <v>54</v>
      </c>
      <c r="AO220" s="10">
        <v>546468648380</v>
      </c>
      <c r="AP220" s="12">
        <v>27</v>
      </c>
      <c r="AQ220" s="10">
        <v>593842406295</v>
      </c>
      <c r="AR220" s="10">
        <v>15633333227</v>
      </c>
      <c r="AS220" s="10">
        <v>25067293816</v>
      </c>
      <c r="AT220" s="10">
        <v>-9433960589</v>
      </c>
      <c r="AU220" s="11">
        <v>-37.630000000000003</v>
      </c>
      <c r="AV220" s="10">
        <v>440863036882</v>
      </c>
      <c r="AW220" s="10">
        <v>109895455968</v>
      </c>
      <c r="AX220" s="10">
        <v>330692499749</v>
      </c>
      <c r="AY220" s="10">
        <v>236920384641</v>
      </c>
      <c r="AZ220" s="10">
        <v>215932441215</v>
      </c>
      <c r="BA220" s="10">
        <v>2764338000000</v>
      </c>
      <c r="BB220" s="10">
        <v>109417371627</v>
      </c>
      <c r="BC220" s="10">
        <v>3574031685728</v>
      </c>
      <c r="BD220" s="12">
        <v>34999</v>
      </c>
      <c r="BE220" s="10">
        <v>593575286575</v>
      </c>
      <c r="BF220" s="10">
        <v>215932441215</v>
      </c>
      <c r="BG220" s="10">
        <v>2764523957938</v>
      </c>
      <c r="BH220" s="10">
        <v>160939890000</v>
      </c>
      <c r="BI220" s="10">
        <v>138396711000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</row>
    <row r="221" spans="1:67" x14ac:dyDescent="0.25">
      <c r="A221" s="25" t="s">
        <v>265</v>
      </c>
      <c r="B221" s="9">
        <v>2006</v>
      </c>
      <c r="C221" s="9" t="s">
        <v>272</v>
      </c>
      <c r="D221" s="10">
        <v>13031695075192</v>
      </c>
      <c r="E221" s="10">
        <v>215792452858</v>
      </c>
      <c r="F221" s="10">
        <v>0</v>
      </c>
      <c r="G221" s="10">
        <v>0</v>
      </c>
      <c r="H221" s="10">
        <v>13247487528050</v>
      </c>
      <c r="I221" s="10">
        <v>1184586797566</v>
      </c>
      <c r="J221" s="10">
        <v>34642186731</v>
      </c>
      <c r="K221" s="10">
        <v>12028258543753</v>
      </c>
      <c r="L221" s="10">
        <v>5711915996624</v>
      </c>
      <c r="M221" s="10">
        <v>7535571531426</v>
      </c>
      <c r="N221" s="46">
        <v>131.92721209275246</v>
      </c>
      <c r="O221" s="10">
        <v>8138425480103</v>
      </c>
      <c r="P221" s="11">
        <v>69.52</v>
      </c>
      <c r="Q221" s="11">
        <v>67.66</v>
      </c>
      <c r="R221" s="11">
        <v>0.33</v>
      </c>
      <c r="S221" s="10">
        <v>9102537640914</v>
      </c>
      <c r="T221" s="10">
        <v>28307942603</v>
      </c>
      <c r="U221" s="10">
        <v>18837252492</v>
      </c>
      <c r="V221" s="10">
        <v>2598682543</v>
      </c>
      <c r="W221" s="10">
        <v>6872007568</v>
      </c>
      <c r="X221" s="10">
        <v>9130845583517</v>
      </c>
      <c r="Y221" s="10">
        <v>1756757172</v>
      </c>
      <c r="Z221" s="10">
        <v>69762023606</v>
      </c>
      <c r="AA221" s="10">
        <v>8385613125</v>
      </c>
      <c r="AB221" s="10">
        <v>9208993220248</v>
      </c>
      <c r="AC221" s="10">
        <v>3112193280835</v>
      </c>
      <c r="AD221" s="46">
        <v>193.38941253247609</v>
      </c>
      <c r="AE221" s="10">
        <v>6643771196655</v>
      </c>
      <c r="AF221" s="10">
        <v>6643771196655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1">
        <v>2</v>
      </c>
      <c r="AM221" s="10">
        <v>2151703912300</v>
      </c>
      <c r="AN221" s="11">
        <v>103</v>
      </c>
      <c r="AO221" s="10">
        <v>1096910167757</v>
      </c>
      <c r="AP221" s="12">
        <v>76</v>
      </c>
      <c r="AQ221" s="10">
        <v>370488930659</v>
      </c>
      <c r="AR221" s="10">
        <v>28307942603</v>
      </c>
      <c r="AS221" s="10">
        <v>15628187564</v>
      </c>
      <c r="AT221" s="10">
        <v>12679755039</v>
      </c>
      <c r="AU221" s="11">
        <v>81.13</v>
      </c>
      <c r="AV221" s="10">
        <v>1340880251919</v>
      </c>
      <c r="AW221" s="10">
        <v>87927145738</v>
      </c>
      <c r="AX221" s="10">
        <v>9257168331849</v>
      </c>
      <c r="AY221" s="10">
        <v>659861934857</v>
      </c>
      <c r="AZ221" s="10">
        <v>2381376999926</v>
      </c>
      <c r="BA221" s="10">
        <v>733287808560</v>
      </c>
      <c r="BB221" s="10">
        <v>2220900783004</v>
      </c>
      <c r="BC221" s="10">
        <v>13247487528050</v>
      </c>
      <c r="BD221" s="12">
        <v>75205</v>
      </c>
      <c r="BE221" s="10">
        <v>10132822719564</v>
      </c>
      <c r="BF221" s="10">
        <v>2381376999926</v>
      </c>
      <c r="BG221" s="10">
        <v>733287808560</v>
      </c>
      <c r="BH221" s="10">
        <v>3993871196655</v>
      </c>
      <c r="BI221" s="10">
        <v>2649900000000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</row>
    <row r="222" spans="1:67" x14ac:dyDescent="0.25">
      <c r="A222" s="25" t="s">
        <v>265</v>
      </c>
      <c r="B222" s="9">
        <v>2007</v>
      </c>
      <c r="C222" s="9" t="s">
        <v>273</v>
      </c>
      <c r="D222" s="10">
        <v>1596662007357</v>
      </c>
      <c r="E222" s="10">
        <v>112836600337</v>
      </c>
      <c r="F222" s="10">
        <v>0</v>
      </c>
      <c r="G222" s="10">
        <v>0</v>
      </c>
      <c r="H222" s="10">
        <v>1709498607694</v>
      </c>
      <c r="I222" s="10">
        <v>125971237578</v>
      </c>
      <c r="J222" s="10">
        <v>6861344235</v>
      </c>
      <c r="K222" s="10">
        <v>1576666025881</v>
      </c>
      <c r="L222" s="10">
        <v>1397925967088</v>
      </c>
      <c r="M222" s="10">
        <v>311572640606</v>
      </c>
      <c r="N222" s="46">
        <v>22.288207526113318</v>
      </c>
      <c r="O222" s="10">
        <v>1295545262251</v>
      </c>
      <c r="P222" s="11">
        <v>92.57</v>
      </c>
      <c r="Q222" s="11">
        <v>82.17</v>
      </c>
      <c r="R222" s="11">
        <v>1.07</v>
      </c>
      <c r="S222" s="10">
        <v>1468447399690</v>
      </c>
      <c r="T222" s="10">
        <v>16774772811</v>
      </c>
      <c r="U222" s="10">
        <v>11240117901</v>
      </c>
      <c r="V222" s="10">
        <v>5231015755</v>
      </c>
      <c r="W222" s="10">
        <v>303639155</v>
      </c>
      <c r="X222" s="10">
        <v>1485222172501</v>
      </c>
      <c r="Y222" s="10">
        <v>155926295</v>
      </c>
      <c r="Z222" s="10">
        <v>78728511832</v>
      </c>
      <c r="AA222" s="10">
        <v>18500000000</v>
      </c>
      <c r="AB222" s="10">
        <v>1582450684333</v>
      </c>
      <c r="AC222" s="10">
        <v>998622003722</v>
      </c>
      <c r="AD222" s="46">
        <v>48.727162726774999</v>
      </c>
      <c r="AE222" s="10">
        <v>902870563781</v>
      </c>
      <c r="AF222" s="10">
        <v>628400563781</v>
      </c>
      <c r="AG222" s="10">
        <v>0</v>
      </c>
      <c r="AH222" s="10">
        <v>2808292708</v>
      </c>
      <c r="AI222" s="10">
        <v>0</v>
      </c>
      <c r="AJ222" s="10">
        <v>0</v>
      </c>
      <c r="AK222" s="10">
        <v>0</v>
      </c>
      <c r="AL222" s="11">
        <v>0</v>
      </c>
      <c r="AM222" s="10">
        <v>0</v>
      </c>
      <c r="AN222" s="11">
        <v>714</v>
      </c>
      <c r="AO222" s="10">
        <v>2724751283352</v>
      </c>
      <c r="AP222" s="12">
        <v>228</v>
      </c>
      <c r="AQ222" s="10">
        <v>491915359965</v>
      </c>
      <c r="AR222" s="10">
        <v>16774772811</v>
      </c>
      <c r="AS222" s="10">
        <v>13161394301</v>
      </c>
      <c r="AT222" s="10">
        <v>3613378510</v>
      </c>
      <c r="AU222" s="11">
        <v>27.45</v>
      </c>
      <c r="AV222" s="10">
        <v>287214773434</v>
      </c>
      <c r="AW222" s="10">
        <v>63056148442</v>
      </c>
      <c r="AX222" s="10">
        <v>357779261121</v>
      </c>
      <c r="AY222" s="10">
        <v>134220725262</v>
      </c>
      <c r="AZ222" s="10">
        <v>502164440197</v>
      </c>
      <c r="BA222" s="10">
        <v>602497580777</v>
      </c>
      <c r="BB222" s="10">
        <v>305526308674</v>
      </c>
      <c r="BC222" s="10">
        <v>1709498607694</v>
      </c>
      <c r="BD222" s="12">
        <v>114961</v>
      </c>
      <c r="BE222" s="10">
        <v>604075901309</v>
      </c>
      <c r="BF222" s="10">
        <v>502164440197</v>
      </c>
      <c r="BG222" s="10">
        <v>603258266188</v>
      </c>
      <c r="BH222" s="10">
        <v>885074307159</v>
      </c>
      <c r="BI222" s="10">
        <v>17796256622</v>
      </c>
      <c r="BJ222" s="10">
        <v>0</v>
      </c>
      <c r="BK222" s="10">
        <v>0</v>
      </c>
      <c r="BL222" s="10">
        <v>0</v>
      </c>
      <c r="BM222" s="10">
        <v>0</v>
      </c>
      <c r="BN222" s="10">
        <v>0</v>
      </c>
      <c r="BO222" s="10">
        <v>2837984780</v>
      </c>
    </row>
    <row r="223" spans="1:67" x14ac:dyDescent="0.25">
      <c r="A223" s="25" t="s">
        <v>265</v>
      </c>
      <c r="B223" s="9">
        <v>2008</v>
      </c>
      <c r="C223" s="9" t="s">
        <v>274</v>
      </c>
      <c r="D223" s="10">
        <v>3345324170597</v>
      </c>
      <c r="E223" s="10">
        <v>329210249559</v>
      </c>
      <c r="F223" s="10">
        <v>0</v>
      </c>
      <c r="G223" s="10">
        <v>0</v>
      </c>
      <c r="H223" s="10">
        <v>3674534420156</v>
      </c>
      <c r="I223" s="10">
        <v>273756915759</v>
      </c>
      <c r="J223" s="10">
        <v>4306639577</v>
      </c>
      <c r="K223" s="10">
        <v>3396470864820</v>
      </c>
      <c r="L223" s="10">
        <v>2675942050248</v>
      </c>
      <c r="M223" s="10">
        <v>998592369908</v>
      </c>
      <c r="N223" s="46">
        <v>37.317413873572221</v>
      </c>
      <c r="O223" s="10">
        <v>2673249668687</v>
      </c>
      <c r="P223" s="11">
        <v>81.38</v>
      </c>
      <c r="Q223" s="11">
        <v>78.709999999999994</v>
      </c>
      <c r="R223" s="11">
        <v>1.19</v>
      </c>
      <c r="S223" s="10">
        <v>2783145518421</v>
      </c>
      <c r="T223" s="10">
        <v>34402393955</v>
      </c>
      <c r="U223" s="10">
        <v>23212337148</v>
      </c>
      <c r="V223" s="10">
        <v>3669314061</v>
      </c>
      <c r="W223" s="10">
        <v>7520742746</v>
      </c>
      <c r="X223" s="10">
        <v>2817547912376</v>
      </c>
      <c r="Y223" s="10">
        <v>1051844375</v>
      </c>
      <c r="Z223" s="10">
        <v>157402770753</v>
      </c>
      <c r="AA223" s="10">
        <v>15290283461</v>
      </c>
      <c r="AB223" s="10">
        <v>2990240966590</v>
      </c>
      <c r="AC223" s="10">
        <v>1644388957601</v>
      </c>
      <c r="AD223" s="46">
        <v>71.34315451050719</v>
      </c>
      <c r="AE223" s="10">
        <v>3654325928251</v>
      </c>
      <c r="AF223" s="10">
        <v>3497515287434</v>
      </c>
      <c r="AG223" s="10">
        <v>1552999151537</v>
      </c>
      <c r="AH223" s="10">
        <v>0</v>
      </c>
      <c r="AI223" s="10">
        <v>0</v>
      </c>
      <c r="AJ223" s="10">
        <v>0</v>
      </c>
      <c r="AK223" s="10">
        <v>0</v>
      </c>
      <c r="AL223" s="11">
        <v>34</v>
      </c>
      <c r="AM223" s="10">
        <v>11194245205698</v>
      </c>
      <c r="AN223" s="11">
        <v>133</v>
      </c>
      <c r="AO223" s="10">
        <v>588922997784</v>
      </c>
      <c r="AP223" s="12">
        <v>43</v>
      </c>
      <c r="AQ223" s="10">
        <v>320030327200</v>
      </c>
      <c r="AR223" s="10">
        <v>34402393955</v>
      </c>
      <c r="AS223" s="10">
        <v>23687721685</v>
      </c>
      <c r="AT223" s="10">
        <v>10714672270</v>
      </c>
      <c r="AU223" s="11">
        <v>45.23</v>
      </c>
      <c r="AV223" s="10">
        <v>2463148073872</v>
      </c>
      <c r="AW223" s="10">
        <v>148800953767</v>
      </c>
      <c r="AX223" s="10">
        <v>1250786686940</v>
      </c>
      <c r="AY223" s="10">
        <v>318720101155</v>
      </c>
      <c r="AZ223" s="10">
        <v>881788509042</v>
      </c>
      <c r="BA223" s="10">
        <v>894028873460</v>
      </c>
      <c r="BB223" s="10">
        <v>546668278434</v>
      </c>
      <c r="BC223" s="10">
        <v>3674534420156</v>
      </c>
      <c r="BD223" s="12">
        <v>57212</v>
      </c>
      <c r="BE223" s="10">
        <v>1898954080234</v>
      </c>
      <c r="BF223" s="10">
        <v>881788509042</v>
      </c>
      <c r="BG223" s="10">
        <v>893791830880</v>
      </c>
      <c r="BH223" s="10">
        <v>2294302060990</v>
      </c>
      <c r="BI223" s="10">
        <v>1360023867261</v>
      </c>
      <c r="BJ223" s="10">
        <v>0</v>
      </c>
      <c r="BK223" s="10">
        <v>0</v>
      </c>
      <c r="BL223" s="10">
        <v>1552999151537</v>
      </c>
      <c r="BM223" s="10">
        <v>0</v>
      </c>
      <c r="BN223" s="10">
        <v>0</v>
      </c>
      <c r="BO223" s="10">
        <v>0</v>
      </c>
    </row>
    <row r="224" spans="1:67" x14ac:dyDescent="0.25">
      <c r="A224" s="25" t="s">
        <v>265</v>
      </c>
      <c r="B224" s="9">
        <v>2009</v>
      </c>
      <c r="C224" s="9" t="s">
        <v>275</v>
      </c>
      <c r="D224" s="10">
        <v>1109430875836</v>
      </c>
      <c r="E224" s="10">
        <v>51748093376</v>
      </c>
      <c r="F224" s="10">
        <v>0</v>
      </c>
      <c r="G224" s="10">
        <v>0</v>
      </c>
      <c r="H224" s="10">
        <v>1161178969212</v>
      </c>
      <c r="I224" s="10">
        <v>80253327690</v>
      </c>
      <c r="J224" s="10">
        <v>574750632</v>
      </c>
      <c r="K224" s="10">
        <v>1080350890890</v>
      </c>
      <c r="L224" s="10">
        <v>1064953091350</v>
      </c>
      <c r="M224" s="10">
        <v>96225877862</v>
      </c>
      <c r="N224" s="46">
        <v>9.0356916791535067</v>
      </c>
      <c r="O224" s="10">
        <v>673197396332</v>
      </c>
      <c r="P224" s="11">
        <v>66.41</v>
      </c>
      <c r="Q224" s="11">
        <v>62.31</v>
      </c>
      <c r="R224" s="11">
        <v>2.27</v>
      </c>
      <c r="S224" s="10">
        <v>660648231938</v>
      </c>
      <c r="T224" s="10">
        <v>16240778815</v>
      </c>
      <c r="U224" s="10">
        <v>5010558191</v>
      </c>
      <c r="V224" s="10">
        <v>740102086</v>
      </c>
      <c r="W224" s="10">
        <v>10490118538</v>
      </c>
      <c r="X224" s="10">
        <v>676889010753</v>
      </c>
      <c r="Y224" s="10">
        <v>1250763569</v>
      </c>
      <c r="Z224" s="10">
        <v>64350716638</v>
      </c>
      <c r="AA224" s="10">
        <v>29843382231</v>
      </c>
      <c r="AB224" s="10">
        <v>771083109622</v>
      </c>
      <c r="AC224" s="10">
        <v>555701224185</v>
      </c>
      <c r="AD224" s="46">
        <v>21.808083425717818</v>
      </c>
      <c r="AE224" s="10">
        <v>404748207601</v>
      </c>
      <c r="AF224" s="10">
        <v>404748207601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1">
        <v>0</v>
      </c>
      <c r="AM224" s="10">
        <v>0</v>
      </c>
      <c r="AN224" s="11">
        <v>188</v>
      </c>
      <c r="AO224" s="10">
        <v>1264947055995</v>
      </c>
      <c r="AP224" s="12">
        <v>74</v>
      </c>
      <c r="AQ224" s="10">
        <v>627794372447</v>
      </c>
      <c r="AR224" s="10">
        <v>16240778815</v>
      </c>
      <c r="AS224" s="10">
        <v>38843388379</v>
      </c>
      <c r="AT224" s="10">
        <v>-22602609564</v>
      </c>
      <c r="AU224" s="11">
        <v>-58.19</v>
      </c>
      <c r="AV224" s="10">
        <v>279909257979</v>
      </c>
      <c r="AW224" s="10">
        <v>86416050287</v>
      </c>
      <c r="AX224" s="10">
        <v>374929969435</v>
      </c>
      <c r="AY224" s="10">
        <v>158120987857</v>
      </c>
      <c r="AZ224" s="10">
        <v>258925118544</v>
      </c>
      <c r="BA224" s="10">
        <v>317454800000</v>
      </c>
      <c r="BB224" s="10">
        <v>156058821555</v>
      </c>
      <c r="BC224" s="10">
        <v>1161178969212</v>
      </c>
      <c r="BD224" s="12">
        <v>25821</v>
      </c>
      <c r="BE224" s="10">
        <v>584559467331</v>
      </c>
      <c r="BF224" s="10">
        <v>258925118544</v>
      </c>
      <c r="BG224" s="10">
        <v>317694383337</v>
      </c>
      <c r="BH224" s="10">
        <v>205074593418</v>
      </c>
      <c r="BI224" s="10">
        <v>199673614183</v>
      </c>
      <c r="BJ224" s="10">
        <v>0</v>
      </c>
      <c r="BK224" s="10">
        <v>0</v>
      </c>
      <c r="BL224" s="10">
        <v>0</v>
      </c>
      <c r="BM224" s="10">
        <v>0</v>
      </c>
      <c r="BN224" s="10">
        <v>1710000000</v>
      </c>
      <c r="BO224" s="10">
        <v>0</v>
      </c>
    </row>
    <row r="225" spans="1:67" x14ac:dyDescent="0.25">
      <c r="A225" s="25" t="s">
        <v>265</v>
      </c>
      <c r="B225" s="9">
        <v>2010</v>
      </c>
      <c r="C225" s="9" t="s">
        <v>276</v>
      </c>
      <c r="D225" s="10">
        <v>1127892157452</v>
      </c>
      <c r="E225" s="10">
        <v>86317574841</v>
      </c>
      <c r="F225" s="10">
        <v>0</v>
      </c>
      <c r="G225" s="10">
        <v>0</v>
      </c>
      <c r="H225" s="10">
        <v>1214209732293</v>
      </c>
      <c r="I225" s="10">
        <v>101629273529</v>
      </c>
      <c r="J225" s="10">
        <v>2895818007</v>
      </c>
      <c r="K225" s="10">
        <v>1109684640757</v>
      </c>
      <c r="L225" s="10">
        <v>796811142778</v>
      </c>
      <c r="M225" s="10">
        <v>417398589515</v>
      </c>
      <c r="N225" s="46">
        <v>52.383628579763929</v>
      </c>
      <c r="O225" s="10">
        <v>963401443637</v>
      </c>
      <c r="P225" s="11">
        <v>93.23</v>
      </c>
      <c r="Q225" s="11">
        <v>86.82</v>
      </c>
      <c r="R225" s="11">
        <v>1.84</v>
      </c>
      <c r="S225" s="10">
        <v>1082692916079</v>
      </c>
      <c r="T225" s="10">
        <v>19601931100</v>
      </c>
      <c r="U225" s="10">
        <v>15042875750</v>
      </c>
      <c r="V225" s="10">
        <v>65683606</v>
      </c>
      <c r="W225" s="10">
        <v>4493371744</v>
      </c>
      <c r="X225" s="10">
        <v>1102294847179</v>
      </c>
      <c r="Y225" s="10">
        <v>1171501601</v>
      </c>
      <c r="Z225" s="10">
        <v>29685461893</v>
      </c>
      <c r="AA225" s="10">
        <v>0</v>
      </c>
      <c r="AB225" s="10">
        <v>1131980309072</v>
      </c>
      <c r="AC225" s="10">
        <v>1089985876445</v>
      </c>
      <c r="AD225" s="46">
        <v>1.1292780025871374</v>
      </c>
      <c r="AE225" s="10">
        <v>519793524606</v>
      </c>
      <c r="AF225" s="10">
        <v>519793524606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1">
        <v>0</v>
      </c>
      <c r="AM225" s="10">
        <v>0</v>
      </c>
      <c r="AN225" s="11">
        <v>28</v>
      </c>
      <c r="AO225" s="10">
        <v>562194705229</v>
      </c>
      <c r="AP225" s="12">
        <v>18</v>
      </c>
      <c r="AQ225" s="10">
        <v>187010736551</v>
      </c>
      <c r="AR225" s="10">
        <v>19601931100</v>
      </c>
      <c r="AS225" s="10">
        <v>24619644742</v>
      </c>
      <c r="AT225" s="10">
        <v>-5017713642</v>
      </c>
      <c r="AU225" s="11">
        <v>-20.38</v>
      </c>
      <c r="AV225" s="10">
        <v>427664982818</v>
      </c>
      <c r="AW225" s="10">
        <v>84761265186</v>
      </c>
      <c r="AX225" s="10">
        <v>219169055978</v>
      </c>
      <c r="AY225" s="10">
        <v>408054007440</v>
      </c>
      <c r="AZ225" s="10">
        <v>173533094034</v>
      </c>
      <c r="BA225" s="10">
        <v>327136000000</v>
      </c>
      <c r="BB225" s="10">
        <v>108880830895</v>
      </c>
      <c r="BC225" s="10">
        <v>1214209732293</v>
      </c>
      <c r="BD225" s="12">
        <v>109280</v>
      </c>
      <c r="BE225" s="10">
        <v>713540638259</v>
      </c>
      <c r="BF225" s="10">
        <v>173533094034</v>
      </c>
      <c r="BG225" s="10">
        <v>327136000000</v>
      </c>
      <c r="BH225" s="10">
        <v>409743584606</v>
      </c>
      <c r="BI225" s="10">
        <v>110049940000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</row>
    <row r="226" spans="1:67" x14ac:dyDescent="0.25">
      <c r="A226" s="25" t="s">
        <v>265</v>
      </c>
      <c r="B226" s="9">
        <v>2011</v>
      </c>
      <c r="C226" s="9" t="s">
        <v>277</v>
      </c>
      <c r="D226" s="10">
        <v>1261198724123</v>
      </c>
      <c r="E226" s="10">
        <v>7855369902</v>
      </c>
      <c r="F226" s="10">
        <v>0</v>
      </c>
      <c r="G226" s="10">
        <v>0</v>
      </c>
      <c r="H226" s="10">
        <v>1269054094025</v>
      </c>
      <c r="I226" s="10">
        <v>100244326759</v>
      </c>
      <c r="J226" s="10">
        <v>4178599917</v>
      </c>
      <c r="K226" s="10">
        <v>1164631167349</v>
      </c>
      <c r="L226" s="10">
        <v>979035595921</v>
      </c>
      <c r="M226" s="10">
        <v>290018498104</v>
      </c>
      <c r="N226" s="46">
        <v>29.622875747553724</v>
      </c>
      <c r="O226" s="10">
        <v>683420286072</v>
      </c>
      <c r="P226" s="11">
        <v>60.56</v>
      </c>
      <c r="Q226" s="11">
        <v>58.68</v>
      </c>
      <c r="R226" s="11">
        <v>3.94</v>
      </c>
      <c r="S226" s="10">
        <v>656339807061</v>
      </c>
      <c r="T226" s="10">
        <v>28713752365</v>
      </c>
      <c r="U226" s="10">
        <v>5350503985</v>
      </c>
      <c r="V226" s="10">
        <v>4122133560</v>
      </c>
      <c r="W226" s="10">
        <v>19241114820</v>
      </c>
      <c r="X226" s="10">
        <v>685053559426</v>
      </c>
      <c r="Y226" s="10">
        <v>1575771121</v>
      </c>
      <c r="Z226" s="10">
        <v>79765293876</v>
      </c>
      <c r="AA226" s="10">
        <v>3742045000</v>
      </c>
      <c r="AB226" s="10">
        <v>768560898302</v>
      </c>
      <c r="AC226" s="10">
        <v>489008513216</v>
      </c>
      <c r="AD226" s="46">
        <v>40.090313544992398</v>
      </c>
      <c r="AE226" s="10">
        <v>362119375389</v>
      </c>
      <c r="AF226" s="10">
        <v>362119375389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1">
        <v>0</v>
      </c>
      <c r="AM226" s="10">
        <v>0</v>
      </c>
      <c r="AN226" s="11">
        <v>22</v>
      </c>
      <c r="AO226" s="10">
        <v>91538570768</v>
      </c>
      <c r="AP226" s="12">
        <v>11</v>
      </c>
      <c r="AQ226" s="10">
        <v>35883086587</v>
      </c>
      <c r="AR226" s="10">
        <v>28713752365</v>
      </c>
      <c r="AS226" s="10">
        <v>22991185100</v>
      </c>
      <c r="AT226" s="10">
        <v>5722567265</v>
      </c>
      <c r="AU226" s="11">
        <v>24.89</v>
      </c>
      <c r="AV226" s="10">
        <v>172395162597</v>
      </c>
      <c r="AW226" s="10">
        <v>43617643242</v>
      </c>
      <c r="AX226" s="10">
        <v>110603721074</v>
      </c>
      <c r="AY226" s="10">
        <v>258628557768</v>
      </c>
      <c r="AZ226" s="10">
        <v>271249538295</v>
      </c>
      <c r="BA226" s="10">
        <v>620716906986</v>
      </c>
      <c r="BB226" s="10">
        <v>141843288810</v>
      </c>
      <c r="BC226" s="10">
        <v>1269054094025</v>
      </c>
      <c r="BD226" s="12">
        <v>27780</v>
      </c>
      <c r="BE226" s="10">
        <v>377087648744</v>
      </c>
      <c r="BF226" s="10">
        <v>271249538295</v>
      </c>
      <c r="BG226" s="10">
        <v>620716906986</v>
      </c>
      <c r="BH226" s="10">
        <v>301474671989</v>
      </c>
      <c r="BI226" s="10">
        <v>60644703400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</row>
    <row r="227" spans="1:67" x14ac:dyDescent="0.25">
      <c r="A227" s="25" t="s">
        <v>265</v>
      </c>
      <c r="B227" s="9">
        <v>2012</v>
      </c>
      <c r="C227" s="9" t="s">
        <v>278</v>
      </c>
      <c r="D227" s="10">
        <v>1799843801063</v>
      </c>
      <c r="E227" s="10">
        <v>26571257789</v>
      </c>
      <c r="F227" s="10">
        <v>0</v>
      </c>
      <c r="G227" s="10">
        <v>0</v>
      </c>
      <c r="H227" s="10">
        <v>1826415058852</v>
      </c>
      <c r="I227" s="10">
        <v>139747936867</v>
      </c>
      <c r="J227" s="10">
        <v>2178443408</v>
      </c>
      <c r="K227" s="10">
        <v>1684488678577</v>
      </c>
      <c r="L227" s="10">
        <v>1488019799532</v>
      </c>
      <c r="M227" s="10">
        <v>338395259320</v>
      </c>
      <c r="N227" s="46">
        <v>22.741314290739233</v>
      </c>
      <c r="O227" s="10">
        <v>696679780698</v>
      </c>
      <c r="P227" s="11">
        <v>43.53</v>
      </c>
      <c r="Q227" s="11">
        <v>41.36</v>
      </c>
      <c r="R227" s="11">
        <v>2.25</v>
      </c>
      <c r="S227" s="10">
        <v>682473492054</v>
      </c>
      <c r="T227" s="10">
        <v>16561891632</v>
      </c>
      <c r="U227" s="10">
        <v>3593660616</v>
      </c>
      <c r="V227" s="10">
        <v>2737174818</v>
      </c>
      <c r="W227" s="10">
        <v>10231056198</v>
      </c>
      <c r="X227" s="10">
        <v>699035383686</v>
      </c>
      <c r="Y227" s="10">
        <v>1353281664</v>
      </c>
      <c r="Z227" s="10">
        <v>83284605832</v>
      </c>
      <c r="AA227" s="10">
        <v>12727350000</v>
      </c>
      <c r="AB227" s="10">
        <v>795047339518</v>
      </c>
      <c r="AC227" s="10">
        <v>499117343684</v>
      </c>
      <c r="AD227" s="46">
        <v>40.054316391091319</v>
      </c>
      <c r="AE227" s="10">
        <v>369732349321</v>
      </c>
      <c r="AF227" s="10">
        <v>369732349321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1">
        <v>0</v>
      </c>
      <c r="AM227" s="10">
        <v>0</v>
      </c>
      <c r="AN227" s="11">
        <v>237</v>
      </c>
      <c r="AO227" s="10">
        <v>650803042234</v>
      </c>
      <c r="AP227" s="12">
        <v>25</v>
      </c>
      <c r="AQ227" s="10">
        <v>105059225313</v>
      </c>
      <c r="AR227" s="10">
        <v>16561891632</v>
      </c>
      <c r="AS227" s="10">
        <v>22394761692</v>
      </c>
      <c r="AT227" s="10">
        <v>-5832870060</v>
      </c>
      <c r="AU227" s="11">
        <v>-26.05</v>
      </c>
      <c r="AV227" s="10">
        <v>171817965690</v>
      </c>
      <c r="AW227" s="10">
        <v>37135797721</v>
      </c>
      <c r="AX227" s="10">
        <v>189835163564</v>
      </c>
      <c r="AY227" s="10">
        <v>191081615473</v>
      </c>
      <c r="AZ227" s="10">
        <v>561990022026</v>
      </c>
      <c r="BA227" s="10">
        <v>856937000000</v>
      </c>
      <c r="BB227" s="10">
        <v>306842336643</v>
      </c>
      <c r="BC227" s="10">
        <v>1826415058852</v>
      </c>
      <c r="BD227" s="12">
        <v>57375</v>
      </c>
      <c r="BE227" s="10">
        <v>407488036826</v>
      </c>
      <c r="BF227" s="10">
        <v>561990022026</v>
      </c>
      <c r="BG227" s="10">
        <v>856937000000</v>
      </c>
      <c r="BH227" s="10">
        <v>363598606800</v>
      </c>
      <c r="BI227" s="10">
        <v>6133742521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</row>
    <row r="228" spans="1:67" x14ac:dyDescent="0.25">
      <c r="A228" s="25" t="s">
        <v>265</v>
      </c>
      <c r="B228" s="9">
        <v>2013</v>
      </c>
      <c r="C228" s="9" t="s">
        <v>279</v>
      </c>
      <c r="D228" s="10">
        <v>818846445061</v>
      </c>
      <c r="E228" s="10">
        <v>10890371399</v>
      </c>
      <c r="F228" s="10">
        <v>0</v>
      </c>
      <c r="G228" s="10">
        <v>0</v>
      </c>
      <c r="H228" s="10">
        <v>829736816460</v>
      </c>
      <c r="I228" s="10">
        <v>52946959631</v>
      </c>
      <c r="J228" s="10">
        <v>2819012409</v>
      </c>
      <c r="K228" s="10">
        <v>773970844420</v>
      </c>
      <c r="L228" s="10">
        <v>613995935425</v>
      </c>
      <c r="M228" s="10">
        <v>215740881035</v>
      </c>
      <c r="N228" s="46">
        <v>35.137183910780614</v>
      </c>
      <c r="O228" s="10">
        <v>1359904423222</v>
      </c>
      <c r="P228" s="11">
        <v>196.34</v>
      </c>
      <c r="Q228" s="11">
        <v>175.7</v>
      </c>
      <c r="R228" s="11">
        <v>18.46</v>
      </c>
      <c r="S228" s="10">
        <v>1206943602013</v>
      </c>
      <c r="T228" s="10">
        <v>258753414240</v>
      </c>
      <c r="U228" s="10">
        <v>11511310622</v>
      </c>
      <c r="V228" s="10">
        <v>84203930767</v>
      </c>
      <c r="W228" s="10">
        <v>163038172851</v>
      </c>
      <c r="X228" s="10">
        <v>1465697016253</v>
      </c>
      <c r="Y228" s="10">
        <v>42047252273</v>
      </c>
      <c r="Z228" s="10">
        <v>148986727656</v>
      </c>
      <c r="AA228" s="10">
        <v>14445083500</v>
      </c>
      <c r="AB228" s="10">
        <v>1629128827409</v>
      </c>
      <c r="AC228" s="10">
        <v>1254337223262</v>
      </c>
      <c r="AD228" s="46">
        <v>16.850316571275997</v>
      </c>
      <c r="AE228" s="10">
        <v>647012001877</v>
      </c>
      <c r="AF228" s="10">
        <v>541372275852</v>
      </c>
      <c r="AG228" s="10">
        <v>0</v>
      </c>
      <c r="AH228" s="10">
        <v>288000000</v>
      </c>
      <c r="AI228" s="10">
        <v>0</v>
      </c>
      <c r="AJ228" s="10">
        <v>0</v>
      </c>
      <c r="AK228" s="10">
        <v>0</v>
      </c>
      <c r="AL228" s="11">
        <v>0</v>
      </c>
      <c r="AM228" s="10">
        <v>0</v>
      </c>
      <c r="AN228" s="11">
        <v>4</v>
      </c>
      <c r="AO228" s="10">
        <v>3714300000</v>
      </c>
      <c r="AP228" s="12">
        <v>26</v>
      </c>
      <c r="AQ228" s="10">
        <v>106537630621</v>
      </c>
      <c r="AR228" s="10">
        <v>258753414240</v>
      </c>
      <c r="AS228" s="10">
        <v>441177737582</v>
      </c>
      <c r="AT228" s="10">
        <v>-182424323342</v>
      </c>
      <c r="AU228" s="11">
        <v>-41.35</v>
      </c>
      <c r="AV228" s="10">
        <v>413551605808</v>
      </c>
      <c r="AW228" s="10">
        <v>245184499777</v>
      </c>
      <c r="AX228" s="10">
        <v>114994782171</v>
      </c>
      <c r="AY228" s="10">
        <v>238874390929</v>
      </c>
      <c r="AZ228" s="10">
        <v>260873211961</v>
      </c>
      <c r="BA228" s="10">
        <v>204104060000</v>
      </c>
      <c r="BB228" s="10">
        <v>203797634474</v>
      </c>
      <c r="BC228" s="10">
        <v>829736816460</v>
      </c>
      <c r="BD228" s="12">
        <v>28355</v>
      </c>
      <c r="BE228" s="10">
        <v>364759544499</v>
      </c>
      <c r="BF228" s="10">
        <v>260873211961</v>
      </c>
      <c r="BG228" s="10">
        <v>204104060000</v>
      </c>
      <c r="BH228" s="10">
        <v>275721927699</v>
      </c>
      <c r="BI228" s="10">
        <v>371290074178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288000000</v>
      </c>
    </row>
    <row r="229" spans="1:67" x14ac:dyDescent="0.25">
      <c r="A229" s="25" t="s">
        <v>265</v>
      </c>
      <c r="B229" s="9">
        <v>2014</v>
      </c>
      <c r="C229" s="9" t="s">
        <v>280</v>
      </c>
      <c r="D229" s="10">
        <v>963320449656</v>
      </c>
      <c r="E229" s="10">
        <v>17476548801</v>
      </c>
      <c r="F229" s="10">
        <v>0</v>
      </c>
      <c r="G229" s="10">
        <v>0</v>
      </c>
      <c r="H229" s="10">
        <v>980796998457</v>
      </c>
      <c r="I229" s="10">
        <v>67264759987</v>
      </c>
      <c r="J229" s="10">
        <v>3184169287</v>
      </c>
      <c r="K229" s="10">
        <v>910348069183</v>
      </c>
      <c r="L229" s="10">
        <v>717412693079</v>
      </c>
      <c r="M229" s="10">
        <v>263384305378</v>
      </c>
      <c r="N229" s="46">
        <v>36.713081315526246</v>
      </c>
      <c r="O229" s="10">
        <v>727290872058</v>
      </c>
      <c r="P229" s="11">
        <v>84.54</v>
      </c>
      <c r="Q229" s="11">
        <v>79.89</v>
      </c>
      <c r="R229" s="11">
        <v>3.71</v>
      </c>
      <c r="S229" s="10">
        <v>760203007072</v>
      </c>
      <c r="T229" s="10">
        <v>30739657556</v>
      </c>
      <c r="U229" s="10">
        <v>25632749195</v>
      </c>
      <c r="V229" s="10">
        <v>5106908361</v>
      </c>
      <c r="W229" s="10">
        <v>0</v>
      </c>
      <c r="X229" s="10">
        <v>790942664628</v>
      </c>
      <c r="Y229" s="10">
        <v>0</v>
      </c>
      <c r="Z229" s="10">
        <v>36836434577</v>
      </c>
      <c r="AA229" s="10">
        <v>1400000000</v>
      </c>
      <c r="AB229" s="10">
        <v>829179099205</v>
      </c>
      <c r="AC229" s="10">
        <v>521239242707</v>
      </c>
      <c r="AD229" s="46">
        <v>51.742731518126739</v>
      </c>
      <c r="AE229" s="10">
        <v>472248061541</v>
      </c>
      <c r="AF229" s="10">
        <v>459698061541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1">
        <v>0</v>
      </c>
      <c r="AM229" s="10">
        <v>0</v>
      </c>
      <c r="AN229" s="12">
        <v>109</v>
      </c>
      <c r="AO229" s="10">
        <v>381658482998</v>
      </c>
      <c r="AP229" s="12">
        <v>29</v>
      </c>
      <c r="AQ229" s="10">
        <v>52669079617</v>
      </c>
      <c r="AR229" s="10">
        <v>30739657556</v>
      </c>
      <c r="AS229" s="10">
        <v>19530816212</v>
      </c>
      <c r="AT229" s="10">
        <v>11208841344</v>
      </c>
      <c r="AU229" s="11">
        <v>57.39</v>
      </c>
      <c r="AV229" s="10">
        <v>209507197197</v>
      </c>
      <c r="AW229" s="10">
        <v>68472511159</v>
      </c>
      <c r="AX229" s="10">
        <v>45222267566</v>
      </c>
      <c r="AY229" s="10">
        <v>131300158010</v>
      </c>
      <c r="AZ229" s="10">
        <v>286282024080</v>
      </c>
      <c r="BA229" s="10">
        <v>500516000000</v>
      </c>
      <c r="BB229" s="10">
        <v>183319100415</v>
      </c>
      <c r="BC229" s="10">
        <v>980796998457</v>
      </c>
      <c r="BD229" s="12">
        <v>62956</v>
      </c>
      <c r="BE229" s="10">
        <v>193257374267</v>
      </c>
      <c r="BF229" s="10">
        <v>286281924080</v>
      </c>
      <c r="BG229" s="10">
        <v>501257700110</v>
      </c>
      <c r="BH229" s="10">
        <v>421948261541</v>
      </c>
      <c r="BI229" s="10">
        <v>50299800000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</row>
    <row r="230" spans="1:67" x14ac:dyDescent="0.25">
      <c r="A230" s="25" t="s">
        <v>265</v>
      </c>
      <c r="B230" s="9">
        <v>2015</v>
      </c>
      <c r="C230" s="9" t="s">
        <v>281</v>
      </c>
      <c r="D230" s="10">
        <v>6019953337010</v>
      </c>
      <c r="E230" s="10">
        <v>1034442826653</v>
      </c>
      <c r="F230" s="10">
        <v>0</v>
      </c>
      <c r="G230" s="10">
        <v>0</v>
      </c>
      <c r="H230" s="10">
        <v>7054396163663</v>
      </c>
      <c r="I230" s="10">
        <v>527214846030</v>
      </c>
      <c r="J230" s="10">
        <v>26141623989</v>
      </c>
      <c r="K230" s="10">
        <v>6501039693644</v>
      </c>
      <c r="L230" s="10">
        <v>4395259548702</v>
      </c>
      <c r="M230" s="10">
        <v>2659136614961</v>
      </c>
      <c r="N230" s="46">
        <v>60.500104385104891</v>
      </c>
      <c r="O230" s="10">
        <v>3961447006739</v>
      </c>
      <c r="P230" s="11">
        <v>61.43</v>
      </c>
      <c r="Q230" s="11">
        <v>60.94</v>
      </c>
      <c r="R230" s="11">
        <v>3.76</v>
      </c>
      <c r="S230" s="10">
        <v>3976712725961</v>
      </c>
      <c r="T230" s="10">
        <v>150798986202</v>
      </c>
      <c r="U230" s="10">
        <v>4242518881</v>
      </c>
      <c r="V230" s="10">
        <v>48022472</v>
      </c>
      <c r="W230" s="10">
        <v>146508444849</v>
      </c>
      <c r="X230" s="10">
        <v>4127511712163</v>
      </c>
      <c r="Y230" s="10">
        <v>12186463028</v>
      </c>
      <c r="Z230" s="10">
        <v>183960171239</v>
      </c>
      <c r="AA230" s="10">
        <v>22201343107</v>
      </c>
      <c r="AB230" s="10">
        <v>4333673226509</v>
      </c>
      <c r="AC230" s="10">
        <v>3041268635695</v>
      </c>
      <c r="AD230" s="46">
        <v>35.716775023386525</v>
      </c>
      <c r="AE230" s="10">
        <v>12606066779707</v>
      </c>
      <c r="AF230" s="10">
        <v>12576716779707</v>
      </c>
      <c r="AG230" s="10">
        <v>10098552131900</v>
      </c>
      <c r="AH230" s="10">
        <v>3865275000</v>
      </c>
      <c r="AI230" s="10">
        <v>0</v>
      </c>
      <c r="AJ230" s="10">
        <v>0</v>
      </c>
      <c r="AK230" s="10">
        <v>0</v>
      </c>
      <c r="AL230" s="11">
        <v>31</v>
      </c>
      <c r="AM230" s="10">
        <v>8812160943843</v>
      </c>
      <c r="AN230" s="12">
        <v>2676</v>
      </c>
      <c r="AO230" s="10">
        <v>19050414295013</v>
      </c>
      <c r="AP230" s="12">
        <v>1286</v>
      </c>
      <c r="AQ230" s="10">
        <v>6375184348749</v>
      </c>
      <c r="AR230" s="10">
        <v>150798986202</v>
      </c>
      <c r="AS230" s="10">
        <v>31304183687</v>
      </c>
      <c r="AT230" s="10">
        <v>119494802515</v>
      </c>
      <c r="AU230" s="13">
        <v>381.72</v>
      </c>
      <c r="AV230" s="10">
        <v>11532734871315</v>
      </c>
      <c r="AW230" s="10">
        <v>6625433279254</v>
      </c>
      <c r="AX230" s="10">
        <v>2296744373460</v>
      </c>
      <c r="AY230" s="10">
        <v>218629618306</v>
      </c>
      <c r="AZ230" s="10">
        <v>929548145434</v>
      </c>
      <c r="BA230" s="10">
        <v>2575031199810</v>
      </c>
      <c r="BB230" s="10">
        <v>547831418676</v>
      </c>
      <c r="BC230" s="10">
        <v>7054396163663</v>
      </c>
      <c r="BD230" s="12">
        <v>262707</v>
      </c>
      <c r="BE230" s="10">
        <v>3432342790772</v>
      </c>
      <c r="BF230" s="10">
        <v>929548145434</v>
      </c>
      <c r="BG230" s="10">
        <v>2692505227457</v>
      </c>
      <c r="BH230" s="10">
        <v>10597737728086</v>
      </c>
      <c r="BI230" s="10">
        <v>2008329051621</v>
      </c>
      <c r="BJ230" s="10">
        <v>1108154503565</v>
      </c>
      <c r="BK230" s="10">
        <v>138371529660</v>
      </c>
      <c r="BL230" s="10">
        <v>9902179369386</v>
      </c>
      <c r="BM230" s="10">
        <v>0</v>
      </c>
      <c r="BN230" s="10">
        <v>5618346134</v>
      </c>
      <c r="BO230" s="10">
        <v>7394175000</v>
      </c>
    </row>
    <row r="231" spans="1:67" x14ac:dyDescent="0.25">
      <c r="A231" s="25" t="s">
        <v>265</v>
      </c>
      <c r="B231" s="9">
        <v>2016</v>
      </c>
      <c r="C231" s="9" t="s">
        <v>282</v>
      </c>
      <c r="D231" s="10">
        <v>1418894735157</v>
      </c>
      <c r="E231" s="10">
        <v>77787267774</v>
      </c>
      <c r="F231" s="10">
        <v>0</v>
      </c>
      <c r="G231" s="10">
        <v>0</v>
      </c>
      <c r="H231" s="10">
        <v>1496682002931</v>
      </c>
      <c r="I231" s="10">
        <v>111255715893</v>
      </c>
      <c r="J231" s="10">
        <v>3175613886</v>
      </c>
      <c r="K231" s="10">
        <v>1382250673152</v>
      </c>
      <c r="L231" s="10">
        <v>1112267599371</v>
      </c>
      <c r="M231" s="10">
        <v>384414403560</v>
      </c>
      <c r="N231" s="46">
        <v>34.561323531980136</v>
      </c>
      <c r="O231" s="10">
        <v>764532124664</v>
      </c>
      <c r="P231" s="11">
        <v>58.11</v>
      </c>
      <c r="Q231" s="11">
        <v>55.31</v>
      </c>
      <c r="R231" s="11">
        <v>1.1100000000000001</v>
      </c>
      <c r="S231" s="10">
        <v>819738933190</v>
      </c>
      <c r="T231" s="10">
        <v>8663162914</v>
      </c>
      <c r="U231" s="10">
        <v>7265769649</v>
      </c>
      <c r="V231" s="10">
        <v>785617806</v>
      </c>
      <c r="W231" s="10">
        <v>611775459</v>
      </c>
      <c r="X231" s="10">
        <v>828402096104</v>
      </c>
      <c r="Y231" s="10">
        <v>1007073790</v>
      </c>
      <c r="Z231" s="10">
        <v>36799724866</v>
      </c>
      <c r="AA231" s="10">
        <v>4495000000</v>
      </c>
      <c r="AB231" s="10">
        <v>869696820970</v>
      </c>
      <c r="AC231" s="10">
        <v>530610897751</v>
      </c>
      <c r="AD231" s="46">
        <v>56.122329868306743</v>
      </c>
      <c r="AE231" s="10">
        <v>510319682379</v>
      </c>
      <c r="AF231" s="10">
        <v>510319682379</v>
      </c>
      <c r="AG231" s="10">
        <v>12926353600</v>
      </c>
      <c r="AH231" s="10">
        <v>0</v>
      </c>
      <c r="AI231" s="10">
        <v>0</v>
      </c>
      <c r="AJ231" s="10">
        <v>0</v>
      </c>
      <c r="AK231" s="10">
        <v>0</v>
      </c>
      <c r="AL231" s="11">
        <v>0</v>
      </c>
      <c r="AM231" s="10">
        <v>0</v>
      </c>
      <c r="AN231" s="11">
        <v>461</v>
      </c>
      <c r="AO231" s="10">
        <v>3052301253177</v>
      </c>
      <c r="AP231" s="12">
        <v>110</v>
      </c>
      <c r="AQ231" s="10">
        <v>625966174471</v>
      </c>
      <c r="AR231" s="10">
        <v>8663162914</v>
      </c>
      <c r="AS231" s="10">
        <v>5461040127</v>
      </c>
      <c r="AT231" s="10">
        <v>3202122787</v>
      </c>
      <c r="AU231" s="11">
        <v>58.64</v>
      </c>
      <c r="AV231" s="10">
        <v>249952369368</v>
      </c>
      <c r="AW231" s="10">
        <v>62192305484</v>
      </c>
      <c r="AX231" s="10">
        <v>245752564514</v>
      </c>
      <c r="AY231" s="10">
        <v>236173956674</v>
      </c>
      <c r="AZ231" s="10">
        <v>370905213969</v>
      </c>
      <c r="BA231" s="10">
        <v>566063000000</v>
      </c>
      <c r="BB231" s="10">
        <v>275233948355</v>
      </c>
      <c r="BC231" s="10">
        <v>1496682002931</v>
      </c>
      <c r="BD231" s="12">
        <v>161186</v>
      </c>
      <c r="BE231" s="10">
        <v>559713788962</v>
      </c>
      <c r="BF231" s="10">
        <v>370905213969</v>
      </c>
      <c r="BG231" s="10">
        <v>566063000000</v>
      </c>
      <c r="BH231" s="10">
        <v>422480099379</v>
      </c>
      <c r="BI231" s="10">
        <v>87839583000</v>
      </c>
      <c r="BJ231" s="10">
        <v>0</v>
      </c>
      <c r="BK231" s="10">
        <v>0</v>
      </c>
      <c r="BL231" s="10">
        <v>13606688000</v>
      </c>
      <c r="BM231" s="10">
        <v>0</v>
      </c>
      <c r="BN231" s="10">
        <v>0</v>
      </c>
      <c r="BO231" s="10">
        <v>0</v>
      </c>
    </row>
    <row r="232" spans="1:67" x14ac:dyDescent="0.25">
      <c r="A232" s="25" t="s">
        <v>265</v>
      </c>
      <c r="B232" s="9">
        <v>2017</v>
      </c>
      <c r="C232" s="9" t="s">
        <v>283</v>
      </c>
      <c r="D232" s="10">
        <v>2098080642029</v>
      </c>
      <c r="E232" s="10">
        <v>207539984788</v>
      </c>
      <c r="F232" s="10">
        <v>0</v>
      </c>
      <c r="G232" s="10">
        <v>0</v>
      </c>
      <c r="H232" s="10">
        <v>2305620626817</v>
      </c>
      <c r="I232" s="10">
        <v>159009799641</v>
      </c>
      <c r="J232" s="10">
        <v>5657490783</v>
      </c>
      <c r="K232" s="10">
        <v>2140953336393</v>
      </c>
      <c r="L232" s="10">
        <v>1575716208760</v>
      </c>
      <c r="M232" s="10">
        <v>729904418057</v>
      </c>
      <c r="N232" s="46">
        <v>46.322073353005216</v>
      </c>
      <c r="O232" s="10">
        <v>906533667763</v>
      </c>
      <c r="P232" s="11">
        <v>45.64</v>
      </c>
      <c r="Q232" s="11">
        <v>42.34</v>
      </c>
      <c r="R232" s="11">
        <v>0.95</v>
      </c>
      <c r="S232" s="10">
        <v>975279075470</v>
      </c>
      <c r="T232" s="10">
        <v>9988316581</v>
      </c>
      <c r="U232" s="10">
        <v>9736123547</v>
      </c>
      <c r="V232" s="10">
        <v>252193034</v>
      </c>
      <c r="W232" s="10">
        <v>0</v>
      </c>
      <c r="X232" s="10">
        <v>985267392051</v>
      </c>
      <c r="Y232" s="10">
        <v>0</v>
      </c>
      <c r="Z232" s="10">
        <v>63750920792</v>
      </c>
      <c r="AA232" s="10">
        <v>3303500000</v>
      </c>
      <c r="AB232" s="10">
        <v>1052321812843</v>
      </c>
      <c r="AC232" s="10">
        <v>1032469364494</v>
      </c>
      <c r="AD232" s="46">
        <v>-4.5717552564993618</v>
      </c>
      <c r="AE232" s="10">
        <v>549954591599</v>
      </c>
      <c r="AF232" s="10">
        <v>549954591599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1">
        <v>0</v>
      </c>
      <c r="AM232" s="10">
        <v>0</v>
      </c>
      <c r="AN232" s="11">
        <v>374</v>
      </c>
      <c r="AO232" s="10">
        <v>13049053990845</v>
      </c>
      <c r="AP232" s="12">
        <v>71</v>
      </c>
      <c r="AQ232" s="10">
        <v>3182193283437</v>
      </c>
      <c r="AR232" s="10">
        <v>9988316581</v>
      </c>
      <c r="AS232" s="10">
        <v>83770092246</v>
      </c>
      <c r="AT232" s="10">
        <v>-73781775665</v>
      </c>
      <c r="AU232" s="11">
        <v>-88.08</v>
      </c>
      <c r="AV232" s="10">
        <v>564255500810</v>
      </c>
      <c r="AW232" s="10">
        <v>194256253115</v>
      </c>
      <c r="AX232" s="10">
        <v>188714417391</v>
      </c>
      <c r="AY232" s="10">
        <v>822663879470</v>
      </c>
      <c r="AZ232" s="10">
        <v>290871345168</v>
      </c>
      <c r="BA232" s="10">
        <v>795831000000</v>
      </c>
      <c r="BB232" s="10">
        <v>51289943863</v>
      </c>
      <c r="BC232" s="10">
        <v>2305620626817</v>
      </c>
      <c r="BD232" s="12">
        <v>95064</v>
      </c>
      <c r="BE232" s="10">
        <v>1218918281649</v>
      </c>
      <c r="BF232" s="10">
        <v>290871345168</v>
      </c>
      <c r="BG232" s="10">
        <v>795831000000</v>
      </c>
      <c r="BH232" s="10">
        <v>339788521735</v>
      </c>
      <c r="BI232" s="10">
        <v>210166069864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</row>
    <row r="233" spans="1:67" x14ac:dyDescent="0.25">
      <c r="A233" s="25" t="s">
        <v>265</v>
      </c>
      <c r="B233" s="9">
        <v>2018</v>
      </c>
      <c r="C233" s="9" t="s">
        <v>284</v>
      </c>
      <c r="D233" s="10">
        <v>856130495975</v>
      </c>
      <c r="E233" s="10">
        <v>16461353721</v>
      </c>
      <c r="F233" s="10">
        <v>0</v>
      </c>
      <c r="G233" s="10">
        <v>0</v>
      </c>
      <c r="H233" s="10">
        <v>872591849696</v>
      </c>
      <c r="I233" s="10">
        <v>67416268929</v>
      </c>
      <c r="J233" s="10">
        <v>6520745204</v>
      </c>
      <c r="K233" s="10">
        <v>798654835563</v>
      </c>
      <c r="L233" s="10">
        <v>776364164057</v>
      </c>
      <c r="M233" s="10">
        <v>96227685639</v>
      </c>
      <c r="N233" s="46">
        <v>12.39465834385615</v>
      </c>
      <c r="O233" s="10">
        <v>346924887780</v>
      </c>
      <c r="P233" s="11">
        <v>42.71</v>
      </c>
      <c r="Q233" s="11">
        <v>43.44</v>
      </c>
      <c r="R233" s="11">
        <v>0.98</v>
      </c>
      <c r="S233" s="10">
        <v>352630287836</v>
      </c>
      <c r="T233" s="10">
        <v>3669827408</v>
      </c>
      <c r="U233" s="10">
        <v>3669827408</v>
      </c>
      <c r="V233" s="10">
        <v>0</v>
      </c>
      <c r="W233" s="10">
        <v>0</v>
      </c>
      <c r="X233" s="10">
        <v>356300115244</v>
      </c>
      <c r="Y233" s="10">
        <v>0</v>
      </c>
      <c r="Z233" s="10">
        <v>12377452862</v>
      </c>
      <c r="AA233" s="10">
        <v>3971937830</v>
      </c>
      <c r="AB233" s="10">
        <v>372649505936</v>
      </c>
      <c r="AC233" s="10">
        <v>286165393059</v>
      </c>
      <c r="AD233" s="46">
        <v>24.508456957456069</v>
      </c>
      <c r="AE233" s="10">
        <v>197287067862</v>
      </c>
      <c r="AF233" s="10">
        <v>197287067862</v>
      </c>
      <c r="AG233" s="10">
        <v>0</v>
      </c>
      <c r="AH233" s="10">
        <v>1943123330</v>
      </c>
      <c r="AI233" s="10">
        <v>0</v>
      </c>
      <c r="AJ233" s="10">
        <v>0</v>
      </c>
      <c r="AK233" s="10">
        <v>0</v>
      </c>
      <c r="AL233" s="11">
        <v>0</v>
      </c>
      <c r="AM233" s="10">
        <v>0</v>
      </c>
      <c r="AN233" s="12">
        <v>331</v>
      </c>
      <c r="AO233" s="10">
        <v>225144678970</v>
      </c>
      <c r="AP233" s="12">
        <v>16</v>
      </c>
      <c r="AQ233" s="10">
        <v>20088121099</v>
      </c>
      <c r="AR233" s="10">
        <v>3669827408</v>
      </c>
      <c r="AS233" s="10">
        <v>3964223754</v>
      </c>
      <c r="AT233" s="10">
        <v>-294396346</v>
      </c>
      <c r="AU233" s="13">
        <v>-7.43</v>
      </c>
      <c r="AV233" s="10">
        <v>126615969736</v>
      </c>
      <c r="AW233" s="10">
        <v>30469137400</v>
      </c>
      <c r="AX233" s="10">
        <v>230725530280</v>
      </c>
      <c r="AY233" s="10">
        <v>161797152765</v>
      </c>
      <c r="AZ233" s="10">
        <v>164411212930</v>
      </c>
      <c r="BA233" s="10">
        <v>299196600000</v>
      </c>
      <c r="BB233" s="10">
        <v>70877510008</v>
      </c>
      <c r="BC233" s="10">
        <v>872591849696</v>
      </c>
      <c r="BD233" s="12">
        <v>8322</v>
      </c>
      <c r="BE233" s="10">
        <v>408984036766</v>
      </c>
      <c r="BF233" s="10">
        <v>164411212930</v>
      </c>
      <c r="BG233" s="10">
        <v>299196600000</v>
      </c>
      <c r="BH233" s="10">
        <v>74828419892</v>
      </c>
      <c r="BI233" s="10">
        <v>122458647970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1943123330</v>
      </c>
    </row>
    <row r="234" spans="1:67" x14ac:dyDescent="0.25">
      <c r="A234" s="25" t="s">
        <v>265</v>
      </c>
      <c r="B234" s="26">
        <v>2019</v>
      </c>
      <c r="C234" s="26" t="s">
        <v>285</v>
      </c>
      <c r="D234" s="27">
        <v>3829905336409</v>
      </c>
      <c r="E234" s="27">
        <v>581266862829</v>
      </c>
      <c r="F234" s="27">
        <v>0</v>
      </c>
      <c r="G234" s="27">
        <v>0</v>
      </c>
      <c r="H234" s="27">
        <v>4411172199238</v>
      </c>
      <c r="I234" s="27">
        <v>271449278239</v>
      </c>
      <c r="J234" s="27">
        <v>1507859680</v>
      </c>
      <c r="K234" s="27">
        <v>4138215061319</v>
      </c>
      <c r="L234" s="27">
        <v>3368484372246</v>
      </c>
      <c r="M234" s="27">
        <v>1042687826992</v>
      </c>
      <c r="N234" s="51">
        <v>30.954212986203299</v>
      </c>
      <c r="O234" s="27">
        <v>3171861324801</v>
      </c>
      <c r="P234" s="28">
        <v>78.260000000000005</v>
      </c>
      <c r="Q234" s="28">
        <v>76.650000000000006</v>
      </c>
      <c r="R234" s="28">
        <v>21.05</v>
      </c>
      <c r="S234" s="27">
        <v>2548955687383</v>
      </c>
      <c r="T234" s="27">
        <v>678758547303</v>
      </c>
      <c r="U234" s="27">
        <v>8718536146</v>
      </c>
      <c r="V234" s="27">
        <v>258908688</v>
      </c>
      <c r="W234" s="27">
        <v>669781102469</v>
      </c>
      <c r="X234" s="27">
        <v>3227714234686</v>
      </c>
      <c r="Y234" s="27">
        <v>47809546797</v>
      </c>
      <c r="Z234" s="27">
        <v>199455537607</v>
      </c>
      <c r="AA234" s="27">
        <v>25160125040</v>
      </c>
      <c r="AB234" s="27">
        <v>3452329897333</v>
      </c>
      <c r="AC234" s="27">
        <v>1250666650084</v>
      </c>
      <c r="AD234" s="51">
        <v>158.0794997987044</v>
      </c>
      <c r="AE234" s="27">
        <v>10239335527016</v>
      </c>
      <c r="AF234" s="27">
        <v>10239335527016</v>
      </c>
      <c r="AG234" s="27">
        <v>8456283314812</v>
      </c>
      <c r="AH234" s="27">
        <v>172274617092</v>
      </c>
      <c r="AI234" s="27">
        <v>0</v>
      </c>
      <c r="AJ234" s="27">
        <v>0</v>
      </c>
      <c r="AK234" s="27">
        <v>0</v>
      </c>
      <c r="AL234" s="28">
        <v>27</v>
      </c>
      <c r="AM234" s="27">
        <v>7673417796908</v>
      </c>
      <c r="AN234" s="29">
        <v>1622</v>
      </c>
      <c r="AO234" s="27">
        <v>14104641854754</v>
      </c>
      <c r="AP234" s="29">
        <v>880</v>
      </c>
      <c r="AQ234" s="27">
        <v>4607465485095</v>
      </c>
      <c r="AR234" s="27">
        <v>678758547303</v>
      </c>
      <c r="AS234" s="27">
        <v>47390817095</v>
      </c>
      <c r="AT234" s="27">
        <v>631367730208</v>
      </c>
      <c r="AU234" s="43">
        <v>1332.26</v>
      </c>
      <c r="AV234" s="27">
        <v>9740249785212</v>
      </c>
      <c r="AW234" s="27">
        <v>3309974113980</v>
      </c>
      <c r="AX234" s="27">
        <v>1331392597890</v>
      </c>
      <c r="AY234" s="27">
        <v>861301901784</v>
      </c>
      <c r="AZ234" s="27">
        <v>525002236735</v>
      </c>
      <c r="BA234" s="27">
        <v>1112208600000</v>
      </c>
      <c r="BB234" s="27">
        <v>213701520043</v>
      </c>
      <c r="BC234" s="27">
        <v>4411172199238</v>
      </c>
      <c r="BD234" s="29">
        <v>15860</v>
      </c>
      <c r="BE234" s="27">
        <v>2773961362503</v>
      </c>
      <c r="BF234" s="27">
        <v>525002236735</v>
      </c>
      <c r="BG234" s="27">
        <v>1112208600000</v>
      </c>
      <c r="BH234" s="27">
        <v>7813468250255</v>
      </c>
      <c r="BI234" s="27">
        <v>2425867276761</v>
      </c>
      <c r="BJ234" s="27">
        <v>590024907411</v>
      </c>
      <c r="BK234" s="27">
        <v>667478590534</v>
      </c>
      <c r="BL234" s="27">
        <v>8692180808940</v>
      </c>
      <c r="BM234" s="27">
        <v>9901890947</v>
      </c>
      <c r="BN234" s="27">
        <v>0</v>
      </c>
      <c r="BO234" s="27">
        <v>156236538349</v>
      </c>
    </row>
    <row r="235" spans="1:67" x14ac:dyDescent="0.25">
      <c r="A235" s="25" t="s">
        <v>265</v>
      </c>
      <c r="B235" s="9">
        <v>2020</v>
      </c>
      <c r="C235" s="9" t="s">
        <v>286</v>
      </c>
      <c r="D235" s="10">
        <v>1535681590072</v>
      </c>
      <c r="E235" s="10">
        <v>244321870031</v>
      </c>
      <c r="F235" s="10">
        <v>0</v>
      </c>
      <c r="G235" s="10">
        <v>0</v>
      </c>
      <c r="H235" s="10">
        <v>1780003460103</v>
      </c>
      <c r="I235" s="10">
        <v>110133958169</v>
      </c>
      <c r="J235" s="10">
        <v>1343481860</v>
      </c>
      <c r="K235" s="10">
        <v>1668526020074</v>
      </c>
      <c r="L235" s="10">
        <v>831742369588</v>
      </c>
      <c r="M235" s="10">
        <v>948261090515</v>
      </c>
      <c r="N235" s="46">
        <v>114.00899186904678</v>
      </c>
      <c r="O235" s="10">
        <v>748798613638</v>
      </c>
      <c r="P235" s="11">
        <v>48.24</v>
      </c>
      <c r="Q235" s="11">
        <v>44.88</v>
      </c>
      <c r="R235" s="11">
        <v>0.87</v>
      </c>
      <c r="S235" s="10">
        <v>770957890856</v>
      </c>
      <c r="T235" s="10">
        <v>7460329713</v>
      </c>
      <c r="U235" s="10">
        <v>7460329713</v>
      </c>
      <c r="V235" s="10">
        <v>0</v>
      </c>
      <c r="W235" s="10">
        <v>0</v>
      </c>
      <c r="X235" s="10">
        <v>778418220569</v>
      </c>
      <c r="Y235" s="10">
        <v>0</v>
      </c>
      <c r="Z235" s="10">
        <v>61126953149</v>
      </c>
      <c r="AA235" s="10">
        <v>19105733123</v>
      </c>
      <c r="AB235" s="10">
        <v>858650906841</v>
      </c>
      <c r="AC235" s="10">
        <v>205161295911</v>
      </c>
      <c r="AD235" s="46">
        <v>279.41767579138406</v>
      </c>
      <c r="AE235" s="10">
        <v>1113899184350</v>
      </c>
      <c r="AF235" s="10">
        <v>1113899184350</v>
      </c>
      <c r="AG235" s="10">
        <v>191818304007</v>
      </c>
      <c r="AH235" s="10">
        <v>3397428705</v>
      </c>
      <c r="AI235" s="10">
        <v>0</v>
      </c>
      <c r="AJ235" s="10">
        <v>0</v>
      </c>
      <c r="AK235" s="10">
        <v>0</v>
      </c>
      <c r="AL235" s="11">
        <v>8</v>
      </c>
      <c r="AM235" s="10">
        <v>203451486337</v>
      </c>
      <c r="AN235" s="11">
        <v>682</v>
      </c>
      <c r="AO235" s="10">
        <v>6407815689879</v>
      </c>
      <c r="AP235" s="12">
        <v>122</v>
      </c>
      <c r="AQ235" s="10">
        <v>886326552375</v>
      </c>
      <c r="AR235" s="10">
        <v>7460329713</v>
      </c>
      <c r="AS235" s="10">
        <v>0</v>
      </c>
      <c r="AT235" s="10">
        <v>7460329713</v>
      </c>
      <c r="AU235" s="11" t="s">
        <v>593</v>
      </c>
      <c r="AV235" s="10">
        <v>484986210399</v>
      </c>
      <c r="AW235" s="10">
        <v>126931364400</v>
      </c>
      <c r="AX235" s="10">
        <v>215968615874</v>
      </c>
      <c r="AY235" s="10">
        <v>555021307267</v>
      </c>
      <c r="AZ235" s="10">
        <v>279801661731</v>
      </c>
      <c r="BA235" s="10">
        <v>484890005200</v>
      </c>
      <c r="BB235" s="10">
        <v>277977389993</v>
      </c>
      <c r="BC235" s="10">
        <v>1780003460103</v>
      </c>
      <c r="BD235" s="12">
        <v>23143</v>
      </c>
      <c r="BE235" s="10">
        <v>1015311793172</v>
      </c>
      <c r="BF235" s="10">
        <v>279801661731</v>
      </c>
      <c r="BG235" s="10">
        <v>484890005200</v>
      </c>
      <c r="BH235" s="10">
        <v>829202986132</v>
      </c>
      <c r="BI235" s="10">
        <v>284696198218</v>
      </c>
      <c r="BJ235" s="10">
        <v>19916840790</v>
      </c>
      <c r="BK235" s="10">
        <v>0</v>
      </c>
      <c r="BL235" s="10">
        <v>171901463217</v>
      </c>
      <c r="BM235" s="10">
        <v>102073607</v>
      </c>
      <c r="BN235" s="10">
        <v>0</v>
      </c>
      <c r="BO235" s="10">
        <v>3295355098</v>
      </c>
    </row>
    <row r="236" spans="1:67" x14ac:dyDescent="0.25">
      <c r="A236" s="25" t="s">
        <v>265</v>
      </c>
      <c r="B236" s="26">
        <v>2099</v>
      </c>
      <c r="C236" s="26" t="s">
        <v>287</v>
      </c>
      <c r="D236" s="27">
        <v>0</v>
      </c>
      <c r="E236" s="27">
        <v>8705604943</v>
      </c>
      <c r="F236" s="27">
        <v>0</v>
      </c>
      <c r="G236" s="27">
        <v>0</v>
      </c>
      <c r="H236" s="27">
        <v>8705604943</v>
      </c>
      <c r="I236" s="27">
        <v>706453046</v>
      </c>
      <c r="J236" s="27">
        <v>91611000</v>
      </c>
      <c r="K236" s="27">
        <v>7907540897</v>
      </c>
      <c r="L236" s="27">
        <v>7084211503</v>
      </c>
      <c r="M236" s="10">
        <v>1621393440</v>
      </c>
      <c r="N236" s="46">
        <v>22.887422817816454</v>
      </c>
      <c r="O236" s="27">
        <v>0</v>
      </c>
      <c r="P236" s="28">
        <v>0</v>
      </c>
      <c r="Q236" s="28">
        <v>0</v>
      </c>
      <c r="R236" s="28">
        <v>0</v>
      </c>
      <c r="S236" s="27">
        <v>0</v>
      </c>
      <c r="T236" s="27">
        <v>0</v>
      </c>
      <c r="U236" s="27">
        <v>0</v>
      </c>
      <c r="V236" s="27">
        <v>0</v>
      </c>
      <c r="W236" s="27">
        <v>0</v>
      </c>
      <c r="X236" s="27">
        <v>0</v>
      </c>
      <c r="Y236" s="10">
        <v>0</v>
      </c>
      <c r="Z236" s="27">
        <v>0</v>
      </c>
      <c r="AA236" s="27">
        <v>0</v>
      </c>
      <c r="AB236" s="27">
        <v>0</v>
      </c>
      <c r="AC236" s="27">
        <v>0</v>
      </c>
      <c r="AD236" s="46" t="s">
        <v>595</v>
      </c>
      <c r="AE236" s="27">
        <v>0</v>
      </c>
      <c r="AF236" s="27">
        <v>0</v>
      </c>
      <c r="AG236" s="27">
        <v>0</v>
      </c>
      <c r="AH236" s="27">
        <v>0</v>
      </c>
      <c r="AI236" s="27">
        <v>0</v>
      </c>
      <c r="AJ236" s="27">
        <v>0</v>
      </c>
      <c r="AK236" s="27">
        <v>0</v>
      </c>
      <c r="AL236" s="29">
        <v>0</v>
      </c>
      <c r="AM236" s="27">
        <v>0</v>
      </c>
      <c r="AN236" s="29">
        <v>0</v>
      </c>
      <c r="AO236" s="27">
        <v>0</v>
      </c>
      <c r="AP236" s="12">
        <v>0</v>
      </c>
      <c r="AQ236" s="10">
        <v>0</v>
      </c>
      <c r="AR236" s="27">
        <v>0</v>
      </c>
      <c r="AS236" s="27">
        <v>0</v>
      </c>
      <c r="AT236" s="27">
        <v>0</v>
      </c>
      <c r="AU236" s="28" t="s">
        <v>593</v>
      </c>
      <c r="AV236" s="27">
        <v>0</v>
      </c>
      <c r="AW236" s="27">
        <v>0</v>
      </c>
      <c r="AX236" s="27">
        <v>0</v>
      </c>
      <c r="AY236" s="27">
        <v>0</v>
      </c>
      <c r="AZ236" s="27">
        <v>0</v>
      </c>
      <c r="BA236" s="27">
        <v>0</v>
      </c>
      <c r="BB236" s="27">
        <v>0</v>
      </c>
      <c r="BC236" s="27">
        <v>8705604943</v>
      </c>
      <c r="BD236" s="29">
        <v>0</v>
      </c>
      <c r="BE236" s="27">
        <v>8705604943</v>
      </c>
      <c r="BF236" s="27">
        <v>0</v>
      </c>
      <c r="BG236" s="27">
        <v>0</v>
      </c>
      <c r="BH236" s="27">
        <v>0</v>
      </c>
      <c r="BI236" s="27">
        <v>0</v>
      </c>
      <c r="BJ236" s="27">
        <v>0</v>
      </c>
      <c r="BK236" s="27">
        <v>0</v>
      </c>
      <c r="BL236" s="27">
        <v>0</v>
      </c>
      <c r="BM236" s="27">
        <v>0</v>
      </c>
      <c r="BN236" s="27">
        <v>0</v>
      </c>
      <c r="BO236" s="27">
        <v>0</v>
      </c>
    </row>
    <row r="237" spans="1:67" x14ac:dyDescent="0.25">
      <c r="A237" s="19" t="s">
        <v>616</v>
      </c>
      <c r="B237" s="20" t="s">
        <v>593</v>
      </c>
      <c r="C237" s="20" t="s">
        <v>593</v>
      </c>
      <c r="D237" s="21">
        <v>54425483999658</v>
      </c>
      <c r="E237" s="21">
        <v>3697475782426</v>
      </c>
      <c r="F237" s="21">
        <v>181911000000</v>
      </c>
      <c r="G237" s="21">
        <v>457374000</v>
      </c>
      <c r="H237" s="21">
        <v>58305328156084</v>
      </c>
      <c r="I237" s="21">
        <v>4332343197951</v>
      </c>
      <c r="J237" s="21">
        <v>204717037296</v>
      </c>
      <c r="K237" s="21">
        <v>53768267920837</v>
      </c>
      <c r="L237" s="21">
        <v>39931754669915</v>
      </c>
      <c r="M237" s="21">
        <v>18373573486169</v>
      </c>
      <c r="N237" s="47">
        <v>46.012437064309225</v>
      </c>
      <c r="O237" s="21">
        <v>40723174810355</v>
      </c>
      <c r="P237" s="22">
        <v>82.26</v>
      </c>
      <c r="Q237" s="22">
        <v>75.739999999999995</v>
      </c>
      <c r="R237" s="22">
        <v>5.24</v>
      </c>
      <c r="S237" s="21">
        <v>43254642018273</v>
      </c>
      <c r="T237" s="21">
        <v>2319297233193</v>
      </c>
      <c r="U237" s="21">
        <v>250924388080</v>
      </c>
      <c r="V237" s="21">
        <v>162522035796</v>
      </c>
      <c r="W237" s="21">
        <v>1905850809317</v>
      </c>
      <c r="X237" s="21">
        <v>45573939251466</v>
      </c>
      <c r="Y237" s="21">
        <v>195889539448</v>
      </c>
      <c r="Z237" s="21">
        <v>2090484056177</v>
      </c>
      <c r="AA237" s="21">
        <v>296825108565</v>
      </c>
      <c r="AB237" s="21">
        <v>47961248416208</v>
      </c>
      <c r="AC237" s="21">
        <v>28885313216982</v>
      </c>
      <c r="AD237" s="47">
        <v>57.775471947012051</v>
      </c>
      <c r="AE237" s="21">
        <v>49927180554702</v>
      </c>
      <c r="AF237" s="21">
        <v>49191818759169</v>
      </c>
      <c r="AG237" s="21">
        <v>22863006869718</v>
      </c>
      <c r="AH237" s="21">
        <v>603841565090</v>
      </c>
      <c r="AI237" s="21">
        <v>0</v>
      </c>
      <c r="AJ237" s="21">
        <v>0</v>
      </c>
      <c r="AK237" s="21">
        <v>0</v>
      </c>
      <c r="AL237" s="22">
        <v>116</v>
      </c>
      <c r="AM237" s="21">
        <v>31652244884046</v>
      </c>
      <c r="AN237" s="23">
        <v>9520</v>
      </c>
      <c r="AO237" s="21">
        <v>75700267248290</v>
      </c>
      <c r="AP237" s="23">
        <v>3798</v>
      </c>
      <c r="AQ237" s="21">
        <v>22576310393299</v>
      </c>
      <c r="AR237" s="21">
        <v>2319297233193</v>
      </c>
      <c r="AS237" s="21">
        <v>1152759480477</v>
      </c>
      <c r="AT237" s="21">
        <v>1166537752716</v>
      </c>
      <c r="AU237" s="22">
        <v>101.2</v>
      </c>
      <c r="AV237" s="21">
        <v>35346514238125</v>
      </c>
      <c r="AW237" s="21">
        <v>13977988400188</v>
      </c>
      <c r="AX237" s="21">
        <v>18590554092349</v>
      </c>
      <c r="AY237" s="21">
        <v>7171632998597</v>
      </c>
      <c r="AZ237" s="21">
        <v>11111861755273</v>
      </c>
      <c r="BA237" s="21">
        <v>17551435153439</v>
      </c>
      <c r="BB237" s="21">
        <v>7214449617051</v>
      </c>
      <c r="BC237" s="21">
        <v>58305328156084</v>
      </c>
      <c r="BD237" s="23">
        <v>1888938</v>
      </c>
      <c r="BE237" s="21">
        <v>29200242707677</v>
      </c>
      <c r="BF237" s="21">
        <v>11292302655273</v>
      </c>
      <c r="BG237" s="21">
        <v>17812782793134</v>
      </c>
      <c r="BH237" s="21">
        <v>36657569118910</v>
      </c>
      <c r="BI237" s="21">
        <v>13269611435792</v>
      </c>
      <c r="BJ237" s="21">
        <v>1718096251766</v>
      </c>
      <c r="BK237" s="21">
        <v>1395078428384</v>
      </c>
      <c r="BL237" s="21">
        <v>22337489792064</v>
      </c>
      <c r="BM237" s="21">
        <v>198297170341</v>
      </c>
      <c r="BN237" s="21">
        <v>200197036633</v>
      </c>
      <c r="BO237" s="21">
        <v>420351382189</v>
      </c>
    </row>
    <row r="238" spans="1:67" x14ac:dyDescent="0.25">
      <c r="A238" s="25" t="s">
        <v>288</v>
      </c>
      <c r="B238" s="9">
        <v>2100</v>
      </c>
      <c r="C238" s="9" t="s">
        <v>288</v>
      </c>
      <c r="D238" s="10">
        <v>2668439138647</v>
      </c>
      <c r="E238" s="10">
        <v>184458464881</v>
      </c>
      <c r="F238" s="10">
        <v>0</v>
      </c>
      <c r="G238" s="10">
        <v>45737400</v>
      </c>
      <c r="H238" s="10">
        <v>2852943340928</v>
      </c>
      <c r="I238" s="10">
        <v>221672667398</v>
      </c>
      <c r="J238" s="10">
        <v>60354062345</v>
      </c>
      <c r="K238" s="10">
        <v>2570916611185</v>
      </c>
      <c r="L238" s="10">
        <v>2999379989534</v>
      </c>
      <c r="M238" s="10">
        <v>-146436648606</v>
      </c>
      <c r="N238" s="46">
        <v>-4.8822306315629982</v>
      </c>
      <c r="O238" s="10">
        <v>3842594709858</v>
      </c>
      <c r="P238" s="11">
        <v>187.91</v>
      </c>
      <c r="Q238" s="11">
        <v>149.46</v>
      </c>
      <c r="R238" s="11">
        <v>2.13</v>
      </c>
      <c r="S238" s="10">
        <v>5119902186686</v>
      </c>
      <c r="T238" s="10">
        <v>92910496478</v>
      </c>
      <c r="U238" s="10">
        <v>26933384469</v>
      </c>
      <c r="V238" s="10">
        <v>3421342471</v>
      </c>
      <c r="W238" s="10">
        <v>62555769538</v>
      </c>
      <c r="X238" s="10">
        <v>5212812683164</v>
      </c>
      <c r="Y238" s="10">
        <v>21209182437</v>
      </c>
      <c r="Z238" s="10">
        <v>141926305572</v>
      </c>
      <c r="AA238" s="10">
        <v>6349144735</v>
      </c>
      <c r="AB238" s="10">
        <v>5361088133471</v>
      </c>
      <c r="AC238" s="10">
        <v>4255851788978</v>
      </c>
      <c r="AD238" s="46">
        <v>22.485766460767763</v>
      </c>
      <c r="AE238" s="10">
        <v>2539843142067</v>
      </c>
      <c r="AF238" s="10">
        <v>2444607878092</v>
      </c>
      <c r="AG238" s="10">
        <v>30330314240</v>
      </c>
      <c r="AH238" s="10">
        <v>293220000</v>
      </c>
      <c r="AI238" s="10">
        <v>0</v>
      </c>
      <c r="AJ238" s="10">
        <v>0</v>
      </c>
      <c r="AK238" s="10">
        <v>0</v>
      </c>
      <c r="AL238" s="11">
        <v>1</v>
      </c>
      <c r="AM238" s="10">
        <v>15620000000</v>
      </c>
      <c r="AN238" s="11">
        <v>123</v>
      </c>
      <c r="AO238" s="10">
        <v>506005898643</v>
      </c>
      <c r="AP238" s="12">
        <v>50</v>
      </c>
      <c r="AQ238" s="10">
        <v>622440403486</v>
      </c>
      <c r="AR238" s="10">
        <v>92910496478</v>
      </c>
      <c r="AS238" s="10">
        <v>211996948560</v>
      </c>
      <c r="AT238" s="10">
        <v>-119086452082</v>
      </c>
      <c r="AU238" s="13">
        <v>-56.17</v>
      </c>
      <c r="AV238" s="10">
        <v>1935695023394</v>
      </c>
      <c r="AW238" s="10">
        <v>415729314041</v>
      </c>
      <c r="AX238" s="10">
        <v>940691697377</v>
      </c>
      <c r="AY238" s="10">
        <v>256626648487</v>
      </c>
      <c r="AZ238" s="10">
        <v>205766592783</v>
      </c>
      <c r="BA238" s="10">
        <v>1265354200000</v>
      </c>
      <c r="BB238" s="10">
        <v>91642564644</v>
      </c>
      <c r="BC238" s="10">
        <v>2852943340928</v>
      </c>
      <c r="BD238" s="12">
        <v>251471</v>
      </c>
      <c r="BE238" s="10">
        <v>1272401215935</v>
      </c>
      <c r="BF238" s="10">
        <v>205766592783</v>
      </c>
      <c r="BG238" s="10">
        <v>1374775532210</v>
      </c>
      <c r="BH238" s="10">
        <v>1588510165198</v>
      </c>
      <c r="BI238" s="10">
        <v>951332976869</v>
      </c>
      <c r="BJ238" s="10">
        <v>0</v>
      </c>
      <c r="BK238" s="10">
        <v>14795908700</v>
      </c>
      <c r="BL238" s="10">
        <v>30330314240</v>
      </c>
      <c r="BM238" s="10">
        <v>0</v>
      </c>
      <c r="BN238" s="10">
        <v>0</v>
      </c>
      <c r="BO238" s="10">
        <v>293220000</v>
      </c>
    </row>
    <row r="239" spans="1:67" x14ac:dyDescent="0.25">
      <c r="A239" s="25" t="s">
        <v>288</v>
      </c>
      <c r="B239" s="9">
        <v>2101</v>
      </c>
      <c r="C239" s="9" t="s">
        <v>289</v>
      </c>
      <c r="D239" s="10">
        <v>6191694779416</v>
      </c>
      <c r="E239" s="10">
        <v>330207067589</v>
      </c>
      <c r="F239" s="10">
        <v>0</v>
      </c>
      <c r="G239" s="10">
        <v>0</v>
      </c>
      <c r="H239" s="10">
        <v>6521901847005</v>
      </c>
      <c r="I239" s="10">
        <v>367623648302</v>
      </c>
      <c r="J239" s="10">
        <v>2754520400</v>
      </c>
      <c r="K239" s="10">
        <v>6151523678303</v>
      </c>
      <c r="L239" s="10">
        <v>3597167882341</v>
      </c>
      <c r="M239" s="10">
        <v>2924733964664</v>
      </c>
      <c r="N239" s="46">
        <v>81.306573958416777</v>
      </c>
      <c r="O239" s="10">
        <v>3584479606860</v>
      </c>
      <c r="P239" s="11">
        <v>61.81</v>
      </c>
      <c r="Q239" s="11">
        <v>58.27</v>
      </c>
      <c r="R239" s="11">
        <v>0.8</v>
      </c>
      <c r="S239" s="10">
        <v>3842090306664</v>
      </c>
      <c r="T239" s="10">
        <v>32127257295</v>
      </c>
      <c r="U239" s="10">
        <v>26884158466</v>
      </c>
      <c r="V239" s="10">
        <v>5159907607</v>
      </c>
      <c r="W239" s="10">
        <v>83191222</v>
      </c>
      <c r="X239" s="10">
        <v>3874217563959</v>
      </c>
      <c r="Y239" s="10">
        <v>308468046</v>
      </c>
      <c r="Z239" s="10">
        <v>133168025484</v>
      </c>
      <c r="AA239" s="10">
        <v>23639490000</v>
      </c>
      <c r="AB239" s="10">
        <v>4031025079443</v>
      </c>
      <c r="AC239" s="10">
        <v>2526061750447</v>
      </c>
      <c r="AD239" s="46">
        <v>53.369867671423187</v>
      </c>
      <c r="AE239" s="10">
        <v>7068280536872</v>
      </c>
      <c r="AF239" s="10">
        <v>7023035438755</v>
      </c>
      <c r="AG239" s="10">
        <v>1633859449953</v>
      </c>
      <c r="AH239" s="10">
        <v>167849753</v>
      </c>
      <c r="AI239" s="10">
        <v>0</v>
      </c>
      <c r="AJ239" s="10">
        <v>0</v>
      </c>
      <c r="AK239" s="10">
        <v>0</v>
      </c>
      <c r="AL239" s="11">
        <v>18</v>
      </c>
      <c r="AM239" s="10">
        <v>3178085270747</v>
      </c>
      <c r="AN239" s="11">
        <v>61</v>
      </c>
      <c r="AO239" s="10">
        <v>1129174658334</v>
      </c>
      <c r="AP239" s="12">
        <v>35</v>
      </c>
      <c r="AQ239" s="10">
        <v>159608200769</v>
      </c>
      <c r="AR239" s="10">
        <v>32127257295</v>
      </c>
      <c r="AS239" s="10">
        <v>3849039068</v>
      </c>
      <c r="AT239" s="10">
        <v>28278218227</v>
      </c>
      <c r="AU239" s="11">
        <v>734.68</v>
      </c>
      <c r="AV239" s="10">
        <v>5602197102699</v>
      </c>
      <c r="AW239" s="10">
        <v>456837626747</v>
      </c>
      <c r="AX239" s="10">
        <v>3852291771018</v>
      </c>
      <c r="AY239" s="10">
        <v>250424029832</v>
      </c>
      <c r="AZ239" s="10">
        <v>537632278566</v>
      </c>
      <c r="BA239" s="10">
        <v>1551346700000</v>
      </c>
      <c r="BB239" s="10">
        <v>197014732417</v>
      </c>
      <c r="BC239" s="10">
        <v>6521901847005</v>
      </c>
      <c r="BD239" s="12">
        <v>13543</v>
      </c>
      <c r="BE239" s="10">
        <v>4432922868439</v>
      </c>
      <c r="BF239" s="10">
        <v>537632278566</v>
      </c>
      <c r="BG239" s="10">
        <v>1551346700000</v>
      </c>
      <c r="BH239" s="10">
        <v>4046691183843</v>
      </c>
      <c r="BI239" s="10">
        <v>3021589353029</v>
      </c>
      <c r="BJ239" s="10">
        <v>295162004831</v>
      </c>
      <c r="BK239" s="10">
        <v>0</v>
      </c>
      <c r="BL239" s="10">
        <v>1326477416616</v>
      </c>
      <c r="BM239" s="10">
        <v>0</v>
      </c>
      <c r="BN239" s="10">
        <v>0</v>
      </c>
      <c r="BO239" s="10">
        <v>167849753</v>
      </c>
    </row>
    <row r="240" spans="1:67" x14ac:dyDescent="0.25">
      <c r="A240" s="25" t="s">
        <v>288</v>
      </c>
      <c r="B240" s="9">
        <v>2102</v>
      </c>
      <c r="C240" s="9" t="s">
        <v>290</v>
      </c>
      <c r="D240" s="10">
        <v>2036266501298</v>
      </c>
      <c r="E240" s="10">
        <v>20317265455</v>
      </c>
      <c r="F240" s="10">
        <v>0</v>
      </c>
      <c r="G240" s="10">
        <v>0</v>
      </c>
      <c r="H240" s="10">
        <v>2056583766753</v>
      </c>
      <c r="I240" s="10">
        <v>148541666532</v>
      </c>
      <c r="J240" s="10">
        <v>17184814410</v>
      </c>
      <c r="K240" s="10">
        <v>1890857285811</v>
      </c>
      <c r="L240" s="10">
        <v>1298361729884</v>
      </c>
      <c r="M240" s="10">
        <v>758222036869</v>
      </c>
      <c r="N240" s="46">
        <v>58.398366142287792</v>
      </c>
      <c r="O240" s="10">
        <v>2172704209719</v>
      </c>
      <c r="P240" s="11">
        <v>120.53</v>
      </c>
      <c r="Q240" s="11">
        <v>114.91</v>
      </c>
      <c r="R240" s="11">
        <v>0.98</v>
      </c>
      <c r="S240" s="10">
        <v>2212266728380</v>
      </c>
      <c r="T240" s="10">
        <v>23627116045</v>
      </c>
      <c r="U240" s="10">
        <v>19178626721</v>
      </c>
      <c r="V240" s="10">
        <v>4081157454</v>
      </c>
      <c r="W240" s="10">
        <v>367331870</v>
      </c>
      <c r="X240" s="10">
        <v>2235893844425</v>
      </c>
      <c r="Y240" s="10">
        <v>637402697</v>
      </c>
      <c r="Z240" s="10">
        <v>182131653735</v>
      </c>
      <c r="AA240" s="10">
        <v>60777683918</v>
      </c>
      <c r="AB240" s="10">
        <v>2478803182078</v>
      </c>
      <c r="AC240" s="10">
        <v>1649652611026</v>
      </c>
      <c r="AD240" s="46">
        <v>35.537253690908159</v>
      </c>
      <c r="AE240" s="10">
        <v>1374377630549</v>
      </c>
      <c r="AF240" s="10">
        <v>1374377630549</v>
      </c>
      <c r="AG240" s="10">
        <v>80497422704</v>
      </c>
      <c r="AH240" s="10">
        <v>886769676</v>
      </c>
      <c r="AI240" s="10">
        <v>5374605742</v>
      </c>
      <c r="AJ240" s="10">
        <v>0</v>
      </c>
      <c r="AK240" s="10">
        <v>0</v>
      </c>
      <c r="AL240" s="11">
        <v>8</v>
      </c>
      <c r="AM240" s="10">
        <v>91925626268</v>
      </c>
      <c r="AN240" s="11">
        <v>69</v>
      </c>
      <c r="AO240" s="10">
        <v>649711666262</v>
      </c>
      <c r="AP240" s="12">
        <v>29</v>
      </c>
      <c r="AQ240" s="10">
        <v>28483700131</v>
      </c>
      <c r="AR240" s="10">
        <v>23627116045</v>
      </c>
      <c r="AS240" s="10">
        <v>12776659188</v>
      </c>
      <c r="AT240" s="10">
        <v>10850456857</v>
      </c>
      <c r="AU240" s="11">
        <v>84.92</v>
      </c>
      <c r="AV240" s="10">
        <v>1010519474822</v>
      </c>
      <c r="AW240" s="10">
        <v>274376318676</v>
      </c>
      <c r="AX240" s="10">
        <v>611353899098</v>
      </c>
      <c r="AY240" s="10">
        <v>147557299688</v>
      </c>
      <c r="AZ240" s="10">
        <v>337526102512</v>
      </c>
      <c r="BA240" s="10">
        <v>939829200000</v>
      </c>
      <c r="BB240" s="10">
        <v>295030084652</v>
      </c>
      <c r="BC240" s="10">
        <v>2056583766753</v>
      </c>
      <c r="BD240" s="12">
        <v>2669</v>
      </c>
      <c r="BE240" s="10">
        <v>779228464241</v>
      </c>
      <c r="BF240" s="10">
        <v>337526102512</v>
      </c>
      <c r="BG240" s="10">
        <v>939829200000</v>
      </c>
      <c r="BH240" s="10">
        <v>947607792088</v>
      </c>
      <c r="BI240" s="10">
        <v>426769838461</v>
      </c>
      <c r="BJ240" s="10">
        <v>0</v>
      </c>
      <c r="BK240" s="10">
        <v>0</v>
      </c>
      <c r="BL240" s="10">
        <v>80497422704</v>
      </c>
      <c r="BM240" s="10">
        <v>0</v>
      </c>
      <c r="BN240" s="10">
        <v>0</v>
      </c>
      <c r="BO240" s="10">
        <v>886769676</v>
      </c>
    </row>
    <row r="241" spans="1:67" x14ac:dyDescent="0.25">
      <c r="A241" s="25" t="s">
        <v>288</v>
      </c>
      <c r="B241" s="9">
        <v>2103</v>
      </c>
      <c r="C241" s="9" t="s">
        <v>291</v>
      </c>
      <c r="D241" s="10">
        <v>988958546910</v>
      </c>
      <c r="E241" s="10">
        <v>18804352459</v>
      </c>
      <c r="F241" s="10">
        <v>0</v>
      </c>
      <c r="G241" s="10">
        <v>0</v>
      </c>
      <c r="H241" s="10">
        <v>1007762899369</v>
      </c>
      <c r="I241" s="10">
        <v>65754085792</v>
      </c>
      <c r="J241" s="10">
        <v>3718740340</v>
      </c>
      <c r="K241" s="10">
        <v>938290073237</v>
      </c>
      <c r="L241" s="10">
        <v>819551982317</v>
      </c>
      <c r="M241" s="10">
        <v>188210917052</v>
      </c>
      <c r="N241" s="46">
        <v>22.965098140559515</v>
      </c>
      <c r="O241" s="10">
        <v>902487262135</v>
      </c>
      <c r="P241" s="11">
        <v>99.76</v>
      </c>
      <c r="Q241" s="11">
        <v>96.18</v>
      </c>
      <c r="R241" s="11">
        <v>5.88</v>
      </c>
      <c r="S241" s="10">
        <v>888362221527</v>
      </c>
      <c r="T241" s="10">
        <v>57821927903</v>
      </c>
      <c r="U241" s="10">
        <v>23066303944</v>
      </c>
      <c r="V241" s="10">
        <v>935560183</v>
      </c>
      <c r="W241" s="10">
        <v>33820063776</v>
      </c>
      <c r="X241" s="10">
        <v>946184149430</v>
      </c>
      <c r="Y241" s="10">
        <v>1283766153</v>
      </c>
      <c r="Z241" s="10">
        <v>39955747047</v>
      </c>
      <c r="AA241" s="10">
        <v>19249220000</v>
      </c>
      <c r="AB241" s="10">
        <v>1005389116477</v>
      </c>
      <c r="AC241" s="10">
        <v>668832415373</v>
      </c>
      <c r="AD241" s="46">
        <v>41.468046057893922</v>
      </c>
      <c r="AE241" s="10">
        <v>648070034198</v>
      </c>
      <c r="AF241" s="10">
        <v>648070034198</v>
      </c>
      <c r="AG241" s="10">
        <v>0</v>
      </c>
      <c r="AH241" s="10">
        <v>36000000000</v>
      </c>
      <c r="AI241" s="10">
        <v>0</v>
      </c>
      <c r="AJ241" s="10">
        <v>0</v>
      </c>
      <c r="AK241" s="10">
        <v>0</v>
      </c>
      <c r="AL241" s="11">
        <v>0</v>
      </c>
      <c r="AM241" s="10">
        <v>0</v>
      </c>
      <c r="AN241" s="11">
        <v>18</v>
      </c>
      <c r="AO241" s="10">
        <v>76228231977</v>
      </c>
      <c r="AP241" s="12">
        <v>25</v>
      </c>
      <c r="AQ241" s="10">
        <v>28091982340</v>
      </c>
      <c r="AR241" s="10">
        <v>57821927903</v>
      </c>
      <c r="AS241" s="10">
        <v>15905128391</v>
      </c>
      <c r="AT241" s="10">
        <v>41916799512</v>
      </c>
      <c r="AU241" s="11">
        <v>263.54000000000002</v>
      </c>
      <c r="AV241" s="10">
        <v>386783263351</v>
      </c>
      <c r="AW241" s="10">
        <v>121409826043</v>
      </c>
      <c r="AX241" s="10">
        <v>257356131222</v>
      </c>
      <c r="AY241" s="10">
        <v>143153432041</v>
      </c>
      <c r="AZ241" s="10">
        <v>180285983647</v>
      </c>
      <c r="BA241" s="10">
        <v>408163000000</v>
      </c>
      <c r="BB241" s="10">
        <v>126307392926</v>
      </c>
      <c r="BC241" s="10">
        <v>1007762899369</v>
      </c>
      <c r="BD241" s="12">
        <v>9791</v>
      </c>
      <c r="BE241" s="10">
        <v>419313915722</v>
      </c>
      <c r="BF241" s="10">
        <v>180285983647</v>
      </c>
      <c r="BG241" s="10">
        <v>408163000000</v>
      </c>
      <c r="BH241" s="10">
        <v>530426818696</v>
      </c>
      <c r="BI241" s="10">
        <v>117643215502</v>
      </c>
      <c r="BJ241" s="10">
        <v>0</v>
      </c>
      <c r="BK241" s="10">
        <v>0</v>
      </c>
      <c r="BL241" s="10">
        <v>0</v>
      </c>
      <c r="BM241" s="10">
        <v>0</v>
      </c>
      <c r="BN241" s="10">
        <v>33117151275</v>
      </c>
      <c r="BO241" s="10">
        <v>0</v>
      </c>
    </row>
    <row r="242" spans="1:67" x14ac:dyDescent="0.25">
      <c r="A242" s="25" t="s">
        <v>288</v>
      </c>
      <c r="B242" s="9">
        <v>2104</v>
      </c>
      <c r="C242" s="9" t="s">
        <v>292</v>
      </c>
      <c r="D242" s="10">
        <v>617959694493</v>
      </c>
      <c r="E242" s="10">
        <v>837764742</v>
      </c>
      <c r="F242" s="10">
        <v>0</v>
      </c>
      <c r="G242" s="10">
        <v>0</v>
      </c>
      <c r="H242" s="10">
        <v>618797459235</v>
      </c>
      <c r="I242" s="10">
        <v>40645208702</v>
      </c>
      <c r="J242" s="10">
        <v>1928991400</v>
      </c>
      <c r="K242" s="10">
        <v>576223259133</v>
      </c>
      <c r="L242" s="10">
        <v>535606144150</v>
      </c>
      <c r="M242" s="10">
        <v>83191315085</v>
      </c>
      <c r="N242" s="46">
        <v>15.53218087462823</v>
      </c>
      <c r="O242" s="10">
        <v>1144379128385</v>
      </c>
      <c r="P242" s="11">
        <v>206.94</v>
      </c>
      <c r="Q242" s="11">
        <v>198.6</v>
      </c>
      <c r="R242" s="11">
        <v>1.37</v>
      </c>
      <c r="S242" s="10">
        <v>1203167033841</v>
      </c>
      <c r="T242" s="10">
        <v>17451050260</v>
      </c>
      <c r="U242" s="10">
        <v>14545712881</v>
      </c>
      <c r="V242" s="10">
        <v>2845250188</v>
      </c>
      <c r="W242" s="10">
        <v>60087191</v>
      </c>
      <c r="X242" s="10">
        <v>1220618084101</v>
      </c>
      <c r="Y242" s="10">
        <v>109075825</v>
      </c>
      <c r="Z242" s="10">
        <v>48568748554</v>
      </c>
      <c r="AA242" s="10">
        <v>11339109355</v>
      </c>
      <c r="AB242" s="10">
        <v>1280525942010</v>
      </c>
      <c r="AC242" s="10">
        <v>866619463666</v>
      </c>
      <c r="AD242" s="46">
        <v>40.848219463881449</v>
      </c>
      <c r="AE242" s="10">
        <v>804867364579</v>
      </c>
      <c r="AF242" s="10">
        <v>804867364579</v>
      </c>
      <c r="AG242" s="10">
        <v>0</v>
      </c>
      <c r="AH242" s="10">
        <v>0</v>
      </c>
      <c r="AI242" s="10">
        <v>0</v>
      </c>
      <c r="AJ242" s="10">
        <v>3000000000</v>
      </c>
      <c r="AK242" s="10">
        <v>0</v>
      </c>
      <c r="AL242" s="11">
        <v>0</v>
      </c>
      <c r="AM242" s="10">
        <v>0</v>
      </c>
      <c r="AN242" s="11">
        <v>1</v>
      </c>
      <c r="AO242" s="10">
        <v>60000000</v>
      </c>
      <c r="AP242" s="12">
        <v>7</v>
      </c>
      <c r="AQ242" s="10">
        <v>732654236</v>
      </c>
      <c r="AR242" s="10">
        <v>17451050260</v>
      </c>
      <c r="AS242" s="10">
        <v>16628456833</v>
      </c>
      <c r="AT242" s="10">
        <v>822593427</v>
      </c>
      <c r="AU242" s="11">
        <v>4.95</v>
      </c>
      <c r="AV242" s="10">
        <v>508667699263</v>
      </c>
      <c r="AW242" s="10">
        <v>203949370746</v>
      </c>
      <c r="AX242" s="10">
        <v>305529008084</v>
      </c>
      <c r="AY242" s="10">
        <v>81182725896</v>
      </c>
      <c r="AZ242" s="10">
        <v>82232360513</v>
      </c>
      <c r="BA242" s="10">
        <v>149015600000</v>
      </c>
      <c r="BB242" s="10">
        <v>36257171059</v>
      </c>
      <c r="BC242" s="10">
        <v>618797459235</v>
      </c>
      <c r="BD242" s="12">
        <v>52005</v>
      </c>
      <c r="BE242" s="10">
        <v>387549498722</v>
      </c>
      <c r="BF242" s="10">
        <v>82232360513</v>
      </c>
      <c r="BG242" s="10">
        <v>149015600000</v>
      </c>
      <c r="BH242" s="10">
        <v>651718004579</v>
      </c>
      <c r="BI242" s="10">
        <v>153149360000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</row>
    <row r="243" spans="1:67" x14ac:dyDescent="0.25">
      <c r="A243" s="25" t="s">
        <v>288</v>
      </c>
      <c r="B243" s="9">
        <v>2105</v>
      </c>
      <c r="C243" s="9" t="s">
        <v>293</v>
      </c>
      <c r="D243" s="10">
        <v>1167645868414</v>
      </c>
      <c r="E243" s="10">
        <v>87804674692</v>
      </c>
      <c r="F243" s="10">
        <v>0</v>
      </c>
      <c r="G243" s="10">
        <v>0</v>
      </c>
      <c r="H243" s="10">
        <v>1255450543106</v>
      </c>
      <c r="I243" s="10">
        <v>93495234109</v>
      </c>
      <c r="J243" s="10">
        <v>10053602271</v>
      </c>
      <c r="K243" s="10">
        <v>1151901706726</v>
      </c>
      <c r="L243" s="10">
        <v>962574189789</v>
      </c>
      <c r="M243" s="10">
        <v>292876353317</v>
      </c>
      <c r="N243" s="46">
        <v>30.426366759449436</v>
      </c>
      <c r="O243" s="10">
        <v>1418959922241</v>
      </c>
      <c r="P243" s="11">
        <v>132.28</v>
      </c>
      <c r="Q243" s="11">
        <v>123.18</v>
      </c>
      <c r="R243" s="11">
        <v>0.84</v>
      </c>
      <c r="S243" s="10">
        <v>1452403481917</v>
      </c>
      <c r="T243" s="10">
        <v>13047245245</v>
      </c>
      <c r="U243" s="10">
        <v>12458154715</v>
      </c>
      <c r="V243" s="10">
        <v>403527676</v>
      </c>
      <c r="W243" s="10">
        <v>185562854</v>
      </c>
      <c r="X243" s="10">
        <v>1465450727162</v>
      </c>
      <c r="Y243" s="10">
        <v>903287232</v>
      </c>
      <c r="Z243" s="10">
        <v>152132213026</v>
      </c>
      <c r="AA243" s="10">
        <v>43175000000</v>
      </c>
      <c r="AB243" s="10">
        <v>1660757940188</v>
      </c>
      <c r="AC243" s="10">
        <v>1155978579949</v>
      </c>
      <c r="AD243" s="46">
        <v>26.771443051016863</v>
      </c>
      <c r="AE243" s="10">
        <v>1001697851996</v>
      </c>
      <c r="AF243" s="10">
        <v>992557205421</v>
      </c>
      <c r="AG243" s="10">
        <v>107698619996</v>
      </c>
      <c r="AH243" s="10">
        <v>0</v>
      </c>
      <c r="AI243" s="10">
        <v>8128567861</v>
      </c>
      <c r="AJ243" s="10">
        <v>0</v>
      </c>
      <c r="AK243" s="10">
        <v>0</v>
      </c>
      <c r="AL243" s="11">
        <v>2</v>
      </c>
      <c r="AM243" s="10">
        <v>110223705000</v>
      </c>
      <c r="AN243" s="11">
        <v>44</v>
      </c>
      <c r="AO243" s="10">
        <v>1091517662860</v>
      </c>
      <c r="AP243" s="12">
        <v>23</v>
      </c>
      <c r="AQ243" s="10">
        <v>46782754920</v>
      </c>
      <c r="AR243" s="10">
        <v>13047245245</v>
      </c>
      <c r="AS243" s="10">
        <v>15597858568</v>
      </c>
      <c r="AT243" s="10">
        <v>-2550613323</v>
      </c>
      <c r="AU243" s="11">
        <v>-16.350000000000001</v>
      </c>
      <c r="AV243" s="10">
        <v>658433128890</v>
      </c>
      <c r="AW243" s="10">
        <v>164897173550</v>
      </c>
      <c r="AX243" s="10">
        <v>322226735789</v>
      </c>
      <c r="AY243" s="10">
        <v>180646706441</v>
      </c>
      <c r="AZ243" s="10">
        <v>212631926184</v>
      </c>
      <c r="BA243" s="10">
        <v>452140500000</v>
      </c>
      <c r="BB243" s="10">
        <v>140199884033</v>
      </c>
      <c r="BC243" s="10">
        <v>1255450543106</v>
      </c>
      <c r="BD243" s="12">
        <v>23908</v>
      </c>
      <c r="BE243" s="10">
        <v>550171965403</v>
      </c>
      <c r="BF243" s="10">
        <v>212631926184</v>
      </c>
      <c r="BG243" s="10">
        <v>492646651519</v>
      </c>
      <c r="BH243" s="10">
        <v>859083209061</v>
      </c>
      <c r="BI243" s="10">
        <v>142614642935</v>
      </c>
      <c r="BJ243" s="10">
        <v>74837686877</v>
      </c>
      <c r="BK243" s="10">
        <v>0</v>
      </c>
      <c r="BL243" s="10">
        <v>25459121640</v>
      </c>
      <c r="BM243" s="10">
        <v>0</v>
      </c>
      <c r="BN243" s="10">
        <v>0</v>
      </c>
      <c r="BO243" s="10">
        <v>0</v>
      </c>
    </row>
    <row r="244" spans="1:67" x14ac:dyDescent="0.25">
      <c r="A244" s="25" t="s">
        <v>288</v>
      </c>
      <c r="B244" s="9">
        <v>2106</v>
      </c>
      <c r="C244" s="9" t="s">
        <v>294</v>
      </c>
      <c r="D244" s="10">
        <v>1181768168500</v>
      </c>
      <c r="E244" s="10">
        <v>88179791693</v>
      </c>
      <c r="F244" s="10">
        <v>0</v>
      </c>
      <c r="G244" s="10">
        <v>0</v>
      </c>
      <c r="H244" s="10">
        <v>1269947960193</v>
      </c>
      <c r="I244" s="10">
        <v>80298014969</v>
      </c>
      <c r="J244" s="10">
        <v>4984048775</v>
      </c>
      <c r="K244" s="10">
        <v>1184665896449</v>
      </c>
      <c r="L244" s="10">
        <v>717974919161</v>
      </c>
      <c r="M244" s="10">
        <v>551973041032</v>
      </c>
      <c r="N244" s="46">
        <v>76.879153616816595</v>
      </c>
      <c r="O244" s="10">
        <v>1184621159125</v>
      </c>
      <c r="P244" s="11">
        <v>110.49</v>
      </c>
      <c r="Q244" s="11">
        <v>100</v>
      </c>
      <c r="R244" s="11">
        <v>7.34</v>
      </c>
      <c r="S244" s="10">
        <v>1225997654956</v>
      </c>
      <c r="T244" s="10">
        <v>96547748179</v>
      </c>
      <c r="U244" s="10">
        <v>15706005688</v>
      </c>
      <c r="V244" s="10">
        <v>610796379</v>
      </c>
      <c r="W244" s="10">
        <v>80230946112</v>
      </c>
      <c r="X244" s="10">
        <v>1322545403135</v>
      </c>
      <c r="Y244" s="10">
        <v>6451674830</v>
      </c>
      <c r="Z244" s="10">
        <v>61107464744</v>
      </c>
      <c r="AA244" s="10">
        <v>19477902776</v>
      </c>
      <c r="AB244" s="10">
        <v>1403130770655</v>
      </c>
      <c r="AC244" s="10">
        <v>972935322510</v>
      </c>
      <c r="AD244" s="46">
        <v>35.933537670630379</v>
      </c>
      <c r="AE244" s="10">
        <v>954120093141</v>
      </c>
      <c r="AF244" s="10">
        <v>916993106841</v>
      </c>
      <c r="AG244" s="10">
        <v>154518405800</v>
      </c>
      <c r="AH244" s="10">
        <v>0</v>
      </c>
      <c r="AI244" s="10">
        <v>0</v>
      </c>
      <c r="AJ244" s="10">
        <v>0</v>
      </c>
      <c r="AK244" s="10">
        <v>0</v>
      </c>
      <c r="AL244" s="11">
        <v>3</v>
      </c>
      <c r="AM244" s="10">
        <v>446040056000</v>
      </c>
      <c r="AN244" s="11">
        <v>157</v>
      </c>
      <c r="AO244" s="10">
        <v>659229459294</v>
      </c>
      <c r="AP244" s="12">
        <v>41</v>
      </c>
      <c r="AQ244" s="10">
        <v>362570068395</v>
      </c>
      <c r="AR244" s="10">
        <v>96547748179</v>
      </c>
      <c r="AS244" s="10">
        <v>17012164361</v>
      </c>
      <c r="AT244" s="10">
        <v>79535583818</v>
      </c>
      <c r="AU244" s="11">
        <v>467.52</v>
      </c>
      <c r="AV244" s="10">
        <v>560149479697</v>
      </c>
      <c r="AW244" s="10">
        <v>198727162623</v>
      </c>
      <c r="AX244" s="10">
        <v>223684899358</v>
      </c>
      <c r="AY244" s="10">
        <v>143690399101</v>
      </c>
      <c r="AZ244" s="10">
        <v>279108870041</v>
      </c>
      <c r="BA244" s="10">
        <v>535284000000</v>
      </c>
      <c r="BB244" s="10">
        <v>221940654601</v>
      </c>
      <c r="BC244" s="10">
        <v>1269947960193</v>
      </c>
      <c r="BD244" s="12">
        <v>21954</v>
      </c>
      <c r="BE244" s="10">
        <v>455555090152</v>
      </c>
      <c r="BF244" s="10">
        <v>279108870041</v>
      </c>
      <c r="BG244" s="10">
        <v>535284000000</v>
      </c>
      <c r="BH244" s="10">
        <v>556292639040</v>
      </c>
      <c r="BI244" s="10">
        <v>397827454101</v>
      </c>
      <c r="BJ244" s="10">
        <v>0</v>
      </c>
      <c r="BK244" s="10">
        <v>78188734226</v>
      </c>
      <c r="BL244" s="10">
        <v>15451840580</v>
      </c>
      <c r="BM244" s="10">
        <v>0</v>
      </c>
      <c r="BN244" s="10">
        <v>777149114</v>
      </c>
      <c r="BO244" s="10">
        <v>0</v>
      </c>
    </row>
    <row r="245" spans="1:67" x14ac:dyDescent="0.25">
      <c r="A245" s="25" t="s">
        <v>288</v>
      </c>
      <c r="B245" s="9">
        <v>2107</v>
      </c>
      <c r="C245" s="9" t="s">
        <v>295</v>
      </c>
      <c r="D245" s="10">
        <v>605098186241</v>
      </c>
      <c r="E245" s="10">
        <v>2586254410</v>
      </c>
      <c r="F245" s="10">
        <v>0</v>
      </c>
      <c r="G245" s="10">
        <v>0</v>
      </c>
      <c r="H245" s="10">
        <v>607684440651</v>
      </c>
      <c r="I245" s="10">
        <v>46273652607</v>
      </c>
      <c r="J245" s="10">
        <v>7112006400</v>
      </c>
      <c r="K245" s="10">
        <v>554298781644</v>
      </c>
      <c r="L245" s="10">
        <v>408758367458</v>
      </c>
      <c r="M245" s="10">
        <v>198926073193</v>
      </c>
      <c r="N245" s="46">
        <v>48.665932988745411</v>
      </c>
      <c r="O245" s="10">
        <v>1054699453739</v>
      </c>
      <c r="P245" s="11">
        <v>194.56</v>
      </c>
      <c r="Q245" s="11">
        <v>190.28</v>
      </c>
      <c r="R245" s="11">
        <v>1.1100000000000001</v>
      </c>
      <c r="S245" s="10">
        <v>1106875964526</v>
      </c>
      <c r="T245" s="10">
        <v>13154926652</v>
      </c>
      <c r="U245" s="10">
        <v>12505616504</v>
      </c>
      <c r="V245" s="10">
        <v>649310148</v>
      </c>
      <c r="W245" s="10">
        <v>0</v>
      </c>
      <c r="X245" s="10">
        <v>1120030891178</v>
      </c>
      <c r="Y245" s="10">
        <v>0</v>
      </c>
      <c r="Z245" s="10">
        <v>48557112232</v>
      </c>
      <c r="AA245" s="10">
        <v>13718550000</v>
      </c>
      <c r="AB245" s="10">
        <v>1182306553410</v>
      </c>
      <c r="AC245" s="10">
        <v>773731335137</v>
      </c>
      <c r="AD245" s="46">
        <v>44.757080437964014</v>
      </c>
      <c r="AE245" s="10">
        <v>740663768219</v>
      </c>
      <c r="AF245" s="10">
        <v>740663768219</v>
      </c>
      <c r="AG245" s="10">
        <v>0</v>
      </c>
      <c r="AH245" s="10">
        <v>0</v>
      </c>
      <c r="AI245" s="10">
        <v>0</v>
      </c>
      <c r="AJ245" s="10">
        <v>0</v>
      </c>
      <c r="AK245" s="10">
        <v>0</v>
      </c>
      <c r="AL245" s="11">
        <v>0</v>
      </c>
      <c r="AM245" s="10">
        <v>0</v>
      </c>
      <c r="AN245" s="11">
        <v>4</v>
      </c>
      <c r="AO245" s="10">
        <v>2974057050</v>
      </c>
      <c r="AP245" s="12">
        <v>4</v>
      </c>
      <c r="AQ245" s="10">
        <v>2475800000</v>
      </c>
      <c r="AR245" s="10">
        <v>13154926652</v>
      </c>
      <c r="AS245" s="10">
        <v>3699366476</v>
      </c>
      <c r="AT245" s="10">
        <v>9455560176</v>
      </c>
      <c r="AU245" s="11">
        <v>255.6</v>
      </c>
      <c r="AV245" s="10">
        <v>422016691538</v>
      </c>
      <c r="AW245" s="10">
        <v>117648922086</v>
      </c>
      <c r="AX245" s="10">
        <v>46070559182</v>
      </c>
      <c r="AY245" s="10">
        <v>145324278158</v>
      </c>
      <c r="AZ245" s="10">
        <v>181961348901</v>
      </c>
      <c r="BA245" s="10">
        <v>231742000000</v>
      </c>
      <c r="BB245" s="10">
        <v>172707725937</v>
      </c>
      <c r="BC245" s="10">
        <v>607684440651</v>
      </c>
      <c r="BD245" s="12">
        <v>67391</v>
      </c>
      <c r="BE245" s="10">
        <v>193981091750</v>
      </c>
      <c r="BF245" s="10">
        <v>181961348901</v>
      </c>
      <c r="BG245" s="10">
        <v>231742000000</v>
      </c>
      <c r="BH245" s="10">
        <v>539180488219</v>
      </c>
      <c r="BI245" s="10">
        <v>201483280000</v>
      </c>
      <c r="BJ245" s="10">
        <v>0</v>
      </c>
      <c r="BK245" s="10">
        <v>0</v>
      </c>
      <c r="BL245" s="10">
        <v>0</v>
      </c>
      <c r="BM245" s="10">
        <v>0</v>
      </c>
      <c r="BN245" s="10">
        <v>0</v>
      </c>
      <c r="BO245" s="10">
        <v>0</v>
      </c>
    </row>
    <row r="246" spans="1:67" x14ac:dyDescent="0.25">
      <c r="A246" s="25" t="s">
        <v>288</v>
      </c>
      <c r="B246" s="26">
        <v>2199</v>
      </c>
      <c r="C246" s="26" t="s">
        <v>296</v>
      </c>
      <c r="D246" s="27">
        <v>0</v>
      </c>
      <c r="E246" s="27">
        <v>3133346695</v>
      </c>
      <c r="F246" s="27">
        <v>0</v>
      </c>
      <c r="G246" s="27">
        <v>0</v>
      </c>
      <c r="H246" s="27">
        <v>3133346695</v>
      </c>
      <c r="I246" s="27">
        <v>258228946</v>
      </c>
      <c r="J246" s="27">
        <v>51000000</v>
      </c>
      <c r="K246" s="27">
        <v>2824117749</v>
      </c>
      <c r="L246" s="27">
        <v>3118456695</v>
      </c>
      <c r="M246" s="10">
        <v>14890000</v>
      </c>
      <c r="N246" s="46">
        <v>0.47747977465500768</v>
      </c>
      <c r="O246" s="27">
        <v>0</v>
      </c>
      <c r="P246" s="28">
        <v>0</v>
      </c>
      <c r="Q246" s="28">
        <v>0</v>
      </c>
      <c r="R246" s="28">
        <v>0</v>
      </c>
      <c r="S246" s="27">
        <v>0</v>
      </c>
      <c r="T246" s="27">
        <v>0</v>
      </c>
      <c r="U246" s="27">
        <v>0</v>
      </c>
      <c r="V246" s="27">
        <v>0</v>
      </c>
      <c r="W246" s="27">
        <v>0</v>
      </c>
      <c r="X246" s="27">
        <v>0</v>
      </c>
      <c r="Y246" s="10">
        <v>0</v>
      </c>
      <c r="Z246" s="27">
        <v>0</v>
      </c>
      <c r="AA246" s="27">
        <v>0</v>
      </c>
      <c r="AB246" s="27">
        <v>0</v>
      </c>
      <c r="AC246" s="27">
        <v>0</v>
      </c>
      <c r="AD246" s="46" t="s">
        <v>595</v>
      </c>
      <c r="AE246" s="27">
        <v>0</v>
      </c>
      <c r="AF246" s="27">
        <v>0</v>
      </c>
      <c r="AG246" s="27">
        <v>0</v>
      </c>
      <c r="AH246" s="27">
        <v>0</v>
      </c>
      <c r="AI246" s="27">
        <v>0</v>
      </c>
      <c r="AJ246" s="27">
        <v>0</v>
      </c>
      <c r="AK246" s="27">
        <v>0</v>
      </c>
      <c r="AL246" s="28">
        <v>0</v>
      </c>
      <c r="AM246" s="27">
        <v>0</v>
      </c>
      <c r="AN246" s="28">
        <v>0</v>
      </c>
      <c r="AO246" s="27">
        <v>0</v>
      </c>
      <c r="AP246" s="12">
        <v>0</v>
      </c>
      <c r="AQ246" s="10">
        <v>0</v>
      </c>
      <c r="AR246" s="27">
        <v>0</v>
      </c>
      <c r="AS246" s="27">
        <v>0</v>
      </c>
      <c r="AT246" s="27">
        <v>0</v>
      </c>
      <c r="AU246" s="28" t="s">
        <v>593</v>
      </c>
      <c r="AV246" s="27">
        <v>0</v>
      </c>
      <c r="AW246" s="27">
        <v>0</v>
      </c>
      <c r="AX246" s="27">
        <v>0</v>
      </c>
      <c r="AY246" s="27">
        <v>0</v>
      </c>
      <c r="AZ246" s="27">
        <v>0</v>
      </c>
      <c r="BA246" s="27">
        <v>0</v>
      </c>
      <c r="BB246" s="27">
        <v>0</v>
      </c>
      <c r="BC246" s="27">
        <v>3133346695</v>
      </c>
      <c r="BD246" s="29">
        <v>0</v>
      </c>
      <c r="BE246" s="27">
        <v>3133346695</v>
      </c>
      <c r="BF246" s="27">
        <v>0</v>
      </c>
      <c r="BG246" s="27">
        <v>0</v>
      </c>
      <c r="BH246" s="27">
        <v>0</v>
      </c>
      <c r="BI246" s="27">
        <v>0</v>
      </c>
      <c r="BJ246" s="27">
        <v>0</v>
      </c>
      <c r="BK246" s="27">
        <v>0</v>
      </c>
      <c r="BL246" s="27">
        <v>0</v>
      </c>
      <c r="BM246" s="27">
        <v>0</v>
      </c>
      <c r="BN246" s="27">
        <v>0</v>
      </c>
      <c r="BO246" s="27">
        <v>0</v>
      </c>
    </row>
    <row r="247" spans="1:67" x14ac:dyDescent="0.25">
      <c r="A247" s="19" t="s">
        <v>615</v>
      </c>
      <c r="B247" s="20" t="s">
        <v>593</v>
      </c>
      <c r="C247" s="20" t="s">
        <v>593</v>
      </c>
      <c r="D247" s="21">
        <v>15457830883919</v>
      </c>
      <c r="E247" s="21">
        <v>736328982616</v>
      </c>
      <c r="F247" s="21">
        <v>0</v>
      </c>
      <c r="G247" s="21">
        <v>45737400</v>
      </c>
      <c r="H247" s="21">
        <v>16194205603935</v>
      </c>
      <c r="I247" s="21">
        <v>1064562407357</v>
      </c>
      <c r="J247" s="21">
        <v>108141786341</v>
      </c>
      <c r="K247" s="21">
        <v>15021501410237</v>
      </c>
      <c r="L247" s="21">
        <v>11342493661329</v>
      </c>
      <c r="M247" s="21">
        <v>4851711942606</v>
      </c>
      <c r="N247" s="47">
        <v>42.77464980339716</v>
      </c>
      <c r="O247" s="21">
        <v>15304925452062</v>
      </c>
      <c r="P247" s="22">
        <v>113.64</v>
      </c>
      <c r="Q247" s="22">
        <v>101.89</v>
      </c>
      <c r="R247" s="22">
        <v>2.0499999999999998</v>
      </c>
      <c r="S247" s="21">
        <v>17051065578497</v>
      </c>
      <c r="T247" s="21">
        <v>346687768057</v>
      </c>
      <c r="U247" s="21">
        <v>151277963388</v>
      </c>
      <c r="V247" s="21">
        <v>18106852106</v>
      </c>
      <c r="W247" s="21">
        <v>177302952563</v>
      </c>
      <c r="X247" s="21">
        <v>17397753346554</v>
      </c>
      <c r="Y247" s="21">
        <v>30902857220</v>
      </c>
      <c r="Z247" s="21">
        <v>807547270394</v>
      </c>
      <c r="AA247" s="21">
        <v>197726100784</v>
      </c>
      <c r="AB247" s="21">
        <v>18403026717732</v>
      </c>
      <c r="AC247" s="21">
        <v>12869663267086</v>
      </c>
      <c r="AD247" s="47">
        <v>35.184215666687507</v>
      </c>
      <c r="AE247" s="21">
        <v>15131920421621</v>
      </c>
      <c r="AF247" s="21">
        <v>14945172426654</v>
      </c>
      <c r="AG247" s="21">
        <v>2006904212693</v>
      </c>
      <c r="AH247" s="21">
        <v>37347839429</v>
      </c>
      <c r="AI247" s="21">
        <v>13503173603</v>
      </c>
      <c r="AJ247" s="21">
        <v>3000000000</v>
      </c>
      <c r="AK247" s="21">
        <v>0</v>
      </c>
      <c r="AL247" s="22">
        <v>32</v>
      </c>
      <c r="AM247" s="21">
        <v>3841894658015</v>
      </c>
      <c r="AN247" s="22">
        <v>477</v>
      </c>
      <c r="AO247" s="21">
        <v>4114901634420</v>
      </c>
      <c r="AP247" s="23">
        <v>214</v>
      </c>
      <c r="AQ247" s="21">
        <v>1251185564277</v>
      </c>
      <c r="AR247" s="21">
        <v>346687768057</v>
      </c>
      <c r="AS247" s="21">
        <v>297465621445</v>
      </c>
      <c r="AT247" s="21">
        <v>49222146612</v>
      </c>
      <c r="AU247" s="22">
        <v>16.55</v>
      </c>
      <c r="AV247" s="21">
        <v>11084461863654</v>
      </c>
      <c r="AW247" s="21">
        <v>1953575714512</v>
      </c>
      <c r="AX247" s="21">
        <v>6559204701128</v>
      </c>
      <c r="AY247" s="21">
        <v>1348605519644</v>
      </c>
      <c r="AZ247" s="21">
        <v>2017145463147</v>
      </c>
      <c r="BA247" s="21">
        <v>5532875200000</v>
      </c>
      <c r="BB247" s="21">
        <v>1281100210269</v>
      </c>
      <c r="BC247" s="21">
        <v>16194205603935</v>
      </c>
      <c r="BD247" s="23">
        <v>442732</v>
      </c>
      <c r="BE247" s="21">
        <v>8494257457059</v>
      </c>
      <c r="BF247" s="21">
        <v>2017145463147</v>
      </c>
      <c r="BG247" s="21">
        <v>5682802683729</v>
      </c>
      <c r="BH247" s="21">
        <v>9719510300724</v>
      </c>
      <c r="BI247" s="21">
        <v>5412410120897</v>
      </c>
      <c r="BJ247" s="21">
        <v>369999691708</v>
      </c>
      <c r="BK247" s="21">
        <v>92984642926</v>
      </c>
      <c r="BL247" s="21">
        <v>1478216115780</v>
      </c>
      <c r="BM247" s="21">
        <v>0</v>
      </c>
      <c r="BN247" s="21">
        <v>33894300389</v>
      </c>
      <c r="BO247" s="21">
        <v>1347839429</v>
      </c>
    </row>
    <row r="248" spans="1:67" x14ac:dyDescent="0.25">
      <c r="A248" s="25" t="s">
        <v>297</v>
      </c>
      <c r="B248" s="9">
        <v>1</v>
      </c>
      <c r="C248" s="9" t="s">
        <v>298</v>
      </c>
      <c r="D248" s="10">
        <v>0</v>
      </c>
      <c r="E248" s="10">
        <v>162854164</v>
      </c>
      <c r="F248" s="10">
        <v>0</v>
      </c>
      <c r="G248" s="10">
        <v>0</v>
      </c>
      <c r="H248" s="10">
        <v>162854164</v>
      </c>
      <c r="I248" s="10">
        <v>0</v>
      </c>
      <c r="J248" s="10">
        <v>0</v>
      </c>
      <c r="K248" s="10">
        <v>162854164</v>
      </c>
      <c r="L248" s="10">
        <v>27248290</v>
      </c>
      <c r="M248" s="10">
        <v>135605874</v>
      </c>
      <c r="N248" s="46">
        <v>497.66746463723041</v>
      </c>
      <c r="O248" s="10">
        <v>0</v>
      </c>
      <c r="P248" s="11">
        <v>0</v>
      </c>
      <c r="Q248" s="11">
        <v>0</v>
      </c>
      <c r="R248" s="11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46" t="s">
        <v>595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1">
        <v>0</v>
      </c>
      <c r="AM248" s="10">
        <v>0</v>
      </c>
      <c r="AN248" s="11">
        <v>0</v>
      </c>
      <c r="AO248" s="10">
        <v>0</v>
      </c>
      <c r="AP248" s="12">
        <v>0</v>
      </c>
      <c r="AQ248" s="10">
        <v>0</v>
      </c>
      <c r="AR248" s="10">
        <v>0</v>
      </c>
      <c r="AS248" s="10">
        <v>0</v>
      </c>
      <c r="AT248" s="10">
        <v>0</v>
      </c>
      <c r="AU248" s="11" t="s">
        <v>593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162854164</v>
      </c>
      <c r="BD248" s="12">
        <v>1097</v>
      </c>
      <c r="BE248" s="10">
        <v>162854164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</row>
    <row r="249" spans="1:67" x14ac:dyDescent="0.25">
      <c r="A249" s="25" t="s">
        <v>297</v>
      </c>
      <c r="B249" s="9">
        <v>100</v>
      </c>
      <c r="C249" s="9" t="s">
        <v>299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46" t="s">
        <v>595</v>
      </c>
      <c r="O249" s="10">
        <v>0</v>
      </c>
      <c r="P249" s="11" t="s">
        <v>593</v>
      </c>
      <c r="Q249" s="11" t="s">
        <v>593</v>
      </c>
      <c r="R249" s="11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46" t="s">
        <v>595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1">
        <v>0</v>
      </c>
      <c r="AM249" s="10">
        <v>0</v>
      </c>
      <c r="AN249" s="11">
        <v>0</v>
      </c>
      <c r="AO249" s="10">
        <v>0</v>
      </c>
      <c r="AP249" s="12">
        <v>0</v>
      </c>
      <c r="AQ249" s="10">
        <v>0</v>
      </c>
      <c r="AR249" s="10">
        <v>0</v>
      </c>
      <c r="AS249" s="10">
        <v>0</v>
      </c>
      <c r="AT249" s="10">
        <v>0</v>
      </c>
      <c r="AU249" s="11" t="s">
        <v>593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2">
        <v>96336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</row>
    <row r="250" spans="1:67" x14ac:dyDescent="0.25">
      <c r="A250" s="25" t="s">
        <v>297</v>
      </c>
      <c r="B250" s="9">
        <v>1001</v>
      </c>
      <c r="C250" s="9" t="s">
        <v>300</v>
      </c>
      <c r="D250" s="10">
        <v>5377489894105</v>
      </c>
      <c r="E250" s="10">
        <v>15150086343728</v>
      </c>
      <c r="F250" s="10">
        <v>37511858631144</v>
      </c>
      <c r="G250" s="10">
        <v>0</v>
      </c>
      <c r="H250" s="10">
        <v>58039434868977</v>
      </c>
      <c r="I250" s="10">
        <v>5464583287962</v>
      </c>
      <c r="J250" s="10">
        <v>11001291337444</v>
      </c>
      <c r="K250" s="10">
        <v>41573560243571</v>
      </c>
      <c r="L250" s="10">
        <v>21601776001456</v>
      </c>
      <c r="M250" s="10">
        <v>36437658867521</v>
      </c>
      <c r="N250" s="46">
        <v>168.67899595415224</v>
      </c>
      <c r="O250" s="10">
        <v>912276775285</v>
      </c>
      <c r="P250" s="11">
        <v>1.64</v>
      </c>
      <c r="Q250" s="11">
        <v>2.19</v>
      </c>
      <c r="R250" s="11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949052055040</v>
      </c>
      <c r="AA250" s="10">
        <v>0</v>
      </c>
      <c r="AB250" s="10">
        <v>949052055040</v>
      </c>
      <c r="AC250" s="10">
        <v>0</v>
      </c>
      <c r="AD250" s="46" t="s">
        <v>595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1">
        <v>0</v>
      </c>
      <c r="AM250" s="10">
        <v>0</v>
      </c>
      <c r="AN250" s="11">
        <v>0</v>
      </c>
      <c r="AO250" s="10">
        <v>0</v>
      </c>
      <c r="AP250" s="12">
        <v>0</v>
      </c>
      <c r="AQ250" s="10">
        <v>0</v>
      </c>
      <c r="AR250" s="10">
        <v>0</v>
      </c>
      <c r="AS250" s="10">
        <v>0</v>
      </c>
      <c r="AT250" s="10">
        <v>0</v>
      </c>
      <c r="AU250" s="11" t="s">
        <v>593</v>
      </c>
      <c r="AV250" s="10">
        <v>0</v>
      </c>
      <c r="AW250" s="10">
        <v>0</v>
      </c>
      <c r="AX250" s="10">
        <v>3268856951915</v>
      </c>
      <c r="AY250" s="10">
        <v>2071902792668</v>
      </c>
      <c r="AZ250" s="10">
        <v>36730149522</v>
      </c>
      <c r="BA250" s="10">
        <v>0</v>
      </c>
      <c r="BB250" s="10">
        <v>0</v>
      </c>
      <c r="BC250" s="10">
        <v>58039434868977</v>
      </c>
      <c r="BD250" s="12">
        <v>326</v>
      </c>
      <c r="BE250" s="10">
        <v>18127575425300</v>
      </c>
      <c r="BF250" s="10">
        <v>37548588780666</v>
      </c>
      <c r="BG250" s="10">
        <v>2363270663011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</row>
    <row r="251" spans="1:67" x14ac:dyDescent="0.25">
      <c r="A251" s="25" t="s">
        <v>297</v>
      </c>
      <c r="B251" s="9">
        <v>1002</v>
      </c>
      <c r="C251" s="9" t="s">
        <v>301</v>
      </c>
      <c r="D251" s="10">
        <v>0</v>
      </c>
      <c r="E251" s="10">
        <v>16716000</v>
      </c>
      <c r="F251" s="10">
        <v>0</v>
      </c>
      <c r="G251" s="10">
        <v>0</v>
      </c>
      <c r="H251" s="10">
        <v>16716000</v>
      </c>
      <c r="I251" s="10">
        <v>0</v>
      </c>
      <c r="J251" s="10">
        <v>0</v>
      </c>
      <c r="K251" s="10">
        <v>16716000</v>
      </c>
      <c r="L251" s="10">
        <v>12864000</v>
      </c>
      <c r="M251" s="10">
        <v>3852000</v>
      </c>
      <c r="N251" s="46">
        <v>29.944029850746269</v>
      </c>
      <c r="O251" s="10">
        <v>0</v>
      </c>
      <c r="P251" s="11">
        <v>0</v>
      </c>
      <c r="Q251" s="11">
        <v>0</v>
      </c>
      <c r="R251" s="11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46" t="s">
        <v>595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1">
        <v>0</v>
      </c>
      <c r="AM251" s="10">
        <v>0</v>
      </c>
      <c r="AN251" s="11">
        <v>0</v>
      </c>
      <c r="AO251" s="10">
        <v>0</v>
      </c>
      <c r="AP251" s="12">
        <v>0</v>
      </c>
      <c r="AQ251" s="10">
        <v>0</v>
      </c>
      <c r="AR251" s="10">
        <v>0</v>
      </c>
      <c r="AS251" s="10">
        <v>0</v>
      </c>
      <c r="AT251" s="10">
        <v>0</v>
      </c>
      <c r="AU251" s="11" t="s">
        <v>593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16716000</v>
      </c>
      <c r="BD251" s="11">
        <v>471</v>
      </c>
      <c r="BE251" s="10">
        <v>16716000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</row>
    <row r="252" spans="1:67" x14ac:dyDescent="0.25">
      <c r="A252" s="25" t="s">
        <v>297</v>
      </c>
      <c r="B252" s="9">
        <v>1003</v>
      </c>
      <c r="C252" s="9" t="s">
        <v>302</v>
      </c>
      <c r="D252" s="10">
        <v>0</v>
      </c>
      <c r="E252" s="10">
        <v>1600180000</v>
      </c>
      <c r="F252" s="10">
        <v>0</v>
      </c>
      <c r="G252" s="10">
        <v>0</v>
      </c>
      <c r="H252" s="10">
        <v>1600180000</v>
      </c>
      <c r="I252" s="10">
        <v>0</v>
      </c>
      <c r="J252" s="10">
        <v>0</v>
      </c>
      <c r="K252" s="10">
        <v>1600180000</v>
      </c>
      <c r="L252" s="10">
        <v>26180330423</v>
      </c>
      <c r="M252" s="10">
        <v>-24580150423</v>
      </c>
      <c r="N252" s="46">
        <v>-93.887854071565854</v>
      </c>
      <c r="O252" s="10">
        <v>0</v>
      </c>
      <c r="P252" s="11">
        <v>0</v>
      </c>
      <c r="Q252" s="11">
        <v>0</v>
      </c>
      <c r="R252" s="11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46" t="s">
        <v>595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1">
        <v>0</v>
      </c>
      <c r="AM252" s="10">
        <v>0</v>
      </c>
      <c r="AN252" s="11">
        <v>0</v>
      </c>
      <c r="AO252" s="10">
        <v>0</v>
      </c>
      <c r="AP252" s="12">
        <v>0</v>
      </c>
      <c r="AQ252" s="10">
        <v>0</v>
      </c>
      <c r="AR252" s="10">
        <v>0</v>
      </c>
      <c r="AS252" s="10">
        <v>0</v>
      </c>
      <c r="AT252" s="10">
        <v>0</v>
      </c>
      <c r="AU252" s="11" t="s">
        <v>593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1600180000</v>
      </c>
      <c r="BD252" s="12">
        <v>1972</v>
      </c>
      <c r="BE252" s="10">
        <v>1600180000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</row>
    <row r="253" spans="1:67" x14ac:dyDescent="0.25">
      <c r="A253" s="25" t="s">
        <v>297</v>
      </c>
      <c r="B253" s="9">
        <v>1004</v>
      </c>
      <c r="C253" s="9" t="s">
        <v>303</v>
      </c>
      <c r="D253" s="10">
        <v>0</v>
      </c>
      <c r="E253" s="10">
        <v>273351670</v>
      </c>
      <c r="F253" s="10">
        <v>0</v>
      </c>
      <c r="G253" s="10">
        <v>0</v>
      </c>
      <c r="H253" s="10">
        <v>273351670</v>
      </c>
      <c r="I253" s="10">
        <v>0</v>
      </c>
      <c r="J253" s="10">
        <v>0</v>
      </c>
      <c r="K253" s="10">
        <v>273351670</v>
      </c>
      <c r="L253" s="10">
        <v>14135953998</v>
      </c>
      <c r="M253" s="10">
        <v>-13862602328</v>
      </c>
      <c r="N253" s="46">
        <v>-98.066266556620974</v>
      </c>
      <c r="O253" s="10">
        <v>0</v>
      </c>
      <c r="P253" s="11">
        <v>0</v>
      </c>
      <c r="Q253" s="11">
        <v>0</v>
      </c>
      <c r="R253" s="11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46" t="s">
        <v>595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1">
        <v>0</v>
      </c>
      <c r="AM253" s="10">
        <v>0</v>
      </c>
      <c r="AN253" s="11">
        <v>0</v>
      </c>
      <c r="AO253" s="10">
        <v>0</v>
      </c>
      <c r="AP253" s="12">
        <v>0</v>
      </c>
      <c r="AQ253" s="10">
        <v>0</v>
      </c>
      <c r="AR253" s="10">
        <v>0</v>
      </c>
      <c r="AS253" s="10">
        <v>0</v>
      </c>
      <c r="AT253" s="10">
        <v>0</v>
      </c>
      <c r="AU253" s="11" t="s">
        <v>593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273351670</v>
      </c>
      <c r="BD253" s="11">
        <v>0</v>
      </c>
      <c r="BE253" s="10">
        <v>273351670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</row>
    <row r="254" spans="1:67" x14ac:dyDescent="0.25">
      <c r="A254" s="25" t="s">
        <v>297</v>
      </c>
      <c r="B254" s="9">
        <v>1005</v>
      </c>
      <c r="C254" s="9" t="s">
        <v>304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46" t="s">
        <v>595</v>
      </c>
      <c r="O254" s="10">
        <v>42608968523</v>
      </c>
      <c r="P254" s="11" t="s">
        <v>593</v>
      </c>
      <c r="Q254" s="11" t="s">
        <v>593</v>
      </c>
      <c r="R254" s="11">
        <v>7.0000000000000007E-2</v>
      </c>
      <c r="S254" s="10">
        <v>48363405708</v>
      </c>
      <c r="T254" s="10">
        <v>33625941</v>
      </c>
      <c r="U254" s="10">
        <v>33625941</v>
      </c>
      <c r="V254" s="10">
        <v>0</v>
      </c>
      <c r="W254" s="10">
        <v>0</v>
      </c>
      <c r="X254" s="10">
        <v>48397031649</v>
      </c>
      <c r="Y254" s="10">
        <v>0</v>
      </c>
      <c r="Z254" s="10">
        <v>92012594</v>
      </c>
      <c r="AA254" s="10">
        <v>0</v>
      </c>
      <c r="AB254" s="10">
        <v>48489044243</v>
      </c>
      <c r="AC254" s="10">
        <v>0</v>
      </c>
      <c r="AD254" s="46" t="s">
        <v>595</v>
      </c>
      <c r="AE254" s="10">
        <v>43620000000</v>
      </c>
      <c r="AF254" s="10">
        <v>43620000000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1">
        <v>0</v>
      </c>
      <c r="AM254" s="10">
        <v>0</v>
      </c>
      <c r="AN254" s="11">
        <v>0</v>
      </c>
      <c r="AO254" s="10">
        <v>0</v>
      </c>
      <c r="AP254" s="12">
        <v>0</v>
      </c>
      <c r="AQ254" s="10">
        <v>0</v>
      </c>
      <c r="AR254" s="10">
        <v>33625941</v>
      </c>
      <c r="AS254" s="10">
        <v>0</v>
      </c>
      <c r="AT254" s="10">
        <v>33625941</v>
      </c>
      <c r="AU254" s="11" t="s">
        <v>593</v>
      </c>
      <c r="AV254" s="10">
        <v>1132215243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1">
        <v>0</v>
      </c>
      <c r="BE254" s="10">
        <v>0</v>
      </c>
      <c r="BF254" s="10">
        <v>0</v>
      </c>
      <c r="BG254" s="10">
        <v>0</v>
      </c>
      <c r="BH254" s="10">
        <v>27720000000</v>
      </c>
      <c r="BI254" s="10">
        <v>15900000000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</row>
    <row r="255" spans="1:67" x14ac:dyDescent="0.25">
      <c r="A255" s="25" t="s">
        <v>297</v>
      </c>
      <c r="B255" s="9">
        <v>101</v>
      </c>
      <c r="C255" s="9" t="s">
        <v>305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46" t="s">
        <v>595</v>
      </c>
      <c r="O255" s="10">
        <v>0</v>
      </c>
      <c r="P255" s="11" t="s">
        <v>593</v>
      </c>
      <c r="Q255" s="11" t="s">
        <v>593</v>
      </c>
      <c r="R255" s="11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46" t="s">
        <v>595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1">
        <v>0</v>
      </c>
      <c r="AM255" s="10">
        <v>0</v>
      </c>
      <c r="AN255" s="11">
        <v>0</v>
      </c>
      <c r="AO255" s="10">
        <v>0</v>
      </c>
      <c r="AP255" s="12">
        <v>0</v>
      </c>
      <c r="AQ255" s="10">
        <v>0</v>
      </c>
      <c r="AR255" s="10">
        <v>0</v>
      </c>
      <c r="AS255" s="10">
        <v>0</v>
      </c>
      <c r="AT255" s="10">
        <v>0</v>
      </c>
      <c r="AU255" s="11" t="s">
        <v>593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2">
        <v>53724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</row>
    <row r="256" spans="1:67" x14ac:dyDescent="0.25">
      <c r="A256" s="25" t="s">
        <v>297</v>
      </c>
      <c r="B256" s="9">
        <v>1010</v>
      </c>
      <c r="C256" s="9" t="s">
        <v>306</v>
      </c>
      <c r="D256" s="10">
        <v>0</v>
      </c>
      <c r="E256" s="10">
        <v>165000000</v>
      </c>
      <c r="F256" s="10">
        <v>0</v>
      </c>
      <c r="G256" s="10">
        <v>5074690106109</v>
      </c>
      <c r="H256" s="10">
        <v>5074855106109</v>
      </c>
      <c r="I256" s="10">
        <v>0</v>
      </c>
      <c r="J256" s="10">
        <v>25281836703437</v>
      </c>
      <c r="K256" s="10">
        <v>-20206981597328</v>
      </c>
      <c r="L256" s="10">
        <v>2069413783942</v>
      </c>
      <c r="M256" s="10">
        <v>3005441322167</v>
      </c>
      <c r="N256" s="46">
        <v>145.23153104943435</v>
      </c>
      <c r="O256" s="10">
        <v>0</v>
      </c>
      <c r="P256" s="11">
        <v>0</v>
      </c>
      <c r="Q256" s="11">
        <v>0</v>
      </c>
      <c r="R256" s="11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46" t="s">
        <v>595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1">
        <v>0</v>
      </c>
      <c r="AM256" s="10">
        <v>0</v>
      </c>
      <c r="AN256" s="11">
        <v>0</v>
      </c>
      <c r="AO256" s="10">
        <v>0</v>
      </c>
      <c r="AP256" s="12">
        <v>0</v>
      </c>
      <c r="AQ256" s="10">
        <v>0</v>
      </c>
      <c r="AR256" s="10">
        <v>0</v>
      </c>
      <c r="AS256" s="10">
        <v>0</v>
      </c>
      <c r="AT256" s="10">
        <v>0</v>
      </c>
      <c r="AU256" s="11" t="s">
        <v>593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0</v>
      </c>
      <c r="BC256" s="10">
        <v>5074855106109</v>
      </c>
      <c r="BD256" s="12">
        <v>10570</v>
      </c>
      <c r="BE256" s="10">
        <v>5074855106109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</row>
    <row r="257" spans="1:67" x14ac:dyDescent="0.25">
      <c r="A257" s="25" t="s">
        <v>297</v>
      </c>
      <c r="B257" s="9">
        <v>1011</v>
      </c>
      <c r="C257" s="9" t="s">
        <v>307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46" t="s">
        <v>595</v>
      </c>
      <c r="O257" s="10">
        <v>0</v>
      </c>
      <c r="P257" s="11" t="s">
        <v>593</v>
      </c>
      <c r="Q257" s="11" t="s">
        <v>593</v>
      </c>
      <c r="R257" s="11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46" t="s">
        <v>595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1">
        <v>0</v>
      </c>
      <c r="AM257" s="10">
        <v>0</v>
      </c>
      <c r="AN257" s="11">
        <v>0</v>
      </c>
      <c r="AO257" s="10">
        <v>0</v>
      </c>
      <c r="AP257" s="12">
        <v>0</v>
      </c>
      <c r="AQ257" s="10">
        <v>0</v>
      </c>
      <c r="AR257" s="10">
        <v>0</v>
      </c>
      <c r="AS257" s="10">
        <v>0</v>
      </c>
      <c r="AT257" s="10">
        <v>0</v>
      </c>
      <c r="AU257" s="11" t="s">
        <v>593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2">
        <v>33576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</row>
    <row r="258" spans="1:67" x14ac:dyDescent="0.25">
      <c r="A258" s="25" t="s">
        <v>297</v>
      </c>
      <c r="B258" s="9">
        <v>102</v>
      </c>
      <c r="C258" s="9" t="s">
        <v>308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46" t="s">
        <v>595</v>
      </c>
      <c r="O258" s="10">
        <v>0</v>
      </c>
      <c r="P258" s="11" t="s">
        <v>593</v>
      </c>
      <c r="Q258" s="11" t="s">
        <v>593</v>
      </c>
      <c r="R258" s="11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46" t="s">
        <v>595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1">
        <v>0</v>
      </c>
      <c r="AM258" s="10">
        <v>0</v>
      </c>
      <c r="AN258" s="11">
        <v>0</v>
      </c>
      <c r="AO258" s="10">
        <v>0</v>
      </c>
      <c r="AP258" s="12">
        <v>0</v>
      </c>
      <c r="AQ258" s="10">
        <v>0</v>
      </c>
      <c r="AR258" s="10">
        <v>0</v>
      </c>
      <c r="AS258" s="10">
        <v>0</v>
      </c>
      <c r="AT258" s="10">
        <v>0</v>
      </c>
      <c r="AU258" s="11" t="s">
        <v>593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2">
        <v>132730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</row>
    <row r="259" spans="1:67" x14ac:dyDescent="0.25">
      <c r="A259" s="25" t="s">
        <v>297</v>
      </c>
      <c r="B259" s="9">
        <v>103</v>
      </c>
      <c r="C259" s="9" t="s">
        <v>309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46" t="s">
        <v>595</v>
      </c>
      <c r="O259" s="10">
        <v>0</v>
      </c>
      <c r="P259" s="11" t="s">
        <v>593</v>
      </c>
      <c r="Q259" s="11" t="s">
        <v>593</v>
      </c>
      <c r="R259" s="11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46" t="s">
        <v>595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1">
        <v>0</v>
      </c>
      <c r="AM259" s="10">
        <v>0</v>
      </c>
      <c r="AN259" s="11">
        <v>0</v>
      </c>
      <c r="AO259" s="10">
        <v>0</v>
      </c>
      <c r="AP259" s="12">
        <v>0</v>
      </c>
      <c r="AQ259" s="10">
        <v>0</v>
      </c>
      <c r="AR259" s="10">
        <v>0</v>
      </c>
      <c r="AS259" s="10">
        <v>0</v>
      </c>
      <c r="AT259" s="10">
        <v>0</v>
      </c>
      <c r="AU259" s="11" t="s">
        <v>593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2">
        <v>161962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</row>
    <row r="260" spans="1:67" x14ac:dyDescent="0.25">
      <c r="A260" s="25" t="s">
        <v>297</v>
      </c>
      <c r="B260" s="9">
        <v>104</v>
      </c>
      <c r="C260" s="9" t="s">
        <v>310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46" t="s">
        <v>595</v>
      </c>
      <c r="O260" s="10">
        <v>0</v>
      </c>
      <c r="P260" s="11" t="s">
        <v>593</v>
      </c>
      <c r="Q260" s="11" t="s">
        <v>593</v>
      </c>
      <c r="R260" s="11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46" t="s">
        <v>595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1">
        <v>0</v>
      </c>
      <c r="AM260" s="10">
        <v>0</v>
      </c>
      <c r="AN260" s="11">
        <v>0</v>
      </c>
      <c r="AO260" s="10">
        <v>0</v>
      </c>
      <c r="AP260" s="12">
        <v>0</v>
      </c>
      <c r="AQ260" s="10">
        <v>0</v>
      </c>
      <c r="AR260" s="10">
        <v>0</v>
      </c>
      <c r="AS260" s="10">
        <v>0</v>
      </c>
      <c r="AT260" s="10">
        <v>0</v>
      </c>
      <c r="AU260" s="11" t="s">
        <v>593</v>
      </c>
      <c r="AV260" s="10">
        <v>0</v>
      </c>
      <c r="AW260" s="10">
        <v>0</v>
      </c>
      <c r="AX260" s="10">
        <v>0</v>
      </c>
      <c r="AY260" s="10">
        <v>0</v>
      </c>
      <c r="AZ260" s="10">
        <v>0</v>
      </c>
      <c r="BA260" s="10">
        <v>0</v>
      </c>
      <c r="BB260" s="10">
        <v>0</v>
      </c>
      <c r="BC260" s="10">
        <v>0</v>
      </c>
      <c r="BD260" s="12">
        <v>81491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</row>
    <row r="261" spans="1:67" x14ac:dyDescent="0.25">
      <c r="A261" s="25" t="s">
        <v>297</v>
      </c>
      <c r="B261" s="9">
        <v>105</v>
      </c>
      <c r="C261" s="9" t="s">
        <v>311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46" t="s">
        <v>595</v>
      </c>
      <c r="O261" s="10">
        <v>0</v>
      </c>
      <c r="P261" s="11" t="s">
        <v>593</v>
      </c>
      <c r="Q261" s="11" t="s">
        <v>593</v>
      </c>
      <c r="R261" s="11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46" t="s">
        <v>595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1">
        <v>0</v>
      </c>
      <c r="AM261" s="10">
        <v>0</v>
      </c>
      <c r="AN261" s="11">
        <v>0</v>
      </c>
      <c r="AO261" s="10">
        <v>0</v>
      </c>
      <c r="AP261" s="12">
        <v>0</v>
      </c>
      <c r="AQ261" s="10">
        <v>0</v>
      </c>
      <c r="AR261" s="10">
        <v>0</v>
      </c>
      <c r="AS261" s="10">
        <v>0</v>
      </c>
      <c r="AT261" s="10">
        <v>0</v>
      </c>
      <c r="AU261" s="11" t="s">
        <v>593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0</v>
      </c>
      <c r="BD261" s="12">
        <v>42739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</row>
    <row r="262" spans="1:67" x14ac:dyDescent="0.25">
      <c r="A262" s="25" t="s">
        <v>297</v>
      </c>
      <c r="B262" s="9">
        <v>106</v>
      </c>
      <c r="C262" s="9" t="s">
        <v>312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46" t="s">
        <v>595</v>
      </c>
      <c r="O262" s="10">
        <v>0</v>
      </c>
      <c r="P262" s="11" t="s">
        <v>593</v>
      </c>
      <c r="Q262" s="11" t="s">
        <v>593</v>
      </c>
      <c r="R262" s="11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46" t="s">
        <v>595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1">
        <v>0</v>
      </c>
      <c r="AM262" s="10">
        <v>0</v>
      </c>
      <c r="AN262" s="11">
        <v>0</v>
      </c>
      <c r="AO262" s="10">
        <v>0</v>
      </c>
      <c r="AP262" s="12">
        <v>0</v>
      </c>
      <c r="AQ262" s="10">
        <v>0</v>
      </c>
      <c r="AR262" s="10">
        <v>0</v>
      </c>
      <c r="AS262" s="10">
        <v>0</v>
      </c>
      <c r="AT262" s="10">
        <v>0</v>
      </c>
      <c r="AU262" s="11" t="s">
        <v>593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10">
        <v>0</v>
      </c>
      <c r="BC262" s="10">
        <v>0</v>
      </c>
      <c r="BD262" s="12">
        <v>106579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</row>
    <row r="263" spans="1:67" x14ac:dyDescent="0.25">
      <c r="A263" s="25" t="s">
        <v>297</v>
      </c>
      <c r="B263" s="9">
        <v>107</v>
      </c>
      <c r="C263" s="9" t="s">
        <v>313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46" t="s">
        <v>595</v>
      </c>
      <c r="O263" s="10">
        <v>0</v>
      </c>
      <c r="P263" s="11" t="s">
        <v>593</v>
      </c>
      <c r="Q263" s="11" t="s">
        <v>593</v>
      </c>
      <c r="R263" s="11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46" t="s">
        <v>595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1">
        <v>0</v>
      </c>
      <c r="AM263" s="10">
        <v>0</v>
      </c>
      <c r="AN263" s="11">
        <v>0</v>
      </c>
      <c r="AO263" s="10">
        <v>0</v>
      </c>
      <c r="AP263" s="12">
        <v>0</v>
      </c>
      <c r="AQ263" s="10">
        <v>0</v>
      </c>
      <c r="AR263" s="10">
        <v>0</v>
      </c>
      <c r="AS263" s="10">
        <v>0</v>
      </c>
      <c r="AT263" s="10">
        <v>0</v>
      </c>
      <c r="AU263" s="11" t="s">
        <v>593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2">
        <v>12984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</row>
    <row r="264" spans="1:67" x14ac:dyDescent="0.25">
      <c r="A264" s="25" t="s">
        <v>297</v>
      </c>
      <c r="B264" s="9">
        <v>1075</v>
      </c>
      <c r="C264" s="9" t="s">
        <v>592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46" t="s">
        <v>595</v>
      </c>
      <c r="O264" s="10">
        <v>0</v>
      </c>
      <c r="P264" s="11" t="s">
        <v>593</v>
      </c>
      <c r="Q264" s="11" t="s">
        <v>593</v>
      </c>
      <c r="R264" s="11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46" t="s">
        <v>595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1">
        <v>0</v>
      </c>
      <c r="AM264" s="10">
        <v>0</v>
      </c>
      <c r="AN264" s="11">
        <v>0</v>
      </c>
      <c r="AO264" s="10">
        <v>0</v>
      </c>
      <c r="AP264" s="12">
        <v>0</v>
      </c>
      <c r="AQ264" s="10">
        <v>0</v>
      </c>
      <c r="AR264" s="10">
        <v>0</v>
      </c>
      <c r="AS264" s="10">
        <v>0</v>
      </c>
      <c r="AT264" s="10">
        <v>0</v>
      </c>
      <c r="AU264" s="11" t="s">
        <v>593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2">
        <v>1196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</row>
    <row r="265" spans="1:67" x14ac:dyDescent="0.25">
      <c r="A265" s="25" t="s">
        <v>297</v>
      </c>
      <c r="B265" s="26">
        <v>108</v>
      </c>
      <c r="C265" s="26" t="s">
        <v>314</v>
      </c>
      <c r="D265" s="27">
        <v>0</v>
      </c>
      <c r="E265" s="27">
        <v>0</v>
      </c>
      <c r="F265" s="27">
        <v>0</v>
      </c>
      <c r="G265" s="27">
        <v>0</v>
      </c>
      <c r="H265" s="27">
        <v>0</v>
      </c>
      <c r="I265" s="27">
        <v>0</v>
      </c>
      <c r="J265" s="27">
        <v>0</v>
      </c>
      <c r="K265" s="27">
        <v>0</v>
      </c>
      <c r="L265" s="27">
        <v>0</v>
      </c>
      <c r="M265" s="10">
        <v>0</v>
      </c>
      <c r="N265" s="46" t="s">
        <v>595</v>
      </c>
      <c r="O265" s="27">
        <v>0</v>
      </c>
      <c r="P265" s="28" t="s">
        <v>593</v>
      </c>
      <c r="Q265" s="28" t="s">
        <v>593</v>
      </c>
      <c r="R265" s="28">
        <v>0</v>
      </c>
      <c r="S265" s="27">
        <v>0</v>
      </c>
      <c r="T265" s="27">
        <v>0</v>
      </c>
      <c r="U265" s="27">
        <v>0</v>
      </c>
      <c r="V265" s="27">
        <v>0</v>
      </c>
      <c r="W265" s="27">
        <v>0</v>
      </c>
      <c r="X265" s="27">
        <v>0</v>
      </c>
      <c r="Y265" s="10">
        <v>0</v>
      </c>
      <c r="Z265" s="27">
        <v>0</v>
      </c>
      <c r="AA265" s="27">
        <v>0</v>
      </c>
      <c r="AB265" s="27">
        <v>0</v>
      </c>
      <c r="AC265" s="27">
        <v>0</v>
      </c>
      <c r="AD265" s="46" t="s">
        <v>595</v>
      </c>
      <c r="AE265" s="27">
        <v>0</v>
      </c>
      <c r="AF265" s="27">
        <v>0</v>
      </c>
      <c r="AG265" s="27">
        <v>0</v>
      </c>
      <c r="AH265" s="27">
        <v>0</v>
      </c>
      <c r="AI265" s="27">
        <v>0</v>
      </c>
      <c r="AJ265" s="27">
        <v>0</v>
      </c>
      <c r="AK265" s="27">
        <v>0</v>
      </c>
      <c r="AL265" s="28">
        <v>0</v>
      </c>
      <c r="AM265" s="27">
        <v>0</v>
      </c>
      <c r="AN265" s="28">
        <v>0</v>
      </c>
      <c r="AO265" s="27">
        <v>0</v>
      </c>
      <c r="AP265" s="12">
        <v>0</v>
      </c>
      <c r="AQ265" s="10">
        <v>0</v>
      </c>
      <c r="AR265" s="27">
        <v>0</v>
      </c>
      <c r="AS265" s="27">
        <v>0</v>
      </c>
      <c r="AT265" s="27">
        <v>0</v>
      </c>
      <c r="AU265" s="28" t="s">
        <v>593</v>
      </c>
      <c r="AV265" s="27">
        <v>0</v>
      </c>
      <c r="AW265" s="27">
        <v>0</v>
      </c>
      <c r="AX265" s="27">
        <v>0</v>
      </c>
      <c r="AY265" s="27">
        <v>0</v>
      </c>
      <c r="AZ265" s="27">
        <v>0</v>
      </c>
      <c r="BA265" s="27">
        <v>0</v>
      </c>
      <c r="BB265" s="27">
        <v>0</v>
      </c>
      <c r="BC265" s="27">
        <v>0</v>
      </c>
      <c r="BD265" s="29">
        <v>44514</v>
      </c>
      <c r="BE265" s="27">
        <v>0</v>
      </c>
      <c r="BF265" s="27">
        <v>0</v>
      </c>
      <c r="BG265" s="27">
        <v>0</v>
      </c>
      <c r="BH265" s="27">
        <v>0</v>
      </c>
      <c r="BI265" s="27">
        <v>0</v>
      </c>
      <c r="BJ265" s="27">
        <v>0</v>
      </c>
      <c r="BK265" s="27">
        <v>0</v>
      </c>
      <c r="BL265" s="27">
        <v>0</v>
      </c>
      <c r="BM265" s="27">
        <v>0</v>
      </c>
      <c r="BN265" s="27">
        <v>0</v>
      </c>
      <c r="BO265" s="27">
        <v>0</v>
      </c>
    </row>
    <row r="266" spans="1:67" x14ac:dyDescent="0.25">
      <c r="A266" s="25" t="s">
        <v>297</v>
      </c>
      <c r="B266" s="9">
        <v>109</v>
      </c>
      <c r="C266" s="9" t="s">
        <v>588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46" t="s">
        <v>595</v>
      </c>
      <c r="O266" s="10">
        <v>0</v>
      </c>
      <c r="P266" s="11" t="s">
        <v>593</v>
      </c>
      <c r="Q266" s="11" t="s">
        <v>593</v>
      </c>
      <c r="R266" s="11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46" t="s">
        <v>595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1">
        <v>0</v>
      </c>
      <c r="AM266" s="10">
        <v>0</v>
      </c>
      <c r="AN266" s="11">
        <v>0</v>
      </c>
      <c r="AO266" s="10">
        <v>0</v>
      </c>
      <c r="AP266" s="12">
        <v>0</v>
      </c>
      <c r="AQ266" s="10">
        <v>0</v>
      </c>
      <c r="AR266" s="10">
        <v>0</v>
      </c>
      <c r="AS266" s="10">
        <v>0</v>
      </c>
      <c r="AT266" s="10">
        <v>0</v>
      </c>
      <c r="AU266" s="13" t="s">
        <v>593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2">
        <v>19461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</row>
    <row r="267" spans="1:67" x14ac:dyDescent="0.25">
      <c r="A267" s="25" t="s">
        <v>297</v>
      </c>
      <c r="B267" s="9">
        <v>110</v>
      </c>
      <c r="C267" s="9" t="s">
        <v>315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46" t="s">
        <v>595</v>
      </c>
      <c r="O267" s="10">
        <v>0</v>
      </c>
      <c r="P267" s="11" t="s">
        <v>593</v>
      </c>
      <c r="Q267" s="11" t="s">
        <v>593</v>
      </c>
      <c r="R267" s="11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46" t="s">
        <v>595</v>
      </c>
      <c r="AE267" s="10">
        <v>0</v>
      </c>
      <c r="AF267" s="10">
        <v>0</v>
      </c>
      <c r="AG267" s="10">
        <v>0</v>
      </c>
      <c r="AH267" s="10">
        <v>0</v>
      </c>
      <c r="AI267" s="10">
        <v>0</v>
      </c>
      <c r="AJ267" s="10">
        <v>0</v>
      </c>
      <c r="AK267" s="10">
        <v>0</v>
      </c>
      <c r="AL267" s="11">
        <v>0</v>
      </c>
      <c r="AM267" s="10">
        <v>0</v>
      </c>
      <c r="AN267" s="11">
        <v>0</v>
      </c>
      <c r="AO267" s="10">
        <v>0</v>
      </c>
      <c r="AP267" s="12">
        <v>0</v>
      </c>
      <c r="AQ267" s="10">
        <v>0</v>
      </c>
      <c r="AR267" s="10">
        <v>0</v>
      </c>
      <c r="AS267" s="10">
        <v>0</v>
      </c>
      <c r="AT267" s="10">
        <v>0</v>
      </c>
      <c r="AU267" s="13" t="s">
        <v>593</v>
      </c>
      <c r="AV267" s="10">
        <v>0</v>
      </c>
      <c r="AW267" s="10">
        <v>0</v>
      </c>
      <c r="AX267" s="10">
        <v>0</v>
      </c>
      <c r="AY267" s="10">
        <v>0</v>
      </c>
      <c r="AZ267" s="10">
        <v>0</v>
      </c>
      <c r="BA267" s="10">
        <v>0</v>
      </c>
      <c r="BB267" s="10">
        <v>0</v>
      </c>
      <c r="BC267" s="10">
        <v>0</v>
      </c>
      <c r="BD267" s="12">
        <v>27561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  <c r="BJ267" s="10">
        <v>0</v>
      </c>
      <c r="BK267" s="10">
        <v>0</v>
      </c>
      <c r="BL267" s="10">
        <v>0</v>
      </c>
      <c r="BM267" s="10">
        <v>0</v>
      </c>
      <c r="BN267" s="10">
        <v>0</v>
      </c>
      <c r="BO267" s="10">
        <v>0</v>
      </c>
    </row>
    <row r="268" spans="1:67" x14ac:dyDescent="0.25">
      <c r="A268" s="19" t="s">
        <v>614</v>
      </c>
      <c r="B268" s="20" t="s">
        <v>593</v>
      </c>
      <c r="C268" s="20" t="s">
        <v>593</v>
      </c>
      <c r="D268" s="21">
        <v>5377489894105</v>
      </c>
      <c r="E268" s="21">
        <v>15152304445562</v>
      </c>
      <c r="F268" s="21">
        <v>37511858631144</v>
      </c>
      <c r="G268" s="21">
        <v>5074690106109</v>
      </c>
      <c r="H268" s="21">
        <v>63116343076920</v>
      </c>
      <c r="I268" s="21">
        <v>5464583287962</v>
      </c>
      <c r="J268" s="21">
        <v>36283128040881</v>
      </c>
      <c r="K268" s="21">
        <v>21368631748077</v>
      </c>
      <c r="L268" s="21">
        <v>23711546182109</v>
      </c>
      <c r="M268" s="21">
        <v>39404796894811</v>
      </c>
      <c r="N268" s="47">
        <v>166.18400416478525</v>
      </c>
      <c r="O268" s="21">
        <v>954885743808</v>
      </c>
      <c r="P268" s="22">
        <v>1.58</v>
      </c>
      <c r="Q268" s="22">
        <v>4.47</v>
      </c>
      <c r="R268" s="22">
        <v>0</v>
      </c>
      <c r="S268" s="21">
        <v>48363405708</v>
      </c>
      <c r="T268" s="21">
        <v>33625941</v>
      </c>
      <c r="U268" s="21">
        <v>33625941</v>
      </c>
      <c r="V268" s="21">
        <v>0</v>
      </c>
      <c r="W268" s="21">
        <v>0</v>
      </c>
      <c r="X268" s="21">
        <v>48397031649</v>
      </c>
      <c r="Y268" s="21">
        <v>0</v>
      </c>
      <c r="Z268" s="21">
        <v>949144067634</v>
      </c>
      <c r="AA268" s="21">
        <v>0</v>
      </c>
      <c r="AB268" s="21">
        <v>997541099283</v>
      </c>
      <c r="AC268" s="21">
        <v>0</v>
      </c>
      <c r="AD268" s="47" t="s">
        <v>595</v>
      </c>
      <c r="AE268" s="21">
        <v>43620000000</v>
      </c>
      <c r="AF268" s="21">
        <v>43620000000</v>
      </c>
      <c r="AG268" s="21">
        <v>0</v>
      </c>
      <c r="AH268" s="21">
        <v>0</v>
      </c>
      <c r="AI268" s="21">
        <v>0</v>
      </c>
      <c r="AJ268" s="21">
        <v>0</v>
      </c>
      <c r="AK268" s="21">
        <v>0</v>
      </c>
      <c r="AL268" s="22">
        <v>0</v>
      </c>
      <c r="AM268" s="21">
        <v>0</v>
      </c>
      <c r="AN268" s="22">
        <v>0</v>
      </c>
      <c r="AO268" s="21">
        <v>0</v>
      </c>
      <c r="AP268" s="23">
        <v>0</v>
      </c>
      <c r="AQ268" s="21">
        <v>0</v>
      </c>
      <c r="AR268" s="21">
        <v>33625941</v>
      </c>
      <c r="AS268" s="21">
        <v>0</v>
      </c>
      <c r="AT268" s="21">
        <v>33625941</v>
      </c>
      <c r="AU268" s="24" t="s">
        <v>593</v>
      </c>
      <c r="AV268" s="21">
        <v>1132215243</v>
      </c>
      <c r="AW268" s="21">
        <v>0</v>
      </c>
      <c r="AX268" s="21">
        <v>3268856951915</v>
      </c>
      <c r="AY268" s="21">
        <v>2071902792668</v>
      </c>
      <c r="AZ268" s="21">
        <v>36730149522</v>
      </c>
      <c r="BA268" s="21">
        <v>0</v>
      </c>
      <c r="BB268" s="21">
        <v>0</v>
      </c>
      <c r="BC268" s="21">
        <v>63116343076920</v>
      </c>
      <c r="BD268" s="23">
        <v>829289</v>
      </c>
      <c r="BE268" s="21">
        <v>23204483633243</v>
      </c>
      <c r="BF268" s="21">
        <v>37548588780666</v>
      </c>
      <c r="BG268" s="21">
        <v>2363270663011</v>
      </c>
      <c r="BH268" s="21">
        <v>27720000000</v>
      </c>
      <c r="BI268" s="21">
        <v>15900000000</v>
      </c>
      <c r="BJ268" s="21">
        <v>0</v>
      </c>
      <c r="BK268" s="21">
        <v>0</v>
      </c>
      <c r="BL268" s="21">
        <v>0</v>
      </c>
      <c r="BM268" s="21">
        <v>0</v>
      </c>
      <c r="BN268" s="21">
        <v>0</v>
      </c>
      <c r="BO268" s="21">
        <v>0</v>
      </c>
    </row>
    <row r="269" spans="1:67" x14ac:dyDescent="0.25">
      <c r="A269" s="25" t="s">
        <v>316</v>
      </c>
      <c r="B269" s="9">
        <v>2200</v>
      </c>
      <c r="C269" s="9" t="s">
        <v>316</v>
      </c>
      <c r="D269" s="10">
        <v>3138835295920</v>
      </c>
      <c r="E269" s="10">
        <v>506092930497</v>
      </c>
      <c r="F269" s="10">
        <v>75800000000</v>
      </c>
      <c r="G269" s="10">
        <v>1172997565975</v>
      </c>
      <c r="H269" s="10">
        <v>4893725792392</v>
      </c>
      <c r="I269" s="10">
        <v>430830101296</v>
      </c>
      <c r="J269" s="10">
        <v>32055206580</v>
      </c>
      <c r="K269" s="10">
        <v>4430840484516</v>
      </c>
      <c r="L269" s="10">
        <v>4573430726718</v>
      </c>
      <c r="M269" s="10">
        <v>320295065674</v>
      </c>
      <c r="N269" s="46">
        <v>7.0033872778007762</v>
      </c>
      <c r="O269" s="10">
        <v>16550227992940</v>
      </c>
      <c r="P269" s="11">
        <v>379.25</v>
      </c>
      <c r="Q269" s="11">
        <v>373.52</v>
      </c>
      <c r="R269" s="11">
        <v>36.15</v>
      </c>
      <c r="S269" s="10">
        <v>11031330420803</v>
      </c>
      <c r="T269" s="10">
        <v>6320921984664</v>
      </c>
      <c r="U269" s="10">
        <v>25465653831</v>
      </c>
      <c r="V269" s="10">
        <v>11646619542</v>
      </c>
      <c r="W269" s="10">
        <v>6283809711291</v>
      </c>
      <c r="X269" s="10">
        <v>17352252405467</v>
      </c>
      <c r="Y269" s="10">
        <v>388977542724</v>
      </c>
      <c r="Z269" s="10">
        <v>1170919548908</v>
      </c>
      <c r="AA269" s="10">
        <v>36477680100</v>
      </c>
      <c r="AB269" s="10">
        <v>18559649634475</v>
      </c>
      <c r="AC269" s="10">
        <v>4475662326944</v>
      </c>
      <c r="AD269" s="46">
        <v>287.70244799310376</v>
      </c>
      <c r="AE269" s="10">
        <v>25226757861497</v>
      </c>
      <c r="AF269" s="10">
        <v>25145924431645</v>
      </c>
      <c r="AG269" s="10">
        <v>21677555497683</v>
      </c>
      <c r="AH269" s="10">
        <v>80775000000</v>
      </c>
      <c r="AI269" s="10">
        <v>1131886259730</v>
      </c>
      <c r="AJ269" s="10">
        <v>0</v>
      </c>
      <c r="AK269" s="10">
        <v>0</v>
      </c>
      <c r="AL269" s="11">
        <v>44</v>
      </c>
      <c r="AM269" s="10">
        <v>21396693817034</v>
      </c>
      <c r="AN269" s="11">
        <v>97</v>
      </c>
      <c r="AO269" s="10">
        <v>2750562578720</v>
      </c>
      <c r="AP269" s="12">
        <v>117</v>
      </c>
      <c r="AQ269" s="10">
        <v>3423951040374</v>
      </c>
      <c r="AR269" s="10">
        <v>6320921984664</v>
      </c>
      <c r="AS269" s="10">
        <v>96351559674</v>
      </c>
      <c r="AT269" s="10">
        <v>6224570424990</v>
      </c>
      <c r="AU269" s="13">
        <v>6460.27</v>
      </c>
      <c r="AV269" s="10">
        <v>13198877429267</v>
      </c>
      <c r="AW269" s="10">
        <v>2466341993134</v>
      </c>
      <c r="AX269" s="10">
        <v>338334485613</v>
      </c>
      <c r="AY269" s="10">
        <v>283005714427</v>
      </c>
      <c r="AZ269" s="10">
        <v>2255348895880</v>
      </c>
      <c r="BA269" s="10">
        <v>262146200000</v>
      </c>
      <c r="BB269" s="10">
        <v>539879726189</v>
      </c>
      <c r="BC269" s="10">
        <v>4893725792392</v>
      </c>
      <c r="BD269" s="12">
        <v>549806</v>
      </c>
      <c r="BE269" s="10">
        <v>2218221129868</v>
      </c>
      <c r="BF269" s="10">
        <v>2331148895880</v>
      </c>
      <c r="BG269" s="10">
        <v>344355766644</v>
      </c>
      <c r="BH269" s="10">
        <v>14778189953149</v>
      </c>
      <c r="BI269" s="10">
        <v>10448567908348</v>
      </c>
      <c r="BJ269" s="10">
        <v>4228721129075</v>
      </c>
      <c r="BK269" s="10">
        <v>6210996404728</v>
      </c>
      <c r="BL269" s="10">
        <v>10820843389832</v>
      </c>
      <c r="BM269" s="10">
        <v>0</v>
      </c>
      <c r="BN269" s="10">
        <v>0</v>
      </c>
      <c r="BO269" s="10">
        <v>80775000000</v>
      </c>
    </row>
    <row r="270" spans="1:67" x14ac:dyDescent="0.25">
      <c r="A270" s="25" t="s">
        <v>316</v>
      </c>
      <c r="B270" s="9">
        <v>2201</v>
      </c>
      <c r="C270" s="9" t="s">
        <v>317</v>
      </c>
      <c r="D270" s="10">
        <v>1608514032002</v>
      </c>
      <c r="E270" s="10">
        <v>98413966246</v>
      </c>
      <c r="F270" s="10">
        <v>0</v>
      </c>
      <c r="G270" s="10">
        <v>0</v>
      </c>
      <c r="H270" s="10">
        <v>1706927998248</v>
      </c>
      <c r="I270" s="10">
        <v>114286935378</v>
      </c>
      <c r="J270" s="10">
        <v>11756686862</v>
      </c>
      <c r="K270" s="10">
        <v>1580884376008</v>
      </c>
      <c r="L270" s="10">
        <v>1440386854522</v>
      </c>
      <c r="M270" s="10">
        <v>266541143726</v>
      </c>
      <c r="N270" s="46">
        <v>18.504830343960137</v>
      </c>
      <c r="O270" s="10">
        <v>4222011280571</v>
      </c>
      <c r="P270" s="11">
        <v>275.29000000000002</v>
      </c>
      <c r="Q270" s="11">
        <v>267.07</v>
      </c>
      <c r="R270" s="11">
        <v>28.99</v>
      </c>
      <c r="S270" s="10">
        <v>3121161068400</v>
      </c>
      <c r="T270" s="10">
        <v>1294256836936</v>
      </c>
      <c r="U270" s="10">
        <v>6251175565</v>
      </c>
      <c r="V270" s="10">
        <v>0</v>
      </c>
      <c r="W270" s="10">
        <v>1288005661371</v>
      </c>
      <c r="X270" s="10">
        <v>4415417905336</v>
      </c>
      <c r="Y270" s="10">
        <v>68131204824</v>
      </c>
      <c r="Z270" s="10">
        <v>256294100482</v>
      </c>
      <c r="AA270" s="10">
        <v>27335987528</v>
      </c>
      <c r="AB270" s="10">
        <v>4699047993346</v>
      </c>
      <c r="AC270" s="10">
        <v>2809246035291</v>
      </c>
      <c r="AD270" s="46">
        <v>57.174482044917163</v>
      </c>
      <c r="AE270" s="10">
        <v>10753997770919</v>
      </c>
      <c r="AF270" s="10">
        <v>10603037216265</v>
      </c>
      <c r="AG270" s="10">
        <v>9162596097227</v>
      </c>
      <c r="AH270" s="10">
        <v>5925500000</v>
      </c>
      <c r="AI270" s="10">
        <v>0</v>
      </c>
      <c r="AJ270" s="10">
        <v>0</v>
      </c>
      <c r="AK270" s="10">
        <v>0</v>
      </c>
      <c r="AL270" s="11">
        <v>36</v>
      </c>
      <c r="AM270" s="10">
        <v>8512607179663</v>
      </c>
      <c r="AN270" s="11">
        <v>86</v>
      </c>
      <c r="AO270" s="10">
        <v>642822672636</v>
      </c>
      <c r="AP270" s="12">
        <v>52</v>
      </c>
      <c r="AQ270" s="10">
        <v>504145326378</v>
      </c>
      <c r="AR270" s="10">
        <v>1294256836936</v>
      </c>
      <c r="AS270" s="10">
        <v>6408118244</v>
      </c>
      <c r="AT270" s="10">
        <v>1287848718692</v>
      </c>
      <c r="AU270" s="13">
        <v>20097.14</v>
      </c>
      <c r="AV270" s="10">
        <v>9158673584872</v>
      </c>
      <c r="AW270" s="10">
        <v>1324941894813</v>
      </c>
      <c r="AX270" s="10">
        <v>205284211133</v>
      </c>
      <c r="AY270" s="10">
        <v>238947374282</v>
      </c>
      <c r="AZ270" s="10">
        <v>736917444867</v>
      </c>
      <c r="BA270" s="10">
        <v>427365001720</v>
      </c>
      <c r="BB270" s="10">
        <v>632617793405</v>
      </c>
      <c r="BC270" s="10">
        <v>1706927998248</v>
      </c>
      <c r="BD270" s="12">
        <v>18363</v>
      </c>
      <c r="BE270" s="10">
        <v>542645551661</v>
      </c>
      <c r="BF270" s="10">
        <v>736917444867</v>
      </c>
      <c r="BG270" s="10">
        <v>427365001720</v>
      </c>
      <c r="BH270" s="10">
        <v>9140594642175</v>
      </c>
      <c r="BI270" s="10">
        <v>1613403128744</v>
      </c>
      <c r="BJ270" s="10">
        <v>768036999138</v>
      </c>
      <c r="BK270" s="10">
        <v>1287482669410</v>
      </c>
      <c r="BL270" s="10">
        <v>8109280424186</v>
      </c>
      <c r="BM270" s="10">
        <v>0</v>
      </c>
      <c r="BN270" s="10">
        <v>0</v>
      </c>
      <c r="BO270" s="10">
        <v>5925500000</v>
      </c>
    </row>
    <row r="271" spans="1:67" x14ac:dyDescent="0.25">
      <c r="A271" s="25" t="s">
        <v>316</v>
      </c>
      <c r="B271" s="9">
        <v>2202</v>
      </c>
      <c r="C271" s="9" t="s">
        <v>318</v>
      </c>
      <c r="D271" s="10">
        <v>1492875747910</v>
      </c>
      <c r="E271" s="10">
        <v>137822947774</v>
      </c>
      <c r="F271" s="10">
        <v>0</v>
      </c>
      <c r="G271" s="10">
        <v>0</v>
      </c>
      <c r="H271" s="10">
        <v>1630698695684</v>
      </c>
      <c r="I271" s="10">
        <v>126922930860</v>
      </c>
      <c r="J271" s="10">
        <v>6088133327</v>
      </c>
      <c r="K271" s="10">
        <v>1497687631497</v>
      </c>
      <c r="L271" s="10">
        <v>1715295397462</v>
      </c>
      <c r="M271" s="10">
        <v>-84596701778</v>
      </c>
      <c r="N271" s="46">
        <v>-4.9319028024660758</v>
      </c>
      <c r="O271" s="10">
        <v>3561738479135</v>
      </c>
      <c r="P271" s="11">
        <v>235.84</v>
      </c>
      <c r="Q271" s="11">
        <v>237.82</v>
      </c>
      <c r="R271" s="11">
        <v>14.59</v>
      </c>
      <c r="S271" s="10">
        <v>3108149628541</v>
      </c>
      <c r="T271" s="10">
        <v>497289174180</v>
      </c>
      <c r="U271" s="10">
        <v>14140330692</v>
      </c>
      <c r="V271" s="10">
        <v>15374699045</v>
      </c>
      <c r="W271" s="10">
        <v>467774144443</v>
      </c>
      <c r="X271" s="10">
        <v>3605438802721</v>
      </c>
      <c r="Y271" s="10">
        <v>63971451815</v>
      </c>
      <c r="Z271" s="10">
        <v>225388079596</v>
      </c>
      <c r="AA271" s="10">
        <v>14972818047</v>
      </c>
      <c r="AB271" s="10">
        <v>3845799700364</v>
      </c>
      <c r="AC271" s="10">
        <v>1989187080764</v>
      </c>
      <c r="AD271" s="46">
        <v>81.251871057609918</v>
      </c>
      <c r="AE271" s="10">
        <v>7787919845360</v>
      </c>
      <c r="AF271" s="10">
        <v>7774972527028</v>
      </c>
      <c r="AG271" s="10">
        <v>6064447692563</v>
      </c>
      <c r="AH271" s="10">
        <v>608575316338</v>
      </c>
      <c r="AI271" s="10">
        <v>732619577143</v>
      </c>
      <c r="AJ271" s="10">
        <v>0</v>
      </c>
      <c r="AK271" s="10">
        <v>0</v>
      </c>
      <c r="AL271" s="11">
        <v>78</v>
      </c>
      <c r="AM271" s="10">
        <v>4623860990216</v>
      </c>
      <c r="AN271" s="11">
        <v>71</v>
      </c>
      <c r="AO271" s="10">
        <v>1471145607886</v>
      </c>
      <c r="AP271" s="12">
        <v>43</v>
      </c>
      <c r="AQ271" s="10">
        <v>1314920329940</v>
      </c>
      <c r="AR271" s="10">
        <v>497289174180</v>
      </c>
      <c r="AS271" s="10">
        <v>153388571513</v>
      </c>
      <c r="AT271" s="10">
        <v>343900602667</v>
      </c>
      <c r="AU271" s="13">
        <v>224.2</v>
      </c>
      <c r="AV271" s="10">
        <v>6188549433965</v>
      </c>
      <c r="AW271" s="10">
        <v>1406169776072</v>
      </c>
      <c r="AX271" s="10">
        <v>380086215323</v>
      </c>
      <c r="AY271" s="10">
        <v>131733686422</v>
      </c>
      <c r="AZ271" s="10">
        <v>473066646165</v>
      </c>
      <c r="BA271" s="10">
        <v>507989200000</v>
      </c>
      <c r="BB271" s="10">
        <v>374704118469</v>
      </c>
      <c r="BC271" s="10">
        <v>1630698695684</v>
      </c>
      <c r="BD271" s="12">
        <v>99924</v>
      </c>
      <c r="BE271" s="10">
        <v>649642849519</v>
      </c>
      <c r="BF271" s="10">
        <v>473066646165</v>
      </c>
      <c r="BG271" s="10">
        <v>507989200000</v>
      </c>
      <c r="BH271" s="10">
        <v>3582477694726</v>
      </c>
      <c r="BI271" s="10">
        <v>4205442150634</v>
      </c>
      <c r="BJ271" s="10">
        <v>365091534444</v>
      </c>
      <c r="BK271" s="10">
        <v>467774144443</v>
      </c>
      <c r="BL271" s="10">
        <v>4982793253770</v>
      </c>
      <c r="BM271" s="10">
        <v>347000000000</v>
      </c>
      <c r="BN271" s="10">
        <v>0</v>
      </c>
      <c r="BO271" s="10">
        <v>72399189254</v>
      </c>
    </row>
    <row r="272" spans="1:67" x14ac:dyDescent="0.25">
      <c r="A272" s="25" t="s">
        <v>316</v>
      </c>
      <c r="B272" s="9">
        <v>2203</v>
      </c>
      <c r="C272" s="9" t="s">
        <v>319</v>
      </c>
      <c r="D272" s="10">
        <v>1258225184795</v>
      </c>
      <c r="E272" s="10">
        <v>145640238626</v>
      </c>
      <c r="F272" s="10">
        <v>0</v>
      </c>
      <c r="G272" s="10">
        <v>0</v>
      </c>
      <c r="H272" s="10">
        <v>1403865423421</v>
      </c>
      <c r="I272" s="10">
        <v>95459641042</v>
      </c>
      <c r="J272" s="10">
        <v>2660507000</v>
      </c>
      <c r="K272" s="10">
        <v>1305745275379</v>
      </c>
      <c r="L272" s="10">
        <v>1135180421438</v>
      </c>
      <c r="M272" s="10">
        <v>268685001983</v>
      </c>
      <c r="N272" s="46">
        <v>23.668924948744348</v>
      </c>
      <c r="O272" s="10">
        <v>3110417970227</v>
      </c>
      <c r="P272" s="11">
        <v>247.42</v>
      </c>
      <c r="Q272" s="11">
        <v>238.21</v>
      </c>
      <c r="R272" s="11">
        <v>0.12</v>
      </c>
      <c r="S272" s="10">
        <v>3332605701359</v>
      </c>
      <c r="T272" s="10">
        <v>4224346793</v>
      </c>
      <c r="U272" s="10">
        <v>3471335620</v>
      </c>
      <c r="V272" s="10">
        <v>753011173</v>
      </c>
      <c r="W272" s="10">
        <v>0</v>
      </c>
      <c r="X272" s="10">
        <v>3336830048152</v>
      </c>
      <c r="Y272" s="10">
        <v>0</v>
      </c>
      <c r="Z272" s="10">
        <v>112753158668</v>
      </c>
      <c r="AA272" s="10">
        <v>23816880740</v>
      </c>
      <c r="AB272" s="10">
        <v>3473400087560</v>
      </c>
      <c r="AC272" s="10">
        <v>2052742792396</v>
      </c>
      <c r="AD272" s="46">
        <v>62.55470780424416</v>
      </c>
      <c r="AE272" s="10">
        <v>6130217547991</v>
      </c>
      <c r="AF272" s="10">
        <v>6059543904732</v>
      </c>
      <c r="AG272" s="10">
        <v>4094120398153</v>
      </c>
      <c r="AH272" s="10">
        <v>20968868597</v>
      </c>
      <c r="AI272" s="10">
        <v>0</v>
      </c>
      <c r="AJ272" s="10">
        <v>0</v>
      </c>
      <c r="AK272" s="10">
        <v>2094238337</v>
      </c>
      <c r="AL272" s="11">
        <v>22</v>
      </c>
      <c r="AM272" s="10">
        <v>3501151769643</v>
      </c>
      <c r="AN272" s="11">
        <v>35</v>
      </c>
      <c r="AO272" s="10">
        <v>743133087006</v>
      </c>
      <c r="AP272" s="12">
        <v>42</v>
      </c>
      <c r="AQ272" s="10">
        <v>1257041136648</v>
      </c>
      <c r="AR272" s="10">
        <v>4224346793</v>
      </c>
      <c r="AS272" s="10">
        <v>5735687141</v>
      </c>
      <c r="AT272" s="10">
        <v>-1511340348</v>
      </c>
      <c r="AU272" s="13">
        <v>-26.35</v>
      </c>
      <c r="AV272" s="10">
        <v>4815760660759</v>
      </c>
      <c r="AW272" s="10">
        <v>3607537318547</v>
      </c>
      <c r="AX272" s="10">
        <v>365026534988</v>
      </c>
      <c r="AY272" s="10">
        <v>164778542069</v>
      </c>
      <c r="AZ272" s="10">
        <v>496762107738</v>
      </c>
      <c r="BA272" s="10">
        <v>231658000000</v>
      </c>
      <c r="BB272" s="10">
        <v>311031538292</v>
      </c>
      <c r="BC272" s="10">
        <v>1403865423421</v>
      </c>
      <c r="BD272" s="12">
        <v>203939</v>
      </c>
      <c r="BE272" s="10">
        <v>675445315683</v>
      </c>
      <c r="BF272" s="10">
        <v>496762107738</v>
      </c>
      <c r="BG272" s="10">
        <v>231658000000</v>
      </c>
      <c r="BH272" s="10">
        <v>4770606381274</v>
      </c>
      <c r="BI272" s="10">
        <v>1359611166717</v>
      </c>
      <c r="BJ272" s="10">
        <v>747288683521</v>
      </c>
      <c r="BK272" s="10">
        <v>0</v>
      </c>
      <c r="BL272" s="10">
        <v>3776375991763</v>
      </c>
      <c r="BM272" s="10">
        <v>0</v>
      </c>
      <c r="BN272" s="10">
        <v>0</v>
      </c>
      <c r="BO272" s="10">
        <v>20968868597</v>
      </c>
    </row>
    <row r="273" spans="1:67" x14ac:dyDescent="0.25">
      <c r="A273" s="25" t="s">
        <v>316</v>
      </c>
      <c r="B273" s="9">
        <v>2204</v>
      </c>
      <c r="C273" s="9" t="s">
        <v>320</v>
      </c>
      <c r="D273" s="10">
        <v>1417811005812</v>
      </c>
      <c r="E273" s="10">
        <v>194065462144</v>
      </c>
      <c r="F273" s="10">
        <v>0</v>
      </c>
      <c r="G273" s="10">
        <v>0</v>
      </c>
      <c r="H273" s="10">
        <v>1611876467956</v>
      </c>
      <c r="I273" s="10">
        <v>99936714376</v>
      </c>
      <c r="J273" s="10">
        <v>2626005595</v>
      </c>
      <c r="K273" s="10">
        <v>1509313747985</v>
      </c>
      <c r="L273" s="10">
        <v>1421157344707</v>
      </c>
      <c r="M273" s="10">
        <v>190719123249</v>
      </c>
      <c r="N273" s="46">
        <v>13.419986460986877</v>
      </c>
      <c r="O273" s="10">
        <v>2698649856185</v>
      </c>
      <c r="P273" s="11">
        <v>192.88</v>
      </c>
      <c r="Q273" s="11">
        <v>178.8</v>
      </c>
      <c r="R273" s="11">
        <v>1.34</v>
      </c>
      <c r="S273" s="10">
        <v>2966957969535</v>
      </c>
      <c r="T273" s="10">
        <v>319219163</v>
      </c>
      <c r="U273" s="10">
        <v>319219163</v>
      </c>
      <c r="V273" s="10">
        <v>0</v>
      </c>
      <c r="W273" s="10">
        <v>0</v>
      </c>
      <c r="X273" s="10">
        <v>2967277188698</v>
      </c>
      <c r="Y273" s="10">
        <v>41427485206</v>
      </c>
      <c r="Z273" s="10">
        <v>124627203656</v>
      </c>
      <c r="AA273" s="10">
        <v>17015360640</v>
      </c>
      <c r="AB273" s="10">
        <v>3108919752994</v>
      </c>
      <c r="AC273" s="10">
        <v>2976668486293</v>
      </c>
      <c r="AD273" s="46">
        <v>-0.31549692679064412</v>
      </c>
      <c r="AE273" s="10">
        <v>9854484951631</v>
      </c>
      <c r="AF273" s="10">
        <v>9762230542368</v>
      </c>
      <c r="AG273" s="10">
        <v>8405616838575</v>
      </c>
      <c r="AH273" s="10">
        <v>67226408926</v>
      </c>
      <c r="AI273" s="10">
        <v>1303904444650</v>
      </c>
      <c r="AJ273" s="10">
        <v>0</v>
      </c>
      <c r="AK273" s="10">
        <v>0</v>
      </c>
      <c r="AL273" s="11">
        <v>39</v>
      </c>
      <c r="AM273" s="10">
        <v>6806282315183</v>
      </c>
      <c r="AN273" s="11">
        <v>226</v>
      </c>
      <c r="AO273" s="10">
        <v>3404519012691</v>
      </c>
      <c r="AP273" s="12">
        <v>63</v>
      </c>
      <c r="AQ273" s="10">
        <v>2236664223723</v>
      </c>
      <c r="AR273" s="10">
        <v>319219163</v>
      </c>
      <c r="AS273" s="10">
        <v>589941252</v>
      </c>
      <c r="AT273" s="10">
        <v>-270722089</v>
      </c>
      <c r="AU273" s="13">
        <v>-45.89</v>
      </c>
      <c r="AV273" s="10">
        <v>10130810074465</v>
      </c>
      <c r="AW273" s="10">
        <v>3654518822706</v>
      </c>
      <c r="AX273" s="10">
        <v>638764639373</v>
      </c>
      <c r="AY273" s="10">
        <v>131477967071</v>
      </c>
      <c r="AZ273" s="10">
        <v>391403299368</v>
      </c>
      <c r="BA273" s="10">
        <v>256165100000</v>
      </c>
      <c r="BB273" s="10">
        <v>314702163679</v>
      </c>
      <c r="BC273" s="10">
        <v>1611876467956</v>
      </c>
      <c r="BD273" s="12">
        <v>23493</v>
      </c>
      <c r="BE273" s="10">
        <v>964308068588</v>
      </c>
      <c r="BF273" s="10">
        <v>391403299368</v>
      </c>
      <c r="BG273" s="10">
        <v>256165100000</v>
      </c>
      <c r="BH273" s="10">
        <v>9612650859971</v>
      </c>
      <c r="BI273" s="10">
        <v>241834091660</v>
      </c>
      <c r="BJ273" s="10">
        <v>109265636249</v>
      </c>
      <c r="BK273" s="10">
        <v>0</v>
      </c>
      <c r="BL273" s="10">
        <v>9236849313716</v>
      </c>
      <c r="BM273" s="10">
        <v>0</v>
      </c>
      <c r="BN273" s="10">
        <v>0</v>
      </c>
      <c r="BO273" s="10">
        <v>67226408926</v>
      </c>
    </row>
    <row r="274" spans="1:67" x14ac:dyDescent="0.25">
      <c r="A274" s="25" t="s">
        <v>316</v>
      </c>
      <c r="B274" s="9">
        <v>2205</v>
      </c>
      <c r="C274" s="9" t="s">
        <v>321</v>
      </c>
      <c r="D274" s="10">
        <v>1821856021231</v>
      </c>
      <c r="E274" s="10">
        <v>345701509976</v>
      </c>
      <c r="F274" s="10">
        <v>0</v>
      </c>
      <c r="G274" s="10">
        <v>0</v>
      </c>
      <c r="H274" s="10">
        <v>2167557531207</v>
      </c>
      <c r="I274" s="10">
        <v>172529872450</v>
      </c>
      <c r="J274" s="10">
        <v>2445497188</v>
      </c>
      <c r="K274" s="10">
        <v>1992582161569</v>
      </c>
      <c r="L274" s="10">
        <v>2242311035051</v>
      </c>
      <c r="M274" s="10">
        <v>-74753503844</v>
      </c>
      <c r="N274" s="46">
        <v>-3.3337705017493153</v>
      </c>
      <c r="O274" s="10">
        <v>3194955981849</v>
      </c>
      <c r="P274" s="11">
        <v>178.43</v>
      </c>
      <c r="Q274" s="11">
        <v>160.34</v>
      </c>
      <c r="R274" s="11">
        <v>26.71</v>
      </c>
      <c r="S274" s="10">
        <v>2654641107763</v>
      </c>
      <c r="T274" s="10">
        <v>892378915093</v>
      </c>
      <c r="U274" s="10">
        <v>550112623659</v>
      </c>
      <c r="V274" s="10">
        <v>339695472434</v>
      </c>
      <c r="W274" s="10">
        <v>2570819000</v>
      </c>
      <c r="X274" s="10">
        <v>3547020022856</v>
      </c>
      <c r="Y274" s="10">
        <v>140791668675</v>
      </c>
      <c r="Z274" s="10">
        <v>295557041063</v>
      </c>
      <c r="AA274" s="10">
        <v>24992328872</v>
      </c>
      <c r="AB274" s="10">
        <v>3867569392791</v>
      </c>
      <c r="AC274" s="10">
        <v>4429172430482</v>
      </c>
      <c r="AD274" s="46">
        <v>-19.916867574514381</v>
      </c>
      <c r="AE274" s="10">
        <v>7585690581073</v>
      </c>
      <c r="AF274" s="10">
        <v>7443582003130</v>
      </c>
      <c r="AG274" s="10">
        <v>5122947697788</v>
      </c>
      <c r="AH274" s="10">
        <v>338223803378</v>
      </c>
      <c r="AI274" s="10">
        <v>372256744308</v>
      </c>
      <c r="AJ274" s="10">
        <v>0</v>
      </c>
      <c r="AK274" s="10">
        <v>0</v>
      </c>
      <c r="AL274" s="11">
        <v>30</v>
      </c>
      <c r="AM274" s="10">
        <v>3936936759294</v>
      </c>
      <c r="AN274" s="11">
        <v>51</v>
      </c>
      <c r="AO274" s="10">
        <v>2026228715854</v>
      </c>
      <c r="AP274" s="12">
        <v>83</v>
      </c>
      <c r="AQ274" s="10">
        <v>3299971537842</v>
      </c>
      <c r="AR274" s="10">
        <v>892378915093</v>
      </c>
      <c r="AS274" s="10">
        <v>6634093441</v>
      </c>
      <c r="AT274" s="10">
        <v>885744821652</v>
      </c>
      <c r="AU274" s="13">
        <v>13351.41</v>
      </c>
      <c r="AV274" s="10">
        <v>8412391920735</v>
      </c>
      <c r="AW274" s="10">
        <v>2165050385584</v>
      </c>
      <c r="AX274" s="10">
        <v>358294644800</v>
      </c>
      <c r="AY274" s="10">
        <v>137961688525</v>
      </c>
      <c r="AZ274" s="10">
        <v>798581687906</v>
      </c>
      <c r="BA274" s="10">
        <v>527018000000</v>
      </c>
      <c r="BB274" s="10">
        <v>453462291183</v>
      </c>
      <c r="BC274" s="10">
        <v>2167557531207</v>
      </c>
      <c r="BD274" s="12">
        <v>82642</v>
      </c>
      <c r="BE274" s="10">
        <v>841957843301</v>
      </c>
      <c r="BF274" s="10">
        <v>798581687906</v>
      </c>
      <c r="BG274" s="10">
        <v>527018000000</v>
      </c>
      <c r="BH274" s="10">
        <v>6470069052736</v>
      </c>
      <c r="BI274" s="10">
        <v>1115621528337</v>
      </c>
      <c r="BJ274" s="10">
        <v>19962517364</v>
      </c>
      <c r="BK274" s="10">
        <v>0</v>
      </c>
      <c r="BL274" s="10">
        <v>5395713744595</v>
      </c>
      <c r="BM274" s="10">
        <v>0</v>
      </c>
      <c r="BN274" s="10">
        <v>0</v>
      </c>
      <c r="BO274" s="10">
        <v>368157485970</v>
      </c>
    </row>
    <row r="275" spans="1:67" x14ac:dyDescent="0.25">
      <c r="A275" s="25" t="s">
        <v>316</v>
      </c>
      <c r="B275" s="26">
        <v>2206</v>
      </c>
      <c r="C275" s="26" t="s">
        <v>322</v>
      </c>
      <c r="D275" s="27">
        <v>2066747335710</v>
      </c>
      <c r="E275" s="27">
        <v>104642686895</v>
      </c>
      <c r="F275" s="27">
        <v>0</v>
      </c>
      <c r="G275" s="27">
        <v>0</v>
      </c>
      <c r="H275" s="27">
        <v>2171390022605</v>
      </c>
      <c r="I275" s="27">
        <v>110760087697</v>
      </c>
      <c r="J275" s="27">
        <v>2791242123</v>
      </c>
      <c r="K275" s="27">
        <v>2057838692785</v>
      </c>
      <c r="L275" s="27">
        <v>1661968670189</v>
      </c>
      <c r="M275" s="10">
        <v>509421352416</v>
      </c>
      <c r="N275" s="46">
        <v>30.651682041519368</v>
      </c>
      <c r="O275" s="27">
        <v>3474562726867</v>
      </c>
      <c r="P275" s="28">
        <v>184.15</v>
      </c>
      <c r="Q275" s="28">
        <v>168.85</v>
      </c>
      <c r="R275" s="28">
        <v>0.25</v>
      </c>
      <c r="S275" s="27">
        <v>3860039456951</v>
      </c>
      <c r="T275" s="27">
        <v>7172555657</v>
      </c>
      <c r="U275" s="27">
        <v>5441291339</v>
      </c>
      <c r="V275" s="27">
        <v>143419843</v>
      </c>
      <c r="W275" s="27">
        <v>1587844475</v>
      </c>
      <c r="X275" s="27">
        <v>3867212012608</v>
      </c>
      <c r="Y275" s="10">
        <v>2897265141</v>
      </c>
      <c r="Z275" s="27">
        <v>111983234795</v>
      </c>
      <c r="AA275" s="27">
        <v>19493990400</v>
      </c>
      <c r="AB275" s="27">
        <v>3998689237803</v>
      </c>
      <c r="AC275" s="27">
        <v>2067360376972</v>
      </c>
      <c r="AD275" s="46">
        <v>87.060372041771842</v>
      </c>
      <c r="AE275" s="27">
        <v>6639885626206</v>
      </c>
      <c r="AF275" s="27">
        <v>6356561616215</v>
      </c>
      <c r="AG275" s="27">
        <v>2893422164603</v>
      </c>
      <c r="AH275" s="27">
        <v>672485938195</v>
      </c>
      <c r="AI275" s="27">
        <v>528051779387</v>
      </c>
      <c r="AJ275" s="27">
        <v>0</v>
      </c>
      <c r="AK275" s="27">
        <v>0</v>
      </c>
      <c r="AL275" s="28">
        <v>30</v>
      </c>
      <c r="AM275" s="27">
        <v>2620929068150</v>
      </c>
      <c r="AN275" s="28">
        <v>109</v>
      </c>
      <c r="AO275" s="27">
        <v>1136909553602</v>
      </c>
      <c r="AP275" s="12">
        <v>49</v>
      </c>
      <c r="AQ275" s="10">
        <v>1111954539351</v>
      </c>
      <c r="AR275" s="27">
        <v>7172555657</v>
      </c>
      <c r="AS275" s="27">
        <v>5627716508</v>
      </c>
      <c r="AT275" s="27">
        <v>1544839149</v>
      </c>
      <c r="AU275" s="28">
        <v>27.45</v>
      </c>
      <c r="AV275" s="27">
        <v>5308909901427</v>
      </c>
      <c r="AW275" s="27">
        <v>1136878785342</v>
      </c>
      <c r="AX275" s="27">
        <v>707874134979</v>
      </c>
      <c r="AY275" s="27">
        <v>234442695097</v>
      </c>
      <c r="AZ275" s="27">
        <v>674890505634</v>
      </c>
      <c r="BA275" s="27">
        <v>449540000000</v>
      </c>
      <c r="BB275" s="27">
        <v>561819285427</v>
      </c>
      <c r="BC275" s="27">
        <v>2171390022605</v>
      </c>
      <c r="BD275" s="29">
        <v>53340</v>
      </c>
      <c r="BE275" s="27">
        <v>1046959516971</v>
      </c>
      <c r="BF275" s="27">
        <v>674890505634</v>
      </c>
      <c r="BG275" s="27">
        <v>449540000000</v>
      </c>
      <c r="BH275" s="27">
        <v>4682813591150</v>
      </c>
      <c r="BI275" s="27">
        <v>1957072035056</v>
      </c>
      <c r="BJ275" s="27">
        <v>67111911740</v>
      </c>
      <c r="BK275" s="27">
        <v>0</v>
      </c>
      <c r="BL275" s="27">
        <v>2969457078501</v>
      </c>
      <c r="BM275" s="27">
        <v>130384303795</v>
      </c>
      <c r="BN275" s="27">
        <v>0</v>
      </c>
      <c r="BO275" s="27">
        <v>517829352140</v>
      </c>
    </row>
    <row r="276" spans="1:67" x14ac:dyDescent="0.25">
      <c r="A276" s="25" t="s">
        <v>316</v>
      </c>
      <c r="B276" s="9">
        <v>2207</v>
      </c>
      <c r="C276" s="9" t="s">
        <v>323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401557</v>
      </c>
      <c r="M276" s="10">
        <v>-401557</v>
      </c>
      <c r="N276" s="46">
        <v>-100</v>
      </c>
      <c r="O276" s="10">
        <v>0</v>
      </c>
      <c r="P276" s="11" t="s">
        <v>593</v>
      </c>
      <c r="Q276" s="11" t="s">
        <v>593</v>
      </c>
      <c r="R276" s="11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46" t="s">
        <v>595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1">
        <v>0</v>
      </c>
      <c r="AM276" s="10">
        <v>0</v>
      </c>
      <c r="AN276" s="11">
        <v>0</v>
      </c>
      <c r="AO276" s="10">
        <v>0</v>
      </c>
      <c r="AP276" s="12">
        <v>0</v>
      </c>
      <c r="AQ276" s="10">
        <v>0</v>
      </c>
      <c r="AR276" s="10">
        <v>0</v>
      </c>
      <c r="AS276" s="10">
        <v>0</v>
      </c>
      <c r="AT276" s="10">
        <v>0</v>
      </c>
      <c r="AU276" s="11" t="s">
        <v>593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2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</row>
    <row r="277" spans="1:67" x14ac:dyDescent="0.25">
      <c r="A277" s="25" t="s">
        <v>316</v>
      </c>
      <c r="B277" s="9">
        <v>2299</v>
      </c>
      <c r="C277" s="9" t="s">
        <v>324</v>
      </c>
      <c r="D277" s="10">
        <v>0</v>
      </c>
      <c r="E277" s="10">
        <v>83208244524</v>
      </c>
      <c r="F277" s="10">
        <v>0</v>
      </c>
      <c r="G277" s="10">
        <v>0</v>
      </c>
      <c r="H277" s="10">
        <v>83208244524</v>
      </c>
      <c r="I277" s="10">
        <v>6386327680</v>
      </c>
      <c r="J277" s="10">
        <v>58326800</v>
      </c>
      <c r="K277" s="10">
        <v>76763590044</v>
      </c>
      <c r="L277" s="10">
        <v>23434138475</v>
      </c>
      <c r="M277" s="10">
        <v>59774106049</v>
      </c>
      <c r="N277" s="46">
        <v>255.07276963805685</v>
      </c>
      <c r="O277" s="10">
        <v>0</v>
      </c>
      <c r="P277" s="11">
        <v>0</v>
      </c>
      <c r="Q277" s="11">
        <v>0</v>
      </c>
      <c r="R277" s="11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46" t="s">
        <v>595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1">
        <v>0</v>
      </c>
      <c r="AM277" s="10">
        <v>0</v>
      </c>
      <c r="AN277" s="11">
        <v>0</v>
      </c>
      <c r="AO277" s="10">
        <v>0</v>
      </c>
      <c r="AP277" s="12">
        <v>0</v>
      </c>
      <c r="AQ277" s="10">
        <v>0</v>
      </c>
      <c r="AR277" s="10">
        <v>0</v>
      </c>
      <c r="AS277" s="10">
        <v>0</v>
      </c>
      <c r="AT277" s="10">
        <v>0</v>
      </c>
      <c r="AU277" s="11" t="s">
        <v>593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83208244524</v>
      </c>
      <c r="BD277" s="12">
        <v>0</v>
      </c>
      <c r="BE277" s="10">
        <v>83208244524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</row>
    <row r="278" spans="1:67" x14ac:dyDescent="0.25">
      <c r="A278" s="19" t="s">
        <v>613</v>
      </c>
      <c r="B278" s="20" t="s">
        <v>593</v>
      </c>
      <c r="C278" s="20" t="s">
        <v>593</v>
      </c>
      <c r="D278" s="21">
        <v>12804864623380</v>
      </c>
      <c r="E278" s="21">
        <v>1615587986682</v>
      </c>
      <c r="F278" s="21">
        <v>75800000000</v>
      </c>
      <c r="G278" s="21">
        <v>1172997565975</v>
      </c>
      <c r="H278" s="21">
        <v>15669250176037</v>
      </c>
      <c r="I278" s="21">
        <v>1157112610779</v>
      </c>
      <c r="J278" s="21">
        <v>60481605475</v>
      </c>
      <c r="K278" s="21">
        <v>14451655959783</v>
      </c>
      <c r="L278" s="21">
        <v>14213164990119</v>
      </c>
      <c r="M278" s="21">
        <v>1456085185918</v>
      </c>
      <c r="N278" s="47">
        <v>10.244623114769096</v>
      </c>
      <c r="O278" s="21">
        <v>36812564287774</v>
      </c>
      <c r="P278" s="22">
        <v>265.19</v>
      </c>
      <c r="Q278" s="22">
        <v>254.73</v>
      </c>
      <c r="R278" s="22">
        <v>23.4</v>
      </c>
      <c r="S278" s="21">
        <v>30074885353352</v>
      </c>
      <c r="T278" s="21">
        <v>9016563032486</v>
      </c>
      <c r="U278" s="21">
        <v>605201629869</v>
      </c>
      <c r="V278" s="21">
        <v>367613222037</v>
      </c>
      <c r="W278" s="21">
        <v>8043748180580</v>
      </c>
      <c r="X278" s="21">
        <v>39091448385838</v>
      </c>
      <c r="Y278" s="21">
        <v>706196618385</v>
      </c>
      <c r="Z278" s="21">
        <v>2297522367168</v>
      </c>
      <c r="AA278" s="21">
        <v>164105046327</v>
      </c>
      <c r="AB278" s="21">
        <v>41553075799333</v>
      </c>
      <c r="AC278" s="21">
        <v>20800039529142</v>
      </c>
      <c r="AD278" s="47">
        <v>87.93929853387408</v>
      </c>
      <c r="AE278" s="21">
        <v>73978954184677</v>
      </c>
      <c r="AF278" s="21">
        <v>73145852241383</v>
      </c>
      <c r="AG278" s="21">
        <v>57420706386592</v>
      </c>
      <c r="AH278" s="21">
        <v>1794180835434</v>
      </c>
      <c r="AI278" s="21">
        <v>4068718805218</v>
      </c>
      <c r="AJ278" s="21">
        <v>0</v>
      </c>
      <c r="AK278" s="21">
        <v>2094238337</v>
      </c>
      <c r="AL278" s="22">
        <v>279</v>
      </c>
      <c r="AM278" s="21">
        <v>51398461899183</v>
      </c>
      <c r="AN278" s="22">
        <v>675</v>
      </c>
      <c r="AO278" s="21">
        <v>12175321228395</v>
      </c>
      <c r="AP278" s="23">
        <v>449</v>
      </c>
      <c r="AQ278" s="21">
        <v>13148648134256</v>
      </c>
      <c r="AR278" s="21">
        <v>9016563032486</v>
      </c>
      <c r="AS278" s="21">
        <v>274735687773</v>
      </c>
      <c r="AT278" s="21">
        <v>8741827344713</v>
      </c>
      <c r="AU278" s="24">
        <v>3181.9</v>
      </c>
      <c r="AV278" s="21">
        <v>57213973005490</v>
      </c>
      <c r="AW278" s="21">
        <v>15761438976198</v>
      </c>
      <c r="AX278" s="21">
        <v>2993664866209</v>
      </c>
      <c r="AY278" s="21">
        <v>1322347667893</v>
      </c>
      <c r="AZ278" s="21">
        <v>5826970587558</v>
      </c>
      <c r="BA278" s="21">
        <v>2661881501720</v>
      </c>
      <c r="BB278" s="21">
        <v>3188216916644</v>
      </c>
      <c r="BC278" s="21">
        <v>15669250176037</v>
      </c>
      <c r="BD278" s="23">
        <v>1031507</v>
      </c>
      <c r="BE278" s="21">
        <v>7022388520115</v>
      </c>
      <c r="BF278" s="21">
        <v>5902770587558</v>
      </c>
      <c r="BG278" s="21">
        <v>2744091068364</v>
      </c>
      <c r="BH278" s="21">
        <v>53037402175181</v>
      </c>
      <c r="BI278" s="21">
        <v>20941552009496</v>
      </c>
      <c r="BJ278" s="21">
        <v>6305478411531</v>
      </c>
      <c r="BK278" s="21">
        <v>7966253218581</v>
      </c>
      <c r="BL278" s="21">
        <v>45291313196363</v>
      </c>
      <c r="BM278" s="21">
        <v>477384303795</v>
      </c>
      <c r="BN278" s="21">
        <v>0</v>
      </c>
      <c r="BO278" s="21">
        <v>1133281804887</v>
      </c>
    </row>
    <row r="279" spans="1:67" x14ac:dyDescent="0.25">
      <c r="A279" s="25" t="s">
        <v>325</v>
      </c>
      <c r="B279" s="9">
        <v>2300</v>
      </c>
      <c r="C279" s="9" t="s">
        <v>326</v>
      </c>
      <c r="D279" s="10">
        <v>1867923112161</v>
      </c>
      <c r="E279" s="10">
        <v>383174580623</v>
      </c>
      <c r="F279" s="10">
        <v>0</v>
      </c>
      <c r="G279" s="10">
        <v>485450881152</v>
      </c>
      <c r="H279" s="10">
        <v>2736548573936</v>
      </c>
      <c r="I279" s="10">
        <v>170302720983</v>
      </c>
      <c r="J279" s="10">
        <v>8332684078</v>
      </c>
      <c r="K279" s="10">
        <v>2557913168875</v>
      </c>
      <c r="L279" s="10">
        <v>1983422263422</v>
      </c>
      <c r="M279" s="10">
        <v>753126310514</v>
      </c>
      <c r="N279" s="46">
        <v>37.971052579324713</v>
      </c>
      <c r="O279" s="10">
        <v>4403609775963</v>
      </c>
      <c r="P279" s="11">
        <v>224.29</v>
      </c>
      <c r="Q279" s="11">
        <v>172.16</v>
      </c>
      <c r="R279" s="11">
        <v>4.8</v>
      </c>
      <c r="S279" s="10">
        <v>5595591234036</v>
      </c>
      <c r="T279" s="10">
        <v>256046306933</v>
      </c>
      <c r="U279" s="10">
        <v>6956500488</v>
      </c>
      <c r="V279" s="10">
        <v>204127277793</v>
      </c>
      <c r="W279" s="10">
        <v>44962528652</v>
      </c>
      <c r="X279" s="10">
        <v>5851637540969</v>
      </c>
      <c r="Y279" s="10">
        <v>38379210256</v>
      </c>
      <c r="Z279" s="10">
        <v>259086014750</v>
      </c>
      <c r="AA279" s="10">
        <v>27060472151</v>
      </c>
      <c r="AB279" s="10">
        <v>6137784027870</v>
      </c>
      <c r="AC279" s="10">
        <v>4428151505312</v>
      </c>
      <c r="AD279" s="46">
        <v>32.14628121800687</v>
      </c>
      <c r="AE279" s="10">
        <v>3243394356426</v>
      </c>
      <c r="AF279" s="10">
        <v>2892859345102</v>
      </c>
      <c r="AG279" s="10">
        <v>0</v>
      </c>
      <c r="AH279" s="10">
        <v>3404457071</v>
      </c>
      <c r="AI279" s="10">
        <v>0</v>
      </c>
      <c r="AJ279" s="10">
        <v>0</v>
      </c>
      <c r="AK279" s="10">
        <v>0</v>
      </c>
      <c r="AL279" s="11">
        <v>0</v>
      </c>
      <c r="AM279" s="10">
        <v>0</v>
      </c>
      <c r="AN279" s="11">
        <v>262</v>
      </c>
      <c r="AO279" s="10">
        <v>1367436466614</v>
      </c>
      <c r="AP279" s="12">
        <v>885</v>
      </c>
      <c r="AQ279" s="10">
        <v>1472835290905</v>
      </c>
      <c r="AR279" s="10">
        <v>256046306933</v>
      </c>
      <c r="AS279" s="10">
        <v>78191042268</v>
      </c>
      <c r="AT279" s="10">
        <v>177855264665</v>
      </c>
      <c r="AU279" s="11">
        <v>227.46</v>
      </c>
      <c r="AV279" s="10">
        <v>2044783628631</v>
      </c>
      <c r="AW279" s="10">
        <v>189338565135</v>
      </c>
      <c r="AX279" s="10">
        <v>660432785571</v>
      </c>
      <c r="AY279" s="10">
        <v>626469151934</v>
      </c>
      <c r="AZ279" s="10">
        <v>351919630096</v>
      </c>
      <c r="BA279" s="10">
        <v>229101544560</v>
      </c>
      <c r="BB279" s="10">
        <v>221057764681</v>
      </c>
      <c r="BC279" s="10">
        <v>2736548573936</v>
      </c>
      <c r="BD279" s="12">
        <v>62363</v>
      </c>
      <c r="BE279" s="10">
        <v>2028892204506</v>
      </c>
      <c r="BF279" s="10">
        <v>351919630096</v>
      </c>
      <c r="BG279" s="10">
        <v>355736739334</v>
      </c>
      <c r="BH279" s="10">
        <v>1215905277297</v>
      </c>
      <c r="BI279" s="10">
        <v>2027489079129</v>
      </c>
      <c r="BJ279" s="10">
        <v>0</v>
      </c>
      <c r="BK279" s="10">
        <v>7722560388</v>
      </c>
      <c r="BL279" s="10">
        <v>0</v>
      </c>
      <c r="BM279" s="10">
        <v>0</v>
      </c>
      <c r="BN279" s="10">
        <v>1</v>
      </c>
      <c r="BO279" s="10">
        <v>3635495486</v>
      </c>
    </row>
    <row r="280" spans="1:67" x14ac:dyDescent="0.25">
      <c r="A280" s="25" t="s">
        <v>325</v>
      </c>
      <c r="B280" s="9">
        <v>2301</v>
      </c>
      <c r="C280" s="9" t="s">
        <v>327</v>
      </c>
      <c r="D280" s="10">
        <v>1748092700260</v>
      </c>
      <c r="E280" s="10">
        <v>10685288265</v>
      </c>
      <c r="F280" s="10">
        <v>0</v>
      </c>
      <c r="G280" s="10">
        <v>0</v>
      </c>
      <c r="H280" s="10">
        <v>1758777988525</v>
      </c>
      <c r="I280" s="10">
        <v>123596542239</v>
      </c>
      <c r="J280" s="10">
        <v>14333915325</v>
      </c>
      <c r="K280" s="10">
        <v>1620847530961</v>
      </c>
      <c r="L280" s="10">
        <v>1308400037437</v>
      </c>
      <c r="M280" s="10">
        <v>450377951088</v>
      </c>
      <c r="N280" s="46">
        <v>34.422037465715519</v>
      </c>
      <c r="O280" s="10">
        <v>1956045066065</v>
      </c>
      <c r="P280" s="11">
        <v>121.12</v>
      </c>
      <c r="Q280" s="11">
        <v>120.68</v>
      </c>
      <c r="R280" s="11">
        <v>0</v>
      </c>
      <c r="S280" s="10">
        <v>1972653383103</v>
      </c>
      <c r="T280" s="10">
        <v>0</v>
      </c>
      <c r="U280" s="10">
        <v>0</v>
      </c>
      <c r="V280" s="10">
        <v>0</v>
      </c>
      <c r="W280" s="10">
        <v>0</v>
      </c>
      <c r="X280" s="10">
        <v>1972653383103</v>
      </c>
      <c r="Y280" s="10">
        <v>7036905</v>
      </c>
      <c r="Z280" s="10">
        <v>128633865043</v>
      </c>
      <c r="AA280" s="10">
        <v>28898674340</v>
      </c>
      <c r="AB280" s="10">
        <v>2130185922486</v>
      </c>
      <c r="AC280" s="10">
        <v>1322376236089</v>
      </c>
      <c r="AD280" s="46">
        <v>49.174896619227688</v>
      </c>
      <c r="AE280" s="10">
        <v>1195124192832</v>
      </c>
      <c r="AF280" s="10">
        <v>1175765843773</v>
      </c>
      <c r="AG280" s="10">
        <v>0</v>
      </c>
      <c r="AH280" s="10">
        <v>0</v>
      </c>
      <c r="AI280" s="10">
        <v>0</v>
      </c>
      <c r="AJ280" s="10">
        <v>0</v>
      </c>
      <c r="AK280" s="10">
        <v>0</v>
      </c>
      <c r="AL280" s="11">
        <v>0</v>
      </c>
      <c r="AM280" s="10">
        <v>0</v>
      </c>
      <c r="AN280" s="11">
        <v>32</v>
      </c>
      <c r="AO280" s="10">
        <v>154543369243</v>
      </c>
      <c r="AP280" s="12">
        <v>12</v>
      </c>
      <c r="AQ280" s="10">
        <v>72002334374</v>
      </c>
      <c r="AR280" s="10">
        <v>0</v>
      </c>
      <c r="AS280" s="10">
        <v>0</v>
      </c>
      <c r="AT280" s="10">
        <v>0</v>
      </c>
      <c r="AU280" s="13" t="s">
        <v>593</v>
      </c>
      <c r="AV280" s="10">
        <v>531620287139</v>
      </c>
      <c r="AW280" s="10">
        <v>103274599680</v>
      </c>
      <c r="AX280" s="10">
        <v>145464564452</v>
      </c>
      <c r="AY280" s="10">
        <v>511379556180</v>
      </c>
      <c r="AZ280" s="10">
        <v>271067574628</v>
      </c>
      <c r="BA280" s="10">
        <v>820181005000</v>
      </c>
      <c r="BB280" s="10">
        <v>198848390275</v>
      </c>
      <c r="BC280" s="10">
        <v>1758777988525</v>
      </c>
      <c r="BD280" s="12">
        <v>85900</v>
      </c>
      <c r="BE280" s="10">
        <v>667529408897</v>
      </c>
      <c r="BF280" s="10">
        <v>270899774628</v>
      </c>
      <c r="BG280" s="10">
        <v>820348805000</v>
      </c>
      <c r="BH280" s="10">
        <v>940558790340</v>
      </c>
      <c r="BI280" s="10">
        <v>254565402492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0</v>
      </c>
    </row>
    <row r="281" spans="1:67" x14ac:dyDescent="0.25">
      <c r="A281" s="25" t="s">
        <v>325</v>
      </c>
      <c r="B281" s="9">
        <v>2302</v>
      </c>
      <c r="C281" s="9" t="s">
        <v>328</v>
      </c>
      <c r="D281" s="10">
        <v>2193196190125</v>
      </c>
      <c r="E281" s="10">
        <v>399466416142</v>
      </c>
      <c r="F281" s="10">
        <v>0</v>
      </c>
      <c r="G281" s="10">
        <v>0</v>
      </c>
      <c r="H281" s="10">
        <v>2592662606267</v>
      </c>
      <c r="I281" s="10">
        <v>173494637008</v>
      </c>
      <c r="J281" s="10">
        <v>4689877669</v>
      </c>
      <c r="K281" s="10">
        <v>2414478091590</v>
      </c>
      <c r="L281" s="10">
        <v>2013708881388</v>
      </c>
      <c r="M281" s="10">
        <v>578953724879</v>
      </c>
      <c r="N281" s="46">
        <v>28.750616845864108</v>
      </c>
      <c r="O281" s="10">
        <v>2346062251401</v>
      </c>
      <c r="P281" s="11">
        <v>101.8</v>
      </c>
      <c r="Q281" s="11">
        <v>97.17</v>
      </c>
      <c r="R281" s="11">
        <v>0.99</v>
      </c>
      <c r="S281" s="10">
        <v>2466069761468</v>
      </c>
      <c r="T281" s="10">
        <v>17296581717</v>
      </c>
      <c r="U281" s="10">
        <v>8720288317</v>
      </c>
      <c r="V281" s="10">
        <v>4250700344</v>
      </c>
      <c r="W281" s="10">
        <v>4325593056</v>
      </c>
      <c r="X281" s="10">
        <v>2483366343185</v>
      </c>
      <c r="Y281" s="10">
        <v>8844211928</v>
      </c>
      <c r="Z281" s="10">
        <v>147851712960</v>
      </c>
      <c r="AA281" s="10">
        <v>8161607000</v>
      </c>
      <c r="AB281" s="10">
        <v>2639379663145</v>
      </c>
      <c r="AC281" s="10">
        <v>1270423417594</v>
      </c>
      <c r="AD281" s="46">
        <v>95.475485479332562</v>
      </c>
      <c r="AE281" s="10">
        <v>2396441427276</v>
      </c>
      <c r="AF281" s="10">
        <v>2200850586819</v>
      </c>
      <c r="AG281" s="10">
        <v>259764148375</v>
      </c>
      <c r="AH281" s="10">
        <v>0</v>
      </c>
      <c r="AI281" s="10">
        <v>0</v>
      </c>
      <c r="AJ281" s="10">
        <v>0</v>
      </c>
      <c r="AK281" s="10">
        <v>0</v>
      </c>
      <c r="AL281" s="11">
        <v>4</v>
      </c>
      <c r="AM281" s="10">
        <v>732302940352</v>
      </c>
      <c r="AN281" s="11">
        <v>162</v>
      </c>
      <c r="AO281" s="10">
        <v>4453733052914</v>
      </c>
      <c r="AP281" s="12">
        <v>138</v>
      </c>
      <c r="AQ281" s="10">
        <v>1829560968535</v>
      </c>
      <c r="AR281" s="10">
        <v>17296581717</v>
      </c>
      <c r="AS281" s="10">
        <v>18648331935</v>
      </c>
      <c r="AT281" s="10">
        <v>-1351750218</v>
      </c>
      <c r="AU281" s="11">
        <v>-7.25</v>
      </c>
      <c r="AV281" s="10">
        <v>1244126555369</v>
      </c>
      <c r="AW281" s="10">
        <v>420102821080</v>
      </c>
      <c r="AX281" s="10">
        <v>495294701512</v>
      </c>
      <c r="AY281" s="10">
        <v>965732571915</v>
      </c>
      <c r="AZ281" s="10">
        <v>345692767798</v>
      </c>
      <c r="BA281" s="10">
        <v>386476148900</v>
      </c>
      <c r="BB281" s="10">
        <v>213574302411</v>
      </c>
      <c r="BC281" s="10">
        <v>2592662606267</v>
      </c>
      <c r="BD281" s="12">
        <v>3852</v>
      </c>
      <c r="BE281" s="10">
        <v>1860428084069</v>
      </c>
      <c r="BF281" s="10">
        <v>345488767798</v>
      </c>
      <c r="BG281" s="10">
        <v>386745754400</v>
      </c>
      <c r="BH281" s="10">
        <v>2317312351957</v>
      </c>
      <c r="BI281" s="10">
        <v>79129075319</v>
      </c>
      <c r="BJ281" s="10">
        <v>98280276093</v>
      </c>
      <c r="BK281" s="10">
        <v>0</v>
      </c>
      <c r="BL281" s="10">
        <v>161483872282</v>
      </c>
      <c r="BM281" s="10">
        <v>0</v>
      </c>
      <c r="BN281" s="10">
        <v>0</v>
      </c>
      <c r="BO281" s="10">
        <v>0</v>
      </c>
    </row>
    <row r="282" spans="1:67" x14ac:dyDescent="0.25">
      <c r="A282" s="25" t="s">
        <v>325</v>
      </c>
      <c r="B282" s="9">
        <v>2303</v>
      </c>
      <c r="C282" s="9" t="s">
        <v>329</v>
      </c>
      <c r="D282" s="10">
        <v>1175495781666</v>
      </c>
      <c r="E282" s="10">
        <v>242883010366</v>
      </c>
      <c r="F282" s="10">
        <v>0</v>
      </c>
      <c r="G282" s="10">
        <v>0</v>
      </c>
      <c r="H282" s="10">
        <v>1418378792032</v>
      </c>
      <c r="I282" s="10">
        <v>98945438393</v>
      </c>
      <c r="J282" s="10">
        <v>9260541511</v>
      </c>
      <c r="K282" s="10">
        <v>1310172812128</v>
      </c>
      <c r="L282" s="10">
        <v>1228034262460</v>
      </c>
      <c r="M282" s="10">
        <v>190344529572</v>
      </c>
      <c r="N282" s="46">
        <v>15.499936393525502</v>
      </c>
      <c r="O282" s="10">
        <v>1065529971637</v>
      </c>
      <c r="P282" s="11">
        <v>79.849999999999994</v>
      </c>
      <c r="Q282" s="11">
        <v>81.33</v>
      </c>
      <c r="R282" s="11">
        <v>2.82</v>
      </c>
      <c r="S282" s="10">
        <v>1029953654647</v>
      </c>
      <c r="T282" s="10">
        <v>31626340548</v>
      </c>
      <c r="U282" s="10">
        <v>17339126829</v>
      </c>
      <c r="V282" s="10">
        <v>9487745995</v>
      </c>
      <c r="W282" s="10">
        <v>4799467724</v>
      </c>
      <c r="X282" s="10">
        <v>1061579995195</v>
      </c>
      <c r="Y282" s="10">
        <v>333677695</v>
      </c>
      <c r="Z282" s="10">
        <v>56353871309</v>
      </c>
      <c r="AA282" s="10">
        <v>14700000000</v>
      </c>
      <c r="AB282" s="10">
        <v>1132633866504</v>
      </c>
      <c r="AC282" s="10">
        <v>838386506987</v>
      </c>
      <c r="AD282" s="46">
        <v>26.621789156664089</v>
      </c>
      <c r="AE282" s="10">
        <v>520505027055</v>
      </c>
      <c r="AF282" s="10">
        <v>520505027055</v>
      </c>
      <c r="AG282" s="10">
        <v>0</v>
      </c>
      <c r="AH282" s="10">
        <v>14098280000</v>
      </c>
      <c r="AI282" s="10">
        <v>0</v>
      </c>
      <c r="AJ282" s="10">
        <v>0</v>
      </c>
      <c r="AK282" s="10">
        <v>0</v>
      </c>
      <c r="AL282" s="11">
        <v>0</v>
      </c>
      <c r="AM282" s="10">
        <v>0</v>
      </c>
      <c r="AN282" s="11">
        <v>222</v>
      </c>
      <c r="AO282" s="10">
        <v>3008617260720</v>
      </c>
      <c r="AP282" s="12">
        <v>284</v>
      </c>
      <c r="AQ282" s="10">
        <v>1475832693770</v>
      </c>
      <c r="AR282" s="10">
        <v>31626340548</v>
      </c>
      <c r="AS282" s="10">
        <v>25003388079</v>
      </c>
      <c r="AT282" s="10">
        <v>6622952469</v>
      </c>
      <c r="AU282" s="11">
        <v>26.49</v>
      </c>
      <c r="AV282" s="10">
        <v>285792147505</v>
      </c>
      <c r="AW282" s="10">
        <v>100836421768</v>
      </c>
      <c r="AX282" s="10">
        <v>260296715491</v>
      </c>
      <c r="AY282" s="10">
        <v>645084298199</v>
      </c>
      <c r="AZ282" s="10">
        <v>181387609736</v>
      </c>
      <c r="BA282" s="10">
        <v>88727158240</v>
      </c>
      <c r="BB282" s="10">
        <v>131247119910</v>
      </c>
      <c r="BC282" s="10">
        <v>1418378792032</v>
      </c>
      <c r="BD282" s="12">
        <v>20045</v>
      </c>
      <c r="BE282" s="10">
        <v>1148108968458</v>
      </c>
      <c r="BF282" s="10">
        <v>181387609736</v>
      </c>
      <c r="BG282" s="10">
        <v>88882213838</v>
      </c>
      <c r="BH282" s="10">
        <v>414841908263</v>
      </c>
      <c r="BI282" s="10">
        <v>105663118792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14098280000</v>
      </c>
    </row>
    <row r="283" spans="1:67" x14ac:dyDescent="0.25">
      <c r="A283" s="25" t="s">
        <v>325</v>
      </c>
      <c r="B283" s="9">
        <v>2304</v>
      </c>
      <c r="C283" s="9" t="s">
        <v>330</v>
      </c>
      <c r="D283" s="10">
        <v>1012479569774</v>
      </c>
      <c r="E283" s="10">
        <v>60092637320</v>
      </c>
      <c r="F283" s="10">
        <v>100000000000</v>
      </c>
      <c r="G283" s="10">
        <v>0</v>
      </c>
      <c r="H283" s="10">
        <v>1172572207094</v>
      </c>
      <c r="I283" s="10">
        <v>74732475214</v>
      </c>
      <c r="J283" s="10">
        <v>11723115400</v>
      </c>
      <c r="K283" s="10">
        <v>1086116616480</v>
      </c>
      <c r="L283" s="10">
        <v>670889560339</v>
      </c>
      <c r="M283" s="10">
        <v>501682646755</v>
      </c>
      <c r="N283" s="46">
        <v>74.778723118228299</v>
      </c>
      <c r="O283" s="10">
        <v>858663641294</v>
      </c>
      <c r="P283" s="11">
        <v>79.78</v>
      </c>
      <c r="Q283" s="11">
        <v>79.06</v>
      </c>
      <c r="R283" s="11">
        <v>0.73</v>
      </c>
      <c r="S283" s="10">
        <v>825821965663</v>
      </c>
      <c r="T283" s="10">
        <v>5638365256</v>
      </c>
      <c r="U283" s="10">
        <v>4520057177</v>
      </c>
      <c r="V283" s="10">
        <v>351614825</v>
      </c>
      <c r="W283" s="10">
        <v>766693254</v>
      </c>
      <c r="X283" s="10">
        <v>831460330919</v>
      </c>
      <c r="Y283" s="10">
        <v>1153533062</v>
      </c>
      <c r="Z283" s="10">
        <v>61726696319</v>
      </c>
      <c r="AA283" s="10">
        <v>42240252600</v>
      </c>
      <c r="AB283" s="10">
        <v>935427279838</v>
      </c>
      <c r="AC283" s="10">
        <v>703946561425</v>
      </c>
      <c r="AD283" s="46">
        <v>18.114126338776867</v>
      </c>
      <c r="AE283" s="10">
        <v>381480764948</v>
      </c>
      <c r="AF283" s="10">
        <v>381480764948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1">
        <v>0</v>
      </c>
      <c r="AM283" s="10">
        <v>0</v>
      </c>
      <c r="AN283" s="11">
        <v>60</v>
      </c>
      <c r="AO283" s="10">
        <v>216847481767</v>
      </c>
      <c r="AP283" s="12">
        <v>125</v>
      </c>
      <c r="AQ283" s="10">
        <v>545934739087</v>
      </c>
      <c r="AR283" s="10">
        <v>5638365256</v>
      </c>
      <c r="AS283" s="10">
        <v>5396265752</v>
      </c>
      <c r="AT283" s="10">
        <v>242099504</v>
      </c>
      <c r="AU283" s="11">
        <v>4.49</v>
      </c>
      <c r="AV283" s="10">
        <v>254024036527</v>
      </c>
      <c r="AW283" s="10">
        <v>49963314360</v>
      </c>
      <c r="AX283" s="10">
        <v>256942048680</v>
      </c>
      <c r="AY283" s="10">
        <v>301075249847</v>
      </c>
      <c r="AZ283" s="10">
        <v>199842771247</v>
      </c>
      <c r="BA283" s="10">
        <v>254619500000</v>
      </c>
      <c r="BB283" s="10">
        <v>152511157510</v>
      </c>
      <c r="BC283" s="10">
        <v>1172572207094</v>
      </c>
      <c r="BD283" s="12">
        <v>64069</v>
      </c>
      <c r="BE283" s="10">
        <v>618109935847</v>
      </c>
      <c r="BF283" s="10">
        <v>299724771247</v>
      </c>
      <c r="BG283" s="10">
        <v>254737500000</v>
      </c>
      <c r="BH283" s="10">
        <v>320104571466</v>
      </c>
      <c r="BI283" s="10">
        <v>61376193482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</row>
    <row r="284" spans="1:67" x14ac:dyDescent="0.25">
      <c r="A284" s="25" t="s">
        <v>325</v>
      </c>
      <c r="B284" s="9">
        <v>2305</v>
      </c>
      <c r="C284" s="9" t="s">
        <v>331</v>
      </c>
      <c r="D284" s="10">
        <v>1294911422219</v>
      </c>
      <c r="E284" s="10">
        <v>30017089569</v>
      </c>
      <c r="F284" s="10">
        <v>0</v>
      </c>
      <c r="G284" s="10">
        <v>0</v>
      </c>
      <c r="H284" s="10">
        <v>1324928511788</v>
      </c>
      <c r="I284" s="10">
        <v>95887770305</v>
      </c>
      <c r="J284" s="10">
        <v>5981256651</v>
      </c>
      <c r="K284" s="10">
        <v>1223059484832</v>
      </c>
      <c r="L284" s="10">
        <v>1170799545699</v>
      </c>
      <c r="M284" s="10">
        <v>154128966089</v>
      </c>
      <c r="N284" s="46">
        <v>13.164419704056233</v>
      </c>
      <c r="O284" s="10">
        <v>278749831902</v>
      </c>
      <c r="P284" s="11">
        <v>21.21</v>
      </c>
      <c r="Q284" s="11">
        <v>22.79</v>
      </c>
      <c r="R284" s="11">
        <v>0.77</v>
      </c>
      <c r="S284" s="10">
        <v>276235947058</v>
      </c>
      <c r="T284" s="10">
        <v>2150771299</v>
      </c>
      <c r="U284" s="10">
        <v>1840194153</v>
      </c>
      <c r="V284" s="10">
        <v>310577146</v>
      </c>
      <c r="W284" s="10">
        <v>0</v>
      </c>
      <c r="X284" s="10">
        <v>278386718357</v>
      </c>
      <c r="Y284" s="10">
        <v>683851</v>
      </c>
      <c r="Z284" s="10">
        <v>1351444989</v>
      </c>
      <c r="AA284" s="10">
        <v>1225575341</v>
      </c>
      <c r="AB284" s="10">
        <v>280963738687</v>
      </c>
      <c r="AC284" s="10">
        <v>202841746154</v>
      </c>
      <c r="AD284" s="46">
        <v>37.243305993651475</v>
      </c>
      <c r="AE284" s="10">
        <v>159130000000</v>
      </c>
      <c r="AF284" s="10">
        <v>159130000000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1">
        <v>0</v>
      </c>
      <c r="AM284" s="10">
        <v>0</v>
      </c>
      <c r="AN284" s="11">
        <v>52</v>
      </c>
      <c r="AO284" s="10">
        <v>317237965059</v>
      </c>
      <c r="AP284" s="12">
        <v>84</v>
      </c>
      <c r="AQ284" s="10">
        <v>145090349776</v>
      </c>
      <c r="AR284" s="10">
        <v>2150771299</v>
      </c>
      <c r="AS284" s="10">
        <v>2806156821</v>
      </c>
      <c r="AT284" s="10">
        <v>-655385522</v>
      </c>
      <c r="AU284" s="13">
        <v>-23.36</v>
      </c>
      <c r="AV284" s="10">
        <v>80856310833</v>
      </c>
      <c r="AW284" s="10">
        <v>16529372308</v>
      </c>
      <c r="AX284" s="10">
        <v>156011385631</v>
      </c>
      <c r="AY284" s="10">
        <v>717737145314</v>
      </c>
      <c r="AZ284" s="10">
        <v>333403991274</v>
      </c>
      <c r="BA284" s="10">
        <v>87758900000</v>
      </c>
      <c r="BB284" s="10">
        <v>315429988802</v>
      </c>
      <c r="BC284" s="10">
        <v>1324928511788</v>
      </c>
      <c r="BD284" s="12">
        <v>72519</v>
      </c>
      <c r="BE284" s="10">
        <v>903642280756</v>
      </c>
      <c r="BF284" s="10">
        <v>333403991274</v>
      </c>
      <c r="BG284" s="10">
        <v>87882239758</v>
      </c>
      <c r="BH284" s="10">
        <v>140980000000</v>
      </c>
      <c r="BI284" s="10">
        <v>18150000000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</row>
    <row r="285" spans="1:67" x14ac:dyDescent="0.25">
      <c r="A285" s="25" t="s">
        <v>325</v>
      </c>
      <c r="B285" s="9">
        <v>2306</v>
      </c>
      <c r="C285" s="9" t="s">
        <v>332</v>
      </c>
      <c r="D285" s="10">
        <v>3187314010540</v>
      </c>
      <c r="E285" s="10">
        <v>271463717679</v>
      </c>
      <c r="F285" s="10">
        <v>0</v>
      </c>
      <c r="G285" s="10">
        <v>0</v>
      </c>
      <c r="H285" s="10">
        <v>3458777728219</v>
      </c>
      <c r="I285" s="10">
        <v>202657977160</v>
      </c>
      <c r="J285" s="10">
        <v>15490922798</v>
      </c>
      <c r="K285" s="10">
        <v>3240628828261</v>
      </c>
      <c r="L285" s="10">
        <v>756178744786</v>
      </c>
      <c r="M285" s="10">
        <v>2702598983433</v>
      </c>
      <c r="N285" s="46">
        <v>357.40213568127206</v>
      </c>
      <c r="O285" s="10">
        <v>1462398296747</v>
      </c>
      <c r="P285" s="11">
        <v>49.02</v>
      </c>
      <c r="Q285" s="11">
        <v>45.13</v>
      </c>
      <c r="R285" s="11">
        <v>10.18</v>
      </c>
      <c r="S285" s="10">
        <v>1432523683244</v>
      </c>
      <c r="T285" s="10">
        <v>170416160938</v>
      </c>
      <c r="U285" s="10">
        <v>41111164599</v>
      </c>
      <c r="V285" s="10">
        <v>1375565885</v>
      </c>
      <c r="W285" s="10">
        <v>127929430454</v>
      </c>
      <c r="X285" s="10">
        <v>1602939844182</v>
      </c>
      <c r="Y285" s="10">
        <v>2123735578</v>
      </c>
      <c r="Z285" s="10">
        <v>70819335618</v>
      </c>
      <c r="AA285" s="10">
        <v>21687596450</v>
      </c>
      <c r="AB285" s="10">
        <v>1695446776250</v>
      </c>
      <c r="AC285" s="10">
        <v>1202157558760</v>
      </c>
      <c r="AD285" s="46">
        <v>33.338582160178603</v>
      </c>
      <c r="AE285" s="10">
        <v>1462406910413</v>
      </c>
      <c r="AF285" s="10">
        <v>1423504100687</v>
      </c>
      <c r="AG285" s="10">
        <v>0</v>
      </c>
      <c r="AH285" s="10">
        <v>50867865000</v>
      </c>
      <c r="AI285" s="10">
        <v>0</v>
      </c>
      <c r="AJ285" s="10">
        <v>0</v>
      </c>
      <c r="AK285" s="10">
        <v>0</v>
      </c>
      <c r="AL285" s="11">
        <v>0</v>
      </c>
      <c r="AM285" s="10">
        <v>0</v>
      </c>
      <c r="AN285" s="11">
        <v>106</v>
      </c>
      <c r="AO285" s="10">
        <v>2379781147134</v>
      </c>
      <c r="AP285" s="12">
        <v>79</v>
      </c>
      <c r="AQ285" s="10">
        <v>261626854028</v>
      </c>
      <c r="AR285" s="10">
        <v>170416160938</v>
      </c>
      <c r="AS285" s="10">
        <v>94695484626</v>
      </c>
      <c r="AT285" s="10">
        <v>75720676312</v>
      </c>
      <c r="AU285" s="13">
        <v>79.959999999999994</v>
      </c>
      <c r="AV285" s="10">
        <v>1083437720272</v>
      </c>
      <c r="AW285" s="10">
        <v>135422281130</v>
      </c>
      <c r="AX285" s="10">
        <v>1525897615499</v>
      </c>
      <c r="AY285" s="10">
        <v>550133695656</v>
      </c>
      <c r="AZ285" s="10">
        <v>556073647265</v>
      </c>
      <c r="BA285" s="10">
        <v>555209052120</v>
      </c>
      <c r="BB285" s="10">
        <v>486977135984</v>
      </c>
      <c r="BC285" s="10">
        <v>3458777728219</v>
      </c>
      <c r="BD285" s="12">
        <v>51759</v>
      </c>
      <c r="BE285" s="10">
        <v>2347495028834</v>
      </c>
      <c r="BF285" s="10">
        <v>556073647265</v>
      </c>
      <c r="BG285" s="10">
        <v>555209052120</v>
      </c>
      <c r="BH285" s="10">
        <v>1180914371565</v>
      </c>
      <c r="BI285" s="10">
        <v>281492538848</v>
      </c>
      <c r="BJ285" s="10">
        <v>0</v>
      </c>
      <c r="BK285" s="10">
        <v>0</v>
      </c>
      <c r="BL285" s="10">
        <v>0</v>
      </c>
      <c r="BM285" s="10">
        <v>0</v>
      </c>
      <c r="BN285" s="10">
        <v>126299433409</v>
      </c>
      <c r="BO285" s="10">
        <v>80865000</v>
      </c>
    </row>
    <row r="286" spans="1:67" x14ac:dyDescent="0.25">
      <c r="A286" s="25" t="s">
        <v>325</v>
      </c>
      <c r="B286" s="9">
        <v>2307</v>
      </c>
      <c r="C286" s="9" t="s">
        <v>333</v>
      </c>
      <c r="D286" s="10">
        <v>702338124108</v>
      </c>
      <c r="E286" s="10">
        <v>266368976826</v>
      </c>
      <c r="F286" s="10">
        <v>0</v>
      </c>
      <c r="G286" s="10">
        <v>0</v>
      </c>
      <c r="H286" s="10">
        <v>968707100934</v>
      </c>
      <c r="I286" s="10">
        <v>73070820494</v>
      </c>
      <c r="J286" s="10">
        <v>6091103262</v>
      </c>
      <c r="K286" s="10">
        <v>889545177178</v>
      </c>
      <c r="L286" s="10">
        <v>855866828280</v>
      </c>
      <c r="M286" s="10">
        <v>112840272654</v>
      </c>
      <c r="N286" s="46">
        <v>13.184325986879339</v>
      </c>
      <c r="O286" s="10">
        <v>878112152863</v>
      </c>
      <c r="P286" s="11">
        <v>101.52</v>
      </c>
      <c r="Q286" s="11">
        <v>98.71</v>
      </c>
      <c r="R286" s="11">
        <v>0.62</v>
      </c>
      <c r="S286" s="10">
        <v>873171758480</v>
      </c>
      <c r="T286" s="10">
        <v>5870241883</v>
      </c>
      <c r="U286" s="10">
        <v>4708867551</v>
      </c>
      <c r="V286" s="10">
        <v>474076850</v>
      </c>
      <c r="W286" s="10">
        <v>687297482</v>
      </c>
      <c r="X286" s="10">
        <v>879042000363</v>
      </c>
      <c r="Y286" s="10">
        <v>182724837</v>
      </c>
      <c r="Z286" s="10">
        <v>77830088974</v>
      </c>
      <c r="AA286" s="10">
        <v>26570000000</v>
      </c>
      <c r="AB286" s="10">
        <v>983442089337</v>
      </c>
      <c r="AC286" s="10">
        <v>874483283317</v>
      </c>
      <c r="AD286" s="46">
        <v>0.52130408127509809</v>
      </c>
      <c r="AE286" s="10">
        <v>395916235659</v>
      </c>
      <c r="AF286" s="10">
        <v>395916235659</v>
      </c>
      <c r="AG286" s="10">
        <v>0</v>
      </c>
      <c r="AH286" s="10">
        <v>1242000000</v>
      </c>
      <c r="AI286" s="10">
        <v>0</v>
      </c>
      <c r="AJ286" s="10">
        <v>0</v>
      </c>
      <c r="AK286" s="10">
        <v>0</v>
      </c>
      <c r="AL286" s="11">
        <v>0</v>
      </c>
      <c r="AM286" s="10">
        <v>0</v>
      </c>
      <c r="AN286" s="11">
        <v>233</v>
      </c>
      <c r="AO286" s="10">
        <v>3522823633298</v>
      </c>
      <c r="AP286" s="12">
        <v>229</v>
      </c>
      <c r="AQ286" s="10">
        <v>1158725537914</v>
      </c>
      <c r="AR286" s="10">
        <v>5870241883</v>
      </c>
      <c r="AS286" s="10">
        <v>1536152913</v>
      </c>
      <c r="AT286" s="10">
        <v>4334088970</v>
      </c>
      <c r="AU286" s="11">
        <v>282.14</v>
      </c>
      <c r="AV286" s="10">
        <v>389470403227</v>
      </c>
      <c r="AW286" s="10">
        <v>179712114414</v>
      </c>
      <c r="AX286" s="10">
        <v>206722069271</v>
      </c>
      <c r="AY286" s="10">
        <v>202024686628</v>
      </c>
      <c r="AZ286" s="10">
        <v>177979568209</v>
      </c>
      <c r="BA286" s="10">
        <v>115611800000</v>
      </c>
      <c r="BB286" s="10">
        <v>145483774185</v>
      </c>
      <c r="BC286" s="10">
        <v>968707100934</v>
      </c>
      <c r="BD286" s="12">
        <v>31956</v>
      </c>
      <c r="BE286" s="10">
        <v>675115726111</v>
      </c>
      <c r="BF286" s="10">
        <v>177979568209</v>
      </c>
      <c r="BG286" s="10">
        <v>115611806614</v>
      </c>
      <c r="BH286" s="10">
        <v>315631036166</v>
      </c>
      <c r="BI286" s="10">
        <v>80285199493</v>
      </c>
      <c r="BJ286" s="10">
        <v>0</v>
      </c>
      <c r="BK286" s="10">
        <v>0</v>
      </c>
      <c r="BL286" s="10">
        <v>0</v>
      </c>
      <c r="BM286" s="10">
        <v>0</v>
      </c>
      <c r="BN286" s="10">
        <v>0</v>
      </c>
      <c r="BO286" s="10">
        <v>4842000000</v>
      </c>
    </row>
    <row r="287" spans="1:67" x14ac:dyDescent="0.25">
      <c r="A287" s="25" t="s">
        <v>325</v>
      </c>
      <c r="B287" s="9">
        <v>2308</v>
      </c>
      <c r="C287" s="9" t="s">
        <v>334</v>
      </c>
      <c r="D287" s="10">
        <v>1219969125792</v>
      </c>
      <c r="E287" s="10">
        <v>7220577432</v>
      </c>
      <c r="F287" s="10">
        <v>0</v>
      </c>
      <c r="G287" s="10">
        <v>0</v>
      </c>
      <c r="H287" s="10">
        <v>1227189703224</v>
      </c>
      <c r="I287" s="10">
        <v>93111112254</v>
      </c>
      <c r="J287" s="10">
        <v>6618752627</v>
      </c>
      <c r="K287" s="10">
        <v>1127459838343</v>
      </c>
      <c r="L287" s="10">
        <v>957391201632</v>
      </c>
      <c r="M287" s="10">
        <v>269798501592</v>
      </c>
      <c r="N287" s="46">
        <v>28.180591291427447</v>
      </c>
      <c r="O287" s="10">
        <v>606224040930</v>
      </c>
      <c r="P287" s="11">
        <v>56.25</v>
      </c>
      <c r="Q287" s="11">
        <v>53.77</v>
      </c>
      <c r="R287" s="11">
        <v>0</v>
      </c>
      <c r="S287" s="10">
        <v>641556349185</v>
      </c>
      <c r="T287" s="10">
        <v>0</v>
      </c>
      <c r="U287" s="10">
        <v>0</v>
      </c>
      <c r="V287" s="10">
        <v>0</v>
      </c>
      <c r="W287" s="10">
        <v>0</v>
      </c>
      <c r="X287" s="10">
        <v>641556349185</v>
      </c>
      <c r="Y287" s="10">
        <v>0</v>
      </c>
      <c r="Z287" s="10">
        <v>39337760725</v>
      </c>
      <c r="AA287" s="10">
        <v>9405000000</v>
      </c>
      <c r="AB287" s="10">
        <v>690299109910</v>
      </c>
      <c r="AC287" s="10">
        <v>447367927177</v>
      </c>
      <c r="AD287" s="46">
        <v>43.406871662297291</v>
      </c>
      <c r="AE287" s="10">
        <v>379577543547</v>
      </c>
      <c r="AF287" s="10">
        <v>327497390597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1">
        <v>0</v>
      </c>
      <c r="AM287" s="10">
        <v>0</v>
      </c>
      <c r="AN287" s="11">
        <v>40</v>
      </c>
      <c r="AO287" s="10">
        <v>444660820543</v>
      </c>
      <c r="AP287" s="12">
        <v>7</v>
      </c>
      <c r="AQ287" s="10">
        <v>40120773069</v>
      </c>
      <c r="AR287" s="10">
        <v>0</v>
      </c>
      <c r="AS287" s="10">
        <v>898625094</v>
      </c>
      <c r="AT287" s="10">
        <v>-898625094</v>
      </c>
      <c r="AU287" s="13">
        <v>-100</v>
      </c>
      <c r="AV287" s="10">
        <v>210972732487</v>
      </c>
      <c r="AW287" s="10">
        <v>31952400444</v>
      </c>
      <c r="AX287" s="10">
        <v>95171003594</v>
      </c>
      <c r="AY287" s="10">
        <v>394644915432</v>
      </c>
      <c r="AZ287" s="10">
        <v>127353838514</v>
      </c>
      <c r="BA287" s="10">
        <v>602799368252</v>
      </c>
      <c r="BB287" s="10">
        <v>62524136990</v>
      </c>
      <c r="BC287" s="10">
        <v>1227189703224</v>
      </c>
      <c r="BD287" s="12">
        <v>46965</v>
      </c>
      <c r="BE287" s="10">
        <v>497036496458</v>
      </c>
      <c r="BF287" s="10">
        <v>126860838514</v>
      </c>
      <c r="BG287" s="10">
        <v>603292368252</v>
      </c>
      <c r="BH287" s="10">
        <v>366257543547</v>
      </c>
      <c r="BI287" s="10">
        <v>13320000000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0</v>
      </c>
    </row>
    <row r="288" spans="1:67" x14ac:dyDescent="0.25">
      <c r="A288" s="25" t="s">
        <v>325</v>
      </c>
      <c r="B288" s="26">
        <v>2309</v>
      </c>
      <c r="C288" s="26" t="s">
        <v>335</v>
      </c>
      <c r="D288" s="27">
        <v>684805987356</v>
      </c>
      <c r="E288" s="27">
        <v>3267498707</v>
      </c>
      <c r="F288" s="27">
        <v>0</v>
      </c>
      <c r="G288" s="27">
        <v>0</v>
      </c>
      <c r="H288" s="27">
        <v>688073486063</v>
      </c>
      <c r="I288" s="27">
        <v>48915014571</v>
      </c>
      <c r="J288" s="27">
        <v>382968800</v>
      </c>
      <c r="K288" s="27">
        <v>638775502692</v>
      </c>
      <c r="L288" s="27">
        <v>516957837387</v>
      </c>
      <c r="M288" s="10">
        <v>171115648676</v>
      </c>
      <c r="N288" s="46">
        <v>33.100503813021994</v>
      </c>
      <c r="O288" s="27">
        <v>485999099875</v>
      </c>
      <c r="P288" s="28">
        <v>73.650000000000006</v>
      </c>
      <c r="Q288" s="28">
        <v>76.08</v>
      </c>
      <c r="R288" s="28">
        <v>0.57999999999999996</v>
      </c>
      <c r="S288" s="27">
        <v>483977379980</v>
      </c>
      <c r="T288" s="27">
        <v>2928973390</v>
      </c>
      <c r="U288" s="27">
        <v>2450791564</v>
      </c>
      <c r="V288" s="27">
        <v>478181826</v>
      </c>
      <c r="W288" s="27">
        <v>0</v>
      </c>
      <c r="X288" s="27">
        <v>486906353370</v>
      </c>
      <c r="Y288" s="10">
        <v>0</v>
      </c>
      <c r="Z288" s="27">
        <v>19847405154</v>
      </c>
      <c r="AA288" s="27">
        <v>0</v>
      </c>
      <c r="AB288" s="27">
        <v>506753758524</v>
      </c>
      <c r="AC288" s="27">
        <v>288455837148</v>
      </c>
      <c r="AD288" s="46">
        <v>68.797538709601369</v>
      </c>
      <c r="AE288" s="27">
        <v>305399914625</v>
      </c>
      <c r="AF288" s="27">
        <v>305399914625</v>
      </c>
      <c r="AG288" s="27">
        <v>0</v>
      </c>
      <c r="AH288" s="27">
        <v>0</v>
      </c>
      <c r="AI288" s="27">
        <v>0</v>
      </c>
      <c r="AJ288" s="27">
        <v>0</v>
      </c>
      <c r="AK288" s="27">
        <v>0</v>
      </c>
      <c r="AL288" s="28">
        <v>0</v>
      </c>
      <c r="AM288" s="27">
        <v>0</v>
      </c>
      <c r="AN288" s="28">
        <v>38</v>
      </c>
      <c r="AO288" s="27">
        <v>67866148523</v>
      </c>
      <c r="AP288" s="12">
        <v>0</v>
      </c>
      <c r="AQ288" s="10">
        <v>0</v>
      </c>
      <c r="AR288" s="27">
        <v>2928973390</v>
      </c>
      <c r="AS288" s="27">
        <v>322481711</v>
      </c>
      <c r="AT288" s="27">
        <v>2606491679</v>
      </c>
      <c r="AU288" s="43">
        <v>808.26</v>
      </c>
      <c r="AV288" s="27">
        <v>104427979310</v>
      </c>
      <c r="AW288" s="27">
        <v>24021265134</v>
      </c>
      <c r="AX288" s="27">
        <v>68173204394</v>
      </c>
      <c r="AY288" s="27">
        <v>204084795686</v>
      </c>
      <c r="AZ288" s="27">
        <v>295401987276</v>
      </c>
      <c r="BA288" s="27">
        <v>117146000000</v>
      </c>
      <c r="BB288" s="27">
        <v>164592222932</v>
      </c>
      <c r="BC288" s="27">
        <v>688073486063</v>
      </c>
      <c r="BD288" s="29">
        <v>561</v>
      </c>
      <c r="BE288" s="27">
        <v>275409921587</v>
      </c>
      <c r="BF288" s="27">
        <v>295401987276</v>
      </c>
      <c r="BG288" s="27">
        <v>117261577200</v>
      </c>
      <c r="BH288" s="27">
        <v>206739954625</v>
      </c>
      <c r="BI288" s="27">
        <v>98659960000</v>
      </c>
      <c r="BJ288" s="27">
        <v>0</v>
      </c>
      <c r="BK288" s="27">
        <v>0</v>
      </c>
      <c r="BL288" s="27">
        <v>0</v>
      </c>
      <c r="BM288" s="27">
        <v>0</v>
      </c>
      <c r="BN288" s="27">
        <v>0</v>
      </c>
      <c r="BO288" s="27">
        <v>0</v>
      </c>
    </row>
    <row r="289" spans="1:67" x14ac:dyDescent="0.25">
      <c r="A289" s="25" t="s">
        <v>325</v>
      </c>
      <c r="B289" s="14">
        <v>2310</v>
      </c>
      <c r="C289" s="14" t="s">
        <v>336</v>
      </c>
      <c r="D289" s="15">
        <v>807057809675</v>
      </c>
      <c r="E289" s="15">
        <v>33942586112</v>
      </c>
      <c r="F289" s="15">
        <v>0</v>
      </c>
      <c r="G289" s="15">
        <v>0</v>
      </c>
      <c r="H289" s="15">
        <v>841000395787</v>
      </c>
      <c r="I289" s="15">
        <v>61562575184</v>
      </c>
      <c r="J289" s="15">
        <v>4900743886</v>
      </c>
      <c r="K289" s="15">
        <v>774537076717</v>
      </c>
      <c r="L289" s="15">
        <v>630753365342</v>
      </c>
      <c r="M289" s="15">
        <v>210247030445</v>
      </c>
      <c r="N289" s="48">
        <v>33.332684690632163</v>
      </c>
      <c r="O289" s="15">
        <v>580689582691</v>
      </c>
      <c r="P289" s="16">
        <v>73.06</v>
      </c>
      <c r="Q289" s="16">
        <v>74.97</v>
      </c>
      <c r="R289" s="16">
        <v>1.42</v>
      </c>
      <c r="S289" s="15">
        <v>574639782821</v>
      </c>
      <c r="T289" s="15">
        <v>8708336146</v>
      </c>
      <c r="U289" s="15">
        <v>5821717801</v>
      </c>
      <c r="V289" s="15">
        <v>2886618345</v>
      </c>
      <c r="W289" s="15">
        <v>0</v>
      </c>
      <c r="X289" s="15">
        <v>583348118967</v>
      </c>
      <c r="Y289" s="10">
        <v>0</v>
      </c>
      <c r="Z289" s="15">
        <v>29299809543</v>
      </c>
      <c r="AA289" s="15">
        <v>1827675947</v>
      </c>
      <c r="AB289" s="15">
        <v>614475604457</v>
      </c>
      <c r="AC289" s="15">
        <v>356304114090</v>
      </c>
      <c r="AD289" s="46">
        <v>63.721971175345516</v>
      </c>
      <c r="AE289" s="15">
        <v>380962066666</v>
      </c>
      <c r="AF289" s="15">
        <v>380962066666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6">
        <v>0</v>
      </c>
      <c r="AM289" s="15">
        <v>0</v>
      </c>
      <c r="AN289" s="16">
        <v>40</v>
      </c>
      <c r="AO289" s="15">
        <v>211419827983</v>
      </c>
      <c r="AP289" s="12">
        <v>40</v>
      </c>
      <c r="AQ289" s="10">
        <v>214778058540</v>
      </c>
      <c r="AR289" s="15">
        <v>8708336146</v>
      </c>
      <c r="AS289" s="15">
        <v>1862078264</v>
      </c>
      <c r="AT289" s="15">
        <v>6846257882</v>
      </c>
      <c r="AU289" s="16">
        <v>367.67</v>
      </c>
      <c r="AV289" s="15">
        <v>155302452912</v>
      </c>
      <c r="AW289" s="15">
        <v>35962792282</v>
      </c>
      <c r="AX289" s="15">
        <v>138734247983</v>
      </c>
      <c r="AY289" s="15">
        <v>237633349701</v>
      </c>
      <c r="AZ289" s="15">
        <v>209417711991</v>
      </c>
      <c r="BA289" s="15">
        <v>221272500000</v>
      </c>
      <c r="BB289" s="15">
        <v>178560351365</v>
      </c>
      <c r="BC289" s="15">
        <v>841000395787</v>
      </c>
      <c r="BD289" s="17">
        <v>299</v>
      </c>
      <c r="BE289" s="15">
        <v>410185863496</v>
      </c>
      <c r="BF289" s="15">
        <v>209417711991</v>
      </c>
      <c r="BG289" s="15">
        <v>221396820300</v>
      </c>
      <c r="BH289" s="15">
        <v>321900990275</v>
      </c>
      <c r="BI289" s="15">
        <v>59061076391</v>
      </c>
      <c r="BJ289" s="15">
        <v>0</v>
      </c>
      <c r="BK289" s="15">
        <v>0</v>
      </c>
      <c r="BL289" s="15">
        <v>0</v>
      </c>
      <c r="BM289" s="15">
        <v>0</v>
      </c>
      <c r="BN289" s="15">
        <v>0</v>
      </c>
      <c r="BO289" s="15">
        <v>0</v>
      </c>
    </row>
    <row r="290" spans="1:67" x14ac:dyDescent="0.25">
      <c r="A290" s="25" t="s">
        <v>325</v>
      </c>
      <c r="B290" s="9">
        <v>2399</v>
      </c>
      <c r="C290" s="9" t="s">
        <v>337</v>
      </c>
      <c r="D290" s="10">
        <v>0</v>
      </c>
      <c r="E290" s="10">
        <v>236813500</v>
      </c>
      <c r="F290" s="10">
        <v>0</v>
      </c>
      <c r="G290" s="10">
        <v>0</v>
      </c>
      <c r="H290" s="10">
        <v>236813500</v>
      </c>
      <c r="I290" s="10">
        <v>0</v>
      </c>
      <c r="J290" s="10">
        <v>293300000</v>
      </c>
      <c r="K290" s="10">
        <v>-56486500</v>
      </c>
      <c r="L290" s="10">
        <v>14420000</v>
      </c>
      <c r="M290" s="10">
        <v>222393500</v>
      </c>
      <c r="N290" s="46">
        <v>1542.2572815533981</v>
      </c>
      <c r="O290" s="10">
        <v>0</v>
      </c>
      <c r="P290" s="11">
        <v>0</v>
      </c>
      <c r="Q290" s="11">
        <v>0</v>
      </c>
      <c r="R290" s="11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46" t="s">
        <v>595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1">
        <v>0</v>
      </c>
      <c r="AM290" s="10">
        <v>0</v>
      </c>
      <c r="AN290" s="11">
        <v>0</v>
      </c>
      <c r="AO290" s="10">
        <v>0</v>
      </c>
      <c r="AP290" s="12">
        <v>0</v>
      </c>
      <c r="AQ290" s="10">
        <v>0</v>
      </c>
      <c r="AR290" s="10">
        <v>0</v>
      </c>
      <c r="AS290" s="10">
        <v>0</v>
      </c>
      <c r="AT290" s="10">
        <v>0</v>
      </c>
      <c r="AU290" s="11" t="s">
        <v>593</v>
      </c>
      <c r="AV290" s="10">
        <v>0</v>
      </c>
      <c r="AW290" s="10">
        <v>0</v>
      </c>
      <c r="AX290" s="10">
        <v>0</v>
      </c>
      <c r="AY290" s="10">
        <v>0</v>
      </c>
      <c r="AZ290" s="10">
        <v>0</v>
      </c>
      <c r="BA290" s="10">
        <v>0</v>
      </c>
      <c r="BB290" s="10">
        <v>0</v>
      </c>
      <c r="BC290" s="10">
        <v>236813500</v>
      </c>
      <c r="BD290" s="12">
        <v>0</v>
      </c>
      <c r="BE290" s="10">
        <v>236813500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</row>
    <row r="291" spans="1:67" x14ac:dyDescent="0.25">
      <c r="A291" s="19" t="s">
        <v>612</v>
      </c>
      <c r="B291" s="20" t="s">
        <v>593</v>
      </c>
      <c r="C291" s="20" t="s">
        <v>593</v>
      </c>
      <c r="D291" s="21">
        <v>15893583833676</v>
      </c>
      <c r="E291" s="21">
        <v>1708819192541</v>
      </c>
      <c r="F291" s="21">
        <v>100000000000</v>
      </c>
      <c r="G291" s="21">
        <v>485450881152</v>
      </c>
      <c r="H291" s="21">
        <v>18187853907369</v>
      </c>
      <c r="I291" s="21">
        <v>1216277083805</v>
      </c>
      <c r="J291" s="21">
        <v>88099182007</v>
      </c>
      <c r="K291" s="21">
        <v>16883477641557</v>
      </c>
      <c r="L291" s="21">
        <v>12092416948172</v>
      </c>
      <c r="M291" s="21">
        <v>6095436959197</v>
      </c>
      <c r="N291" s="47">
        <v>50.407102114672298</v>
      </c>
      <c r="O291" s="21">
        <v>14922083711368</v>
      </c>
      <c r="P291" s="22">
        <v>97.57</v>
      </c>
      <c r="Q291" s="22">
        <v>88.38</v>
      </c>
      <c r="R291" s="22">
        <v>3.11</v>
      </c>
      <c r="S291" s="21">
        <v>16172194899685</v>
      </c>
      <c r="T291" s="21">
        <v>500682078110</v>
      </c>
      <c r="U291" s="21">
        <v>93468708479</v>
      </c>
      <c r="V291" s="21">
        <v>223742359009</v>
      </c>
      <c r="W291" s="21">
        <v>183471010622</v>
      </c>
      <c r="X291" s="21">
        <v>16672876977795</v>
      </c>
      <c r="Y291" s="21">
        <v>51024814112</v>
      </c>
      <c r="Z291" s="21">
        <v>892138005384</v>
      </c>
      <c r="AA291" s="21">
        <v>181776853829</v>
      </c>
      <c r="AB291" s="21">
        <v>17746791837008</v>
      </c>
      <c r="AC291" s="21">
        <v>11934894694053</v>
      </c>
      <c r="AD291" s="47">
        <v>39.698567982362462</v>
      </c>
      <c r="AE291" s="21">
        <v>10820338439447</v>
      </c>
      <c r="AF291" s="21">
        <v>10163871275931</v>
      </c>
      <c r="AG291" s="21">
        <v>259764148375</v>
      </c>
      <c r="AH291" s="21">
        <v>69612602071</v>
      </c>
      <c r="AI291" s="21">
        <v>0</v>
      </c>
      <c r="AJ291" s="21">
        <v>0</v>
      </c>
      <c r="AK291" s="21">
        <v>0</v>
      </c>
      <c r="AL291" s="22">
        <v>4</v>
      </c>
      <c r="AM291" s="21">
        <v>732302940352</v>
      </c>
      <c r="AN291" s="23">
        <v>1247</v>
      </c>
      <c r="AO291" s="21">
        <v>16144967173798</v>
      </c>
      <c r="AP291" s="23">
        <v>1883</v>
      </c>
      <c r="AQ291" s="21">
        <v>7216507599998</v>
      </c>
      <c r="AR291" s="21">
        <v>500682078110</v>
      </c>
      <c r="AS291" s="21">
        <v>229360007463</v>
      </c>
      <c r="AT291" s="21">
        <v>271322070647</v>
      </c>
      <c r="AU291" s="24">
        <v>118.3</v>
      </c>
      <c r="AV291" s="21">
        <v>6384814254212</v>
      </c>
      <c r="AW291" s="21">
        <v>1287115947735</v>
      </c>
      <c r="AX291" s="21">
        <v>4009140342078</v>
      </c>
      <c r="AY291" s="21">
        <v>5355999416492</v>
      </c>
      <c r="AZ291" s="21">
        <v>3049541098034</v>
      </c>
      <c r="BA291" s="21">
        <v>3478902977072</v>
      </c>
      <c r="BB291" s="21">
        <v>2270806345045</v>
      </c>
      <c r="BC291" s="21">
        <v>18187853907369</v>
      </c>
      <c r="BD291" s="23">
        <v>440288</v>
      </c>
      <c r="BE291" s="21">
        <v>11432190732519</v>
      </c>
      <c r="BF291" s="21">
        <v>3148558298034</v>
      </c>
      <c r="BG291" s="21">
        <v>3607104876816</v>
      </c>
      <c r="BH291" s="21">
        <v>7741146795501</v>
      </c>
      <c r="BI291" s="21">
        <v>3079191643946</v>
      </c>
      <c r="BJ291" s="21">
        <v>98280276093</v>
      </c>
      <c r="BK291" s="21">
        <v>7722560388</v>
      </c>
      <c r="BL291" s="21">
        <v>161483872282</v>
      </c>
      <c r="BM291" s="21">
        <v>0</v>
      </c>
      <c r="BN291" s="21">
        <v>126299433410</v>
      </c>
      <c r="BO291" s="21">
        <v>22656640486</v>
      </c>
    </row>
    <row r="292" spans="1:67" x14ac:dyDescent="0.25">
      <c r="A292" s="25" t="s">
        <v>338</v>
      </c>
      <c r="B292" s="9">
        <v>313</v>
      </c>
      <c r="C292" s="9" t="s">
        <v>339</v>
      </c>
      <c r="D292" s="10">
        <v>97904957112642</v>
      </c>
      <c r="E292" s="10">
        <v>1817683759008</v>
      </c>
      <c r="F292" s="10">
        <v>1</v>
      </c>
      <c r="G292" s="10">
        <v>380101346616</v>
      </c>
      <c r="H292" s="10">
        <v>100102742218267</v>
      </c>
      <c r="I292" s="10">
        <v>8373330010632</v>
      </c>
      <c r="J292" s="10">
        <v>74683368256</v>
      </c>
      <c r="K292" s="10">
        <v>91654728839379</v>
      </c>
      <c r="L292" s="10">
        <v>95374944375005</v>
      </c>
      <c r="M292" s="10">
        <v>4727797843262</v>
      </c>
      <c r="N292" s="46">
        <v>4.9570648499387415</v>
      </c>
      <c r="O292" s="10">
        <v>59572874716496</v>
      </c>
      <c r="P292" s="11">
        <v>73.430000000000007</v>
      </c>
      <c r="Q292" s="11">
        <v>65</v>
      </c>
      <c r="R292" s="11">
        <v>13.51</v>
      </c>
      <c r="S292" s="10">
        <v>58145825413610</v>
      </c>
      <c r="T292" s="10">
        <v>5757159516806</v>
      </c>
      <c r="U292" s="10">
        <v>451902951871</v>
      </c>
      <c r="V292" s="10">
        <v>180677801261</v>
      </c>
      <c r="W292" s="10">
        <v>5124578763674</v>
      </c>
      <c r="X292" s="10">
        <v>63902984930416</v>
      </c>
      <c r="Y292" s="10">
        <v>4173203196954</v>
      </c>
      <c r="Z292" s="10">
        <v>9507238186154</v>
      </c>
      <c r="AA292" s="10">
        <v>96796921735</v>
      </c>
      <c r="AB292" s="10">
        <v>73507020038305</v>
      </c>
      <c r="AC292" s="10">
        <v>52921984573769</v>
      </c>
      <c r="AD292" s="46">
        <v>20.749411506555212</v>
      </c>
      <c r="AE292" s="10">
        <v>33881680347157</v>
      </c>
      <c r="AF292" s="10">
        <v>32446659773791</v>
      </c>
      <c r="AG292" s="10">
        <v>5041209023824</v>
      </c>
      <c r="AH292" s="10">
        <v>380444607415</v>
      </c>
      <c r="AI292" s="10">
        <v>0</v>
      </c>
      <c r="AJ292" s="10">
        <v>0</v>
      </c>
      <c r="AK292" s="10">
        <v>2500000000000</v>
      </c>
      <c r="AL292" s="11">
        <v>86</v>
      </c>
      <c r="AM292" s="10">
        <v>11542252813853</v>
      </c>
      <c r="AN292" s="11">
        <v>475</v>
      </c>
      <c r="AO292" s="10">
        <v>13633474059724</v>
      </c>
      <c r="AP292" s="12">
        <v>299</v>
      </c>
      <c r="AQ292" s="10">
        <v>11360247018136</v>
      </c>
      <c r="AR292" s="10">
        <v>5757159516806</v>
      </c>
      <c r="AS292" s="10">
        <v>5785916225687</v>
      </c>
      <c r="AT292" s="10">
        <v>-28756708881</v>
      </c>
      <c r="AU292" s="11">
        <v>-0.5</v>
      </c>
      <c r="AV292" s="10">
        <v>34412646521662</v>
      </c>
      <c r="AW292" s="10">
        <v>3645979153781</v>
      </c>
      <c r="AX292" s="10">
        <v>9938111069341</v>
      </c>
      <c r="AY292" s="10">
        <v>2950244713162</v>
      </c>
      <c r="AZ292" s="10">
        <v>4065664903559</v>
      </c>
      <c r="BA292" s="10">
        <v>80950936426580</v>
      </c>
      <c r="BB292" s="10">
        <v>135300218764</v>
      </c>
      <c r="BC292" s="10">
        <v>42157962818267</v>
      </c>
      <c r="BD292" s="12">
        <v>142588</v>
      </c>
      <c r="BE292" s="10">
        <v>14568502445489</v>
      </c>
      <c r="BF292" s="10">
        <v>4065664903560</v>
      </c>
      <c r="BG292" s="10">
        <v>81468574869218</v>
      </c>
      <c r="BH292" s="10">
        <v>17752625565848</v>
      </c>
      <c r="BI292" s="10">
        <v>16129054781309</v>
      </c>
      <c r="BJ292" s="10">
        <v>16192199894</v>
      </c>
      <c r="BK292" s="10">
        <v>2070342933704</v>
      </c>
      <c r="BL292" s="10">
        <v>5281884115352</v>
      </c>
      <c r="BM292" s="10">
        <v>104040000000</v>
      </c>
      <c r="BN292" s="10">
        <v>404578824246</v>
      </c>
      <c r="BO292" s="10">
        <v>391031982581</v>
      </c>
    </row>
    <row r="293" spans="1:67" x14ac:dyDescent="0.25">
      <c r="A293" s="19" t="s">
        <v>611</v>
      </c>
      <c r="B293" s="20" t="s">
        <v>593</v>
      </c>
      <c r="C293" s="20" t="s">
        <v>593</v>
      </c>
      <c r="D293" s="21">
        <v>97904957112642</v>
      </c>
      <c r="E293" s="21">
        <v>1817683759008</v>
      </c>
      <c r="F293" s="21">
        <v>1</v>
      </c>
      <c r="G293" s="21">
        <v>380101346616</v>
      </c>
      <c r="H293" s="21">
        <v>100102742218267</v>
      </c>
      <c r="I293" s="21">
        <v>8373330010632</v>
      </c>
      <c r="J293" s="21">
        <v>74683368256</v>
      </c>
      <c r="K293" s="21">
        <v>91654728839379</v>
      </c>
      <c r="L293" s="21">
        <v>95374944375005</v>
      </c>
      <c r="M293" s="21">
        <v>4727797843262</v>
      </c>
      <c r="N293" s="47">
        <v>4.9570648499387415</v>
      </c>
      <c r="O293" s="21">
        <v>59572874716496</v>
      </c>
      <c r="P293" s="22">
        <v>73.430000000000007</v>
      </c>
      <c r="Q293" s="22">
        <v>65</v>
      </c>
      <c r="R293" s="22">
        <v>13.51</v>
      </c>
      <c r="S293" s="21">
        <v>58145825413610</v>
      </c>
      <c r="T293" s="21">
        <v>5757159516806</v>
      </c>
      <c r="U293" s="21">
        <v>451902951871</v>
      </c>
      <c r="V293" s="21">
        <v>180677801261</v>
      </c>
      <c r="W293" s="21">
        <v>5124578763674</v>
      </c>
      <c r="X293" s="21">
        <v>63902984930416</v>
      </c>
      <c r="Y293" s="21">
        <v>4173203196954</v>
      </c>
      <c r="Z293" s="21">
        <v>9507238186154</v>
      </c>
      <c r="AA293" s="21">
        <v>96796921735</v>
      </c>
      <c r="AB293" s="21">
        <v>73507020038305</v>
      </c>
      <c r="AC293" s="21">
        <v>52921984573769</v>
      </c>
      <c r="AD293" s="47">
        <v>20.749411506555212</v>
      </c>
      <c r="AE293" s="21">
        <v>33881680347157</v>
      </c>
      <c r="AF293" s="21">
        <v>32446659773791</v>
      </c>
      <c r="AG293" s="21">
        <v>5041209023824</v>
      </c>
      <c r="AH293" s="21">
        <v>380444607415</v>
      </c>
      <c r="AI293" s="21">
        <v>0</v>
      </c>
      <c r="AJ293" s="21">
        <v>0</v>
      </c>
      <c r="AK293" s="21">
        <v>2500000000000</v>
      </c>
      <c r="AL293" s="22">
        <v>86</v>
      </c>
      <c r="AM293" s="21">
        <v>11542252813853</v>
      </c>
      <c r="AN293" s="22">
        <v>475</v>
      </c>
      <c r="AO293" s="21">
        <v>13633474059724</v>
      </c>
      <c r="AP293" s="23">
        <v>299</v>
      </c>
      <c r="AQ293" s="21">
        <v>11360247018136</v>
      </c>
      <c r="AR293" s="21">
        <v>5757159516806</v>
      </c>
      <c r="AS293" s="21">
        <v>5785916225687</v>
      </c>
      <c r="AT293" s="21">
        <v>-28756708881</v>
      </c>
      <c r="AU293" s="24">
        <v>-0.5</v>
      </c>
      <c r="AV293" s="21">
        <v>34412646521662</v>
      </c>
      <c r="AW293" s="21">
        <v>3645979153781</v>
      </c>
      <c r="AX293" s="21">
        <v>9938111069341</v>
      </c>
      <c r="AY293" s="21">
        <v>2950244713162</v>
      </c>
      <c r="AZ293" s="21">
        <v>4065664903559</v>
      </c>
      <c r="BA293" s="21">
        <v>80950936426580</v>
      </c>
      <c r="BB293" s="21">
        <v>135300218764</v>
      </c>
      <c r="BC293" s="21">
        <v>42157962818267</v>
      </c>
      <c r="BD293" s="23">
        <v>142588</v>
      </c>
      <c r="BE293" s="21">
        <v>14568502445489</v>
      </c>
      <c r="BF293" s="21">
        <v>4065664903560</v>
      </c>
      <c r="BG293" s="21">
        <v>81468574869218</v>
      </c>
      <c r="BH293" s="21">
        <v>17752625565848</v>
      </c>
      <c r="BI293" s="21">
        <v>16129054781309</v>
      </c>
      <c r="BJ293" s="21">
        <v>16192199894</v>
      </c>
      <c r="BK293" s="21">
        <v>2070342933704</v>
      </c>
      <c r="BL293" s="21">
        <v>5281884115352</v>
      </c>
      <c r="BM293" s="21">
        <v>104040000000</v>
      </c>
      <c r="BN293" s="21">
        <v>404578824246</v>
      </c>
      <c r="BO293" s="21">
        <v>391031982581</v>
      </c>
    </row>
    <row r="294" spans="1:67" x14ac:dyDescent="0.25">
      <c r="A294" s="25" t="s">
        <v>340</v>
      </c>
      <c r="B294" s="9">
        <v>2400</v>
      </c>
      <c r="C294" s="9" t="s">
        <v>341</v>
      </c>
      <c r="D294" s="10">
        <v>2405715097171</v>
      </c>
      <c r="E294" s="10">
        <v>248683902142</v>
      </c>
      <c r="F294" s="10">
        <v>0</v>
      </c>
      <c r="G294" s="10">
        <v>3745218668</v>
      </c>
      <c r="H294" s="10">
        <v>2658144217981</v>
      </c>
      <c r="I294" s="10">
        <v>216673638007</v>
      </c>
      <c r="J294" s="10">
        <v>36630467303</v>
      </c>
      <c r="K294" s="10">
        <v>2404840112671</v>
      </c>
      <c r="L294" s="10">
        <v>2937754119678</v>
      </c>
      <c r="M294" s="10">
        <v>-279609901697</v>
      </c>
      <c r="N294" s="46">
        <v>-9.5178115766763813</v>
      </c>
      <c r="O294" s="10">
        <v>9283279068402</v>
      </c>
      <c r="P294" s="11">
        <v>462.65</v>
      </c>
      <c r="Q294" s="11">
        <v>386.02</v>
      </c>
      <c r="R294" s="11">
        <v>1.26</v>
      </c>
      <c r="S294" s="10">
        <v>11531429679894</v>
      </c>
      <c r="T294" s="10">
        <v>144322271208</v>
      </c>
      <c r="U294" s="10">
        <v>1041486608</v>
      </c>
      <c r="V294" s="10">
        <v>139051359000</v>
      </c>
      <c r="W294" s="10">
        <v>4229425600</v>
      </c>
      <c r="X294" s="10">
        <v>11675751951102</v>
      </c>
      <c r="Y294" s="10">
        <v>10165922308</v>
      </c>
      <c r="Z294" s="10">
        <v>608283320620</v>
      </c>
      <c r="AA294" s="10">
        <v>13934584518</v>
      </c>
      <c r="AB294" s="10">
        <v>12297969856240</v>
      </c>
      <c r="AC294" s="10">
        <v>8758663639780</v>
      </c>
      <c r="AD294" s="46">
        <v>33.305175667132609</v>
      </c>
      <c r="AE294" s="10">
        <v>7533260425750</v>
      </c>
      <c r="AF294" s="10">
        <v>7494679975888</v>
      </c>
      <c r="AG294" s="10">
        <v>117835648543</v>
      </c>
      <c r="AH294" s="10">
        <v>0</v>
      </c>
      <c r="AI294" s="10">
        <v>0</v>
      </c>
      <c r="AJ294" s="10">
        <v>280000000000</v>
      </c>
      <c r="AK294" s="10">
        <v>0</v>
      </c>
      <c r="AL294" s="11">
        <v>2</v>
      </c>
      <c r="AM294" s="10">
        <v>26690400000</v>
      </c>
      <c r="AN294" s="11">
        <v>101</v>
      </c>
      <c r="AO294" s="10">
        <v>658742943996</v>
      </c>
      <c r="AP294" s="12">
        <v>146</v>
      </c>
      <c r="AQ294" s="10">
        <v>1659257635437</v>
      </c>
      <c r="AR294" s="10">
        <v>144322271208</v>
      </c>
      <c r="AS294" s="10">
        <v>4625666664</v>
      </c>
      <c r="AT294" s="10">
        <v>139696604544</v>
      </c>
      <c r="AU294" s="13">
        <v>3020.03</v>
      </c>
      <c r="AV294" s="10">
        <v>5248547345618</v>
      </c>
      <c r="AW294" s="10">
        <v>901970309657</v>
      </c>
      <c r="AX294" s="10">
        <v>1341991542934</v>
      </c>
      <c r="AY294" s="10">
        <v>402351267574</v>
      </c>
      <c r="AZ294" s="10">
        <v>324631182554</v>
      </c>
      <c r="BA294" s="10">
        <v>336741104109</v>
      </c>
      <c r="BB294" s="10">
        <v>127345107013</v>
      </c>
      <c r="BC294" s="10">
        <v>2658144217981</v>
      </c>
      <c r="BD294" s="12">
        <v>294009</v>
      </c>
      <c r="BE294" s="10">
        <v>1828757213489</v>
      </c>
      <c r="BF294" s="10">
        <v>324631182554</v>
      </c>
      <c r="BG294" s="10">
        <v>504755821938</v>
      </c>
      <c r="BH294" s="10">
        <v>4259185428545</v>
      </c>
      <c r="BI294" s="10">
        <v>3274074997205</v>
      </c>
      <c r="BJ294" s="10">
        <v>0</v>
      </c>
      <c r="BK294" s="10">
        <v>0</v>
      </c>
      <c r="BL294" s="10">
        <v>121551022543</v>
      </c>
      <c r="BM294" s="10">
        <v>0</v>
      </c>
      <c r="BN294" s="10">
        <v>0</v>
      </c>
      <c r="BO294" s="10">
        <v>0</v>
      </c>
    </row>
    <row r="295" spans="1:67" x14ac:dyDescent="0.25">
      <c r="A295" s="25" t="s">
        <v>340</v>
      </c>
      <c r="B295" s="9">
        <v>2401</v>
      </c>
      <c r="C295" s="9" t="s">
        <v>342</v>
      </c>
      <c r="D295" s="10">
        <v>914545072517</v>
      </c>
      <c r="E295" s="10">
        <v>80898860593</v>
      </c>
      <c r="F295" s="10">
        <v>0</v>
      </c>
      <c r="G295" s="10">
        <v>0</v>
      </c>
      <c r="H295" s="10">
        <v>995443933110</v>
      </c>
      <c r="I295" s="10">
        <v>63269085963</v>
      </c>
      <c r="J295" s="10">
        <v>2250430098</v>
      </c>
      <c r="K295" s="10">
        <v>929924417049</v>
      </c>
      <c r="L295" s="10">
        <v>1013807806364</v>
      </c>
      <c r="M295" s="10">
        <v>-18363873254</v>
      </c>
      <c r="N295" s="46">
        <v>-1.8113761936655073</v>
      </c>
      <c r="O295" s="10">
        <v>1627435413721</v>
      </c>
      <c r="P295" s="11">
        <v>194.86</v>
      </c>
      <c r="Q295" s="11">
        <v>175.01</v>
      </c>
      <c r="R295" s="11">
        <v>20.100000000000001</v>
      </c>
      <c r="S295" s="10">
        <v>1357204812480</v>
      </c>
      <c r="T295" s="10">
        <v>350709583274</v>
      </c>
      <c r="U295" s="10">
        <v>534622235</v>
      </c>
      <c r="V295" s="10">
        <v>158018612919</v>
      </c>
      <c r="W295" s="10">
        <v>192156348120</v>
      </c>
      <c r="X295" s="10">
        <v>1707914395754</v>
      </c>
      <c r="Y295" s="10">
        <v>39130244542</v>
      </c>
      <c r="Z295" s="10">
        <v>226287810538</v>
      </c>
      <c r="AA295" s="10">
        <v>5500000000</v>
      </c>
      <c r="AB295" s="10">
        <v>1939702206292</v>
      </c>
      <c r="AC295" s="10">
        <v>923310545815</v>
      </c>
      <c r="AD295" s="46">
        <v>84.977243409088913</v>
      </c>
      <c r="AE295" s="10">
        <v>2814728838963</v>
      </c>
      <c r="AF295" s="10">
        <v>2770292898335</v>
      </c>
      <c r="AG295" s="10">
        <v>1729693213122</v>
      </c>
      <c r="AH295" s="10">
        <v>0</v>
      </c>
      <c r="AI295" s="10">
        <v>0</v>
      </c>
      <c r="AJ295" s="10">
        <v>0</v>
      </c>
      <c r="AK295" s="10">
        <v>0</v>
      </c>
      <c r="AL295" s="11">
        <v>34</v>
      </c>
      <c r="AM295" s="10">
        <v>1740238270199</v>
      </c>
      <c r="AN295" s="11">
        <v>27</v>
      </c>
      <c r="AO295" s="10">
        <v>127888305426</v>
      </c>
      <c r="AP295" s="12">
        <v>15</v>
      </c>
      <c r="AQ295" s="10">
        <v>86409863221</v>
      </c>
      <c r="AR295" s="10">
        <v>350709583274</v>
      </c>
      <c r="AS295" s="10">
        <v>364220227468</v>
      </c>
      <c r="AT295" s="10">
        <v>-13510644194</v>
      </c>
      <c r="AU295" s="11">
        <v>-3.71</v>
      </c>
      <c r="AV295" s="10">
        <v>2043112764319</v>
      </c>
      <c r="AW295" s="10">
        <v>1365572906246</v>
      </c>
      <c r="AX295" s="10">
        <v>256350952561</v>
      </c>
      <c r="AY295" s="10">
        <v>229935210446</v>
      </c>
      <c r="AZ295" s="10">
        <v>136381909510</v>
      </c>
      <c r="BA295" s="10">
        <v>291877000000</v>
      </c>
      <c r="BB295" s="10">
        <v>90781697396</v>
      </c>
      <c r="BC295" s="10">
        <v>995443933110</v>
      </c>
      <c r="BD295" s="12">
        <v>277649</v>
      </c>
      <c r="BE295" s="10">
        <v>567185023600</v>
      </c>
      <c r="BF295" s="10">
        <v>136381909510</v>
      </c>
      <c r="BG295" s="10">
        <v>291877000000</v>
      </c>
      <c r="BH295" s="10">
        <v>2673516660809</v>
      </c>
      <c r="BI295" s="10">
        <v>141212178154</v>
      </c>
      <c r="BJ295" s="10">
        <v>0</v>
      </c>
      <c r="BK295" s="10">
        <v>21955252940</v>
      </c>
      <c r="BL295" s="10">
        <v>1865612559680</v>
      </c>
      <c r="BM295" s="10">
        <v>0</v>
      </c>
      <c r="BN295" s="10">
        <v>0</v>
      </c>
      <c r="BO295" s="10">
        <v>0</v>
      </c>
    </row>
    <row r="296" spans="1:67" x14ac:dyDescent="0.25">
      <c r="A296" s="25" t="s">
        <v>340</v>
      </c>
      <c r="B296" s="9">
        <v>2402</v>
      </c>
      <c r="C296" s="9" t="s">
        <v>343</v>
      </c>
      <c r="D296" s="10">
        <v>1523277953632</v>
      </c>
      <c r="E296" s="10">
        <v>71251030004</v>
      </c>
      <c r="F296" s="10">
        <v>0</v>
      </c>
      <c r="G296" s="10">
        <v>0</v>
      </c>
      <c r="H296" s="10">
        <v>1594528983636</v>
      </c>
      <c r="I296" s="10">
        <v>109278610764</v>
      </c>
      <c r="J296" s="10">
        <v>1594843910</v>
      </c>
      <c r="K296" s="10">
        <v>1483655528962</v>
      </c>
      <c r="L296" s="10">
        <v>974916550765</v>
      </c>
      <c r="M296" s="10">
        <v>619612432871</v>
      </c>
      <c r="N296" s="46">
        <v>63.555432758301308</v>
      </c>
      <c r="O296" s="10">
        <v>1956684536602</v>
      </c>
      <c r="P296" s="11">
        <v>156.01</v>
      </c>
      <c r="Q296" s="11">
        <v>131.88</v>
      </c>
      <c r="R296" s="11">
        <v>1.24</v>
      </c>
      <c r="S296" s="10">
        <v>2376153393376</v>
      </c>
      <c r="T296" s="10">
        <v>28533003490</v>
      </c>
      <c r="U296" s="10">
        <v>19388770555</v>
      </c>
      <c r="V296" s="10">
        <v>6347728673</v>
      </c>
      <c r="W296" s="10">
        <v>2796504262</v>
      </c>
      <c r="X296" s="10">
        <v>2404686396866</v>
      </c>
      <c r="Y296" s="10">
        <v>2421790966</v>
      </c>
      <c r="Z296" s="10">
        <v>56621215769</v>
      </c>
      <c r="AA296" s="10">
        <v>26300000000</v>
      </c>
      <c r="AB296" s="10">
        <v>2487607612635</v>
      </c>
      <c r="AC296" s="10">
        <v>2262582809115</v>
      </c>
      <c r="AD296" s="46">
        <v>6.2805916839164544</v>
      </c>
      <c r="AE296" s="10">
        <v>1301796864767</v>
      </c>
      <c r="AF296" s="10">
        <v>1301796864767</v>
      </c>
      <c r="AG296" s="10">
        <v>33097209305</v>
      </c>
      <c r="AH296" s="10">
        <v>0</v>
      </c>
      <c r="AI296" s="10">
        <v>0</v>
      </c>
      <c r="AJ296" s="10">
        <v>0</v>
      </c>
      <c r="AK296" s="10">
        <v>0</v>
      </c>
      <c r="AL296" s="11">
        <v>5</v>
      </c>
      <c r="AM296" s="10">
        <v>228479927863</v>
      </c>
      <c r="AN296" s="11">
        <v>71</v>
      </c>
      <c r="AO296" s="10">
        <v>2162682352418</v>
      </c>
      <c r="AP296" s="12">
        <v>18</v>
      </c>
      <c r="AQ296" s="10">
        <v>498654483999</v>
      </c>
      <c r="AR296" s="10">
        <v>28533003490</v>
      </c>
      <c r="AS296" s="10">
        <v>22715222210</v>
      </c>
      <c r="AT296" s="10">
        <v>5817781280</v>
      </c>
      <c r="AU296" s="11">
        <v>25.61</v>
      </c>
      <c r="AV296" s="10">
        <v>1012389327436</v>
      </c>
      <c r="AW296" s="10">
        <v>219029669966</v>
      </c>
      <c r="AX296" s="10">
        <v>591796788554</v>
      </c>
      <c r="AY296" s="10">
        <v>309286145806</v>
      </c>
      <c r="AZ296" s="10">
        <v>249994991772</v>
      </c>
      <c r="BA296" s="10">
        <v>372200027500</v>
      </c>
      <c r="BB296" s="10">
        <v>152682391499</v>
      </c>
      <c r="BC296" s="10">
        <v>1594528983636</v>
      </c>
      <c r="BD296" s="12">
        <v>47716</v>
      </c>
      <c r="BE296" s="10">
        <v>972333964364</v>
      </c>
      <c r="BF296" s="10">
        <v>249994991772</v>
      </c>
      <c r="BG296" s="10">
        <v>372200027500</v>
      </c>
      <c r="BH296" s="10">
        <v>1127933604767</v>
      </c>
      <c r="BI296" s="10">
        <v>173863260000</v>
      </c>
      <c r="BJ296" s="10">
        <v>0</v>
      </c>
      <c r="BK296" s="10">
        <v>0</v>
      </c>
      <c r="BL296" s="10">
        <v>33097209305</v>
      </c>
      <c r="BM296" s="10">
        <v>0</v>
      </c>
      <c r="BN296" s="10">
        <v>0</v>
      </c>
      <c r="BO296" s="10">
        <v>0</v>
      </c>
    </row>
    <row r="297" spans="1:67" x14ac:dyDescent="0.25">
      <c r="A297" s="25" t="s">
        <v>340</v>
      </c>
      <c r="B297" s="9">
        <v>2403</v>
      </c>
      <c r="C297" s="9" t="s">
        <v>344</v>
      </c>
      <c r="D297" s="10">
        <v>1364623345000</v>
      </c>
      <c r="E297" s="10">
        <v>16087379070</v>
      </c>
      <c r="F297" s="10">
        <v>0</v>
      </c>
      <c r="G297" s="10">
        <v>0</v>
      </c>
      <c r="H297" s="10">
        <v>1380710724070</v>
      </c>
      <c r="I297" s="10">
        <v>109160583313</v>
      </c>
      <c r="J297" s="10">
        <v>1194223995</v>
      </c>
      <c r="K297" s="10">
        <v>1270355916762</v>
      </c>
      <c r="L297" s="10">
        <v>1007433435843</v>
      </c>
      <c r="M297" s="10">
        <v>373277288227</v>
      </c>
      <c r="N297" s="46">
        <v>37.052302906211274</v>
      </c>
      <c r="O297" s="10">
        <v>1961847696420</v>
      </c>
      <c r="P297" s="11">
        <v>161.44</v>
      </c>
      <c r="Q297" s="11">
        <v>154.43</v>
      </c>
      <c r="R297" s="11">
        <v>0.98</v>
      </c>
      <c r="S297" s="10">
        <v>2099881412096</v>
      </c>
      <c r="T297" s="10">
        <v>21392105179</v>
      </c>
      <c r="U297" s="10">
        <v>19000874598</v>
      </c>
      <c r="V297" s="10">
        <v>2391230581</v>
      </c>
      <c r="W297" s="10">
        <v>0</v>
      </c>
      <c r="X297" s="10">
        <v>2121273517275</v>
      </c>
      <c r="Y297" s="10">
        <v>420370070</v>
      </c>
      <c r="Z297" s="10">
        <v>80748079718</v>
      </c>
      <c r="AA297" s="10">
        <v>26942890000</v>
      </c>
      <c r="AB297" s="10">
        <v>2228964486993</v>
      </c>
      <c r="AC297" s="10">
        <v>1302480841551</v>
      </c>
      <c r="AD297" s="46">
        <v>62.864085950698367</v>
      </c>
      <c r="AE297" s="10">
        <v>1472824448153</v>
      </c>
      <c r="AF297" s="10">
        <v>1367626489161</v>
      </c>
      <c r="AG297" s="10">
        <v>0</v>
      </c>
      <c r="AH297" s="10">
        <v>42660000</v>
      </c>
      <c r="AI297" s="10">
        <v>820474348</v>
      </c>
      <c r="AJ297" s="10">
        <v>0</v>
      </c>
      <c r="AK297" s="10">
        <v>0</v>
      </c>
      <c r="AL297" s="11">
        <v>0</v>
      </c>
      <c r="AM297" s="10">
        <v>0</v>
      </c>
      <c r="AN297" s="11">
        <v>61</v>
      </c>
      <c r="AO297" s="10">
        <v>298538321948</v>
      </c>
      <c r="AP297" s="12">
        <v>25</v>
      </c>
      <c r="AQ297" s="10">
        <v>110908610481</v>
      </c>
      <c r="AR297" s="10">
        <v>21392105179</v>
      </c>
      <c r="AS297" s="10">
        <v>13817426080</v>
      </c>
      <c r="AT297" s="10">
        <v>7574679099</v>
      </c>
      <c r="AU297" s="11">
        <v>54.82</v>
      </c>
      <c r="AV297" s="10">
        <v>597236588347</v>
      </c>
      <c r="AW297" s="10">
        <v>134255218114</v>
      </c>
      <c r="AX297" s="10">
        <v>266379572510</v>
      </c>
      <c r="AY297" s="10">
        <v>243891405499</v>
      </c>
      <c r="AZ297" s="10">
        <v>316420566991</v>
      </c>
      <c r="BA297" s="10">
        <v>537931800000</v>
      </c>
      <c r="BB297" s="10">
        <v>230775908140</v>
      </c>
      <c r="BC297" s="10">
        <v>1380710724070</v>
      </c>
      <c r="BD297" s="12">
        <v>98722</v>
      </c>
      <c r="BE297" s="10">
        <v>526358357079</v>
      </c>
      <c r="BF297" s="10">
        <v>315410566991</v>
      </c>
      <c r="BG297" s="10">
        <v>538941800000</v>
      </c>
      <c r="BH297" s="10">
        <v>1062431528992</v>
      </c>
      <c r="BI297" s="10">
        <v>410392919161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42660000</v>
      </c>
    </row>
    <row r="298" spans="1:67" x14ac:dyDescent="0.25">
      <c r="A298" s="25" t="s">
        <v>340</v>
      </c>
      <c r="B298" s="9">
        <v>2404</v>
      </c>
      <c r="C298" s="9" t="s">
        <v>345</v>
      </c>
      <c r="D298" s="10">
        <v>1116321482781</v>
      </c>
      <c r="E298" s="10">
        <v>10102365962</v>
      </c>
      <c r="F298" s="10">
        <v>0</v>
      </c>
      <c r="G298" s="10">
        <v>0</v>
      </c>
      <c r="H298" s="10">
        <v>1126423848743</v>
      </c>
      <c r="I298" s="10">
        <v>83708058943</v>
      </c>
      <c r="J298" s="10">
        <v>1482146600</v>
      </c>
      <c r="K298" s="10">
        <v>1041233643200</v>
      </c>
      <c r="L298" s="10">
        <v>847912393969</v>
      </c>
      <c r="M298" s="10">
        <v>278511454774</v>
      </c>
      <c r="N298" s="46">
        <v>32.846725293200805</v>
      </c>
      <c r="O298" s="10">
        <v>1178674422654</v>
      </c>
      <c r="P298" s="11">
        <v>117.39</v>
      </c>
      <c r="Q298" s="11">
        <v>113.2</v>
      </c>
      <c r="R298" s="11">
        <v>1.57</v>
      </c>
      <c r="S298" s="10">
        <v>1217612231587</v>
      </c>
      <c r="T298" s="10">
        <v>15139019451</v>
      </c>
      <c r="U298" s="10">
        <v>10140828400</v>
      </c>
      <c r="V298" s="10">
        <v>803345796</v>
      </c>
      <c r="W298" s="10">
        <v>4194845255</v>
      </c>
      <c r="X298" s="10">
        <v>1232751251038</v>
      </c>
      <c r="Y298" s="10">
        <v>5578355297</v>
      </c>
      <c r="Z298" s="10">
        <v>64854033405</v>
      </c>
      <c r="AA298" s="10">
        <v>24750000000</v>
      </c>
      <c r="AB298" s="10">
        <v>1322355284443</v>
      </c>
      <c r="AC298" s="10">
        <v>783344354232</v>
      </c>
      <c r="AD298" s="46">
        <v>57.370286053392675</v>
      </c>
      <c r="AE298" s="10">
        <v>825658912436</v>
      </c>
      <c r="AF298" s="10">
        <v>820658912436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1">
        <v>0</v>
      </c>
      <c r="AM298" s="10">
        <v>0</v>
      </c>
      <c r="AN298" s="11">
        <v>78</v>
      </c>
      <c r="AO298" s="10">
        <v>150965219818</v>
      </c>
      <c r="AP298" s="12">
        <v>20</v>
      </c>
      <c r="AQ298" s="10">
        <v>61918012000</v>
      </c>
      <c r="AR298" s="10">
        <v>15139019451</v>
      </c>
      <c r="AS298" s="10">
        <v>21401977695</v>
      </c>
      <c r="AT298" s="10">
        <v>-6262958244</v>
      </c>
      <c r="AU298" s="11">
        <v>-29.26</v>
      </c>
      <c r="AV298" s="10">
        <v>302057778242</v>
      </c>
      <c r="AW298" s="10">
        <v>63257319920</v>
      </c>
      <c r="AX298" s="10">
        <v>170832074533</v>
      </c>
      <c r="AY298" s="10">
        <v>186846133384</v>
      </c>
      <c r="AZ298" s="10">
        <v>349327863364</v>
      </c>
      <c r="BA298" s="10">
        <v>409315411500</v>
      </c>
      <c r="BB298" s="10">
        <v>278247254561</v>
      </c>
      <c r="BC298" s="10">
        <v>1126423848743</v>
      </c>
      <c r="BD298" s="12">
        <v>147785</v>
      </c>
      <c r="BE298" s="10">
        <v>367780573879</v>
      </c>
      <c r="BF298" s="10">
        <v>349327863364</v>
      </c>
      <c r="BG298" s="10">
        <v>409315411500</v>
      </c>
      <c r="BH298" s="10">
        <v>739724279000</v>
      </c>
      <c r="BI298" s="10">
        <v>85934633436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</row>
    <row r="299" spans="1:67" x14ac:dyDescent="0.25">
      <c r="A299" s="25" t="s">
        <v>340</v>
      </c>
      <c r="B299" s="9">
        <v>2405</v>
      </c>
      <c r="C299" s="9" t="s">
        <v>346</v>
      </c>
      <c r="D299" s="10">
        <v>931562137678</v>
      </c>
      <c r="E299" s="10">
        <v>33167108112</v>
      </c>
      <c r="F299" s="10">
        <v>0</v>
      </c>
      <c r="G299" s="10">
        <v>0</v>
      </c>
      <c r="H299" s="10">
        <v>964729245790</v>
      </c>
      <c r="I299" s="10">
        <v>76017565590</v>
      </c>
      <c r="J299" s="10">
        <v>3083156379</v>
      </c>
      <c r="K299" s="10">
        <v>885628523821</v>
      </c>
      <c r="L299" s="10">
        <v>937780148321</v>
      </c>
      <c r="M299" s="10">
        <v>26949097469</v>
      </c>
      <c r="N299" s="46">
        <v>2.8737116601635915</v>
      </c>
      <c r="O299" s="10">
        <v>1055694910002</v>
      </c>
      <c r="P299" s="11">
        <v>125.7</v>
      </c>
      <c r="Q299" s="11">
        <v>119.2</v>
      </c>
      <c r="R299" s="11">
        <v>1.45</v>
      </c>
      <c r="S299" s="10">
        <v>1114173700162</v>
      </c>
      <c r="T299" s="10">
        <v>13979748234</v>
      </c>
      <c r="U299" s="10">
        <v>9587387253</v>
      </c>
      <c r="V299" s="10">
        <v>2558248661</v>
      </c>
      <c r="W299" s="10">
        <v>1834112320</v>
      </c>
      <c r="X299" s="10">
        <v>1128153448396</v>
      </c>
      <c r="Y299" s="10">
        <v>3623196192</v>
      </c>
      <c r="Z299" s="10">
        <v>63475697040</v>
      </c>
      <c r="AA299" s="10">
        <v>20992700000</v>
      </c>
      <c r="AB299" s="10">
        <v>1212621845436</v>
      </c>
      <c r="AC299" s="10">
        <v>691978843786</v>
      </c>
      <c r="AD299" s="46">
        <v>63.032939305423405</v>
      </c>
      <c r="AE299" s="10">
        <v>654846345000</v>
      </c>
      <c r="AF299" s="10">
        <v>654846345000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1">
        <v>0</v>
      </c>
      <c r="AM299" s="10">
        <v>0</v>
      </c>
      <c r="AN299" s="11">
        <v>90</v>
      </c>
      <c r="AO299" s="10">
        <v>514742526286</v>
      </c>
      <c r="AP299" s="12">
        <v>39</v>
      </c>
      <c r="AQ299" s="10">
        <v>132783242101</v>
      </c>
      <c r="AR299" s="10">
        <v>13979748234</v>
      </c>
      <c r="AS299" s="10">
        <v>9150495402</v>
      </c>
      <c r="AT299" s="10">
        <v>4829252832</v>
      </c>
      <c r="AU299" s="11">
        <v>52.78</v>
      </c>
      <c r="AV299" s="10">
        <v>265163176458</v>
      </c>
      <c r="AW299" s="10">
        <v>51259594758</v>
      </c>
      <c r="AX299" s="10">
        <v>100104278503</v>
      </c>
      <c r="AY299" s="10">
        <v>284042944966</v>
      </c>
      <c r="AZ299" s="10">
        <v>90103114209</v>
      </c>
      <c r="BA299" s="10">
        <v>457311800000</v>
      </c>
      <c r="BB299" s="10">
        <v>20033183142</v>
      </c>
      <c r="BC299" s="10">
        <v>964729245790</v>
      </c>
      <c r="BD299" s="12">
        <v>51642</v>
      </c>
      <c r="BE299" s="10">
        <v>417314331581</v>
      </c>
      <c r="BF299" s="10">
        <v>89857914209</v>
      </c>
      <c r="BG299" s="10">
        <v>457557000000</v>
      </c>
      <c r="BH299" s="10">
        <v>296178589000</v>
      </c>
      <c r="BI299" s="10">
        <v>358667756000</v>
      </c>
      <c r="BJ299" s="10">
        <v>0</v>
      </c>
      <c r="BK299" s="10">
        <v>0</v>
      </c>
      <c r="BL299" s="10">
        <v>0</v>
      </c>
      <c r="BM299" s="10">
        <v>0</v>
      </c>
      <c r="BN299" s="10">
        <v>0</v>
      </c>
      <c r="BO299" s="10">
        <v>0</v>
      </c>
    </row>
    <row r="300" spans="1:67" x14ac:dyDescent="0.25">
      <c r="A300" s="25" t="s">
        <v>340</v>
      </c>
      <c r="B300" s="9">
        <v>2406</v>
      </c>
      <c r="C300" s="9" t="s">
        <v>347</v>
      </c>
      <c r="D300" s="10">
        <v>1270704972942</v>
      </c>
      <c r="E300" s="10">
        <v>23094818059</v>
      </c>
      <c r="F300" s="10">
        <v>0</v>
      </c>
      <c r="G300" s="10">
        <v>0</v>
      </c>
      <c r="H300" s="10">
        <v>1293799791001</v>
      </c>
      <c r="I300" s="10">
        <v>97660753925</v>
      </c>
      <c r="J300" s="10">
        <v>1562820408</v>
      </c>
      <c r="K300" s="10">
        <v>1194576216668</v>
      </c>
      <c r="L300" s="10">
        <v>1181585988407</v>
      </c>
      <c r="M300" s="10">
        <v>112213802594</v>
      </c>
      <c r="N300" s="46">
        <v>9.4968799304471521</v>
      </c>
      <c r="O300" s="10">
        <v>1342250136261</v>
      </c>
      <c r="P300" s="11">
        <v>123.08</v>
      </c>
      <c r="Q300" s="11">
        <v>112.36</v>
      </c>
      <c r="R300" s="11">
        <v>4.26</v>
      </c>
      <c r="S300" s="10">
        <v>1404268981910</v>
      </c>
      <c r="T300" s="10">
        <v>67112060285</v>
      </c>
      <c r="U300" s="10">
        <v>24358585346</v>
      </c>
      <c r="V300" s="10">
        <v>9891366994</v>
      </c>
      <c r="W300" s="10">
        <v>32862107945</v>
      </c>
      <c r="X300" s="10">
        <v>1471381042195</v>
      </c>
      <c r="Y300" s="10">
        <v>734705456</v>
      </c>
      <c r="Z300" s="10">
        <v>103691134287</v>
      </c>
      <c r="AA300" s="10">
        <v>17385210004</v>
      </c>
      <c r="AB300" s="10">
        <v>1592457386486</v>
      </c>
      <c r="AC300" s="10">
        <v>865465180429</v>
      </c>
      <c r="AD300" s="46">
        <v>70.010426238714217</v>
      </c>
      <c r="AE300" s="10">
        <v>1072301429182</v>
      </c>
      <c r="AF300" s="10">
        <v>1006971429182</v>
      </c>
      <c r="AG300" s="10">
        <v>41588996583</v>
      </c>
      <c r="AH300" s="10">
        <v>36800000000</v>
      </c>
      <c r="AI300" s="10">
        <v>1643085284</v>
      </c>
      <c r="AJ300" s="10">
        <v>0</v>
      </c>
      <c r="AK300" s="10">
        <v>0</v>
      </c>
      <c r="AL300" s="11">
        <v>2</v>
      </c>
      <c r="AM300" s="10">
        <v>58925223196</v>
      </c>
      <c r="AN300" s="11">
        <v>96</v>
      </c>
      <c r="AO300" s="10">
        <v>533819192810</v>
      </c>
      <c r="AP300" s="12">
        <v>23</v>
      </c>
      <c r="AQ300" s="10">
        <v>126131852245</v>
      </c>
      <c r="AR300" s="10">
        <v>67112060285</v>
      </c>
      <c r="AS300" s="10">
        <v>38113919838</v>
      </c>
      <c r="AT300" s="10">
        <v>28998140447</v>
      </c>
      <c r="AU300" s="11">
        <v>76.08</v>
      </c>
      <c r="AV300" s="10">
        <v>453124374432</v>
      </c>
      <c r="AW300" s="10">
        <v>124350011534</v>
      </c>
      <c r="AX300" s="10">
        <v>121622883804</v>
      </c>
      <c r="AY300" s="10">
        <v>309588706371</v>
      </c>
      <c r="AZ300" s="10">
        <v>205386070587</v>
      </c>
      <c r="BA300" s="10">
        <v>634107312180</v>
      </c>
      <c r="BB300" s="10">
        <v>122491821391</v>
      </c>
      <c r="BC300" s="10">
        <v>1293799791001</v>
      </c>
      <c r="BD300" s="12">
        <v>192799</v>
      </c>
      <c r="BE300" s="10">
        <v>454306428360</v>
      </c>
      <c r="BF300" s="10">
        <v>205386070587</v>
      </c>
      <c r="BG300" s="10">
        <v>634107292054</v>
      </c>
      <c r="BH300" s="10">
        <v>876913611659</v>
      </c>
      <c r="BI300" s="10">
        <v>195387817523</v>
      </c>
      <c r="BJ300" s="10">
        <v>0</v>
      </c>
      <c r="BK300" s="10">
        <v>0</v>
      </c>
      <c r="BL300" s="10">
        <v>41588986582</v>
      </c>
      <c r="BM300" s="10">
        <v>0</v>
      </c>
      <c r="BN300" s="10">
        <v>32185215897</v>
      </c>
      <c r="BO300" s="10">
        <v>0</v>
      </c>
    </row>
    <row r="301" spans="1:67" x14ac:dyDescent="0.25">
      <c r="A301" s="25" t="s">
        <v>340</v>
      </c>
      <c r="B301" s="9">
        <v>2407</v>
      </c>
      <c r="C301" s="9" t="s">
        <v>348</v>
      </c>
      <c r="D301" s="10">
        <v>1189723082285</v>
      </c>
      <c r="E301" s="10">
        <v>35537330753</v>
      </c>
      <c r="F301" s="10">
        <v>0</v>
      </c>
      <c r="G301" s="10">
        <v>0</v>
      </c>
      <c r="H301" s="10">
        <v>1225260413038</v>
      </c>
      <c r="I301" s="10">
        <v>77863830316</v>
      </c>
      <c r="J301" s="10">
        <v>2423574758</v>
      </c>
      <c r="K301" s="10">
        <v>1144973007964</v>
      </c>
      <c r="L301" s="10">
        <v>906695960007</v>
      </c>
      <c r="M301" s="10">
        <v>318564453031</v>
      </c>
      <c r="N301" s="46">
        <v>35.134650101290909</v>
      </c>
      <c r="O301" s="10">
        <v>1300854799585</v>
      </c>
      <c r="P301" s="11">
        <v>125.31</v>
      </c>
      <c r="Q301" s="11">
        <v>113.61</v>
      </c>
      <c r="R301" s="11">
        <v>0.37</v>
      </c>
      <c r="S301" s="10">
        <v>1446392017254</v>
      </c>
      <c r="T301" s="10">
        <v>5633467140</v>
      </c>
      <c r="U301" s="10">
        <v>5179726522</v>
      </c>
      <c r="V301" s="10">
        <v>453740618</v>
      </c>
      <c r="W301" s="10">
        <v>0</v>
      </c>
      <c r="X301" s="10">
        <v>1452025484394</v>
      </c>
      <c r="Y301" s="10">
        <v>0</v>
      </c>
      <c r="Z301" s="10">
        <v>74547507931</v>
      </c>
      <c r="AA301" s="10">
        <v>8793682000</v>
      </c>
      <c r="AB301" s="10">
        <v>1535366674325</v>
      </c>
      <c r="AC301" s="10">
        <v>808618375545</v>
      </c>
      <c r="AD301" s="46">
        <v>79.568697460696541</v>
      </c>
      <c r="AE301" s="10">
        <v>897808838916</v>
      </c>
      <c r="AF301" s="10">
        <v>879605021000</v>
      </c>
      <c r="AG301" s="10">
        <v>0</v>
      </c>
      <c r="AH301" s="10">
        <v>4632365000</v>
      </c>
      <c r="AI301" s="10">
        <v>0</v>
      </c>
      <c r="AJ301" s="10">
        <v>0</v>
      </c>
      <c r="AK301" s="10">
        <v>0</v>
      </c>
      <c r="AL301" s="11">
        <v>0</v>
      </c>
      <c r="AM301" s="10">
        <v>0</v>
      </c>
      <c r="AN301" s="11">
        <v>112</v>
      </c>
      <c r="AO301" s="10">
        <v>439259762088</v>
      </c>
      <c r="AP301" s="12">
        <v>81</v>
      </c>
      <c r="AQ301" s="10">
        <v>351073406509</v>
      </c>
      <c r="AR301" s="10">
        <v>5633467140</v>
      </c>
      <c r="AS301" s="10">
        <v>4871123675</v>
      </c>
      <c r="AT301" s="10">
        <v>762343465</v>
      </c>
      <c r="AU301" s="11">
        <v>15.65</v>
      </c>
      <c r="AV301" s="10">
        <v>320835575569</v>
      </c>
      <c r="AW301" s="10">
        <v>57973653808</v>
      </c>
      <c r="AX301" s="10">
        <v>243162502165</v>
      </c>
      <c r="AY301" s="10">
        <v>297176914554</v>
      </c>
      <c r="AZ301" s="10">
        <v>248940965566</v>
      </c>
      <c r="BA301" s="10">
        <v>400442700000</v>
      </c>
      <c r="BB301" s="10">
        <v>134281757821</v>
      </c>
      <c r="BC301" s="10">
        <v>1225260413038</v>
      </c>
      <c r="BD301" s="12">
        <v>266436</v>
      </c>
      <c r="BE301" s="10">
        <v>575876747472</v>
      </c>
      <c r="BF301" s="10">
        <v>248940965566</v>
      </c>
      <c r="BG301" s="10">
        <v>400442700000</v>
      </c>
      <c r="BH301" s="10">
        <v>704610351916</v>
      </c>
      <c r="BI301" s="10">
        <v>193198487000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4632365000</v>
      </c>
    </row>
    <row r="302" spans="1:67" x14ac:dyDescent="0.25">
      <c r="A302" s="25" t="s">
        <v>340</v>
      </c>
      <c r="B302" s="9">
        <v>2408</v>
      </c>
      <c r="C302" s="9" t="s">
        <v>349</v>
      </c>
      <c r="D302" s="10">
        <v>699041983356</v>
      </c>
      <c r="E302" s="10">
        <v>22037795920</v>
      </c>
      <c r="F302" s="10">
        <v>0</v>
      </c>
      <c r="G302" s="10">
        <v>0</v>
      </c>
      <c r="H302" s="10">
        <v>721079779276</v>
      </c>
      <c r="I302" s="10">
        <v>49098999148</v>
      </c>
      <c r="J302" s="10">
        <v>708514867</v>
      </c>
      <c r="K302" s="10">
        <v>671272265261</v>
      </c>
      <c r="L302" s="10">
        <v>578212855348</v>
      </c>
      <c r="M302" s="10">
        <v>142866923928</v>
      </c>
      <c r="N302" s="46">
        <v>24.708361740247874</v>
      </c>
      <c r="O302" s="10">
        <v>673236611593</v>
      </c>
      <c r="P302" s="11">
        <v>106.31</v>
      </c>
      <c r="Q302" s="11">
        <v>100.29</v>
      </c>
      <c r="R302" s="11">
        <v>0.67</v>
      </c>
      <c r="S302" s="10">
        <v>706003536667</v>
      </c>
      <c r="T302" s="10">
        <v>4854236103</v>
      </c>
      <c r="U302" s="10">
        <v>4854236103</v>
      </c>
      <c r="V302" s="10">
        <v>0</v>
      </c>
      <c r="W302" s="10">
        <v>0</v>
      </c>
      <c r="X302" s="10">
        <v>710857772770</v>
      </c>
      <c r="Y302" s="10">
        <v>297844152</v>
      </c>
      <c r="Z302" s="10">
        <v>50050905924</v>
      </c>
      <c r="AA302" s="10">
        <v>5671060000</v>
      </c>
      <c r="AB302" s="10">
        <v>766579738694</v>
      </c>
      <c r="AC302" s="10">
        <v>485196179826</v>
      </c>
      <c r="AD302" s="46">
        <v>46.509350717667701</v>
      </c>
      <c r="AE302" s="10">
        <v>432128959727</v>
      </c>
      <c r="AF302" s="10">
        <v>432128959727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1">
        <v>0</v>
      </c>
      <c r="AM302" s="10">
        <v>0</v>
      </c>
      <c r="AN302" s="11">
        <v>30</v>
      </c>
      <c r="AO302" s="10">
        <v>680717964730</v>
      </c>
      <c r="AP302" s="12">
        <v>8</v>
      </c>
      <c r="AQ302" s="10">
        <v>209504060000</v>
      </c>
      <c r="AR302" s="10">
        <v>4854236103</v>
      </c>
      <c r="AS302" s="10">
        <v>489056913</v>
      </c>
      <c r="AT302" s="10">
        <v>4365179190</v>
      </c>
      <c r="AU302" s="11">
        <v>892.57</v>
      </c>
      <c r="AV302" s="10">
        <v>227186889183</v>
      </c>
      <c r="AW302" s="10">
        <v>47063087062</v>
      </c>
      <c r="AX302" s="10">
        <v>172940695609</v>
      </c>
      <c r="AY302" s="10">
        <v>135309309069</v>
      </c>
      <c r="AZ302" s="10">
        <v>118892014259</v>
      </c>
      <c r="BA302" s="10">
        <v>271899964419</v>
      </c>
      <c r="BB302" s="10">
        <v>27070565646</v>
      </c>
      <c r="BC302" s="10">
        <v>721079779276</v>
      </c>
      <c r="BD302" s="12">
        <v>108444</v>
      </c>
      <c r="BE302" s="10">
        <v>330287800598</v>
      </c>
      <c r="BF302" s="10">
        <v>118892014259</v>
      </c>
      <c r="BG302" s="10">
        <v>271899964419</v>
      </c>
      <c r="BH302" s="10">
        <v>251588274978</v>
      </c>
      <c r="BI302" s="10">
        <v>180540684749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</row>
    <row r="303" spans="1:67" x14ac:dyDescent="0.25">
      <c r="A303" s="25" t="s">
        <v>340</v>
      </c>
      <c r="B303" s="9">
        <v>2409</v>
      </c>
      <c r="C303" s="9" t="s">
        <v>350</v>
      </c>
      <c r="D303" s="10">
        <v>796292824268</v>
      </c>
      <c r="E303" s="10">
        <v>188869076067</v>
      </c>
      <c r="F303" s="10">
        <v>0</v>
      </c>
      <c r="G303" s="10">
        <v>0</v>
      </c>
      <c r="H303" s="10">
        <v>985161900335</v>
      </c>
      <c r="I303" s="10">
        <v>71248807041</v>
      </c>
      <c r="J303" s="10">
        <v>1541734190</v>
      </c>
      <c r="K303" s="10">
        <v>912371359104</v>
      </c>
      <c r="L303" s="10">
        <v>760370782187</v>
      </c>
      <c r="M303" s="10">
        <v>224791118148</v>
      </c>
      <c r="N303" s="46">
        <v>29.563355590998569</v>
      </c>
      <c r="O303" s="10">
        <v>849294792416</v>
      </c>
      <c r="P303" s="11">
        <v>97.17</v>
      </c>
      <c r="Q303" s="11">
        <v>93.09</v>
      </c>
      <c r="R303" s="11">
        <v>9.52</v>
      </c>
      <c r="S303" s="10">
        <v>812052066082</v>
      </c>
      <c r="T303" s="10">
        <v>90926759245</v>
      </c>
      <c r="U303" s="10">
        <v>39739355294</v>
      </c>
      <c r="V303" s="10">
        <v>50719957363</v>
      </c>
      <c r="W303" s="10">
        <v>467446588</v>
      </c>
      <c r="X303" s="10">
        <v>902978825327</v>
      </c>
      <c r="Y303" s="10">
        <v>220224822</v>
      </c>
      <c r="Z303" s="10">
        <v>48274262315</v>
      </c>
      <c r="AA303" s="10">
        <v>6048004800</v>
      </c>
      <c r="AB303" s="10">
        <v>957301092442</v>
      </c>
      <c r="AC303" s="10">
        <v>575096919185</v>
      </c>
      <c r="AD303" s="46">
        <v>57.01333031076895</v>
      </c>
      <c r="AE303" s="10">
        <v>628825539126</v>
      </c>
      <c r="AF303" s="10">
        <v>628825539126</v>
      </c>
      <c r="AG303" s="10">
        <v>0</v>
      </c>
      <c r="AH303" s="10">
        <v>97342623917</v>
      </c>
      <c r="AI303" s="10">
        <v>0</v>
      </c>
      <c r="AJ303" s="10">
        <v>0</v>
      </c>
      <c r="AK303" s="10">
        <v>0</v>
      </c>
      <c r="AL303" s="11">
        <v>0</v>
      </c>
      <c r="AM303" s="10">
        <v>0</v>
      </c>
      <c r="AN303" s="11">
        <v>111</v>
      </c>
      <c r="AO303" s="10">
        <v>3946470422614</v>
      </c>
      <c r="AP303" s="12">
        <v>131</v>
      </c>
      <c r="AQ303" s="10">
        <v>3791288075310</v>
      </c>
      <c r="AR303" s="10">
        <v>90926759245</v>
      </c>
      <c r="AS303" s="10">
        <v>49971972556</v>
      </c>
      <c r="AT303" s="10">
        <v>40954786689</v>
      </c>
      <c r="AU303" s="11">
        <v>81.96</v>
      </c>
      <c r="AV303" s="10">
        <v>331667395695</v>
      </c>
      <c r="AW303" s="10">
        <v>96422404378</v>
      </c>
      <c r="AX303" s="10">
        <v>163532507536</v>
      </c>
      <c r="AY303" s="10">
        <v>224328427773</v>
      </c>
      <c r="AZ303" s="10">
        <v>103272729079</v>
      </c>
      <c r="BA303" s="10">
        <v>305159159880</v>
      </c>
      <c r="BB303" s="10">
        <v>45235320754</v>
      </c>
      <c r="BC303" s="10">
        <v>985161900335</v>
      </c>
      <c r="BD303" s="12">
        <v>97865</v>
      </c>
      <c r="BE303" s="10">
        <v>576730011376</v>
      </c>
      <c r="BF303" s="10">
        <v>103272729079</v>
      </c>
      <c r="BG303" s="10">
        <v>305159159880</v>
      </c>
      <c r="BH303" s="10">
        <v>541180279451</v>
      </c>
      <c r="BI303" s="10">
        <v>87645259675</v>
      </c>
      <c r="BJ303" s="10">
        <v>0</v>
      </c>
      <c r="BK303" s="10">
        <v>0</v>
      </c>
      <c r="BL303" s="10">
        <v>0</v>
      </c>
      <c r="BM303" s="10">
        <v>1587150000</v>
      </c>
      <c r="BN303" s="10">
        <v>0</v>
      </c>
      <c r="BO303" s="10">
        <v>96089373917</v>
      </c>
    </row>
    <row r="304" spans="1:67" x14ac:dyDescent="0.25">
      <c r="A304" s="25" t="s">
        <v>340</v>
      </c>
      <c r="B304" s="9">
        <v>2410</v>
      </c>
      <c r="C304" s="9" t="s">
        <v>351</v>
      </c>
      <c r="D304" s="10">
        <v>1157097167302</v>
      </c>
      <c r="E304" s="10">
        <v>11128908818</v>
      </c>
      <c r="F304" s="10">
        <v>0</v>
      </c>
      <c r="G304" s="10">
        <v>0</v>
      </c>
      <c r="H304" s="10">
        <v>1168226076120</v>
      </c>
      <c r="I304" s="10">
        <v>89399298350</v>
      </c>
      <c r="J304" s="10">
        <v>1646518842</v>
      </c>
      <c r="K304" s="10">
        <v>1077180258928</v>
      </c>
      <c r="L304" s="10">
        <v>1099938171787</v>
      </c>
      <c r="M304" s="10">
        <v>68287904333</v>
      </c>
      <c r="N304" s="46">
        <v>6.2083402580762295</v>
      </c>
      <c r="O304" s="10">
        <v>1394977162884</v>
      </c>
      <c r="P304" s="11">
        <v>144.93</v>
      </c>
      <c r="Q304" s="11">
        <v>129.5</v>
      </c>
      <c r="R304" s="11">
        <v>1.23</v>
      </c>
      <c r="S304" s="10">
        <v>1592387811707</v>
      </c>
      <c r="T304" s="10">
        <v>19599271926</v>
      </c>
      <c r="U304" s="10">
        <v>17263642217</v>
      </c>
      <c r="V304" s="10">
        <v>536106378</v>
      </c>
      <c r="W304" s="10">
        <v>1799523331</v>
      </c>
      <c r="X304" s="10">
        <v>1611987083633</v>
      </c>
      <c r="Y304" s="10">
        <v>1212513208</v>
      </c>
      <c r="Z304" s="10">
        <v>56502010263</v>
      </c>
      <c r="AA304" s="10">
        <v>24636370000</v>
      </c>
      <c r="AB304" s="10">
        <v>1693125463896</v>
      </c>
      <c r="AC304" s="10">
        <v>962780086477</v>
      </c>
      <c r="AD304" s="46">
        <v>67.430455435734544</v>
      </c>
      <c r="AE304" s="10">
        <v>950770551861</v>
      </c>
      <c r="AF304" s="10">
        <v>818171194610</v>
      </c>
      <c r="AG304" s="10">
        <v>0</v>
      </c>
      <c r="AH304" s="10">
        <v>1313368110</v>
      </c>
      <c r="AI304" s="10">
        <v>0</v>
      </c>
      <c r="AJ304" s="10">
        <v>0</v>
      </c>
      <c r="AK304" s="10">
        <v>0</v>
      </c>
      <c r="AL304" s="11">
        <v>0</v>
      </c>
      <c r="AM304" s="10">
        <v>0</v>
      </c>
      <c r="AN304" s="11">
        <v>43</v>
      </c>
      <c r="AO304" s="10">
        <v>297599460201</v>
      </c>
      <c r="AP304" s="12">
        <v>8</v>
      </c>
      <c r="AQ304" s="10">
        <v>38231652692</v>
      </c>
      <c r="AR304" s="10">
        <v>19599271926</v>
      </c>
      <c r="AS304" s="10">
        <v>6960634460</v>
      </c>
      <c r="AT304" s="10">
        <v>12638637466</v>
      </c>
      <c r="AU304" s="11">
        <v>181.57</v>
      </c>
      <c r="AV304" s="10">
        <v>329639766137</v>
      </c>
      <c r="AW304" s="10">
        <v>37562385478</v>
      </c>
      <c r="AX304" s="10">
        <v>127870833115</v>
      </c>
      <c r="AY304" s="10">
        <v>314983656857</v>
      </c>
      <c r="AZ304" s="10">
        <v>170491477330</v>
      </c>
      <c r="BA304" s="10">
        <v>543751200000</v>
      </c>
      <c r="BB304" s="10">
        <v>87757609793</v>
      </c>
      <c r="BC304" s="10">
        <v>1168226076120</v>
      </c>
      <c r="BD304" s="12">
        <v>93510</v>
      </c>
      <c r="BE304" s="10">
        <v>453983398790</v>
      </c>
      <c r="BF304" s="10">
        <v>170491477330</v>
      </c>
      <c r="BG304" s="10">
        <v>543751200000</v>
      </c>
      <c r="BH304" s="10">
        <v>707885791142</v>
      </c>
      <c r="BI304" s="10">
        <v>242884760719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1313368110</v>
      </c>
    </row>
    <row r="305" spans="1:67" x14ac:dyDescent="0.25">
      <c r="A305" s="25" t="s">
        <v>340</v>
      </c>
      <c r="B305" s="9">
        <v>2411</v>
      </c>
      <c r="C305" s="9" t="s">
        <v>352</v>
      </c>
      <c r="D305" s="10">
        <v>2772587352273</v>
      </c>
      <c r="E305" s="10">
        <v>98483636528</v>
      </c>
      <c r="F305" s="10">
        <v>0</v>
      </c>
      <c r="G305" s="10">
        <v>0</v>
      </c>
      <c r="H305" s="10">
        <v>2871070988801</v>
      </c>
      <c r="I305" s="10">
        <v>148190266020</v>
      </c>
      <c r="J305" s="10">
        <v>1537348346</v>
      </c>
      <c r="K305" s="10">
        <v>2721343374435</v>
      </c>
      <c r="L305" s="10">
        <v>1474717303657</v>
      </c>
      <c r="M305" s="10">
        <v>1396353685144</v>
      </c>
      <c r="N305" s="46">
        <v>94.686193867890879</v>
      </c>
      <c r="O305" s="10">
        <v>3431130192007</v>
      </c>
      <c r="P305" s="11">
        <v>135.93</v>
      </c>
      <c r="Q305" s="11">
        <v>126.08</v>
      </c>
      <c r="R305" s="11">
        <v>4.2300000000000004</v>
      </c>
      <c r="S305" s="10">
        <v>3610369651989</v>
      </c>
      <c r="T305" s="10">
        <v>115950653545</v>
      </c>
      <c r="U305" s="10">
        <v>40701838669</v>
      </c>
      <c r="V305" s="10">
        <v>469480826</v>
      </c>
      <c r="W305" s="10">
        <v>74779334050</v>
      </c>
      <c r="X305" s="10">
        <v>3726320305534</v>
      </c>
      <c r="Y305" s="10">
        <v>49120930222</v>
      </c>
      <c r="Z305" s="10">
        <v>168842335006</v>
      </c>
      <c r="AA305" s="10">
        <v>7500000000</v>
      </c>
      <c r="AB305" s="10">
        <v>3902662640540</v>
      </c>
      <c r="AC305" s="10">
        <v>1682151274947</v>
      </c>
      <c r="AD305" s="46">
        <v>121.52111769207001</v>
      </c>
      <c r="AE305" s="10">
        <v>3117148141310</v>
      </c>
      <c r="AF305" s="10">
        <v>3032948141310</v>
      </c>
      <c r="AG305" s="10">
        <v>94253062420</v>
      </c>
      <c r="AH305" s="10">
        <v>8039300000</v>
      </c>
      <c r="AI305" s="10">
        <v>0</v>
      </c>
      <c r="AJ305" s="10">
        <v>0</v>
      </c>
      <c r="AK305" s="10">
        <v>0</v>
      </c>
      <c r="AL305" s="11">
        <v>4</v>
      </c>
      <c r="AM305" s="10">
        <v>101966247038</v>
      </c>
      <c r="AN305" s="11">
        <v>168</v>
      </c>
      <c r="AO305" s="10">
        <v>1712990259971</v>
      </c>
      <c r="AP305" s="12">
        <v>100</v>
      </c>
      <c r="AQ305" s="10">
        <v>837435653160</v>
      </c>
      <c r="AR305" s="10">
        <v>115950653545</v>
      </c>
      <c r="AS305" s="10">
        <v>90077869428</v>
      </c>
      <c r="AT305" s="10">
        <v>25872784117</v>
      </c>
      <c r="AU305" s="11">
        <v>28.72</v>
      </c>
      <c r="AV305" s="10">
        <v>1167353915035</v>
      </c>
      <c r="AW305" s="10">
        <v>146288899455</v>
      </c>
      <c r="AX305" s="10">
        <v>429393048096</v>
      </c>
      <c r="AY305" s="10">
        <v>1079628700872</v>
      </c>
      <c r="AZ305" s="10">
        <v>264425602705</v>
      </c>
      <c r="BA305" s="10">
        <v>999140000600</v>
      </c>
      <c r="BB305" s="10">
        <v>156374279526</v>
      </c>
      <c r="BC305" s="10">
        <v>2871070988801</v>
      </c>
      <c r="BD305" s="12">
        <v>42047</v>
      </c>
      <c r="BE305" s="10">
        <v>1607505385496</v>
      </c>
      <c r="BF305" s="10">
        <v>264425602705</v>
      </c>
      <c r="BG305" s="10">
        <v>999140000600</v>
      </c>
      <c r="BH305" s="10">
        <v>2914771037006</v>
      </c>
      <c r="BI305" s="10">
        <v>202377104304</v>
      </c>
      <c r="BJ305" s="10">
        <v>0</v>
      </c>
      <c r="BK305" s="10">
        <v>0</v>
      </c>
      <c r="BL305" s="10">
        <v>94253062420</v>
      </c>
      <c r="BM305" s="10">
        <v>0</v>
      </c>
      <c r="BN305" s="10">
        <v>0</v>
      </c>
      <c r="BO305" s="10">
        <v>8039300000</v>
      </c>
    </row>
    <row r="306" spans="1:67" x14ac:dyDescent="0.25">
      <c r="A306" s="25" t="s">
        <v>340</v>
      </c>
      <c r="B306" s="9">
        <v>2412</v>
      </c>
      <c r="C306" s="9" t="s">
        <v>353</v>
      </c>
      <c r="D306" s="10">
        <v>921639897471</v>
      </c>
      <c r="E306" s="10">
        <v>40788693719</v>
      </c>
      <c r="F306" s="10">
        <v>0</v>
      </c>
      <c r="G306" s="10">
        <v>0</v>
      </c>
      <c r="H306" s="10">
        <v>962428591190</v>
      </c>
      <c r="I306" s="10">
        <v>62339012694</v>
      </c>
      <c r="J306" s="10">
        <v>1234451516</v>
      </c>
      <c r="K306" s="10">
        <v>898855126980</v>
      </c>
      <c r="L306" s="10">
        <v>763311553039</v>
      </c>
      <c r="M306" s="10">
        <v>199117038151</v>
      </c>
      <c r="N306" s="46">
        <v>26.085945818355309</v>
      </c>
      <c r="O306" s="10">
        <v>668248838466</v>
      </c>
      <c r="P306" s="11">
        <v>80.099999999999994</v>
      </c>
      <c r="Q306" s="11">
        <v>74.34</v>
      </c>
      <c r="R306" s="11">
        <v>2.11</v>
      </c>
      <c r="S306" s="10">
        <v>695412948829</v>
      </c>
      <c r="T306" s="10">
        <v>13831481725</v>
      </c>
      <c r="U306" s="10">
        <v>10749427406</v>
      </c>
      <c r="V306" s="10">
        <v>2506133633</v>
      </c>
      <c r="W306" s="10">
        <v>575920686</v>
      </c>
      <c r="X306" s="10">
        <v>709244430554</v>
      </c>
      <c r="Y306" s="10">
        <v>2468646486</v>
      </c>
      <c r="Z306" s="10">
        <v>42602968570</v>
      </c>
      <c r="AA306" s="10">
        <v>19032369530</v>
      </c>
      <c r="AB306" s="10">
        <v>770879768654</v>
      </c>
      <c r="AC306" s="10">
        <v>521901329378</v>
      </c>
      <c r="AD306" s="46">
        <v>35.896268246581165</v>
      </c>
      <c r="AE306" s="10">
        <v>404454682318</v>
      </c>
      <c r="AF306" s="10">
        <v>404454682318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1">
        <v>0</v>
      </c>
      <c r="AM306" s="10">
        <v>0</v>
      </c>
      <c r="AN306" s="11">
        <v>44</v>
      </c>
      <c r="AO306" s="10">
        <v>613189319073</v>
      </c>
      <c r="AP306" s="12">
        <v>15</v>
      </c>
      <c r="AQ306" s="10">
        <v>67185098658</v>
      </c>
      <c r="AR306" s="10">
        <v>13831481725</v>
      </c>
      <c r="AS306" s="10">
        <v>15447658794</v>
      </c>
      <c r="AT306" s="10">
        <v>-1616177069</v>
      </c>
      <c r="AU306" s="11">
        <v>-10.46</v>
      </c>
      <c r="AV306" s="10">
        <v>238746592587</v>
      </c>
      <c r="AW306" s="10">
        <v>71581988010</v>
      </c>
      <c r="AX306" s="10">
        <v>44399179801</v>
      </c>
      <c r="AY306" s="10">
        <v>493340983717</v>
      </c>
      <c r="AZ306" s="10">
        <v>96231733953</v>
      </c>
      <c r="BA306" s="10">
        <v>287668000000</v>
      </c>
      <c r="BB306" s="10">
        <v>38752867019</v>
      </c>
      <c r="BC306" s="10">
        <v>962428591190</v>
      </c>
      <c r="BD306" s="12">
        <v>75802</v>
      </c>
      <c r="BE306" s="10">
        <v>578528857237</v>
      </c>
      <c r="BF306" s="10">
        <v>96231733953</v>
      </c>
      <c r="BG306" s="10">
        <v>287668000000</v>
      </c>
      <c r="BH306" s="10">
        <v>323654782976</v>
      </c>
      <c r="BI306" s="10">
        <v>80799899342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</row>
    <row r="307" spans="1:67" x14ac:dyDescent="0.25">
      <c r="A307" s="25" t="s">
        <v>340</v>
      </c>
      <c r="B307" s="9">
        <v>2413</v>
      </c>
      <c r="C307" s="9" t="s">
        <v>354</v>
      </c>
      <c r="D307" s="10">
        <v>1917139882922</v>
      </c>
      <c r="E307" s="10">
        <v>226400634158</v>
      </c>
      <c r="F307" s="10">
        <v>0</v>
      </c>
      <c r="G307" s="10">
        <v>0</v>
      </c>
      <c r="H307" s="10">
        <v>2143540517080</v>
      </c>
      <c r="I307" s="10">
        <v>143625867318</v>
      </c>
      <c r="J307" s="10">
        <v>1276762851</v>
      </c>
      <c r="K307" s="10">
        <v>1998637886911</v>
      </c>
      <c r="L307" s="10">
        <v>1551044626394</v>
      </c>
      <c r="M307" s="10">
        <v>592495890686</v>
      </c>
      <c r="N307" s="46">
        <v>38.199796485771316</v>
      </c>
      <c r="O307" s="10">
        <v>2758437049556</v>
      </c>
      <c r="P307" s="11">
        <v>162.6</v>
      </c>
      <c r="Q307" s="11">
        <v>138.02000000000001</v>
      </c>
      <c r="R307" s="11">
        <v>3.02</v>
      </c>
      <c r="S307" s="10">
        <v>3254051643253</v>
      </c>
      <c r="T307" s="10">
        <v>103459364033</v>
      </c>
      <c r="U307" s="10">
        <v>30897879661</v>
      </c>
      <c r="V307" s="10">
        <v>72148872774</v>
      </c>
      <c r="W307" s="10">
        <v>412611598</v>
      </c>
      <c r="X307" s="10">
        <v>3357511007286</v>
      </c>
      <c r="Y307" s="10">
        <v>1710051918</v>
      </c>
      <c r="Z307" s="10">
        <v>103903022618</v>
      </c>
      <c r="AA307" s="10">
        <v>24034388951</v>
      </c>
      <c r="AB307" s="10">
        <v>3485448418855</v>
      </c>
      <c r="AC307" s="10">
        <v>2506627189357</v>
      </c>
      <c r="AD307" s="46">
        <v>33.945367765170879</v>
      </c>
      <c r="AE307" s="10">
        <v>2012138501458</v>
      </c>
      <c r="AF307" s="10">
        <v>1504254654403</v>
      </c>
      <c r="AG307" s="10">
        <v>0</v>
      </c>
      <c r="AH307" s="10">
        <v>0</v>
      </c>
      <c r="AI307" s="10">
        <v>42551183475</v>
      </c>
      <c r="AJ307" s="10">
        <v>0</v>
      </c>
      <c r="AK307" s="10">
        <v>0</v>
      </c>
      <c r="AL307" s="11">
        <v>0</v>
      </c>
      <c r="AM307" s="10">
        <v>0</v>
      </c>
      <c r="AN307" s="11">
        <v>165</v>
      </c>
      <c r="AO307" s="10">
        <v>2981836657468</v>
      </c>
      <c r="AP307" s="12">
        <v>103</v>
      </c>
      <c r="AQ307" s="10">
        <v>1205397517998</v>
      </c>
      <c r="AR307" s="10">
        <v>103459364033</v>
      </c>
      <c r="AS307" s="10">
        <v>35432476039</v>
      </c>
      <c r="AT307" s="10">
        <v>68026887994</v>
      </c>
      <c r="AU307" s="11">
        <v>191.99</v>
      </c>
      <c r="AV307" s="10">
        <v>1216340278783</v>
      </c>
      <c r="AW307" s="10">
        <v>450291747354</v>
      </c>
      <c r="AX307" s="10">
        <v>439735532835</v>
      </c>
      <c r="AY307" s="10">
        <v>479747931896</v>
      </c>
      <c r="AZ307" s="10">
        <v>336429916137</v>
      </c>
      <c r="BA307" s="10">
        <v>661226502054</v>
      </c>
      <c r="BB307" s="10">
        <v>166082907523</v>
      </c>
      <c r="BC307" s="10">
        <v>2143540517080</v>
      </c>
      <c r="BD307" s="12">
        <v>82349</v>
      </c>
      <c r="BE307" s="10">
        <v>1068088167755</v>
      </c>
      <c r="BF307" s="10">
        <v>336429916137</v>
      </c>
      <c r="BG307" s="10">
        <v>739022433188</v>
      </c>
      <c r="BH307" s="10">
        <v>1444463316498</v>
      </c>
      <c r="BI307" s="10">
        <v>567675184960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</row>
    <row r="308" spans="1:67" x14ac:dyDescent="0.25">
      <c r="A308" s="25" t="s">
        <v>340</v>
      </c>
      <c r="B308" s="9">
        <v>2414</v>
      </c>
      <c r="C308" s="9" t="s">
        <v>355</v>
      </c>
      <c r="D308" s="10">
        <v>1180076102703</v>
      </c>
      <c r="E308" s="10">
        <v>31787628717</v>
      </c>
      <c r="F308" s="10">
        <v>0</v>
      </c>
      <c r="G308" s="10">
        <v>0</v>
      </c>
      <c r="H308" s="10">
        <v>1211863731420</v>
      </c>
      <c r="I308" s="10">
        <v>96715289248</v>
      </c>
      <c r="J308" s="10">
        <v>3351642895</v>
      </c>
      <c r="K308" s="10">
        <v>1111796799277</v>
      </c>
      <c r="L308" s="10">
        <v>1278612411095</v>
      </c>
      <c r="M308" s="10">
        <v>-66748679675</v>
      </c>
      <c r="N308" s="46">
        <v>-5.2203997940108078</v>
      </c>
      <c r="O308" s="10">
        <v>1776690699948</v>
      </c>
      <c r="P308" s="11">
        <v>161.53</v>
      </c>
      <c r="Q308" s="11">
        <v>159.80000000000001</v>
      </c>
      <c r="R308" s="11">
        <v>1.75</v>
      </c>
      <c r="S308" s="10">
        <v>1852143074154</v>
      </c>
      <c r="T308" s="10">
        <v>29302864702</v>
      </c>
      <c r="U308" s="10">
        <v>16262139718</v>
      </c>
      <c r="V308" s="10">
        <v>10587040480</v>
      </c>
      <c r="W308" s="10">
        <v>2453684504</v>
      </c>
      <c r="X308" s="10">
        <v>1881445938856</v>
      </c>
      <c r="Y308" s="10">
        <v>4949877508</v>
      </c>
      <c r="Z308" s="10">
        <v>60103098912</v>
      </c>
      <c r="AA308" s="10">
        <v>16000000000</v>
      </c>
      <c r="AB308" s="10">
        <v>1957549037768</v>
      </c>
      <c r="AC308" s="10">
        <v>1107735451768</v>
      </c>
      <c r="AD308" s="46">
        <v>69.846142944429573</v>
      </c>
      <c r="AE308" s="10">
        <v>1154681815311</v>
      </c>
      <c r="AF308" s="10">
        <v>1154681815311</v>
      </c>
      <c r="AG308" s="10">
        <v>0</v>
      </c>
      <c r="AH308" s="10">
        <v>516740000</v>
      </c>
      <c r="AI308" s="10">
        <v>0</v>
      </c>
      <c r="AJ308" s="10">
        <v>0</v>
      </c>
      <c r="AK308" s="10">
        <v>0</v>
      </c>
      <c r="AL308" s="11">
        <v>0</v>
      </c>
      <c r="AM308" s="10">
        <v>0</v>
      </c>
      <c r="AN308" s="11">
        <v>46</v>
      </c>
      <c r="AO308" s="10">
        <v>324682250000</v>
      </c>
      <c r="AP308" s="12">
        <v>16</v>
      </c>
      <c r="AQ308" s="10">
        <v>66511259121</v>
      </c>
      <c r="AR308" s="10">
        <v>29302864702</v>
      </c>
      <c r="AS308" s="10">
        <v>20138076879</v>
      </c>
      <c r="AT308" s="10">
        <v>9164787823</v>
      </c>
      <c r="AU308" s="11">
        <v>45.51</v>
      </c>
      <c r="AV308" s="10">
        <v>425782081340</v>
      </c>
      <c r="AW308" s="10">
        <v>99257176186</v>
      </c>
      <c r="AX308" s="10">
        <v>242833488920</v>
      </c>
      <c r="AY308" s="10">
        <v>249766928024</v>
      </c>
      <c r="AZ308" s="10">
        <v>382571785759</v>
      </c>
      <c r="BA308" s="10">
        <v>304903900000</v>
      </c>
      <c r="BB308" s="10">
        <v>262232926615</v>
      </c>
      <c r="BC308" s="10">
        <v>1211863731420</v>
      </c>
      <c r="BD308" s="12">
        <v>169278</v>
      </c>
      <c r="BE308" s="10">
        <v>524388045661</v>
      </c>
      <c r="BF308" s="10">
        <v>382543785759</v>
      </c>
      <c r="BG308" s="10">
        <v>304931900000</v>
      </c>
      <c r="BH308" s="10">
        <v>925391815311</v>
      </c>
      <c r="BI308" s="10">
        <v>229290000000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516740000</v>
      </c>
    </row>
    <row r="309" spans="1:67" x14ac:dyDescent="0.25">
      <c r="A309" s="25" t="s">
        <v>340</v>
      </c>
      <c r="B309" s="9">
        <v>2415</v>
      </c>
      <c r="C309" s="9" t="s">
        <v>356</v>
      </c>
      <c r="D309" s="10">
        <v>1387217188651</v>
      </c>
      <c r="E309" s="10">
        <v>1589641461</v>
      </c>
      <c r="F309" s="10">
        <v>0</v>
      </c>
      <c r="G309" s="10">
        <v>0</v>
      </c>
      <c r="H309" s="10">
        <v>1388806830112</v>
      </c>
      <c r="I309" s="10">
        <v>109924281536</v>
      </c>
      <c r="J309" s="10">
        <v>879699252</v>
      </c>
      <c r="K309" s="10">
        <v>1278002849324</v>
      </c>
      <c r="L309" s="10">
        <v>932769997551</v>
      </c>
      <c r="M309" s="10">
        <v>456036832561</v>
      </c>
      <c r="N309" s="46">
        <v>48.890598299509072</v>
      </c>
      <c r="O309" s="10">
        <v>907920339363</v>
      </c>
      <c r="P309" s="11">
        <v>74.23</v>
      </c>
      <c r="Q309" s="11">
        <v>71.040000000000006</v>
      </c>
      <c r="R309" s="11">
        <v>0.94</v>
      </c>
      <c r="S309" s="10">
        <v>948025753688</v>
      </c>
      <c r="T309" s="10">
        <v>9707975784</v>
      </c>
      <c r="U309" s="10">
        <v>8299607973</v>
      </c>
      <c r="V309" s="10">
        <v>1408367811</v>
      </c>
      <c r="W309" s="10">
        <v>0</v>
      </c>
      <c r="X309" s="10">
        <v>957733729472</v>
      </c>
      <c r="Y309" s="10">
        <v>32336996</v>
      </c>
      <c r="Z309" s="10">
        <v>62061131724</v>
      </c>
      <c r="AA309" s="10">
        <v>11097150000</v>
      </c>
      <c r="AB309" s="10">
        <v>1030892011196</v>
      </c>
      <c r="AC309" s="10">
        <v>747787426051</v>
      </c>
      <c r="AD309" s="46">
        <v>28.075666440355658</v>
      </c>
      <c r="AE309" s="10">
        <v>636182695463</v>
      </c>
      <c r="AF309" s="10">
        <v>636182695463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1">
        <v>0</v>
      </c>
      <c r="AM309" s="10">
        <v>0</v>
      </c>
      <c r="AN309" s="11">
        <v>13</v>
      </c>
      <c r="AO309" s="10">
        <v>236123784474</v>
      </c>
      <c r="AP309" s="12">
        <v>1</v>
      </c>
      <c r="AQ309" s="10">
        <v>36600000</v>
      </c>
      <c r="AR309" s="10">
        <v>9707975784</v>
      </c>
      <c r="AS309" s="10">
        <v>9575493262</v>
      </c>
      <c r="AT309" s="10">
        <v>132482522</v>
      </c>
      <c r="AU309" s="11">
        <v>1.38</v>
      </c>
      <c r="AV309" s="10">
        <v>432503086474</v>
      </c>
      <c r="AW309" s="10">
        <v>98361104629</v>
      </c>
      <c r="AX309" s="10">
        <v>202584829636</v>
      </c>
      <c r="AY309" s="10">
        <v>205344174113</v>
      </c>
      <c r="AZ309" s="10">
        <v>246653284902</v>
      </c>
      <c r="BA309" s="10">
        <v>732634900000</v>
      </c>
      <c r="BB309" s="10">
        <v>209689854670</v>
      </c>
      <c r="BC309" s="10">
        <v>1388806830112</v>
      </c>
      <c r="BD309" s="12">
        <v>346787</v>
      </c>
      <c r="BE309" s="10">
        <v>409518645210</v>
      </c>
      <c r="BF309" s="10">
        <v>246653284902</v>
      </c>
      <c r="BG309" s="10">
        <v>732634900000</v>
      </c>
      <c r="BH309" s="10">
        <v>475833692913</v>
      </c>
      <c r="BI309" s="10">
        <v>160349002550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</row>
    <row r="310" spans="1:67" x14ac:dyDescent="0.25">
      <c r="A310" s="25" t="s">
        <v>340</v>
      </c>
      <c r="B310" s="9">
        <v>2416</v>
      </c>
      <c r="C310" s="9" t="s">
        <v>357</v>
      </c>
      <c r="D310" s="10">
        <v>1462569942104</v>
      </c>
      <c r="E310" s="10">
        <v>97591590011</v>
      </c>
      <c r="F310" s="10">
        <v>0</v>
      </c>
      <c r="G310" s="10">
        <v>0</v>
      </c>
      <c r="H310" s="10">
        <v>1560161532115</v>
      </c>
      <c r="I310" s="10">
        <v>114868870229</v>
      </c>
      <c r="J310" s="10">
        <v>4101276705</v>
      </c>
      <c r="K310" s="10">
        <v>1441191385181</v>
      </c>
      <c r="L310" s="10">
        <v>1071444541488</v>
      </c>
      <c r="M310" s="10">
        <v>488716990627</v>
      </c>
      <c r="N310" s="46">
        <v>45.612905913756393</v>
      </c>
      <c r="O310" s="10">
        <v>1632964933294</v>
      </c>
      <c r="P310" s="11">
        <v>121.24</v>
      </c>
      <c r="Q310" s="11">
        <v>113.31</v>
      </c>
      <c r="R310" s="11">
        <v>2.33</v>
      </c>
      <c r="S310" s="10">
        <v>1780702093528</v>
      </c>
      <c r="T310" s="10">
        <v>41049614886</v>
      </c>
      <c r="U310" s="10">
        <v>24494172902</v>
      </c>
      <c r="V310" s="10">
        <v>11727882198</v>
      </c>
      <c r="W310" s="10">
        <v>4827559786</v>
      </c>
      <c r="X310" s="10">
        <v>1821751708414</v>
      </c>
      <c r="Y310" s="10">
        <v>2992577604</v>
      </c>
      <c r="Z310" s="10">
        <v>61766770791</v>
      </c>
      <c r="AA310" s="10">
        <v>7997600000</v>
      </c>
      <c r="AB310" s="10">
        <v>1891516079205</v>
      </c>
      <c r="AC310" s="10">
        <v>1806549433841</v>
      </c>
      <c r="AD310" s="46">
        <v>0.84150891684583695</v>
      </c>
      <c r="AE310" s="10">
        <v>1075015048544</v>
      </c>
      <c r="AF310" s="10">
        <v>1055048816757</v>
      </c>
      <c r="AG310" s="10">
        <v>24223839150</v>
      </c>
      <c r="AH310" s="10">
        <v>17821917588</v>
      </c>
      <c r="AI310" s="10">
        <v>0</v>
      </c>
      <c r="AJ310" s="10">
        <v>0</v>
      </c>
      <c r="AK310" s="10">
        <v>0</v>
      </c>
      <c r="AL310" s="11">
        <v>3</v>
      </c>
      <c r="AM310" s="10">
        <v>59519080555</v>
      </c>
      <c r="AN310" s="11">
        <v>235</v>
      </c>
      <c r="AO310" s="10">
        <v>1185982801746</v>
      </c>
      <c r="AP310" s="12">
        <v>146</v>
      </c>
      <c r="AQ310" s="10">
        <v>517589994456</v>
      </c>
      <c r="AR310" s="10">
        <v>41049614886</v>
      </c>
      <c r="AS310" s="10">
        <v>72171816268</v>
      </c>
      <c r="AT310" s="10">
        <v>-31122201382</v>
      </c>
      <c r="AU310" s="13">
        <v>-43.12</v>
      </c>
      <c r="AV310" s="10">
        <v>1052538826476</v>
      </c>
      <c r="AW310" s="10">
        <v>363827663087</v>
      </c>
      <c r="AX310" s="10">
        <v>412003216571</v>
      </c>
      <c r="AY310" s="10">
        <v>165580750655</v>
      </c>
      <c r="AZ310" s="10">
        <v>266780474878</v>
      </c>
      <c r="BA310" s="10">
        <v>618205500000</v>
      </c>
      <c r="BB310" s="10">
        <v>160735560527</v>
      </c>
      <c r="BC310" s="10">
        <v>1560161532115</v>
      </c>
      <c r="BD310" s="12">
        <v>66821</v>
      </c>
      <c r="BE310" s="10">
        <v>675146826889</v>
      </c>
      <c r="BF310" s="10">
        <v>266780474878</v>
      </c>
      <c r="BG310" s="10">
        <v>618234230348</v>
      </c>
      <c r="BH310" s="10">
        <v>861614268961</v>
      </c>
      <c r="BI310" s="10">
        <v>213400779583</v>
      </c>
      <c r="BJ310" s="10">
        <v>0</v>
      </c>
      <c r="BK310" s="10">
        <v>0</v>
      </c>
      <c r="BL310" s="10">
        <v>106176380277</v>
      </c>
      <c r="BM310" s="10">
        <v>17821917588</v>
      </c>
      <c r="BN310" s="10">
        <v>0</v>
      </c>
      <c r="BO310" s="10">
        <v>1155600000</v>
      </c>
    </row>
    <row r="311" spans="1:67" x14ac:dyDescent="0.25">
      <c r="A311" s="25" t="s">
        <v>340</v>
      </c>
      <c r="B311" s="9">
        <v>2417</v>
      </c>
      <c r="C311" s="9" t="s">
        <v>358</v>
      </c>
      <c r="D311" s="10">
        <v>2735930950619</v>
      </c>
      <c r="E311" s="10">
        <v>102566868465</v>
      </c>
      <c r="F311" s="10">
        <v>0</v>
      </c>
      <c r="G311" s="10">
        <v>0</v>
      </c>
      <c r="H311" s="10">
        <v>2838497819084</v>
      </c>
      <c r="I311" s="10">
        <v>234528880138</v>
      </c>
      <c r="J311" s="10">
        <v>2500252602</v>
      </c>
      <c r="K311" s="10">
        <v>2601468686344</v>
      </c>
      <c r="L311" s="10">
        <v>1394321811234</v>
      </c>
      <c r="M311" s="10">
        <v>1444176007850</v>
      </c>
      <c r="N311" s="46">
        <v>103.57551579659206</v>
      </c>
      <c r="O311" s="10">
        <v>2923738841977</v>
      </c>
      <c r="P311" s="11">
        <v>119.11</v>
      </c>
      <c r="Q311" s="11">
        <v>112.39</v>
      </c>
      <c r="R311" s="11">
        <v>0.15</v>
      </c>
      <c r="S311" s="10">
        <v>3282008262333</v>
      </c>
      <c r="T311" s="10">
        <v>4835094227</v>
      </c>
      <c r="U311" s="10">
        <v>4113151601</v>
      </c>
      <c r="V311" s="10">
        <v>541860765</v>
      </c>
      <c r="W311" s="10">
        <v>180081861</v>
      </c>
      <c r="X311" s="10">
        <v>3286843356560</v>
      </c>
      <c r="Y311" s="10">
        <v>190606032</v>
      </c>
      <c r="Z311" s="10">
        <v>87196809637</v>
      </c>
      <c r="AA311" s="10">
        <v>6964698000</v>
      </c>
      <c r="AB311" s="10">
        <v>3381004864197</v>
      </c>
      <c r="AC311" s="10">
        <v>2727218382116</v>
      </c>
      <c r="AD311" s="46">
        <v>20.519991289065636</v>
      </c>
      <c r="AE311" s="10">
        <v>1878076447867</v>
      </c>
      <c r="AF311" s="10">
        <v>1847781020204</v>
      </c>
      <c r="AG311" s="10">
        <v>720505226520</v>
      </c>
      <c r="AH311" s="10">
        <v>0</v>
      </c>
      <c r="AI311" s="10">
        <v>0</v>
      </c>
      <c r="AJ311" s="10">
        <v>0</v>
      </c>
      <c r="AK311" s="10">
        <v>0</v>
      </c>
      <c r="AL311" s="11">
        <v>6</v>
      </c>
      <c r="AM311" s="10">
        <v>763922873900</v>
      </c>
      <c r="AN311" s="11">
        <v>135</v>
      </c>
      <c r="AO311" s="10">
        <v>1482924352274</v>
      </c>
      <c r="AP311" s="12">
        <v>83</v>
      </c>
      <c r="AQ311" s="10">
        <v>997154374045</v>
      </c>
      <c r="AR311" s="10">
        <v>4835094227</v>
      </c>
      <c r="AS311" s="10">
        <v>10906332115</v>
      </c>
      <c r="AT311" s="10">
        <v>-6071237888</v>
      </c>
      <c r="AU311" s="11">
        <v>-55.67</v>
      </c>
      <c r="AV311" s="10">
        <v>1322675889885</v>
      </c>
      <c r="AW311" s="10">
        <v>547179708815</v>
      </c>
      <c r="AX311" s="10">
        <v>220395609611</v>
      </c>
      <c r="AY311" s="10">
        <v>375060549218</v>
      </c>
      <c r="AZ311" s="10">
        <v>304386091790</v>
      </c>
      <c r="BA311" s="10">
        <v>1836088700000</v>
      </c>
      <c r="BB311" s="10">
        <v>153423195453</v>
      </c>
      <c r="BC311" s="10">
        <v>2838497819084</v>
      </c>
      <c r="BD311" s="12">
        <v>186181</v>
      </c>
      <c r="BE311" s="10">
        <v>698023027294</v>
      </c>
      <c r="BF311" s="10">
        <v>304386091790</v>
      </c>
      <c r="BG311" s="10">
        <v>1836088700000</v>
      </c>
      <c r="BH311" s="10">
        <v>1538095524395</v>
      </c>
      <c r="BI311" s="10">
        <v>339980923472</v>
      </c>
      <c r="BJ311" s="10">
        <v>383999810240</v>
      </c>
      <c r="BK311" s="10">
        <v>0</v>
      </c>
      <c r="BL311" s="10">
        <v>449305416280</v>
      </c>
      <c r="BM311" s="10">
        <v>0</v>
      </c>
      <c r="BN311" s="10">
        <v>0</v>
      </c>
      <c r="BO311" s="10">
        <v>0</v>
      </c>
    </row>
    <row r="312" spans="1:67" x14ac:dyDescent="0.25">
      <c r="A312" s="25" t="s">
        <v>340</v>
      </c>
      <c r="B312" s="9">
        <v>2418</v>
      </c>
      <c r="C312" s="9" t="s">
        <v>359</v>
      </c>
      <c r="D312" s="10">
        <v>2579340273530</v>
      </c>
      <c r="E312" s="10">
        <v>189703887331</v>
      </c>
      <c r="F312" s="10">
        <v>0</v>
      </c>
      <c r="G312" s="10">
        <v>0</v>
      </c>
      <c r="H312" s="10">
        <v>2769044160861</v>
      </c>
      <c r="I312" s="10">
        <v>209332505969</v>
      </c>
      <c r="J312" s="10">
        <v>2404597604</v>
      </c>
      <c r="K312" s="10">
        <v>2557307057288</v>
      </c>
      <c r="L312" s="10">
        <v>2705672671020</v>
      </c>
      <c r="M312" s="10">
        <v>63371489841</v>
      </c>
      <c r="N312" s="46">
        <v>2.3421713394883739</v>
      </c>
      <c r="O312" s="10">
        <v>3851647039455</v>
      </c>
      <c r="P312" s="11">
        <v>156.32</v>
      </c>
      <c r="Q312" s="11">
        <v>150.61000000000001</v>
      </c>
      <c r="R312" s="11">
        <v>2.94</v>
      </c>
      <c r="S312" s="10">
        <v>4048082338636</v>
      </c>
      <c r="T312" s="10">
        <v>125662856807</v>
      </c>
      <c r="U312" s="10">
        <v>22160804725</v>
      </c>
      <c r="V312" s="10">
        <v>8162888634</v>
      </c>
      <c r="W312" s="10">
        <v>95339163448</v>
      </c>
      <c r="X312" s="10">
        <v>4173745195443</v>
      </c>
      <c r="Y312" s="10">
        <v>1561406229</v>
      </c>
      <c r="Z312" s="10">
        <v>136461914320</v>
      </c>
      <c r="AA312" s="10">
        <v>18394155140</v>
      </c>
      <c r="AB312" s="10">
        <v>4328601264903</v>
      </c>
      <c r="AC312" s="10">
        <v>2314159207620</v>
      </c>
      <c r="AD312" s="46">
        <v>80.356873533152182</v>
      </c>
      <c r="AE312" s="10">
        <v>3478009687067</v>
      </c>
      <c r="AF312" s="10">
        <v>3146330687067</v>
      </c>
      <c r="AG312" s="10">
        <v>609118354358</v>
      </c>
      <c r="AH312" s="10">
        <v>5925520718</v>
      </c>
      <c r="AI312" s="10">
        <v>0</v>
      </c>
      <c r="AJ312" s="10">
        <v>0</v>
      </c>
      <c r="AK312" s="10">
        <v>0</v>
      </c>
      <c r="AL312" s="11">
        <v>14</v>
      </c>
      <c r="AM312" s="10">
        <v>1406587332217</v>
      </c>
      <c r="AN312" s="11">
        <v>135</v>
      </c>
      <c r="AO312" s="10">
        <v>3556068478932</v>
      </c>
      <c r="AP312" s="12">
        <v>107</v>
      </c>
      <c r="AQ312" s="10">
        <v>772726310611</v>
      </c>
      <c r="AR312" s="10">
        <v>125662856807</v>
      </c>
      <c r="AS312" s="10">
        <v>26633307420</v>
      </c>
      <c r="AT312" s="10">
        <v>99029549387</v>
      </c>
      <c r="AU312" s="11">
        <v>371.83</v>
      </c>
      <c r="AV312" s="10">
        <v>1649123096209</v>
      </c>
      <c r="AW312" s="10">
        <v>377872448259</v>
      </c>
      <c r="AX312" s="10">
        <v>526734331053</v>
      </c>
      <c r="AY312" s="10">
        <v>212198214844</v>
      </c>
      <c r="AZ312" s="10">
        <v>685109627633</v>
      </c>
      <c r="BA312" s="10">
        <v>1155298100000</v>
      </c>
      <c r="BB312" s="10">
        <v>528827397858</v>
      </c>
      <c r="BC312" s="10">
        <v>2769044160861</v>
      </c>
      <c r="BD312" s="12">
        <v>193010</v>
      </c>
      <c r="BE312" s="10">
        <v>928636433228</v>
      </c>
      <c r="BF312" s="10">
        <v>685109627633</v>
      </c>
      <c r="BG312" s="10">
        <v>1155298100000</v>
      </c>
      <c r="BH312" s="10">
        <v>1026755179284</v>
      </c>
      <c r="BI312" s="10">
        <v>2451254507783</v>
      </c>
      <c r="BJ312" s="10">
        <v>321693391408</v>
      </c>
      <c r="BK312" s="10">
        <v>94852150068</v>
      </c>
      <c r="BL312" s="10">
        <v>190704202474</v>
      </c>
      <c r="BM312" s="10">
        <v>5600000000</v>
      </c>
      <c r="BN312" s="10">
        <v>0</v>
      </c>
      <c r="BO312" s="10">
        <v>325520718</v>
      </c>
    </row>
    <row r="313" spans="1:67" x14ac:dyDescent="0.25">
      <c r="A313" s="25" t="s">
        <v>340</v>
      </c>
      <c r="B313" s="9">
        <v>2419</v>
      </c>
      <c r="C313" s="9" t="s">
        <v>360</v>
      </c>
      <c r="D313" s="10">
        <v>1261744452264</v>
      </c>
      <c r="E313" s="10">
        <v>12034820914</v>
      </c>
      <c r="F313" s="10">
        <v>0</v>
      </c>
      <c r="G313" s="10">
        <v>0</v>
      </c>
      <c r="H313" s="10">
        <v>1273779273178</v>
      </c>
      <c r="I313" s="10">
        <v>101761996824</v>
      </c>
      <c r="J313" s="10">
        <v>801348326</v>
      </c>
      <c r="K313" s="10">
        <v>1171215928028</v>
      </c>
      <c r="L313" s="10">
        <v>1022102728961</v>
      </c>
      <c r="M313" s="10">
        <v>251676544217</v>
      </c>
      <c r="N313" s="46">
        <v>24.623409867307295</v>
      </c>
      <c r="O313" s="10">
        <v>1060560061713</v>
      </c>
      <c r="P313" s="11">
        <v>93.55</v>
      </c>
      <c r="Q313" s="11">
        <v>90.55</v>
      </c>
      <c r="R313" s="11">
        <v>3.18</v>
      </c>
      <c r="S313" s="10">
        <v>1083354280373</v>
      </c>
      <c r="T313" s="10">
        <v>35875658460</v>
      </c>
      <c r="U313" s="10">
        <v>19817054182</v>
      </c>
      <c r="V313" s="10">
        <v>12315766046</v>
      </c>
      <c r="W313" s="10">
        <v>3742838232</v>
      </c>
      <c r="X313" s="10">
        <v>1119229938833</v>
      </c>
      <c r="Y313" s="10">
        <v>2032010076</v>
      </c>
      <c r="Z313" s="10">
        <v>53813244917</v>
      </c>
      <c r="AA313" s="10">
        <v>18635751150</v>
      </c>
      <c r="AB313" s="10">
        <v>1191678934900</v>
      </c>
      <c r="AC313" s="10">
        <v>888258064917</v>
      </c>
      <c r="AD313" s="46">
        <v>26.002789396298059</v>
      </c>
      <c r="AE313" s="10">
        <v>566421775370</v>
      </c>
      <c r="AF313" s="10">
        <v>566421775370</v>
      </c>
      <c r="AG313" s="10">
        <v>0</v>
      </c>
      <c r="AH313" s="10">
        <v>2339932</v>
      </c>
      <c r="AI313" s="10">
        <v>0</v>
      </c>
      <c r="AJ313" s="10">
        <v>0</v>
      </c>
      <c r="AK313" s="10">
        <v>0</v>
      </c>
      <c r="AL313" s="11">
        <v>0</v>
      </c>
      <c r="AM313" s="10">
        <v>0</v>
      </c>
      <c r="AN313" s="11">
        <v>73</v>
      </c>
      <c r="AO313" s="10">
        <v>84472783220</v>
      </c>
      <c r="AP313" s="12">
        <v>31</v>
      </c>
      <c r="AQ313" s="10">
        <v>51615413821</v>
      </c>
      <c r="AR313" s="10">
        <v>35875658460</v>
      </c>
      <c r="AS313" s="10">
        <v>35628940516</v>
      </c>
      <c r="AT313" s="10">
        <v>246717944</v>
      </c>
      <c r="AU313" s="11">
        <v>0.69</v>
      </c>
      <c r="AV313" s="10">
        <v>349413390382</v>
      </c>
      <c r="AW313" s="10">
        <v>106149839287</v>
      </c>
      <c r="AX313" s="10">
        <v>83592855803</v>
      </c>
      <c r="AY313" s="10">
        <v>412122283753</v>
      </c>
      <c r="AZ313" s="10">
        <v>121211812708</v>
      </c>
      <c r="BA313" s="10">
        <v>644817500000</v>
      </c>
      <c r="BB313" s="10">
        <v>37576495086</v>
      </c>
      <c r="BC313" s="10">
        <v>1273779273178</v>
      </c>
      <c r="BD313" s="12">
        <v>93326</v>
      </c>
      <c r="BE313" s="10">
        <v>507749960470</v>
      </c>
      <c r="BF313" s="10">
        <v>121211812708</v>
      </c>
      <c r="BG313" s="10">
        <v>644817500000</v>
      </c>
      <c r="BH313" s="10">
        <v>229272848566</v>
      </c>
      <c r="BI313" s="10">
        <v>337148926804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2339932</v>
      </c>
    </row>
    <row r="314" spans="1:67" x14ac:dyDescent="0.25">
      <c r="A314" s="25" t="s">
        <v>340</v>
      </c>
      <c r="B314" s="9">
        <v>2420</v>
      </c>
      <c r="C314" s="9" t="s">
        <v>361</v>
      </c>
      <c r="D314" s="10">
        <v>1549943118689</v>
      </c>
      <c r="E314" s="10">
        <v>118105432598</v>
      </c>
      <c r="F314" s="10">
        <v>0</v>
      </c>
      <c r="G314" s="10">
        <v>0</v>
      </c>
      <c r="H314" s="10">
        <v>1668048551287</v>
      </c>
      <c r="I314" s="10">
        <v>104817087748</v>
      </c>
      <c r="J314" s="10">
        <v>1941218788</v>
      </c>
      <c r="K314" s="10">
        <v>1561290244751</v>
      </c>
      <c r="L314" s="10">
        <v>1684184870863</v>
      </c>
      <c r="M314" s="10">
        <v>-16136319576</v>
      </c>
      <c r="N314" s="46">
        <v>-0.95810856962107271</v>
      </c>
      <c r="O314" s="10">
        <v>3926210525466</v>
      </c>
      <c r="P314" s="11">
        <v>254.71</v>
      </c>
      <c r="Q314" s="11">
        <v>251.47</v>
      </c>
      <c r="R314" s="11">
        <v>0.56000000000000005</v>
      </c>
      <c r="S314" s="10">
        <v>4047374075761</v>
      </c>
      <c r="T314" s="10">
        <v>23338102030</v>
      </c>
      <c r="U314" s="10">
        <v>11587556147</v>
      </c>
      <c r="V314" s="10">
        <v>11346031088</v>
      </c>
      <c r="W314" s="10">
        <v>404514795</v>
      </c>
      <c r="X314" s="10">
        <v>4070712177791</v>
      </c>
      <c r="Y314" s="10">
        <v>261597863</v>
      </c>
      <c r="Z314" s="10">
        <v>170584089720</v>
      </c>
      <c r="AA314" s="10">
        <v>7341629400</v>
      </c>
      <c r="AB314" s="10">
        <v>4248637896911</v>
      </c>
      <c r="AC314" s="10">
        <v>2018510607386</v>
      </c>
      <c r="AD314" s="46">
        <v>101.66910012242296</v>
      </c>
      <c r="AE314" s="10">
        <v>2833234839979</v>
      </c>
      <c r="AF314" s="10">
        <v>2752598832240</v>
      </c>
      <c r="AG314" s="10">
        <v>0</v>
      </c>
      <c r="AH314" s="10">
        <v>30788237904</v>
      </c>
      <c r="AI314" s="10">
        <v>0</v>
      </c>
      <c r="AJ314" s="10">
        <v>0</v>
      </c>
      <c r="AK314" s="10">
        <v>0</v>
      </c>
      <c r="AL314" s="11">
        <v>1</v>
      </c>
      <c r="AM314" s="10">
        <v>60230986266</v>
      </c>
      <c r="AN314" s="11">
        <v>161</v>
      </c>
      <c r="AO314" s="10">
        <v>1918739648190</v>
      </c>
      <c r="AP314" s="12">
        <v>98</v>
      </c>
      <c r="AQ314" s="10">
        <v>654953956441</v>
      </c>
      <c r="AR314" s="10">
        <v>23338102030</v>
      </c>
      <c r="AS314" s="10">
        <v>9055040338</v>
      </c>
      <c r="AT314" s="10">
        <v>14283061692</v>
      </c>
      <c r="AU314" s="11">
        <v>157.74</v>
      </c>
      <c r="AV314" s="10">
        <v>945826520416</v>
      </c>
      <c r="AW314" s="10">
        <v>210441348686</v>
      </c>
      <c r="AX314" s="10">
        <v>916503571798</v>
      </c>
      <c r="AY314" s="10">
        <v>218388208307</v>
      </c>
      <c r="AZ314" s="10">
        <v>225395798882</v>
      </c>
      <c r="BA314" s="10">
        <v>189655539702</v>
      </c>
      <c r="BB314" s="10">
        <v>91430311530</v>
      </c>
      <c r="BC314" s="10">
        <v>1668048551287</v>
      </c>
      <c r="BD314" s="12">
        <v>52631</v>
      </c>
      <c r="BE314" s="10">
        <v>1252997212703</v>
      </c>
      <c r="BF314" s="10">
        <v>225395798882</v>
      </c>
      <c r="BG314" s="10">
        <v>189655539702</v>
      </c>
      <c r="BH314" s="10">
        <v>2148009475645</v>
      </c>
      <c r="BI314" s="10">
        <v>685225364334</v>
      </c>
      <c r="BJ314" s="10">
        <v>0</v>
      </c>
      <c r="BK314" s="10">
        <v>0</v>
      </c>
      <c r="BL314" s="10">
        <v>0</v>
      </c>
      <c r="BM314" s="10">
        <v>1912824973</v>
      </c>
      <c r="BN314" s="10">
        <v>0</v>
      </c>
      <c r="BO314" s="10">
        <v>28875412931</v>
      </c>
    </row>
    <row r="315" spans="1:67" x14ac:dyDescent="0.25">
      <c r="A315" s="25" t="s">
        <v>340</v>
      </c>
      <c r="B315" s="26">
        <v>2421</v>
      </c>
      <c r="C315" s="26" t="s">
        <v>362</v>
      </c>
      <c r="D315" s="27">
        <v>906200779911</v>
      </c>
      <c r="E315" s="27">
        <v>39881909189</v>
      </c>
      <c r="F315" s="27">
        <v>0</v>
      </c>
      <c r="G315" s="27">
        <v>0</v>
      </c>
      <c r="H315" s="27">
        <v>946082689100</v>
      </c>
      <c r="I315" s="27">
        <v>77176481982</v>
      </c>
      <c r="J315" s="27">
        <v>986533179</v>
      </c>
      <c r="K315" s="27">
        <v>867919673939</v>
      </c>
      <c r="L315" s="27">
        <v>1137104898323</v>
      </c>
      <c r="M315" s="10">
        <v>-191022209223</v>
      </c>
      <c r="N315" s="46">
        <v>-16.798996249573737</v>
      </c>
      <c r="O315" s="27">
        <v>1125151404900</v>
      </c>
      <c r="P315" s="28">
        <v>138.56</v>
      </c>
      <c r="Q315" s="28">
        <v>129.63999999999999</v>
      </c>
      <c r="R315" s="28">
        <v>1.51</v>
      </c>
      <c r="S315" s="27">
        <v>1212993591524</v>
      </c>
      <c r="T315" s="27">
        <v>19784394673</v>
      </c>
      <c r="U315" s="27">
        <v>17694890699</v>
      </c>
      <c r="V315" s="27">
        <v>2089503974</v>
      </c>
      <c r="W315" s="27">
        <v>0</v>
      </c>
      <c r="X315" s="27">
        <v>1232777986197</v>
      </c>
      <c r="Y315" s="10">
        <v>0</v>
      </c>
      <c r="Z315" s="27">
        <v>60233381991</v>
      </c>
      <c r="AA315" s="27">
        <v>17898300000</v>
      </c>
      <c r="AB315" s="27">
        <v>1310909668188</v>
      </c>
      <c r="AC315" s="27">
        <v>874919798362</v>
      </c>
      <c r="AD315" s="46">
        <v>40.901827630940794</v>
      </c>
      <c r="AE315" s="27">
        <v>712223714180</v>
      </c>
      <c r="AF315" s="27">
        <v>712223714180</v>
      </c>
      <c r="AG315" s="27">
        <v>0</v>
      </c>
      <c r="AH315" s="27">
        <v>500000000</v>
      </c>
      <c r="AI315" s="27">
        <v>0</v>
      </c>
      <c r="AJ315" s="27">
        <v>0</v>
      </c>
      <c r="AK315" s="27">
        <v>0</v>
      </c>
      <c r="AL315" s="28">
        <v>0</v>
      </c>
      <c r="AM315" s="27">
        <v>0</v>
      </c>
      <c r="AN315" s="29">
        <v>101</v>
      </c>
      <c r="AO315" s="27">
        <v>397158723735</v>
      </c>
      <c r="AP315" s="12">
        <v>95</v>
      </c>
      <c r="AQ315" s="10">
        <v>305024822692</v>
      </c>
      <c r="AR315" s="27">
        <v>19784394673</v>
      </c>
      <c r="AS315" s="27">
        <v>9017136862</v>
      </c>
      <c r="AT315" s="27">
        <v>10767257811</v>
      </c>
      <c r="AU315" s="28">
        <v>119.41</v>
      </c>
      <c r="AV315" s="27">
        <v>359559814840</v>
      </c>
      <c r="AW315" s="27">
        <v>48269232753</v>
      </c>
      <c r="AX315" s="27">
        <v>79658385631</v>
      </c>
      <c r="AY315" s="27">
        <v>176894898707</v>
      </c>
      <c r="AZ315" s="27">
        <v>192597595573</v>
      </c>
      <c r="BA315" s="27">
        <v>457049900000</v>
      </c>
      <c r="BB315" s="27">
        <v>176709909723</v>
      </c>
      <c r="BC315" s="27">
        <v>946082689100</v>
      </c>
      <c r="BD315" s="29">
        <v>120111</v>
      </c>
      <c r="BE315" s="27">
        <v>296435193527</v>
      </c>
      <c r="BF315" s="27">
        <v>192597595573</v>
      </c>
      <c r="BG315" s="27">
        <v>457049900000</v>
      </c>
      <c r="BH315" s="27">
        <v>392704408024</v>
      </c>
      <c r="BI315" s="27">
        <v>319519306156</v>
      </c>
      <c r="BJ315" s="27">
        <v>0</v>
      </c>
      <c r="BK315" s="27">
        <v>0</v>
      </c>
      <c r="BL315" s="27">
        <v>0</v>
      </c>
      <c r="BM315" s="27">
        <v>0</v>
      </c>
      <c r="BN315" s="27">
        <v>0</v>
      </c>
      <c r="BO315" s="27">
        <v>500000000</v>
      </c>
    </row>
    <row r="316" spans="1:67" x14ac:dyDescent="0.25">
      <c r="A316" s="25" t="s">
        <v>340</v>
      </c>
      <c r="B316" s="9">
        <v>2422</v>
      </c>
      <c r="C316" s="9" t="s">
        <v>363</v>
      </c>
      <c r="D316" s="10">
        <v>393634282796</v>
      </c>
      <c r="E316" s="10">
        <v>1988990576</v>
      </c>
      <c r="F316" s="10">
        <v>0</v>
      </c>
      <c r="G316" s="10">
        <v>0</v>
      </c>
      <c r="H316" s="10">
        <v>395623273372</v>
      </c>
      <c r="I316" s="10">
        <v>36416903330</v>
      </c>
      <c r="J316" s="10">
        <v>2889575168</v>
      </c>
      <c r="K316" s="10">
        <v>356316794874</v>
      </c>
      <c r="L316" s="10">
        <v>381271116468</v>
      </c>
      <c r="M316" s="10">
        <v>14352156904</v>
      </c>
      <c r="N316" s="46">
        <v>3.7642916769974035</v>
      </c>
      <c r="O316" s="10">
        <v>480848379009</v>
      </c>
      <c r="P316" s="11">
        <v>140.22999999999999</v>
      </c>
      <c r="Q316" s="11">
        <v>134.94999999999999</v>
      </c>
      <c r="R316" s="11">
        <v>0.04</v>
      </c>
      <c r="S316" s="10">
        <v>517534688435</v>
      </c>
      <c r="T316" s="10">
        <v>234905704</v>
      </c>
      <c r="U316" s="10">
        <v>234905704</v>
      </c>
      <c r="V316" s="10">
        <v>0</v>
      </c>
      <c r="W316" s="10">
        <v>0</v>
      </c>
      <c r="X316" s="10">
        <v>517769594139</v>
      </c>
      <c r="Y316" s="10">
        <v>0</v>
      </c>
      <c r="Z316" s="10">
        <v>29595580610</v>
      </c>
      <c r="AA316" s="10">
        <v>7400000000</v>
      </c>
      <c r="AB316" s="10">
        <v>554765174749</v>
      </c>
      <c r="AC316" s="10">
        <v>94484699744</v>
      </c>
      <c r="AD316" s="46">
        <v>447.99305659208557</v>
      </c>
      <c r="AE316" s="10">
        <v>486699838783</v>
      </c>
      <c r="AF316" s="10">
        <v>486699838783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1">
        <v>0</v>
      </c>
      <c r="AM316" s="10">
        <v>0</v>
      </c>
      <c r="AN316" s="11">
        <v>6</v>
      </c>
      <c r="AO316" s="10">
        <v>10790650000</v>
      </c>
      <c r="AP316" s="12">
        <v>0</v>
      </c>
      <c r="AQ316" s="10">
        <v>0</v>
      </c>
      <c r="AR316" s="10">
        <v>234905704</v>
      </c>
      <c r="AS316" s="10">
        <v>0</v>
      </c>
      <c r="AT316" s="10">
        <v>234905704</v>
      </c>
      <c r="AU316" s="11" t="s">
        <v>593</v>
      </c>
      <c r="AV316" s="10">
        <v>61693596012</v>
      </c>
      <c r="AW316" s="10">
        <v>5254450346</v>
      </c>
      <c r="AX316" s="10">
        <v>22287013491</v>
      </c>
      <c r="AY316" s="10">
        <v>40408446881</v>
      </c>
      <c r="AZ316" s="10">
        <v>145486822424</v>
      </c>
      <c r="BA316" s="10">
        <v>185452000000</v>
      </c>
      <c r="BB316" s="10">
        <v>141420229924</v>
      </c>
      <c r="BC316" s="10">
        <v>395623273372</v>
      </c>
      <c r="BD316" s="12">
        <v>9720</v>
      </c>
      <c r="BE316" s="10">
        <v>64684450948</v>
      </c>
      <c r="BF316" s="10">
        <v>145486822424</v>
      </c>
      <c r="BG316" s="10">
        <v>185452000000</v>
      </c>
      <c r="BH316" s="10">
        <v>367140648783</v>
      </c>
      <c r="BI316" s="10">
        <v>119559190000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</row>
    <row r="317" spans="1:67" x14ac:dyDescent="0.25">
      <c r="A317" s="25" t="s">
        <v>340</v>
      </c>
      <c r="B317" s="9">
        <v>2499</v>
      </c>
      <c r="C317" s="9" t="s">
        <v>364</v>
      </c>
      <c r="D317" s="10">
        <v>0</v>
      </c>
      <c r="E317" s="10">
        <v>7466060976</v>
      </c>
      <c r="F317" s="10">
        <v>0</v>
      </c>
      <c r="G317" s="10">
        <v>0</v>
      </c>
      <c r="H317" s="10">
        <v>7466060976</v>
      </c>
      <c r="I317" s="10">
        <v>347954115</v>
      </c>
      <c r="J317" s="10">
        <v>84200000</v>
      </c>
      <c r="K317" s="10">
        <v>7033906861</v>
      </c>
      <c r="L317" s="10">
        <v>3515529881</v>
      </c>
      <c r="M317" s="10">
        <v>3950531095</v>
      </c>
      <c r="N317" s="46">
        <v>112.37370264866766</v>
      </c>
      <c r="O317" s="10">
        <v>0</v>
      </c>
      <c r="P317" s="11">
        <v>0</v>
      </c>
      <c r="Q317" s="11">
        <v>0</v>
      </c>
      <c r="R317" s="11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46" t="s">
        <v>595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1">
        <v>0</v>
      </c>
      <c r="AM317" s="10">
        <v>0</v>
      </c>
      <c r="AN317" s="11">
        <v>0</v>
      </c>
      <c r="AO317" s="10">
        <v>0</v>
      </c>
      <c r="AP317" s="12">
        <v>0</v>
      </c>
      <c r="AQ317" s="10">
        <v>0</v>
      </c>
      <c r="AR317" s="10">
        <v>0</v>
      </c>
      <c r="AS317" s="10">
        <v>0</v>
      </c>
      <c r="AT317" s="10">
        <v>0</v>
      </c>
      <c r="AU317" s="11" t="s">
        <v>593</v>
      </c>
      <c r="AV317" s="10">
        <v>0</v>
      </c>
      <c r="AW317" s="10">
        <v>0</v>
      </c>
      <c r="AX317" s="10">
        <v>0</v>
      </c>
      <c r="AY317" s="10">
        <v>0</v>
      </c>
      <c r="AZ317" s="10">
        <v>0</v>
      </c>
      <c r="BA317" s="10">
        <v>0</v>
      </c>
      <c r="BB317" s="10">
        <v>0</v>
      </c>
      <c r="BC317" s="10">
        <v>7466060976</v>
      </c>
      <c r="BD317" s="12">
        <v>528</v>
      </c>
      <c r="BE317" s="10">
        <v>7466060976</v>
      </c>
      <c r="BF317" s="10">
        <v>0</v>
      </c>
      <c r="BG317" s="10">
        <v>0</v>
      </c>
      <c r="BH317" s="10">
        <v>0</v>
      </c>
      <c r="BI317" s="10">
        <v>0</v>
      </c>
      <c r="BJ317" s="10">
        <v>0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</row>
    <row r="318" spans="1:67" x14ac:dyDescent="0.25">
      <c r="A318" s="19" t="s">
        <v>610</v>
      </c>
      <c r="B318" s="20" t="s">
        <v>593</v>
      </c>
      <c r="C318" s="20" t="s">
        <v>593</v>
      </c>
      <c r="D318" s="21">
        <v>32436929342865</v>
      </c>
      <c r="E318" s="21">
        <v>1709248370143</v>
      </c>
      <c r="F318" s="21">
        <v>0</v>
      </c>
      <c r="G318" s="21">
        <v>3745218668</v>
      </c>
      <c r="H318" s="21">
        <v>34149922931676</v>
      </c>
      <c r="I318" s="21">
        <v>2483424628511</v>
      </c>
      <c r="J318" s="21">
        <v>78107338582</v>
      </c>
      <c r="K318" s="21">
        <v>31588390964583</v>
      </c>
      <c r="L318" s="21">
        <v>27646482272650</v>
      </c>
      <c r="M318" s="21">
        <v>6503440659026</v>
      </c>
      <c r="N318" s="47">
        <v>23.523573794629552</v>
      </c>
      <c r="O318" s="21">
        <v>47167777855694</v>
      </c>
      <c r="P318" s="22">
        <v>164.24</v>
      </c>
      <c r="Q318" s="22">
        <v>149.32</v>
      </c>
      <c r="R318" s="22">
        <v>2.52</v>
      </c>
      <c r="S318" s="21">
        <v>51989612045718</v>
      </c>
      <c r="T318" s="21">
        <v>1285234492111</v>
      </c>
      <c r="U318" s="21">
        <v>358102944518</v>
      </c>
      <c r="V318" s="21">
        <v>504075525212</v>
      </c>
      <c r="W318" s="21">
        <v>423056022381</v>
      </c>
      <c r="X318" s="21">
        <v>53274846537829</v>
      </c>
      <c r="Y318" s="21">
        <v>129125207947</v>
      </c>
      <c r="Z318" s="21">
        <v>2470500326626</v>
      </c>
      <c r="AA318" s="21">
        <v>343250543493</v>
      </c>
      <c r="AB318" s="21">
        <v>56088597407948</v>
      </c>
      <c r="AC318" s="21">
        <v>35709820641228</v>
      </c>
      <c r="AD318" s="47">
        <v>49.188222122632787</v>
      </c>
      <c r="AE318" s="21">
        <v>36939238341531</v>
      </c>
      <c r="AF318" s="21">
        <v>35475230302638</v>
      </c>
      <c r="AG318" s="21">
        <v>3370315550001</v>
      </c>
      <c r="AH318" s="21">
        <v>203725073169</v>
      </c>
      <c r="AI318" s="21">
        <v>45014743107</v>
      </c>
      <c r="AJ318" s="21">
        <v>280000000000</v>
      </c>
      <c r="AK318" s="21">
        <v>0</v>
      </c>
      <c r="AL318" s="22">
        <v>71</v>
      </c>
      <c r="AM318" s="21">
        <v>4446560341234</v>
      </c>
      <c r="AN318" s="23">
        <v>2102</v>
      </c>
      <c r="AO318" s="21">
        <v>24316386181418</v>
      </c>
      <c r="AP318" s="23">
        <v>1309</v>
      </c>
      <c r="AQ318" s="21">
        <v>12541791894998</v>
      </c>
      <c r="AR318" s="21">
        <v>1285234492111</v>
      </c>
      <c r="AS318" s="21">
        <v>870421870882</v>
      </c>
      <c r="AT318" s="21">
        <v>414812621229</v>
      </c>
      <c r="AU318" s="24">
        <v>47.66</v>
      </c>
      <c r="AV318" s="21">
        <v>20352518069875</v>
      </c>
      <c r="AW318" s="21">
        <v>5623492167788</v>
      </c>
      <c r="AX318" s="21">
        <v>7176705695070</v>
      </c>
      <c r="AY318" s="21">
        <v>7046222193286</v>
      </c>
      <c r="AZ318" s="21">
        <v>5581123432565</v>
      </c>
      <c r="BA318" s="21">
        <v>12632878021944</v>
      </c>
      <c r="BB318" s="21">
        <v>3439958552610</v>
      </c>
      <c r="BC318" s="21">
        <v>34149922931676</v>
      </c>
      <c r="BD318" s="23">
        <v>3115168</v>
      </c>
      <c r="BE318" s="21">
        <v>15690082117982</v>
      </c>
      <c r="BF318" s="21">
        <v>5579840232565</v>
      </c>
      <c r="BG318" s="21">
        <v>12880000581129</v>
      </c>
      <c r="BH318" s="21">
        <v>25888855398621</v>
      </c>
      <c r="BI318" s="21">
        <v>11050382942910</v>
      </c>
      <c r="BJ318" s="21">
        <v>705693201648</v>
      </c>
      <c r="BK318" s="21">
        <v>116807403008</v>
      </c>
      <c r="BL318" s="21">
        <v>2902288839561</v>
      </c>
      <c r="BM318" s="21">
        <v>26921892561</v>
      </c>
      <c r="BN318" s="21">
        <v>32185215897</v>
      </c>
      <c r="BO318" s="21">
        <v>141492680608</v>
      </c>
    </row>
    <row r="319" spans="1:67" x14ac:dyDescent="0.25">
      <c r="A319" s="25" t="s">
        <v>365</v>
      </c>
      <c r="B319" s="9">
        <v>2500</v>
      </c>
      <c r="C319" s="9" t="s">
        <v>365</v>
      </c>
      <c r="D319" s="10">
        <v>3728270565029</v>
      </c>
      <c r="E319" s="10">
        <v>281214182133</v>
      </c>
      <c r="F319" s="10">
        <v>200000000000</v>
      </c>
      <c r="G319" s="10">
        <v>6746206326</v>
      </c>
      <c r="H319" s="10">
        <v>4216230953488</v>
      </c>
      <c r="I319" s="10">
        <v>266527550772</v>
      </c>
      <c r="J319" s="10">
        <v>23126619576</v>
      </c>
      <c r="K319" s="10">
        <v>3926576783140</v>
      </c>
      <c r="L319" s="10">
        <v>3019532341545</v>
      </c>
      <c r="M319" s="10">
        <v>1196698611943</v>
      </c>
      <c r="N319" s="46">
        <v>39.63191900540091</v>
      </c>
      <c r="O319" s="10">
        <v>5458693129654</v>
      </c>
      <c r="P319" s="11">
        <v>170.08</v>
      </c>
      <c r="Q319" s="11">
        <v>139.02000000000001</v>
      </c>
      <c r="R319" s="11">
        <v>1.26</v>
      </c>
      <c r="S319" s="10">
        <v>6820667436258</v>
      </c>
      <c r="T319" s="10">
        <v>89126831096</v>
      </c>
      <c r="U319" s="10">
        <v>67356702557</v>
      </c>
      <c r="V319" s="10">
        <v>18281915023</v>
      </c>
      <c r="W319" s="10">
        <v>3488213516</v>
      </c>
      <c r="X319" s="10">
        <v>6909794267354</v>
      </c>
      <c r="Y319" s="10">
        <v>1332323493</v>
      </c>
      <c r="Z319" s="10">
        <v>224100484275</v>
      </c>
      <c r="AA319" s="10">
        <v>36988691263</v>
      </c>
      <c r="AB319" s="10">
        <v>7170883442892</v>
      </c>
      <c r="AC319" s="10">
        <v>6114029248881</v>
      </c>
      <c r="AD319" s="46">
        <v>13.015394367284753</v>
      </c>
      <c r="AE319" s="10">
        <v>5030110133357</v>
      </c>
      <c r="AF319" s="10">
        <v>4684497008723</v>
      </c>
      <c r="AG319" s="10">
        <v>1056106147376</v>
      </c>
      <c r="AH319" s="10">
        <v>157562463254</v>
      </c>
      <c r="AI319" s="10">
        <v>0</v>
      </c>
      <c r="AJ319" s="10">
        <v>0</v>
      </c>
      <c r="AK319" s="10">
        <v>0</v>
      </c>
      <c r="AL319" s="11">
        <v>13</v>
      </c>
      <c r="AM319" s="10">
        <v>853631290095</v>
      </c>
      <c r="AN319" s="11">
        <v>243</v>
      </c>
      <c r="AO319" s="10">
        <v>9314911811120</v>
      </c>
      <c r="AP319" s="12">
        <v>169</v>
      </c>
      <c r="AQ319" s="10">
        <v>871884493459</v>
      </c>
      <c r="AR319" s="10">
        <v>89126831096</v>
      </c>
      <c r="AS319" s="10">
        <v>86072611759</v>
      </c>
      <c r="AT319" s="10">
        <v>3054219337</v>
      </c>
      <c r="AU319" s="13">
        <v>3.55</v>
      </c>
      <c r="AV319" s="10">
        <v>4228078235247</v>
      </c>
      <c r="AW319" s="10">
        <v>1181860495773</v>
      </c>
      <c r="AX319" s="10">
        <v>676535615304</v>
      </c>
      <c r="AY319" s="10">
        <v>496215840636</v>
      </c>
      <c r="AZ319" s="10">
        <v>1058556121839</v>
      </c>
      <c r="BA319" s="10">
        <v>1496962987250</v>
      </c>
      <c r="BB319" s="10">
        <v>578961426836</v>
      </c>
      <c r="BC319" s="10">
        <v>4216230953488</v>
      </c>
      <c r="BD319" s="12">
        <v>44939</v>
      </c>
      <c r="BE319" s="10">
        <v>1423996401046</v>
      </c>
      <c r="BF319" s="10">
        <v>1258556121839</v>
      </c>
      <c r="BG319" s="10">
        <v>1533678430603</v>
      </c>
      <c r="BH319" s="10">
        <v>3583116419327</v>
      </c>
      <c r="BI319" s="10">
        <v>1446993714030</v>
      </c>
      <c r="BJ319" s="10">
        <v>0</v>
      </c>
      <c r="BK319" s="10">
        <v>0</v>
      </c>
      <c r="BL319" s="10">
        <v>1186480645547</v>
      </c>
      <c r="BM319" s="10">
        <v>0</v>
      </c>
      <c r="BN319" s="10">
        <v>0</v>
      </c>
      <c r="BO319" s="10">
        <v>157562463254</v>
      </c>
    </row>
    <row r="320" spans="1:67" x14ac:dyDescent="0.25">
      <c r="A320" s="25" t="s">
        <v>365</v>
      </c>
      <c r="B320" s="9">
        <v>2501</v>
      </c>
      <c r="C320" s="9" t="s">
        <v>366</v>
      </c>
      <c r="D320" s="10">
        <v>1605900245743</v>
      </c>
      <c r="E320" s="10">
        <v>8883664668</v>
      </c>
      <c r="F320" s="10">
        <v>0</v>
      </c>
      <c r="G320" s="10">
        <v>0</v>
      </c>
      <c r="H320" s="10">
        <v>1614783910411</v>
      </c>
      <c r="I320" s="10">
        <v>121186815459</v>
      </c>
      <c r="J320" s="10">
        <v>1222336661</v>
      </c>
      <c r="K320" s="10">
        <v>1492374758291</v>
      </c>
      <c r="L320" s="10">
        <v>1188245488276</v>
      </c>
      <c r="M320" s="10">
        <v>426538422135</v>
      </c>
      <c r="N320" s="46">
        <v>35.896489937769971</v>
      </c>
      <c r="O320" s="10">
        <v>1970601992853</v>
      </c>
      <c r="P320" s="11">
        <v>148.44</v>
      </c>
      <c r="Q320" s="11">
        <v>132.04</v>
      </c>
      <c r="R320" s="11">
        <v>3.15</v>
      </c>
      <c r="S320" s="10">
        <v>2166684982231</v>
      </c>
      <c r="T320" s="10">
        <v>75454583043</v>
      </c>
      <c r="U320" s="10">
        <v>72945947354</v>
      </c>
      <c r="V320" s="10">
        <v>2508635689</v>
      </c>
      <c r="W320" s="10">
        <v>0</v>
      </c>
      <c r="X320" s="10">
        <v>2242139565274</v>
      </c>
      <c r="Y320" s="10">
        <v>0</v>
      </c>
      <c r="Z320" s="10">
        <v>129358199672</v>
      </c>
      <c r="AA320" s="10">
        <v>25430000000</v>
      </c>
      <c r="AB320" s="10">
        <v>2396927764946</v>
      </c>
      <c r="AC320" s="10">
        <v>1248832280979</v>
      </c>
      <c r="AD320" s="46">
        <v>79.538885999672772</v>
      </c>
      <c r="AE320" s="10">
        <v>1592000191659</v>
      </c>
      <c r="AF320" s="10">
        <v>1446229479057</v>
      </c>
      <c r="AG320" s="10">
        <v>20257578000</v>
      </c>
      <c r="AH320" s="10">
        <v>397800000</v>
      </c>
      <c r="AI320" s="10">
        <v>0</v>
      </c>
      <c r="AJ320" s="10">
        <v>0</v>
      </c>
      <c r="AK320" s="10">
        <v>0</v>
      </c>
      <c r="AL320" s="11">
        <v>1</v>
      </c>
      <c r="AM320" s="10">
        <v>22435578000</v>
      </c>
      <c r="AN320" s="11">
        <v>102</v>
      </c>
      <c r="AO320" s="10">
        <v>212952979410</v>
      </c>
      <c r="AP320" s="12">
        <v>6</v>
      </c>
      <c r="AQ320" s="10">
        <v>6980555067</v>
      </c>
      <c r="AR320" s="10">
        <v>75454583043</v>
      </c>
      <c r="AS320" s="10">
        <v>4533496233</v>
      </c>
      <c r="AT320" s="10">
        <v>70921086810</v>
      </c>
      <c r="AU320" s="13">
        <v>1564.38</v>
      </c>
      <c r="AV320" s="10">
        <v>621446620413</v>
      </c>
      <c r="AW320" s="10">
        <v>122659876899</v>
      </c>
      <c r="AX320" s="10">
        <v>230953558679</v>
      </c>
      <c r="AY320" s="10">
        <v>163322652241</v>
      </c>
      <c r="AZ320" s="10">
        <v>553258340755</v>
      </c>
      <c r="BA320" s="10">
        <v>658365694068</v>
      </c>
      <c r="BB320" s="10">
        <v>346583765732</v>
      </c>
      <c r="BC320" s="10">
        <v>1614783910411</v>
      </c>
      <c r="BD320" s="12">
        <v>17178</v>
      </c>
      <c r="BE320" s="10">
        <v>403159875588</v>
      </c>
      <c r="BF320" s="10">
        <v>553258340755</v>
      </c>
      <c r="BG320" s="10">
        <v>658365694068</v>
      </c>
      <c r="BH320" s="10">
        <v>1190151759805</v>
      </c>
      <c r="BI320" s="10">
        <v>401848431854</v>
      </c>
      <c r="BJ320" s="10">
        <v>0</v>
      </c>
      <c r="BK320" s="10">
        <v>0</v>
      </c>
      <c r="BL320" s="10">
        <v>20257578000</v>
      </c>
      <c r="BM320" s="10">
        <v>0</v>
      </c>
      <c r="BN320" s="10">
        <v>0</v>
      </c>
      <c r="BO320" s="10">
        <v>397800000</v>
      </c>
    </row>
    <row r="321" spans="1:67" x14ac:dyDescent="0.25">
      <c r="A321" s="25" t="s">
        <v>365</v>
      </c>
      <c r="B321" s="9">
        <v>2502</v>
      </c>
      <c r="C321" s="9" t="s">
        <v>367</v>
      </c>
      <c r="D321" s="10">
        <v>729046012065</v>
      </c>
      <c r="E321" s="10">
        <v>7440702653</v>
      </c>
      <c r="F321" s="10">
        <v>0</v>
      </c>
      <c r="G321" s="10">
        <v>0</v>
      </c>
      <c r="H321" s="10">
        <v>736486714718</v>
      </c>
      <c r="I321" s="10">
        <v>53261013373</v>
      </c>
      <c r="J321" s="10">
        <v>1388525032</v>
      </c>
      <c r="K321" s="10">
        <v>681837176313</v>
      </c>
      <c r="L321" s="10">
        <v>714668914528</v>
      </c>
      <c r="M321" s="10">
        <v>21817800190</v>
      </c>
      <c r="N321" s="46">
        <v>3.0528542303269859</v>
      </c>
      <c r="O321" s="10">
        <v>1338610595227</v>
      </c>
      <c r="P321" s="11">
        <v>205.09</v>
      </c>
      <c r="Q321" s="11">
        <v>196.32</v>
      </c>
      <c r="R321" s="11">
        <v>3.16</v>
      </c>
      <c r="S321" s="10">
        <v>1325900135672</v>
      </c>
      <c r="T321" s="10">
        <v>47180268889</v>
      </c>
      <c r="U321" s="10">
        <v>29103173377</v>
      </c>
      <c r="V321" s="10">
        <v>16035025850</v>
      </c>
      <c r="W321" s="10">
        <v>2042069662</v>
      </c>
      <c r="X321" s="10">
        <v>1373080404561</v>
      </c>
      <c r="Y321" s="10">
        <v>587134111</v>
      </c>
      <c r="Z321" s="10">
        <v>125899066988</v>
      </c>
      <c r="AA321" s="10">
        <v>11452110000</v>
      </c>
      <c r="AB321" s="10">
        <v>1510431581549</v>
      </c>
      <c r="AC321" s="10">
        <v>1306507682823</v>
      </c>
      <c r="AD321" s="46">
        <v>5.0954711260598824</v>
      </c>
      <c r="AE321" s="10">
        <v>505190342715</v>
      </c>
      <c r="AF321" s="10">
        <v>399379019164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1">
        <v>0</v>
      </c>
      <c r="AM321" s="10">
        <v>0</v>
      </c>
      <c r="AN321" s="11">
        <v>6</v>
      </c>
      <c r="AO321" s="10">
        <v>12555000000</v>
      </c>
      <c r="AP321" s="12">
        <v>2</v>
      </c>
      <c r="AQ321" s="10">
        <v>6035000000</v>
      </c>
      <c r="AR321" s="10">
        <v>47180268889</v>
      </c>
      <c r="AS321" s="10">
        <v>71957277039</v>
      </c>
      <c r="AT321" s="10">
        <v>-24777008150</v>
      </c>
      <c r="AU321" s="13">
        <v>-34.43</v>
      </c>
      <c r="AV321" s="10">
        <v>525170118408</v>
      </c>
      <c r="AW321" s="10">
        <v>181482248641</v>
      </c>
      <c r="AX321" s="10">
        <v>130544261786</v>
      </c>
      <c r="AY321" s="10">
        <v>97209496837</v>
      </c>
      <c r="AZ321" s="10">
        <v>284141253442</v>
      </c>
      <c r="BA321" s="10">
        <v>217151000000</v>
      </c>
      <c r="BB321" s="10">
        <v>170037144671</v>
      </c>
      <c r="BC321" s="10">
        <v>736486714718</v>
      </c>
      <c r="BD321" s="12">
        <v>18590</v>
      </c>
      <c r="BE321" s="10">
        <v>235194461276</v>
      </c>
      <c r="BF321" s="10">
        <v>284141253442</v>
      </c>
      <c r="BG321" s="10">
        <v>217151000000</v>
      </c>
      <c r="BH321" s="10">
        <v>387743445577</v>
      </c>
      <c r="BI321" s="10">
        <v>117446897138</v>
      </c>
      <c r="BJ321" s="10">
        <v>0</v>
      </c>
      <c r="BK321" s="10">
        <v>0</v>
      </c>
      <c r="BL321" s="10">
        <v>0</v>
      </c>
      <c r="BM321" s="10">
        <v>0</v>
      </c>
      <c r="BN321" s="10">
        <v>0</v>
      </c>
      <c r="BO321" s="10">
        <v>0</v>
      </c>
    </row>
    <row r="322" spans="1:67" x14ac:dyDescent="0.25">
      <c r="A322" s="25" t="s">
        <v>365</v>
      </c>
      <c r="B322" s="9">
        <v>2503</v>
      </c>
      <c r="C322" s="9" t="s">
        <v>368</v>
      </c>
      <c r="D322" s="10">
        <v>2175065625365</v>
      </c>
      <c r="E322" s="10">
        <v>8934112714</v>
      </c>
      <c r="F322" s="10">
        <v>0</v>
      </c>
      <c r="G322" s="10">
        <v>0</v>
      </c>
      <c r="H322" s="10">
        <v>2183999738079</v>
      </c>
      <c r="I322" s="10">
        <v>133054217912</v>
      </c>
      <c r="J322" s="10">
        <v>1080498952</v>
      </c>
      <c r="K322" s="10">
        <v>2049865021215</v>
      </c>
      <c r="L322" s="10">
        <v>1633870717996</v>
      </c>
      <c r="M322" s="10">
        <v>550129020083</v>
      </c>
      <c r="N322" s="46">
        <v>33.670290679898628</v>
      </c>
      <c r="O322" s="10">
        <v>2632560732381</v>
      </c>
      <c r="P322" s="11">
        <v>135.44</v>
      </c>
      <c r="Q322" s="11">
        <v>128.43</v>
      </c>
      <c r="R322" s="11">
        <v>22.84</v>
      </c>
      <c r="S322" s="10">
        <v>2155600338856</v>
      </c>
      <c r="T322" s="10">
        <v>603260429674</v>
      </c>
      <c r="U322" s="10">
        <v>6038363314</v>
      </c>
      <c r="V322" s="10">
        <v>598524731</v>
      </c>
      <c r="W322" s="10">
        <v>596623541629</v>
      </c>
      <c r="X322" s="10">
        <v>2758860768530</v>
      </c>
      <c r="Y322" s="10">
        <v>72243309367</v>
      </c>
      <c r="Z322" s="10">
        <v>191428638460</v>
      </c>
      <c r="AA322" s="10">
        <v>7799706556</v>
      </c>
      <c r="AB322" s="10">
        <v>2958089113546</v>
      </c>
      <c r="AC322" s="10">
        <v>1413053674901</v>
      </c>
      <c r="AD322" s="46">
        <v>95.241045512534299</v>
      </c>
      <c r="AE322" s="10">
        <v>3152188748806</v>
      </c>
      <c r="AF322" s="10">
        <v>3107765187163</v>
      </c>
      <c r="AG322" s="10">
        <v>918627763122</v>
      </c>
      <c r="AH322" s="10">
        <v>0</v>
      </c>
      <c r="AI322" s="10">
        <v>0</v>
      </c>
      <c r="AJ322" s="10">
        <v>0</v>
      </c>
      <c r="AK322" s="10">
        <v>0</v>
      </c>
      <c r="AL322" s="11">
        <v>0</v>
      </c>
      <c r="AM322" s="10">
        <v>0</v>
      </c>
      <c r="AN322" s="11">
        <v>16</v>
      </c>
      <c r="AO322" s="10">
        <v>101815831859</v>
      </c>
      <c r="AP322" s="12">
        <v>10</v>
      </c>
      <c r="AQ322" s="10">
        <v>28467296854</v>
      </c>
      <c r="AR322" s="10">
        <v>603260429674</v>
      </c>
      <c r="AS322" s="10">
        <v>4672308834</v>
      </c>
      <c r="AT322" s="10">
        <v>598588120840</v>
      </c>
      <c r="AU322" s="13">
        <v>12811.4</v>
      </c>
      <c r="AV322" s="10">
        <v>1783425148455</v>
      </c>
      <c r="AW322" s="10">
        <v>309535465442</v>
      </c>
      <c r="AX322" s="10">
        <v>717682081362</v>
      </c>
      <c r="AY322" s="10">
        <v>221046203354</v>
      </c>
      <c r="AZ322" s="10">
        <v>706920789449</v>
      </c>
      <c r="BA322" s="10">
        <v>529416551200</v>
      </c>
      <c r="BB322" s="10">
        <v>462615159453</v>
      </c>
      <c r="BC322" s="10">
        <v>2183999738079</v>
      </c>
      <c r="BD322" s="12">
        <v>28612</v>
      </c>
      <c r="BE322" s="10">
        <v>947662397430</v>
      </c>
      <c r="BF322" s="10">
        <v>706893789449</v>
      </c>
      <c r="BG322" s="10">
        <v>529443551200</v>
      </c>
      <c r="BH322" s="10">
        <v>2614087594572</v>
      </c>
      <c r="BI322" s="10">
        <v>538101154234</v>
      </c>
      <c r="BJ322" s="10">
        <v>0</v>
      </c>
      <c r="BK322" s="10">
        <v>596623541629</v>
      </c>
      <c r="BL322" s="10">
        <v>246755541516</v>
      </c>
      <c r="BM322" s="10">
        <v>0</v>
      </c>
      <c r="BN322" s="10">
        <v>0</v>
      </c>
      <c r="BO322" s="10">
        <v>0</v>
      </c>
    </row>
    <row r="323" spans="1:67" x14ac:dyDescent="0.25">
      <c r="A323" s="25" t="s">
        <v>365</v>
      </c>
      <c r="B323" s="9">
        <v>2504</v>
      </c>
      <c r="C323" s="9" t="s">
        <v>369</v>
      </c>
      <c r="D323" s="10">
        <v>1255311498417</v>
      </c>
      <c r="E323" s="10">
        <v>45816852906</v>
      </c>
      <c r="F323" s="10">
        <v>0</v>
      </c>
      <c r="G323" s="10">
        <v>0</v>
      </c>
      <c r="H323" s="10">
        <v>1301128351323</v>
      </c>
      <c r="I323" s="10">
        <v>90208659635</v>
      </c>
      <c r="J323" s="10">
        <v>1027841968</v>
      </c>
      <c r="K323" s="10">
        <v>1209891849720</v>
      </c>
      <c r="L323" s="10">
        <v>1008475847895</v>
      </c>
      <c r="M323" s="10">
        <v>292652503428</v>
      </c>
      <c r="N323" s="46">
        <v>29.019287277811955</v>
      </c>
      <c r="O323" s="10">
        <v>1705927446471</v>
      </c>
      <c r="P323" s="11">
        <v>152.72</v>
      </c>
      <c r="Q323" s="11">
        <v>141</v>
      </c>
      <c r="R323" s="11">
        <v>2.48</v>
      </c>
      <c r="S323" s="10">
        <v>1842344141346</v>
      </c>
      <c r="T323" s="10">
        <v>49248816944</v>
      </c>
      <c r="U323" s="10">
        <v>37215809659</v>
      </c>
      <c r="V323" s="10">
        <v>10805326694</v>
      </c>
      <c r="W323" s="10">
        <v>1227680591</v>
      </c>
      <c r="X323" s="10">
        <v>1891592958290</v>
      </c>
      <c r="Y323" s="10">
        <v>0</v>
      </c>
      <c r="Z323" s="10">
        <v>82463800599</v>
      </c>
      <c r="AA323" s="10">
        <v>13003133500</v>
      </c>
      <c r="AB323" s="10">
        <v>1987059892389</v>
      </c>
      <c r="AC323" s="10">
        <v>1273378057245</v>
      </c>
      <c r="AD323" s="46">
        <v>48.549203241536183</v>
      </c>
      <c r="AE323" s="10">
        <v>1266975991213</v>
      </c>
      <c r="AF323" s="10">
        <v>1266975991213</v>
      </c>
      <c r="AG323" s="10">
        <v>45551727563</v>
      </c>
      <c r="AH323" s="10">
        <v>1972355840</v>
      </c>
      <c r="AI323" s="10">
        <v>0</v>
      </c>
      <c r="AJ323" s="10">
        <v>0</v>
      </c>
      <c r="AK323" s="10">
        <v>0</v>
      </c>
      <c r="AL323" s="11">
        <v>19</v>
      </c>
      <c r="AM323" s="10">
        <v>540334483114</v>
      </c>
      <c r="AN323" s="11">
        <v>67</v>
      </c>
      <c r="AO323" s="10">
        <v>100015658585</v>
      </c>
      <c r="AP323" s="12">
        <v>23</v>
      </c>
      <c r="AQ323" s="10">
        <v>40860071013</v>
      </c>
      <c r="AR323" s="10">
        <v>49248816944</v>
      </c>
      <c r="AS323" s="10">
        <v>21559150608</v>
      </c>
      <c r="AT323" s="10">
        <v>27689666336</v>
      </c>
      <c r="AU323" s="11">
        <v>128.44</v>
      </c>
      <c r="AV323" s="10">
        <v>759187565964</v>
      </c>
      <c r="AW323" s="10">
        <v>131114260283</v>
      </c>
      <c r="AX323" s="10">
        <v>293713111012</v>
      </c>
      <c r="AY323" s="10">
        <v>114785402905</v>
      </c>
      <c r="AZ323" s="10">
        <v>637881984500</v>
      </c>
      <c r="BA323" s="10">
        <v>208931000000</v>
      </c>
      <c r="BB323" s="10">
        <v>518965940827</v>
      </c>
      <c r="BC323" s="10">
        <v>1301128351323</v>
      </c>
      <c r="BD323" s="12">
        <v>76740</v>
      </c>
      <c r="BE323" s="10">
        <v>424637462465</v>
      </c>
      <c r="BF323" s="10">
        <v>637881984500</v>
      </c>
      <c r="BG323" s="10">
        <v>238608904358</v>
      </c>
      <c r="BH323" s="10">
        <v>946954668213</v>
      </c>
      <c r="BI323" s="10">
        <v>320021323000</v>
      </c>
      <c r="BJ323" s="10">
        <v>0</v>
      </c>
      <c r="BK323" s="10">
        <v>0</v>
      </c>
      <c r="BL323" s="10">
        <v>45551727563</v>
      </c>
      <c r="BM323" s="10">
        <v>0</v>
      </c>
      <c r="BN323" s="10">
        <v>1227680591</v>
      </c>
      <c r="BO323" s="10">
        <v>1972355840</v>
      </c>
    </row>
    <row r="324" spans="1:67" x14ac:dyDescent="0.25">
      <c r="A324" s="25" t="s">
        <v>365</v>
      </c>
      <c r="B324" s="26">
        <v>2505</v>
      </c>
      <c r="C324" s="26" t="s">
        <v>370</v>
      </c>
      <c r="D324" s="27">
        <v>2090969525345</v>
      </c>
      <c r="E324" s="27">
        <v>22761628421</v>
      </c>
      <c r="F324" s="27">
        <v>0</v>
      </c>
      <c r="G324" s="27">
        <v>0</v>
      </c>
      <c r="H324" s="27">
        <v>2113731153766</v>
      </c>
      <c r="I324" s="27">
        <v>120293279180</v>
      </c>
      <c r="J324" s="27">
        <v>557321471</v>
      </c>
      <c r="K324" s="27">
        <v>1992880553115</v>
      </c>
      <c r="L324" s="27">
        <v>2604402738555</v>
      </c>
      <c r="M324" s="10">
        <v>-490671584789</v>
      </c>
      <c r="N324" s="46">
        <v>-18.840080972316869</v>
      </c>
      <c r="O324" s="27">
        <v>3156606883702</v>
      </c>
      <c r="P324" s="28">
        <v>171.28</v>
      </c>
      <c r="Q324" s="28">
        <v>158.38999999999999</v>
      </c>
      <c r="R324" s="28">
        <v>1.73</v>
      </c>
      <c r="S324" s="27">
        <v>3413598701341</v>
      </c>
      <c r="T324" s="27">
        <v>52290048313</v>
      </c>
      <c r="U324" s="27">
        <v>28721217293</v>
      </c>
      <c r="V324" s="27">
        <v>15941273338</v>
      </c>
      <c r="W324" s="27">
        <v>7627557682</v>
      </c>
      <c r="X324" s="27">
        <v>3465888749654</v>
      </c>
      <c r="Y324" s="10">
        <v>10342194333</v>
      </c>
      <c r="Z324" s="27">
        <v>132270849175</v>
      </c>
      <c r="AA324" s="27">
        <v>22281498630</v>
      </c>
      <c r="AB324" s="27">
        <v>3620441097459</v>
      </c>
      <c r="AC324" s="27">
        <v>2045359670580</v>
      </c>
      <c r="AD324" s="46">
        <v>69.45130968927252</v>
      </c>
      <c r="AE324" s="27">
        <v>3468330690467</v>
      </c>
      <c r="AF324" s="27">
        <v>3468330690467</v>
      </c>
      <c r="AG324" s="27">
        <v>620202047906</v>
      </c>
      <c r="AH324" s="27">
        <v>76822200000</v>
      </c>
      <c r="AI324" s="27">
        <v>0</v>
      </c>
      <c r="AJ324" s="27">
        <v>0</v>
      </c>
      <c r="AK324" s="27">
        <v>0</v>
      </c>
      <c r="AL324" s="28">
        <v>20</v>
      </c>
      <c r="AM324" s="27">
        <v>716070451552</v>
      </c>
      <c r="AN324" s="28">
        <v>21</v>
      </c>
      <c r="AO324" s="27">
        <v>93586971470</v>
      </c>
      <c r="AP324" s="12">
        <v>8</v>
      </c>
      <c r="AQ324" s="10">
        <v>131365000000</v>
      </c>
      <c r="AR324" s="27">
        <v>52290048313</v>
      </c>
      <c r="AS324" s="27">
        <v>38815192790</v>
      </c>
      <c r="AT324" s="27">
        <v>13474855523</v>
      </c>
      <c r="AU324" s="28">
        <v>34.72</v>
      </c>
      <c r="AV324" s="27">
        <v>2147960585530</v>
      </c>
      <c r="AW324" s="27">
        <v>239974184990</v>
      </c>
      <c r="AX324" s="27">
        <v>1174999165736</v>
      </c>
      <c r="AY324" s="27">
        <v>161468794062</v>
      </c>
      <c r="AZ324" s="27">
        <v>480957065547</v>
      </c>
      <c r="BA324" s="27">
        <v>273544500000</v>
      </c>
      <c r="BB324" s="27">
        <v>300511964366</v>
      </c>
      <c r="BC324" s="27">
        <v>2113731153766</v>
      </c>
      <c r="BD324" s="29">
        <v>61688</v>
      </c>
      <c r="BE324" s="27">
        <v>1359229588219</v>
      </c>
      <c r="BF324" s="27">
        <v>480957065547</v>
      </c>
      <c r="BG324" s="27">
        <v>273544500000</v>
      </c>
      <c r="BH324" s="27">
        <v>2514331812637</v>
      </c>
      <c r="BI324" s="27">
        <v>953998877830</v>
      </c>
      <c r="BJ324" s="27">
        <v>0</v>
      </c>
      <c r="BK324" s="27">
        <v>0</v>
      </c>
      <c r="BL324" s="27">
        <v>620491368133</v>
      </c>
      <c r="BM324" s="27">
        <v>0</v>
      </c>
      <c r="BN324" s="27">
        <v>0</v>
      </c>
      <c r="BO324" s="27">
        <v>76822200000</v>
      </c>
    </row>
    <row r="325" spans="1:67" x14ac:dyDescent="0.25">
      <c r="A325" s="25" t="s">
        <v>365</v>
      </c>
      <c r="B325" s="9">
        <v>2506</v>
      </c>
      <c r="C325" s="9" t="s">
        <v>371</v>
      </c>
      <c r="D325" s="10">
        <v>478647430531</v>
      </c>
      <c r="E325" s="10">
        <v>1117460703</v>
      </c>
      <c r="F325" s="10">
        <v>0</v>
      </c>
      <c r="G325" s="10">
        <v>0</v>
      </c>
      <c r="H325" s="10">
        <v>479764891234</v>
      </c>
      <c r="I325" s="10">
        <v>30372894655</v>
      </c>
      <c r="J325" s="10">
        <v>823892000</v>
      </c>
      <c r="K325" s="10">
        <v>448568104579</v>
      </c>
      <c r="L325" s="10">
        <v>158925774732</v>
      </c>
      <c r="M325" s="10">
        <v>320839116502</v>
      </c>
      <c r="N325" s="46">
        <v>201.87985054220312</v>
      </c>
      <c r="O325" s="10">
        <v>186963334541</v>
      </c>
      <c r="P325" s="11">
        <v>47.85</v>
      </c>
      <c r="Q325" s="11">
        <v>41.68</v>
      </c>
      <c r="R325" s="11">
        <v>0</v>
      </c>
      <c r="S325" s="10">
        <v>206286489696</v>
      </c>
      <c r="T325" s="10">
        <v>0</v>
      </c>
      <c r="U325" s="10">
        <v>0</v>
      </c>
      <c r="V325" s="10">
        <v>0</v>
      </c>
      <c r="W325" s="10">
        <v>0</v>
      </c>
      <c r="X325" s="10">
        <v>206286489696</v>
      </c>
      <c r="Y325" s="10">
        <v>0</v>
      </c>
      <c r="Z325" s="10">
        <v>11482111824</v>
      </c>
      <c r="AA325" s="10">
        <v>11800000000</v>
      </c>
      <c r="AB325" s="10">
        <v>229568601520</v>
      </c>
      <c r="AC325" s="10">
        <v>5000000000</v>
      </c>
      <c r="AD325" s="46">
        <v>4025.7297939200002</v>
      </c>
      <c r="AE325" s="10">
        <v>183966372330</v>
      </c>
      <c r="AF325" s="10">
        <v>183966372330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1">
        <v>0</v>
      </c>
      <c r="AM325" s="10">
        <v>0</v>
      </c>
      <c r="AN325" s="11">
        <v>2</v>
      </c>
      <c r="AO325" s="10">
        <v>6700000000</v>
      </c>
      <c r="AP325" s="12">
        <v>0</v>
      </c>
      <c r="AQ325" s="10">
        <v>0</v>
      </c>
      <c r="AR325" s="10">
        <v>0</v>
      </c>
      <c r="AS325" s="10">
        <v>0</v>
      </c>
      <c r="AT325" s="10">
        <v>0</v>
      </c>
      <c r="AU325" s="11" t="s">
        <v>593</v>
      </c>
      <c r="AV325" s="10">
        <v>15740765675</v>
      </c>
      <c r="AW325" s="10">
        <v>254097113</v>
      </c>
      <c r="AX325" s="10">
        <v>7214540419</v>
      </c>
      <c r="AY325" s="10">
        <v>59595993380</v>
      </c>
      <c r="AZ325" s="10">
        <v>107301601283</v>
      </c>
      <c r="BA325" s="10">
        <v>304535295449</v>
      </c>
      <c r="BB325" s="10">
        <v>106493422813</v>
      </c>
      <c r="BC325" s="10">
        <v>479764891234</v>
      </c>
      <c r="BD325" s="12">
        <v>0</v>
      </c>
      <c r="BE325" s="10">
        <v>67927994502</v>
      </c>
      <c r="BF325" s="10">
        <v>107301601283</v>
      </c>
      <c r="BG325" s="10">
        <v>304535295449</v>
      </c>
      <c r="BH325" s="10">
        <v>140626785630</v>
      </c>
      <c r="BI325" s="10">
        <v>43339586700</v>
      </c>
      <c r="BJ325" s="10">
        <v>0</v>
      </c>
      <c r="BK325" s="10">
        <v>0</v>
      </c>
      <c r="BL325" s="10">
        <v>0</v>
      </c>
      <c r="BM325" s="10">
        <v>0</v>
      </c>
      <c r="BN325" s="10">
        <v>0</v>
      </c>
      <c r="BO325" s="10">
        <v>0</v>
      </c>
    </row>
    <row r="326" spans="1:67" x14ac:dyDescent="0.25">
      <c r="A326" s="25" t="s">
        <v>365</v>
      </c>
      <c r="B326" s="9">
        <v>2599</v>
      </c>
      <c r="C326" s="9" t="s">
        <v>372</v>
      </c>
      <c r="D326" s="10">
        <v>0</v>
      </c>
      <c r="E326" s="10">
        <v>623612610</v>
      </c>
      <c r="F326" s="10">
        <v>0</v>
      </c>
      <c r="G326" s="10">
        <v>0</v>
      </c>
      <c r="H326" s="10">
        <v>623612610</v>
      </c>
      <c r="I326" s="10">
        <v>53946672</v>
      </c>
      <c r="J326" s="10">
        <v>121760000</v>
      </c>
      <c r="K326" s="10">
        <v>447905938</v>
      </c>
      <c r="L326" s="10">
        <v>479208722</v>
      </c>
      <c r="M326" s="10">
        <v>144403888</v>
      </c>
      <c r="N326" s="46">
        <v>30.133818808080875</v>
      </c>
      <c r="O326" s="10">
        <v>0</v>
      </c>
      <c r="P326" s="11">
        <v>0</v>
      </c>
      <c r="Q326" s="11">
        <v>0</v>
      </c>
      <c r="R326" s="11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46" t="s">
        <v>595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1">
        <v>0</v>
      </c>
      <c r="AM326" s="10">
        <v>0</v>
      </c>
      <c r="AN326" s="11">
        <v>0</v>
      </c>
      <c r="AO326" s="10">
        <v>0</v>
      </c>
      <c r="AP326" s="12">
        <v>0</v>
      </c>
      <c r="AQ326" s="10">
        <v>0</v>
      </c>
      <c r="AR326" s="10">
        <v>0</v>
      </c>
      <c r="AS326" s="10">
        <v>0</v>
      </c>
      <c r="AT326" s="10">
        <v>0</v>
      </c>
      <c r="AU326" s="11" t="s">
        <v>593</v>
      </c>
      <c r="AV326" s="10">
        <v>0</v>
      </c>
      <c r="AW326" s="10">
        <v>0</v>
      </c>
      <c r="AX326" s="10">
        <v>0</v>
      </c>
      <c r="AY326" s="10">
        <v>0</v>
      </c>
      <c r="AZ326" s="10">
        <v>0</v>
      </c>
      <c r="BA326" s="10">
        <v>0</v>
      </c>
      <c r="BB326" s="10">
        <v>0</v>
      </c>
      <c r="BC326" s="10">
        <v>623612610</v>
      </c>
      <c r="BD326" s="12">
        <v>0</v>
      </c>
      <c r="BE326" s="10">
        <v>623612610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</row>
    <row r="327" spans="1:67" x14ac:dyDescent="0.25">
      <c r="A327" s="19" t="s">
        <v>609</v>
      </c>
      <c r="B327" s="20" t="s">
        <v>593</v>
      </c>
      <c r="C327" s="20" t="s">
        <v>593</v>
      </c>
      <c r="D327" s="21">
        <v>12063210902495</v>
      </c>
      <c r="E327" s="21">
        <v>376792216808</v>
      </c>
      <c r="F327" s="21">
        <v>200000000000</v>
      </c>
      <c r="G327" s="21">
        <v>6746206326</v>
      </c>
      <c r="H327" s="21">
        <v>12646749325629</v>
      </c>
      <c r="I327" s="21">
        <v>814958377658</v>
      </c>
      <c r="J327" s="21">
        <v>29348795660</v>
      </c>
      <c r="K327" s="21">
        <v>11802442152311</v>
      </c>
      <c r="L327" s="21">
        <v>10328601032249</v>
      </c>
      <c r="M327" s="21">
        <v>2318148293380</v>
      </c>
      <c r="N327" s="47">
        <v>22.443971706739795</v>
      </c>
      <c r="O327" s="21">
        <v>16449964114829</v>
      </c>
      <c r="P327" s="22">
        <v>157.13999999999999</v>
      </c>
      <c r="Q327" s="22">
        <v>139.38</v>
      </c>
      <c r="R327" s="22">
        <v>5.04</v>
      </c>
      <c r="S327" s="21">
        <v>17931082225400</v>
      </c>
      <c r="T327" s="21">
        <v>916560977959</v>
      </c>
      <c r="U327" s="21">
        <v>241381213554</v>
      </c>
      <c r="V327" s="21">
        <v>64170701325</v>
      </c>
      <c r="W327" s="21">
        <v>611009063080</v>
      </c>
      <c r="X327" s="21">
        <v>18847643203359</v>
      </c>
      <c r="Y327" s="21">
        <v>84504961304</v>
      </c>
      <c r="Z327" s="21">
        <v>897003150993</v>
      </c>
      <c r="AA327" s="21">
        <v>128755139949</v>
      </c>
      <c r="AB327" s="21">
        <v>19873401494301</v>
      </c>
      <c r="AC327" s="21">
        <v>13406160615409</v>
      </c>
      <c r="AD327" s="47">
        <v>40.589418134343227</v>
      </c>
      <c r="AE327" s="21">
        <v>15198762470547</v>
      </c>
      <c r="AF327" s="21">
        <v>14557143748117</v>
      </c>
      <c r="AG327" s="21">
        <v>2660745263967</v>
      </c>
      <c r="AH327" s="21">
        <v>236754819094</v>
      </c>
      <c r="AI327" s="21">
        <v>0</v>
      </c>
      <c r="AJ327" s="21">
        <v>0</v>
      </c>
      <c r="AK327" s="21">
        <v>0</v>
      </c>
      <c r="AL327" s="22">
        <v>53</v>
      </c>
      <c r="AM327" s="21">
        <v>2132471802761</v>
      </c>
      <c r="AN327" s="22">
        <v>457</v>
      </c>
      <c r="AO327" s="21">
        <v>9842538252444</v>
      </c>
      <c r="AP327" s="23">
        <v>218</v>
      </c>
      <c r="AQ327" s="21">
        <v>1085592416393</v>
      </c>
      <c r="AR327" s="21">
        <v>916560977959</v>
      </c>
      <c r="AS327" s="21">
        <v>227610037263</v>
      </c>
      <c r="AT327" s="21">
        <v>688950940696</v>
      </c>
      <c r="AU327" s="24">
        <v>302.69</v>
      </c>
      <c r="AV327" s="21">
        <v>10081009039692</v>
      </c>
      <c r="AW327" s="21">
        <v>2166880629141</v>
      </c>
      <c r="AX327" s="21">
        <v>3231642334298</v>
      </c>
      <c r="AY327" s="21">
        <v>1313644383415</v>
      </c>
      <c r="AZ327" s="21">
        <v>3829017156815</v>
      </c>
      <c r="BA327" s="21">
        <v>3688907027967</v>
      </c>
      <c r="BB327" s="21">
        <v>2484168824698</v>
      </c>
      <c r="BC327" s="21">
        <v>12646749325629</v>
      </c>
      <c r="BD327" s="23">
        <v>247747</v>
      </c>
      <c r="BE327" s="21">
        <v>4862431793136</v>
      </c>
      <c r="BF327" s="21">
        <v>4028990156815</v>
      </c>
      <c r="BG327" s="21">
        <v>3755327375678</v>
      </c>
      <c r="BH327" s="21">
        <v>11377012485761</v>
      </c>
      <c r="BI327" s="21">
        <v>3821749984786</v>
      </c>
      <c r="BJ327" s="21">
        <v>0</v>
      </c>
      <c r="BK327" s="21">
        <v>596623541629</v>
      </c>
      <c r="BL327" s="21">
        <v>2119536860759</v>
      </c>
      <c r="BM327" s="21">
        <v>0</v>
      </c>
      <c r="BN327" s="21">
        <v>1227680591</v>
      </c>
      <c r="BO327" s="21">
        <v>236754819094</v>
      </c>
    </row>
    <row r="328" spans="1:67" x14ac:dyDescent="0.25">
      <c r="A328" s="25" t="s">
        <v>373</v>
      </c>
      <c r="B328" s="9">
        <v>2600</v>
      </c>
      <c r="C328" s="9" t="s">
        <v>373</v>
      </c>
      <c r="D328" s="10">
        <v>3280185594810</v>
      </c>
      <c r="E328" s="10">
        <v>46861469887</v>
      </c>
      <c r="F328" s="10">
        <v>0</v>
      </c>
      <c r="G328" s="10">
        <v>76839454402</v>
      </c>
      <c r="H328" s="10">
        <v>3403886519099</v>
      </c>
      <c r="I328" s="10">
        <v>231177350473</v>
      </c>
      <c r="J328" s="10">
        <v>16099042891</v>
      </c>
      <c r="K328" s="10">
        <v>3156610125735</v>
      </c>
      <c r="L328" s="10">
        <v>2176479891052</v>
      </c>
      <c r="M328" s="10">
        <v>1227406628047</v>
      </c>
      <c r="N328" s="46">
        <v>56.39411754242002</v>
      </c>
      <c r="O328" s="10">
        <v>4528463686116</v>
      </c>
      <c r="P328" s="11">
        <v>162.28</v>
      </c>
      <c r="Q328" s="11">
        <v>143.46</v>
      </c>
      <c r="R328" s="11">
        <v>0.2</v>
      </c>
      <c r="S328" s="10">
        <v>5240713179551</v>
      </c>
      <c r="T328" s="10">
        <v>10448899390</v>
      </c>
      <c r="U328" s="10">
        <v>9128181286</v>
      </c>
      <c r="V328" s="10">
        <v>144617876</v>
      </c>
      <c r="W328" s="10">
        <v>1176100228</v>
      </c>
      <c r="X328" s="10">
        <v>5251162078941</v>
      </c>
      <c r="Y328" s="10">
        <v>704505002</v>
      </c>
      <c r="Z328" s="10">
        <v>218227835756</v>
      </c>
      <c r="AA328" s="10">
        <v>54511742148</v>
      </c>
      <c r="AB328" s="10">
        <v>5523901656845</v>
      </c>
      <c r="AC328" s="10">
        <v>3041919688793</v>
      </c>
      <c r="AD328" s="46">
        <v>72.626585057036891</v>
      </c>
      <c r="AE328" s="10">
        <v>4419139009781</v>
      </c>
      <c r="AF328" s="10">
        <v>4401889536613</v>
      </c>
      <c r="AG328" s="10">
        <v>106469109102</v>
      </c>
      <c r="AH328" s="10">
        <v>0</v>
      </c>
      <c r="AI328" s="10">
        <v>0</v>
      </c>
      <c r="AJ328" s="10">
        <v>0</v>
      </c>
      <c r="AK328" s="10">
        <v>0</v>
      </c>
      <c r="AL328" s="11">
        <v>4</v>
      </c>
      <c r="AM328" s="10">
        <v>198990923587</v>
      </c>
      <c r="AN328" s="11">
        <v>31</v>
      </c>
      <c r="AO328" s="10">
        <v>250997996580</v>
      </c>
      <c r="AP328" s="12">
        <v>8</v>
      </c>
      <c r="AQ328" s="10">
        <v>8571300000</v>
      </c>
      <c r="AR328" s="10">
        <v>10448899390</v>
      </c>
      <c r="AS328" s="10">
        <v>9361168208</v>
      </c>
      <c r="AT328" s="10">
        <v>1087731182</v>
      </c>
      <c r="AU328" s="13">
        <v>11.62</v>
      </c>
      <c r="AV328" s="10">
        <v>2305033093519</v>
      </c>
      <c r="AW328" s="10">
        <v>203627445615</v>
      </c>
      <c r="AX328" s="10">
        <v>633182050022</v>
      </c>
      <c r="AY328" s="10">
        <v>252220526064</v>
      </c>
      <c r="AZ328" s="10">
        <v>1722459284314</v>
      </c>
      <c r="BA328" s="10">
        <v>672323734410</v>
      </c>
      <c r="BB328" s="10">
        <v>1538448239782</v>
      </c>
      <c r="BC328" s="10">
        <v>3403886519099</v>
      </c>
      <c r="BD328" s="12">
        <v>67873</v>
      </c>
      <c r="BE328" s="10">
        <v>1009103500375</v>
      </c>
      <c r="BF328" s="10">
        <v>1722459284314</v>
      </c>
      <c r="BG328" s="10">
        <v>672323734410</v>
      </c>
      <c r="BH328" s="10">
        <v>3256544922827</v>
      </c>
      <c r="BI328" s="10">
        <v>1162594086954</v>
      </c>
      <c r="BJ328" s="10">
        <v>0</v>
      </c>
      <c r="BK328" s="10">
        <v>0</v>
      </c>
      <c r="BL328" s="10">
        <v>106469109102</v>
      </c>
      <c r="BM328" s="10">
        <v>0</v>
      </c>
      <c r="BN328" s="10">
        <v>0</v>
      </c>
      <c r="BO328" s="10">
        <v>0</v>
      </c>
    </row>
    <row r="329" spans="1:67" x14ac:dyDescent="0.25">
      <c r="A329" s="25" t="s">
        <v>373</v>
      </c>
      <c r="B329" s="9">
        <v>2601</v>
      </c>
      <c r="C329" s="9" t="s">
        <v>374</v>
      </c>
      <c r="D329" s="10">
        <v>1090722274471</v>
      </c>
      <c r="E329" s="10">
        <v>59612672166</v>
      </c>
      <c r="F329" s="10">
        <v>0</v>
      </c>
      <c r="G329" s="10">
        <v>0</v>
      </c>
      <c r="H329" s="10">
        <v>1150334946637</v>
      </c>
      <c r="I329" s="10">
        <v>82140709079</v>
      </c>
      <c r="J329" s="10">
        <v>3655744800</v>
      </c>
      <c r="K329" s="10">
        <v>1064538492758</v>
      </c>
      <c r="L329" s="10">
        <v>1172570816374</v>
      </c>
      <c r="M329" s="10">
        <v>-22235869737</v>
      </c>
      <c r="N329" s="46">
        <v>-1.8963349101388267</v>
      </c>
      <c r="O329" s="10">
        <v>2131848011479</v>
      </c>
      <c r="P329" s="11">
        <v>220.27</v>
      </c>
      <c r="Q329" s="11">
        <v>200.26</v>
      </c>
      <c r="R329" s="11">
        <v>6.65</v>
      </c>
      <c r="S329" s="10">
        <v>2148258887839</v>
      </c>
      <c r="T329" s="10">
        <v>163438891298</v>
      </c>
      <c r="U329" s="10">
        <v>66230780415</v>
      </c>
      <c r="V329" s="10">
        <v>317445281</v>
      </c>
      <c r="W329" s="10">
        <v>96890665602</v>
      </c>
      <c r="X329" s="10">
        <v>2311697779137</v>
      </c>
      <c r="Y329" s="10">
        <v>5088014065</v>
      </c>
      <c r="Z329" s="10">
        <v>161096717222</v>
      </c>
      <c r="AA329" s="10">
        <v>61029310000</v>
      </c>
      <c r="AB329" s="10">
        <v>2533823806359</v>
      </c>
      <c r="AC329" s="10">
        <v>1790751442501</v>
      </c>
      <c r="AD329" s="46">
        <v>29.090934915480826</v>
      </c>
      <c r="AE329" s="10">
        <v>1636353717822</v>
      </c>
      <c r="AF329" s="10">
        <v>1390448885770</v>
      </c>
      <c r="AG329" s="10">
        <v>96000000000</v>
      </c>
      <c r="AH329" s="10">
        <v>586284371</v>
      </c>
      <c r="AI329" s="10">
        <v>0</v>
      </c>
      <c r="AJ329" s="10">
        <v>0</v>
      </c>
      <c r="AK329" s="10">
        <v>0</v>
      </c>
      <c r="AL329" s="11">
        <v>6</v>
      </c>
      <c r="AM329" s="10">
        <v>187822715432</v>
      </c>
      <c r="AN329" s="11">
        <v>7</v>
      </c>
      <c r="AO329" s="10">
        <v>6844600000</v>
      </c>
      <c r="AP329" s="12">
        <v>14</v>
      </c>
      <c r="AQ329" s="10">
        <v>41556451532</v>
      </c>
      <c r="AR329" s="10">
        <v>163438891298</v>
      </c>
      <c r="AS329" s="10">
        <v>9633075831</v>
      </c>
      <c r="AT329" s="10">
        <v>153805815467</v>
      </c>
      <c r="AU329" s="13">
        <v>1596.64</v>
      </c>
      <c r="AV329" s="10">
        <v>900895708976</v>
      </c>
      <c r="AW329" s="10">
        <v>73447231719</v>
      </c>
      <c r="AX329" s="10">
        <v>339087278713</v>
      </c>
      <c r="AY329" s="10">
        <v>191766271859</v>
      </c>
      <c r="AZ329" s="10">
        <v>240484123899</v>
      </c>
      <c r="BA329" s="10">
        <v>319384600000</v>
      </c>
      <c r="BB329" s="10">
        <v>83738589540</v>
      </c>
      <c r="BC329" s="10">
        <v>1150334946637</v>
      </c>
      <c r="BD329" s="12">
        <v>24573</v>
      </c>
      <c r="BE329" s="10">
        <v>563677083000</v>
      </c>
      <c r="BF329" s="10">
        <v>240284123899</v>
      </c>
      <c r="BG329" s="10">
        <v>346373739738</v>
      </c>
      <c r="BH329" s="10">
        <v>1298168487913</v>
      </c>
      <c r="BI329" s="10">
        <v>338185229909</v>
      </c>
      <c r="BJ329" s="10">
        <v>0</v>
      </c>
      <c r="BK329" s="10">
        <v>96000000000</v>
      </c>
      <c r="BL329" s="10">
        <v>0</v>
      </c>
      <c r="BM329" s="10">
        <v>585000000</v>
      </c>
      <c r="BN329" s="10">
        <v>0</v>
      </c>
      <c r="BO329" s="10">
        <v>1284371</v>
      </c>
    </row>
    <row r="330" spans="1:67" x14ac:dyDescent="0.25">
      <c r="A330" s="25" t="s">
        <v>373</v>
      </c>
      <c r="B330" s="14">
        <v>2602</v>
      </c>
      <c r="C330" s="14" t="s">
        <v>375</v>
      </c>
      <c r="D330" s="15">
        <v>1724144480975</v>
      </c>
      <c r="E330" s="15">
        <v>45062318057</v>
      </c>
      <c r="F330" s="15">
        <v>350110296000</v>
      </c>
      <c r="G330" s="15">
        <v>0</v>
      </c>
      <c r="H330" s="15">
        <v>2119317095032</v>
      </c>
      <c r="I330" s="15">
        <v>141793212798</v>
      </c>
      <c r="J330" s="15">
        <v>7362802043</v>
      </c>
      <c r="K330" s="15">
        <v>1970161080191</v>
      </c>
      <c r="L330" s="15">
        <v>1371794469556</v>
      </c>
      <c r="M330" s="15">
        <v>747522625476</v>
      </c>
      <c r="N330" s="48">
        <v>54.492319517656739</v>
      </c>
      <c r="O330" s="15">
        <v>1697843901346</v>
      </c>
      <c r="P330" s="16">
        <v>89.1</v>
      </c>
      <c r="Q330" s="16">
        <v>86.18</v>
      </c>
      <c r="R330" s="16">
        <v>0.23</v>
      </c>
      <c r="S330" s="15">
        <v>1767724247566</v>
      </c>
      <c r="T330" s="15">
        <v>4371116747</v>
      </c>
      <c r="U330" s="15">
        <v>3853595081</v>
      </c>
      <c r="V330" s="15">
        <v>517521666</v>
      </c>
      <c r="W330" s="15">
        <v>0</v>
      </c>
      <c r="X330" s="15">
        <v>1772095364313</v>
      </c>
      <c r="Y330" s="10">
        <v>0</v>
      </c>
      <c r="Z330" s="15">
        <v>71449016779</v>
      </c>
      <c r="AA330" s="15">
        <v>44787712850</v>
      </c>
      <c r="AB330" s="15">
        <v>1888332093942</v>
      </c>
      <c r="AC330" s="15">
        <v>1280326386005</v>
      </c>
      <c r="AD330" s="46">
        <v>38.40965738763424</v>
      </c>
      <c r="AE330" s="15">
        <v>1888377991113</v>
      </c>
      <c r="AF330" s="15">
        <v>1888377991113</v>
      </c>
      <c r="AG330" s="15">
        <v>164735734866</v>
      </c>
      <c r="AH330" s="15">
        <v>0</v>
      </c>
      <c r="AI330" s="15">
        <v>0</v>
      </c>
      <c r="AJ330" s="15">
        <v>0</v>
      </c>
      <c r="AK330" s="15">
        <v>0</v>
      </c>
      <c r="AL330" s="16">
        <v>13</v>
      </c>
      <c r="AM330" s="15">
        <v>769069599366</v>
      </c>
      <c r="AN330" s="16">
        <v>36</v>
      </c>
      <c r="AO330" s="15">
        <v>183205789609</v>
      </c>
      <c r="AP330" s="12">
        <v>26</v>
      </c>
      <c r="AQ330" s="10">
        <v>51709916918</v>
      </c>
      <c r="AR330" s="15">
        <v>4371116747</v>
      </c>
      <c r="AS330" s="15">
        <v>7525625292</v>
      </c>
      <c r="AT330" s="15">
        <v>-3154508545</v>
      </c>
      <c r="AU330" s="18">
        <v>-41.92</v>
      </c>
      <c r="AV330" s="15">
        <v>1376345302000</v>
      </c>
      <c r="AW330" s="15">
        <v>187091645074</v>
      </c>
      <c r="AX330" s="15">
        <v>453434661714</v>
      </c>
      <c r="AY330" s="15">
        <v>284191410904</v>
      </c>
      <c r="AZ330" s="15">
        <v>466159808357</v>
      </c>
      <c r="BA330" s="15">
        <v>520358600000</v>
      </c>
      <c r="BB330" s="15">
        <v>322194471043</v>
      </c>
      <c r="BC330" s="15">
        <v>2119317095032</v>
      </c>
      <c r="BD330" s="17">
        <v>77208</v>
      </c>
      <c r="BE330" s="15">
        <v>778086003350</v>
      </c>
      <c r="BF330" s="15">
        <v>816270104357</v>
      </c>
      <c r="BG330" s="15">
        <v>524960987325</v>
      </c>
      <c r="BH330" s="15">
        <v>1055074125310</v>
      </c>
      <c r="BI330" s="15">
        <v>833303865803</v>
      </c>
      <c r="BJ330" s="15">
        <v>0</v>
      </c>
      <c r="BK330" s="15">
        <v>0</v>
      </c>
      <c r="BL330" s="15">
        <v>167206352519</v>
      </c>
      <c r="BM330" s="15">
        <v>0</v>
      </c>
      <c r="BN330" s="15">
        <v>0</v>
      </c>
      <c r="BO330" s="15">
        <v>0</v>
      </c>
    </row>
    <row r="331" spans="1:67" x14ac:dyDescent="0.25">
      <c r="A331" s="25" t="s">
        <v>373</v>
      </c>
      <c r="B331" s="26">
        <v>2603</v>
      </c>
      <c r="C331" s="26" t="s">
        <v>376</v>
      </c>
      <c r="D331" s="27">
        <v>1132141599163</v>
      </c>
      <c r="E331" s="27">
        <v>55340835231</v>
      </c>
      <c r="F331" s="27">
        <v>0</v>
      </c>
      <c r="G331" s="27">
        <v>0</v>
      </c>
      <c r="H331" s="27">
        <v>1187482434394</v>
      </c>
      <c r="I331" s="27">
        <v>85366220293</v>
      </c>
      <c r="J331" s="27">
        <v>3254110822</v>
      </c>
      <c r="K331" s="27">
        <v>1098862103279</v>
      </c>
      <c r="L331" s="27">
        <v>840786148131</v>
      </c>
      <c r="M331" s="10">
        <v>346696286263</v>
      </c>
      <c r="N331" s="46">
        <v>41.234776171524466</v>
      </c>
      <c r="O331" s="27">
        <v>1700283703504</v>
      </c>
      <c r="P331" s="28">
        <v>157.53</v>
      </c>
      <c r="Q331" s="28">
        <v>154.72999999999999</v>
      </c>
      <c r="R331" s="28">
        <v>11.58</v>
      </c>
      <c r="S331" s="27">
        <v>1508644624484</v>
      </c>
      <c r="T331" s="27">
        <v>215764097209</v>
      </c>
      <c r="U331" s="27">
        <v>7260802680</v>
      </c>
      <c r="V331" s="27">
        <v>207486812330</v>
      </c>
      <c r="W331" s="27">
        <v>1016482199</v>
      </c>
      <c r="X331" s="27">
        <v>1724408721693</v>
      </c>
      <c r="Y331" s="10">
        <v>892095985</v>
      </c>
      <c r="Z331" s="27">
        <v>113688544679</v>
      </c>
      <c r="AA331" s="27">
        <v>32586486773</v>
      </c>
      <c r="AB331" s="27">
        <v>1870683753145</v>
      </c>
      <c r="AC331" s="27">
        <v>1431594614721</v>
      </c>
      <c r="AD331" s="46">
        <v>20.453702742453096</v>
      </c>
      <c r="AE331" s="27">
        <v>1723856742305</v>
      </c>
      <c r="AF331" s="27">
        <v>1723856742305</v>
      </c>
      <c r="AG331" s="27">
        <v>380133626400</v>
      </c>
      <c r="AH331" s="27">
        <v>14760000</v>
      </c>
      <c r="AI331" s="27">
        <v>0</v>
      </c>
      <c r="AJ331" s="27">
        <v>0</v>
      </c>
      <c r="AK331" s="27">
        <v>0</v>
      </c>
      <c r="AL331" s="28">
        <v>4</v>
      </c>
      <c r="AM331" s="27">
        <v>699183682890</v>
      </c>
      <c r="AN331" s="28">
        <v>12</v>
      </c>
      <c r="AO331" s="27">
        <v>166750775000</v>
      </c>
      <c r="AP331" s="12">
        <v>14</v>
      </c>
      <c r="AQ331" s="10">
        <v>53646275000</v>
      </c>
      <c r="AR331" s="27">
        <v>215764097209</v>
      </c>
      <c r="AS331" s="27">
        <v>8948724660</v>
      </c>
      <c r="AT331" s="27">
        <v>206815372549</v>
      </c>
      <c r="AU331" s="43">
        <v>2311.12</v>
      </c>
      <c r="AV331" s="27">
        <v>1432191674692</v>
      </c>
      <c r="AW331" s="27">
        <v>307466659388</v>
      </c>
      <c r="AX331" s="27">
        <v>287689265369</v>
      </c>
      <c r="AY331" s="27">
        <v>184896482443</v>
      </c>
      <c r="AZ331" s="27">
        <v>300940496557</v>
      </c>
      <c r="BA331" s="27">
        <v>358615354794</v>
      </c>
      <c r="BB331" s="27">
        <v>247332586622</v>
      </c>
      <c r="BC331" s="27">
        <v>1187482434394</v>
      </c>
      <c r="BD331" s="29">
        <v>97938</v>
      </c>
      <c r="BE331" s="27">
        <v>528428637837</v>
      </c>
      <c r="BF331" s="27">
        <v>300940496557</v>
      </c>
      <c r="BG331" s="27">
        <v>358113300000</v>
      </c>
      <c r="BH331" s="27">
        <v>1514413697296</v>
      </c>
      <c r="BI331" s="27">
        <v>209443045009</v>
      </c>
      <c r="BJ331" s="27">
        <v>0</v>
      </c>
      <c r="BK331" s="27">
        <v>0</v>
      </c>
      <c r="BL331" s="27">
        <v>380133626400</v>
      </c>
      <c r="BM331" s="27">
        <v>0</v>
      </c>
      <c r="BN331" s="27">
        <v>0</v>
      </c>
      <c r="BO331" s="27">
        <v>14760000</v>
      </c>
    </row>
    <row r="332" spans="1:67" x14ac:dyDescent="0.25">
      <c r="A332" s="25" t="s">
        <v>373</v>
      </c>
      <c r="B332" s="9">
        <v>2604</v>
      </c>
      <c r="C332" s="9" t="s">
        <v>377</v>
      </c>
      <c r="D332" s="10">
        <v>325061802200</v>
      </c>
      <c r="E332" s="10">
        <v>1714548929</v>
      </c>
      <c r="F332" s="10">
        <v>0</v>
      </c>
      <c r="G332" s="10">
        <v>0</v>
      </c>
      <c r="H332" s="10">
        <v>326776351129</v>
      </c>
      <c r="I332" s="10">
        <v>19424986829</v>
      </c>
      <c r="J332" s="10">
        <v>2550471200</v>
      </c>
      <c r="K332" s="10">
        <v>304800893100</v>
      </c>
      <c r="L332" s="10">
        <v>167782507778</v>
      </c>
      <c r="M332" s="10">
        <v>158993843351</v>
      </c>
      <c r="N332" s="46">
        <v>94.761870862826385</v>
      </c>
      <c r="O332" s="10">
        <v>228197338371</v>
      </c>
      <c r="P332" s="11">
        <v>76.37</v>
      </c>
      <c r="Q332" s="11">
        <v>74.87</v>
      </c>
      <c r="R332" s="11">
        <v>0.05</v>
      </c>
      <c r="S332" s="10">
        <v>225939910238</v>
      </c>
      <c r="T332" s="10">
        <v>117059126</v>
      </c>
      <c r="U332" s="10">
        <v>117059126</v>
      </c>
      <c r="V332" s="10">
        <v>0</v>
      </c>
      <c r="W332" s="10">
        <v>0</v>
      </c>
      <c r="X332" s="10">
        <v>226056969364</v>
      </c>
      <c r="Y332" s="10">
        <v>0</v>
      </c>
      <c r="Z332" s="10">
        <v>13587251561</v>
      </c>
      <c r="AA332" s="10">
        <v>9900000000</v>
      </c>
      <c r="AB332" s="10">
        <v>249544220925</v>
      </c>
      <c r="AC332" s="10">
        <v>84813189336</v>
      </c>
      <c r="AD332" s="46">
        <v>166.53515937060433</v>
      </c>
      <c r="AE332" s="10">
        <v>202285759445</v>
      </c>
      <c r="AF332" s="10">
        <v>202285759445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1">
        <v>0</v>
      </c>
      <c r="AM332" s="10">
        <v>0</v>
      </c>
      <c r="AN332" s="11">
        <v>4</v>
      </c>
      <c r="AO332" s="10">
        <v>13950000000</v>
      </c>
      <c r="AP332" s="12">
        <v>1</v>
      </c>
      <c r="AQ332" s="10">
        <v>2862000000</v>
      </c>
      <c r="AR332" s="10">
        <v>117059126</v>
      </c>
      <c r="AS332" s="10">
        <v>0</v>
      </c>
      <c r="AT332" s="10">
        <v>117059126</v>
      </c>
      <c r="AU332" s="11" t="s">
        <v>593</v>
      </c>
      <c r="AV332" s="10">
        <v>49770404604</v>
      </c>
      <c r="AW332" s="10">
        <v>5022098825</v>
      </c>
      <c r="AX332" s="10">
        <v>27062494795</v>
      </c>
      <c r="AY332" s="10">
        <v>132703305028</v>
      </c>
      <c r="AZ332" s="10">
        <v>63270002377</v>
      </c>
      <c r="BA332" s="10">
        <v>102026000000</v>
      </c>
      <c r="BB332" s="10">
        <v>61556793063</v>
      </c>
      <c r="BC332" s="10">
        <v>326776351129</v>
      </c>
      <c r="BD332" s="12">
        <v>8312</v>
      </c>
      <c r="BE332" s="10">
        <v>161480348752</v>
      </c>
      <c r="BF332" s="10">
        <v>63270002377</v>
      </c>
      <c r="BG332" s="10">
        <v>102026000000</v>
      </c>
      <c r="BH332" s="10">
        <v>201285759445</v>
      </c>
      <c r="BI332" s="10">
        <v>1000000000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</row>
    <row r="333" spans="1:67" x14ac:dyDescent="0.25">
      <c r="A333" s="25" t="s">
        <v>373</v>
      </c>
      <c r="B333" s="9">
        <v>2699</v>
      </c>
      <c r="C333" s="9" t="s">
        <v>378</v>
      </c>
      <c r="D333" s="10">
        <v>0</v>
      </c>
      <c r="E333" s="10">
        <v>1783660117</v>
      </c>
      <c r="F333" s="10">
        <v>0</v>
      </c>
      <c r="G333" s="10">
        <v>0</v>
      </c>
      <c r="H333" s="10">
        <v>1783660117</v>
      </c>
      <c r="I333" s="10">
        <v>150984348</v>
      </c>
      <c r="J333" s="10">
        <v>0</v>
      </c>
      <c r="K333" s="10">
        <v>1632675769</v>
      </c>
      <c r="L333" s="10">
        <v>1861611677</v>
      </c>
      <c r="M333" s="10">
        <v>-77951560</v>
      </c>
      <c r="N333" s="46">
        <v>-4.1873158061416689</v>
      </c>
      <c r="O333" s="10">
        <v>0</v>
      </c>
      <c r="P333" s="11">
        <v>0</v>
      </c>
      <c r="Q333" s="11">
        <v>0</v>
      </c>
      <c r="R333" s="11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46" t="s">
        <v>595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1">
        <v>0</v>
      </c>
      <c r="AM333" s="10">
        <v>0</v>
      </c>
      <c r="AN333" s="11">
        <v>0</v>
      </c>
      <c r="AO333" s="10">
        <v>0</v>
      </c>
      <c r="AP333" s="12">
        <v>0</v>
      </c>
      <c r="AQ333" s="10">
        <v>0</v>
      </c>
      <c r="AR333" s="10">
        <v>0</v>
      </c>
      <c r="AS333" s="10">
        <v>0</v>
      </c>
      <c r="AT333" s="10">
        <v>0</v>
      </c>
      <c r="AU333" s="11" t="s">
        <v>593</v>
      </c>
      <c r="AV333" s="10">
        <v>0</v>
      </c>
      <c r="AW333" s="10">
        <v>0</v>
      </c>
      <c r="AX333" s="10">
        <v>0</v>
      </c>
      <c r="AY333" s="10">
        <v>0</v>
      </c>
      <c r="AZ333" s="10">
        <v>0</v>
      </c>
      <c r="BA333" s="10">
        <v>0</v>
      </c>
      <c r="BB333" s="10">
        <v>0</v>
      </c>
      <c r="BC333" s="10">
        <v>1783660117</v>
      </c>
      <c r="BD333" s="12">
        <v>0</v>
      </c>
      <c r="BE333" s="10">
        <v>1783660117</v>
      </c>
      <c r="BF333" s="10">
        <v>0</v>
      </c>
      <c r="BG333" s="10">
        <v>0</v>
      </c>
      <c r="BH333" s="10">
        <v>0</v>
      </c>
      <c r="BI333" s="10">
        <v>0</v>
      </c>
      <c r="BJ333" s="10">
        <v>0</v>
      </c>
      <c r="BK333" s="10">
        <v>0</v>
      </c>
      <c r="BL333" s="10">
        <v>0</v>
      </c>
      <c r="BM333" s="10">
        <v>0</v>
      </c>
      <c r="BN333" s="10">
        <v>0</v>
      </c>
      <c r="BO333" s="10">
        <v>0</v>
      </c>
    </row>
    <row r="334" spans="1:67" x14ac:dyDescent="0.25">
      <c r="A334" s="19" t="s">
        <v>608</v>
      </c>
      <c r="B334" s="20" t="s">
        <v>593</v>
      </c>
      <c r="C334" s="20" t="s">
        <v>593</v>
      </c>
      <c r="D334" s="21">
        <v>7552255751619</v>
      </c>
      <c r="E334" s="21">
        <v>210375504387</v>
      </c>
      <c r="F334" s="21">
        <v>350110296000</v>
      </c>
      <c r="G334" s="21">
        <v>76839454402</v>
      </c>
      <c r="H334" s="21">
        <v>8189581006408</v>
      </c>
      <c r="I334" s="21">
        <v>560053463820</v>
      </c>
      <c r="J334" s="21">
        <v>32922171756</v>
      </c>
      <c r="K334" s="21">
        <v>7596605370832</v>
      </c>
      <c r="L334" s="21">
        <v>5731275444568</v>
      </c>
      <c r="M334" s="21">
        <v>2458305561840</v>
      </c>
      <c r="N334" s="47">
        <v>42.892818284801471</v>
      </c>
      <c r="O334" s="21">
        <v>10286636640816</v>
      </c>
      <c r="P334" s="22">
        <v>147.34</v>
      </c>
      <c r="Q334" s="22">
        <v>135.41</v>
      </c>
      <c r="R334" s="22">
        <v>3.32</v>
      </c>
      <c r="S334" s="21">
        <v>10891280849678</v>
      </c>
      <c r="T334" s="21">
        <v>394140063770</v>
      </c>
      <c r="U334" s="21">
        <v>86590418588</v>
      </c>
      <c r="V334" s="21">
        <v>208466397153</v>
      </c>
      <c r="W334" s="21">
        <v>99083248029</v>
      </c>
      <c r="X334" s="21">
        <v>11285420913448</v>
      </c>
      <c r="Y334" s="21">
        <v>6684615052</v>
      </c>
      <c r="Z334" s="21">
        <v>578049365997</v>
      </c>
      <c r="AA334" s="21">
        <v>202815251771</v>
      </c>
      <c r="AB334" s="21">
        <v>12066285531216</v>
      </c>
      <c r="AC334" s="21">
        <v>7629405321356</v>
      </c>
      <c r="AD334" s="47">
        <v>47.920059796249021</v>
      </c>
      <c r="AE334" s="21">
        <v>9870013220466</v>
      </c>
      <c r="AF334" s="21">
        <v>9606858915246</v>
      </c>
      <c r="AG334" s="21">
        <v>747338470368</v>
      </c>
      <c r="AH334" s="21">
        <v>601044371</v>
      </c>
      <c r="AI334" s="21">
        <v>0</v>
      </c>
      <c r="AJ334" s="21">
        <v>0</v>
      </c>
      <c r="AK334" s="21">
        <v>0</v>
      </c>
      <c r="AL334" s="22">
        <v>27</v>
      </c>
      <c r="AM334" s="21">
        <v>1855066921275</v>
      </c>
      <c r="AN334" s="22">
        <v>90</v>
      </c>
      <c r="AO334" s="21">
        <v>621749161189</v>
      </c>
      <c r="AP334" s="23">
        <v>63</v>
      </c>
      <c r="AQ334" s="21">
        <v>158345943450</v>
      </c>
      <c r="AR334" s="21">
        <v>394140063770</v>
      </c>
      <c r="AS334" s="21">
        <v>35468593991</v>
      </c>
      <c r="AT334" s="21">
        <v>358671469779</v>
      </c>
      <c r="AU334" s="24">
        <v>1011.24</v>
      </c>
      <c r="AV334" s="21">
        <v>6064236183791</v>
      </c>
      <c r="AW334" s="21">
        <v>776655080621</v>
      </c>
      <c r="AX334" s="21">
        <v>1740455750613</v>
      </c>
      <c r="AY334" s="21">
        <v>1045777996298</v>
      </c>
      <c r="AZ334" s="21">
        <v>2793313715504</v>
      </c>
      <c r="BA334" s="21">
        <v>1972708289204</v>
      </c>
      <c r="BB334" s="21">
        <v>2253270680050</v>
      </c>
      <c r="BC334" s="21">
        <v>8189581006408</v>
      </c>
      <c r="BD334" s="23">
        <v>275904</v>
      </c>
      <c r="BE334" s="21">
        <v>3042559233431</v>
      </c>
      <c r="BF334" s="21">
        <v>3143224011504</v>
      </c>
      <c r="BG334" s="21">
        <v>2003797761473</v>
      </c>
      <c r="BH334" s="21">
        <v>7325486992791</v>
      </c>
      <c r="BI334" s="21">
        <v>2544526227675</v>
      </c>
      <c r="BJ334" s="21">
        <v>0</v>
      </c>
      <c r="BK334" s="21">
        <v>96000000000</v>
      </c>
      <c r="BL334" s="21">
        <v>653809088021</v>
      </c>
      <c r="BM334" s="21">
        <v>585000000</v>
      </c>
      <c r="BN334" s="21">
        <v>0</v>
      </c>
      <c r="BO334" s="21">
        <v>16044371</v>
      </c>
    </row>
    <row r="335" spans="1:67" x14ac:dyDescent="0.25">
      <c r="A335" s="25" t="s">
        <v>379</v>
      </c>
      <c r="B335" s="9">
        <v>3300</v>
      </c>
      <c r="C335" s="9" t="s">
        <v>380</v>
      </c>
      <c r="D335" s="10">
        <v>2815168883337</v>
      </c>
      <c r="E335" s="10">
        <v>320905521162</v>
      </c>
      <c r="F335" s="10">
        <v>4997573700</v>
      </c>
      <c r="G335" s="10">
        <v>96580200</v>
      </c>
      <c r="H335" s="10">
        <v>3141168558399</v>
      </c>
      <c r="I335" s="10">
        <v>225334494064</v>
      </c>
      <c r="J335" s="10">
        <v>10205169990</v>
      </c>
      <c r="K335" s="10">
        <v>2905628894345</v>
      </c>
      <c r="L335" s="10">
        <v>2522270081013</v>
      </c>
      <c r="M335" s="10">
        <v>618898477386</v>
      </c>
      <c r="N335" s="46">
        <v>24.537359501859392</v>
      </c>
      <c r="O335" s="10">
        <v>7589828775061</v>
      </c>
      <c r="P335" s="11">
        <v>318.77999999999997</v>
      </c>
      <c r="Q335" s="11">
        <v>261.20999999999998</v>
      </c>
      <c r="R335" s="11">
        <v>1.39</v>
      </c>
      <c r="S335" s="10">
        <v>8919518578743</v>
      </c>
      <c r="T335" s="10">
        <v>92696182883</v>
      </c>
      <c r="U335" s="10">
        <v>54760136053</v>
      </c>
      <c r="V335" s="10">
        <v>18209512863</v>
      </c>
      <c r="W335" s="10">
        <v>19726533967</v>
      </c>
      <c r="X335" s="10">
        <v>9012214761626</v>
      </c>
      <c r="Y335" s="10">
        <v>46510284104</v>
      </c>
      <c r="Z335" s="10">
        <v>958057887277</v>
      </c>
      <c r="AA335" s="10">
        <v>43058839217</v>
      </c>
      <c r="AB335" s="10">
        <v>10013331488120</v>
      </c>
      <c r="AC335" s="10">
        <v>5635541997222</v>
      </c>
      <c r="AD335" s="46">
        <v>59.917444782924278</v>
      </c>
      <c r="AE335" s="10">
        <v>4111474494522</v>
      </c>
      <c r="AF335" s="10">
        <v>3538976275345</v>
      </c>
      <c r="AG335" s="10">
        <v>81744756643</v>
      </c>
      <c r="AH335" s="10">
        <v>1550000000</v>
      </c>
      <c r="AI335" s="10">
        <v>0</v>
      </c>
      <c r="AJ335" s="10">
        <v>0</v>
      </c>
      <c r="AK335" s="10">
        <v>0</v>
      </c>
      <c r="AL335" s="11">
        <v>1</v>
      </c>
      <c r="AM335" s="10">
        <v>81444636163</v>
      </c>
      <c r="AN335" s="11">
        <v>353</v>
      </c>
      <c r="AO335" s="10">
        <v>4004153650748</v>
      </c>
      <c r="AP335" s="12">
        <v>248</v>
      </c>
      <c r="AQ335" s="10">
        <v>2433187904670</v>
      </c>
      <c r="AR335" s="10">
        <v>92696182883</v>
      </c>
      <c r="AS335" s="10">
        <v>57089043590</v>
      </c>
      <c r="AT335" s="10">
        <v>35607139293</v>
      </c>
      <c r="AU335" s="11">
        <v>62.37</v>
      </c>
      <c r="AV335" s="10">
        <v>1894758513104</v>
      </c>
      <c r="AW335" s="10">
        <v>249303596861</v>
      </c>
      <c r="AX335" s="10">
        <v>698452726388</v>
      </c>
      <c r="AY335" s="10">
        <v>403973279767</v>
      </c>
      <c r="AZ335" s="10">
        <v>528244877182</v>
      </c>
      <c r="BA335" s="10">
        <v>1184498000000</v>
      </c>
      <c r="BB335" s="10">
        <v>436041365283</v>
      </c>
      <c r="BC335" s="10">
        <v>3141168558399</v>
      </c>
      <c r="BD335" s="12">
        <v>67446</v>
      </c>
      <c r="BE335" s="10">
        <v>1336722744127</v>
      </c>
      <c r="BF335" s="10">
        <v>533242450882</v>
      </c>
      <c r="BG335" s="10">
        <v>1271203363390</v>
      </c>
      <c r="BH335" s="10">
        <v>2208670481154</v>
      </c>
      <c r="BI335" s="10">
        <v>1902804013368</v>
      </c>
      <c r="BJ335" s="10">
        <v>5659175217</v>
      </c>
      <c r="BK335" s="10">
        <v>0</v>
      </c>
      <c r="BL335" s="10">
        <v>86213328606</v>
      </c>
      <c r="BM335" s="10">
        <v>0</v>
      </c>
      <c r="BN335" s="10">
        <v>0</v>
      </c>
      <c r="BO335" s="10">
        <v>1550000000</v>
      </c>
    </row>
    <row r="336" spans="1:67" x14ac:dyDescent="0.25">
      <c r="A336" s="25" t="s">
        <v>379</v>
      </c>
      <c r="B336" s="9">
        <v>3301</v>
      </c>
      <c r="C336" s="9" t="s">
        <v>381</v>
      </c>
      <c r="D336" s="10">
        <v>2505797525873</v>
      </c>
      <c r="E336" s="10">
        <v>163944141302</v>
      </c>
      <c r="F336" s="10">
        <v>0</v>
      </c>
      <c r="G336" s="10">
        <v>0</v>
      </c>
      <c r="H336" s="10">
        <v>2669741667175</v>
      </c>
      <c r="I336" s="10">
        <v>85565556095</v>
      </c>
      <c r="J336" s="10">
        <v>3981342743</v>
      </c>
      <c r="K336" s="10">
        <v>2580194768337</v>
      </c>
      <c r="L336" s="10">
        <v>1192522760059</v>
      </c>
      <c r="M336" s="10">
        <v>1477218907116</v>
      </c>
      <c r="N336" s="46">
        <v>123.87343509007029</v>
      </c>
      <c r="O336" s="10">
        <v>1638700377389</v>
      </c>
      <c r="P336" s="11">
        <v>70.650000000000006</v>
      </c>
      <c r="Q336" s="11">
        <v>63.51</v>
      </c>
      <c r="R336" s="11">
        <v>2.5099999999999998</v>
      </c>
      <c r="S336" s="10">
        <v>1691063238122</v>
      </c>
      <c r="T336" s="10">
        <v>42770460021</v>
      </c>
      <c r="U336" s="10">
        <v>15840685034</v>
      </c>
      <c r="V336" s="10">
        <v>2094716985</v>
      </c>
      <c r="W336" s="10">
        <v>24835058002</v>
      </c>
      <c r="X336" s="10">
        <v>1733833698143</v>
      </c>
      <c r="Y336" s="10">
        <v>4664675026</v>
      </c>
      <c r="Z336" s="10">
        <v>125591998548</v>
      </c>
      <c r="AA336" s="10">
        <v>26699545292</v>
      </c>
      <c r="AB336" s="10">
        <v>1886125241983</v>
      </c>
      <c r="AC336" s="10">
        <v>1237547158368</v>
      </c>
      <c r="AD336" s="46">
        <v>40.102434595661933</v>
      </c>
      <c r="AE336" s="10">
        <v>964190775092</v>
      </c>
      <c r="AF336" s="10">
        <v>964190775092</v>
      </c>
      <c r="AG336" s="10">
        <v>84268305537</v>
      </c>
      <c r="AH336" s="10">
        <v>0</v>
      </c>
      <c r="AI336" s="10">
        <v>0</v>
      </c>
      <c r="AJ336" s="10">
        <v>0</v>
      </c>
      <c r="AK336" s="10">
        <v>0</v>
      </c>
      <c r="AL336" s="11">
        <v>1</v>
      </c>
      <c r="AM336" s="10">
        <v>100000000000</v>
      </c>
      <c r="AN336" s="11">
        <v>112</v>
      </c>
      <c r="AO336" s="10">
        <v>3017730305634</v>
      </c>
      <c r="AP336" s="12">
        <v>28</v>
      </c>
      <c r="AQ336" s="10">
        <v>141928175884</v>
      </c>
      <c r="AR336" s="10">
        <v>42770460021</v>
      </c>
      <c r="AS336" s="10">
        <v>25341027558</v>
      </c>
      <c r="AT336" s="10">
        <v>17429432463</v>
      </c>
      <c r="AU336" s="11">
        <v>68.78</v>
      </c>
      <c r="AV336" s="10">
        <v>554135817226</v>
      </c>
      <c r="AW336" s="10">
        <v>86709835097</v>
      </c>
      <c r="AX336" s="10">
        <v>145123680908</v>
      </c>
      <c r="AY336" s="10">
        <v>149061581797</v>
      </c>
      <c r="AZ336" s="10">
        <v>1907788763168</v>
      </c>
      <c r="BA336" s="10">
        <v>303823500000</v>
      </c>
      <c r="BB336" s="10">
        <v>1813465994718</v>
      </c>
      <c r="BC336" s="10">
        <v>2669741667175</v>
      </c>
      <c r="BD336" s="12">
        <v>13429</v>
      </c>
      <c r="BE336" s="10">
        <v>458129404007</v>
      </c>
      <c r="BF336" s="10">
        <v>1907788763168</v>
      </c>
      <c r="BG336" s="10">
        <v>303823500000</v>
      </c>
      <c r="BH336" s="10">
        <v>768201762352</v>
      </c>
      <c r="BI336" s="10">
        <v>195989012740</v>
      </c>
      <c r="BJ336" s="10">
        <v>0</v>
      </c>
      <c r="BK336" s="10">
        <v>0</v>
      </c>
      <c r="BL336" s="10">
        <v>84268305537</v>
      </c>
      <c r="BM336" s="10">
        <v>0</v>
      </c>
      <c r="BN336" s="10">
        <v>0</v>
      </c>
      <c r="BO336" s="10">
        <v>0</v>
      </c>
    </row>
    <row r="337" spans="1:67" x14ac:dyDescent="0.25">
      <c r="A337" s="25" t="s">
        <v>379</v>
      </c>
      <c r="B337" s="9">
        <v>3302</v>
      </c>
      <c r="C337" s="9" t="s">
        <v>382</v>
      </c>
      <c r="D337" s="10">
        <v>1238267237354</v>
      </c>
      <c r="E337" s="10">
        <v>30514408909</v>
      </c>
      <c r="F337" s="10">
        <v>0</v>
      </c>
      <c r="G337" s="10">
        <v>0</v>
      </c>
      <c r="H337" s="10">
        <v>1268781646263</v>
      </c>
      <c r="I337" s="10">
        <v>82898353650</v>
      </c>
      <c r="J337" s="10">
        <v>1902340035</v>
      </c>
      <c r="K337" s="10">
        <v>1183980952578</v>
      </c>
      <c r="L337" s="10">
        <v>908560952681</v>
      </c>
      <c r="M337" s="10">
        <v>360220693582</v>
      </c>
      <c r="N337" s="46">
        <v>39.647388820645823</v>
      </c>
      <c r="O337" s="10">
        <v>1656945921448</v>
      </c>
      <c r="P337" s="11">
        <v>157.08000000000001</v>
      </c>
      <c r="Q337" s="11">
        <v>139.94999999999999</v>
      </c>
      <c r="R337" s="11">
        <v>4.6399999999999997</v>
      </c>
      <c r="S337" s="10">
        <v>1642785433974</v>
      </c>
      <c r="T337" s="10">
        <v>87483861641</v>
      </c>
      <c r="U337" s="10">
        <v>24414997132</v>
      </c>
      <c r="V337" s="10">
        <v>25193218469</v>
      </c>
      <c r="W337" s="10">
        <v>37875646040</v>
      </c>
      <c r="X337" s="10">
        <v>1730269295615</v>
      </c>
      <c r="Y337" s="10">
        <v>5019059296</v>
      </c>
      <c r="Z337" s="10">
        <v>234340855049</v>
      </c>
      <c r="AA337" s="10">
        <v>28355828100</v>
      </c>
      <c r="AB337" s="10">
        <v>1992965978764</v>
      </c>
      <c r="AC337" s="10">
        <v>1275641919650</v>
      </c>
      <c r="AD337" s="46">
        <v>35.639106003175002</v>
      </c>
      <c r="AE337" s="10">
        <v>881965304931</v>
      </c>
      <c r="AF337" s="10">
        <v>815490862524</v>
      </c>
      <c r="AG337" s="10">
        <v>58158275881</v>
      </c>
      <c r="AH337" s="10">
        <v>10800000000</v>
      </c>
      <c r="AI337" s="10">
        <v>1720000000</v>
      </c>
      <c r="AJ337" s="10">
        <v>0</v>
      </c>
      <c r="AK337" s="10">
        <v>0</v>
      </c>
      <c r="AL337" s="11">
        <v>0</v>
      </c>
      <c r="AM337" s="10">
        <v>0</v>
      </c>
      <c r="AN337" s="11">
        <v>23</v>
      </c>
      <c r="AO337" s="10">
        <v>171590320000</v>
      </c>
      <c r="AP337" s="12">
        <v>6</v>
      </c>
      <c r="AQ337" s="10">
        <v>28195000000</v>
      </c>
      <c r="AR337" s="10">
        <v>87483861641</v>
      </c>
      <c r="AS337" s="10">
        <v>91472780333</v>
      </c>
      <c r="AT337" s="10">
        <v>-3988918692</v>
      </c>
      <c r="AU337" s="11">
        <v>-4.3600000000000003</v>
      </c>
      <c r="AV337" s="10">
        <v>437757070913</v>
      </c>
      <c r="AW337" s="10">
        <v>166772577526</v>
      </c>
      <c r="AX337" s="10">
        <v>277824949271</v>
      </c>
      <c r="AY337" s="10">
        <v>280019587701</v>
      </c>
      <c r="AZ337" s="10">
        <v>185337779835</v>
      </c>
      <c r="BA337" s="10">
        <v>495084920547</v>
      </c>
      <c r="BB337" s="10">
        <v>97055935144</v>
      </c>
      <c r="BC337" s="10">
        <v>1268781646263</v>
      </c>
      <c r="BD337" s="12">
        <v>32922</v>
      </c>
      <c r="BE337" s="10">
        <v>588358945881</v>
      </c>
      <c r="BF337" s="10">
        <v>185337779835</v>
      </c>
      <c r="BG337" s="10">
        <v>495084920547</v>
      </c>
      <c r="BH337" s="10">
        <v>524723203669</v>
      </c>
      <c r="BI337" s="10">
        <v>357242101262</v>
      </c>
      <c r="BJ337" s="10">
        <v>0</v>
      </c>
      <c r="BK337" s="10">
        <v>0</v>
      </c>
      <c r="BL337" s="10">
        <v>58158275881</v>
      </c>
      <c r="BM337" s="10">
        <v>0</v>
      </c>
      <c r="BN337" s="10">
        <v>0</v>
      </c>
      <c r="BO337" s="10">
        <v>10800000000</v>
      </c>
    </row>
    <row r="338" spans="1:67" x14ac:dyDescent="0.25">
      <c r="A338" s="25" t="s">
        <v>379</v>
      </c>
      <c r="B338" s="9">
        <v>3303</v>
      </c>
      <c r="C338" s="9" t="s">
        <v>383</v>
      </c>
      <c r="D338" s="10">
        <v>1031862838546</v>
      </c>
      <c r="E338" s="10">
        <v>12279357785</v>
      </c>
      <c r="F338" s="10">
        <v>0</v>
      </c>
      <c r="G338" s="10">
        <v>0</v>
      </c>
      <c r="H338" s="10">
        <v>1044142196331</v>
      </c>
      <c r="I338" s="10">
        <v>70667313567</v>
      </c>
      <c r="J338" s="10">
        <v>935522544</v>
      </c>
      <c r="K338" s="10">
        <v>972539360220</v>
      </c>
      <c r="L338" s="10">
        <v>715374624230</v>
      </c>
      <c r="M338" s="10">
        <v>328767572101</v>
      </c>
      <c r="N338" s="46">
        <v>45.957399237479521</v>
      </c>
      <c r="O338" s="10">
        <v>1455878753278</v>
      </c>
      <c r="P338" s="11">
        <v>161.80000000000001</v>
      </c>
      <c r="Q338" s="11">
        <v>149.69999999999999</v>
      </c>
      <c r="R338" s="11">
        <v>4.92</v>
      </c>
      <c r="S338" s="10">
        <v>1467472371002</v>
      </c>
      <c r="T338" s="10">
        <v>77446556586</v>
      </c>
      <c r="U338" s="10">
        <v>26536541122</v>
      </c>
      <c r="V338" s="10">
        <v>16167786322</v>
      </c>
      <c r="W338" s="10">
        <v>34742229142</v>
      </c>
      <c r="X338" s="10">
        <v>1544918927588</v>
      </c>
      <c r="Y338" s="10">
        <v>5719162453</v>
      </c>
      <c r="Z338" s="10">
        <v>120929237361</v>
      </c>
      <c r="AA338" s="10">
        <v>23549104023</v>
      </c>
      <c r="AB338" s="10">
        <v>1689397268972</v>
      </c>
      <c r="AC338" s="10">
        <v>1100643198661</v>
      </c>
      <c r="AD338" s="46">
        <v>40.365100103965453</v>
      </c>
      <c r="AE338" s="10">
        <v>899213652717</v>
      </c>
      <c r="AF338" s="10">
        <v>899213652717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1">
        <v>0</v>
      </c>
      <c r="AM338" s="10">
        <v>0</v>
      </c>
      <c r="AN338" s="11">
        <v>14</v>
      </c>
      <c r="AO338" s="10">
        <v>45740218346</v>
      </c>
      <c r="AP338" s="12">
        <v>6</v>
      </c>
      <c r="AQ338" s="10">
        <v>17258500000</v>
      </c>
      <c r="AR338" s="10">
        <v>77446556586</v>
      </c>
      <c r="AS338" s="10">
        <v>65456244080</v>
      </c>
      <c r="AT338" s="10">
        <v>11990312506</v>
      </c>
      <c r="AU338" s="11">
        <v>18.32</v>
      </c>
      <c r="AV338" s="10">
        <v>456456678458</v>
      </c>
      <c r="AW338" s="10">
        <v>128968989065</v>
      </c>
      <c r="AX338" s="10">
        <v>177988375165</v>
      </c>
      <c r="AY338" s="10">
        <v>220802459737</v>
      </c>
      <c r="AZ338" s="10">
        <v>238260902824</v>
      </c>
      <c r="BA338" s="10">
        <v>394811100820</v>
      </c>
      <c r="BB338" s="10">
        <v>127397525151</v>
      </c>
      <c r="BC338" s="10">
        <v>1044142196331</v>
      </c>
      <c r="BD338" s="12">
        <v>9647</v>
      </c>
      <c r="BE338" s="10">
        <v>411070192687</v>
      </c>
      <c r="BF338" s="10">
        <v>238260902824</v>
      </c>
      <c r="BG338" s="10">
        <v>394811100820</v>
      </c>
      <c r="BH338" s="10">
        <v>458726722774</v>
      </c>
      <c r="BI338" s="10">
        <v>440486929943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</row>
    <row r="339" spans="1:67" x14ac:dyDescent="0.25">
      <c r="A339" s="25" t="s">
        <v>379</v>
      </c>
      <c r="B339" s="9">
        <v>3304</v>
      </c>
      <c r="C339" s="9" t="s">
        <v>384</v>
      </c>
      <c r="D339" s="10">
        <v>969783312521</v>
      </c>
      <c r="E339" s="10">
        <v>5140720125</v>
      </c>
      <c r="F339" s="10">
        <v>0</v>
      </c>
      <c r="G339" s="10">
        <v>0</v>
      </c>
      <c r="H339" s="10">
        <v>974924032646</v>
      </c>
      <c r="I339" s="10">
        <v>79808954855</v>
      </c>
      <c r="J339" s="10">
        <v>2658210940</v>
      </c>
      <c r="K339" s="10">
        <v>892456866851</v>
      </c>
      <c r="L339" s="10">
        <v>994726431962</v>
      </c>
      <c r="M339" s="10">
        <v>-19802399316</v>
      </c>
      <c r="N339" s="46">
        <v>-1.9907382250757846</v>
      </c>
      <c r="O339" s="10">
        <v>1359782452620</v>
      </c>
      <c r="P339" s="11">
        <v>161.5</v>
      </c>
      <c r="Q339" s="11">
        <v>152.36000000000001</v>
      </c>
      <c r="R339" s="11">
        <v>3.1</v>
      </c>
      <c r="S339" s="10">
        <v>1391632601642</v>
      </c>
      <c r="T339" s="10">
        <v>48364610024</v>
      </c>
      <c r="U339" s="10">
        <v>35832574320</v>
      </c>
      <c r="V339" s="10">
        <v>2712204936</v>
      </c>
      <c r="W339" s="10">
        <v>9819830768</v>
      </c>
      <c r="X339" s="10">
        <v>1439997211666</v>
      </c>
      <c r="Y339" s="10">
        <v>439805966</v>
      </c>
      <c r="Z339" s="10">
        <v>113114355638</v>
      </c>
      <c r="AA339" s="10">
        <v>21388350000</v>
      </c>
      <c r="AB339" s="10">
        <v>1574499917304</v>
      </c>
      <c r="AC339" s="10">
        <v>1069115997976</v>
      </c>
      <c r="AD339" s="46">
        <v>34.690455889925396</v>
      </c>
      <c r="AE339" s="10">
        <v>718390619196</v>
      </c>
      <c r="AF339" s="10">
        <v>718390619196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1">
        <v>0</v>
      </c>
      <c r="AM339" s="10">
        <v>0</v>
      </c>
      <c r="AN339" s="11">
        <v>29</v>
      </c>
      <c r="AO339" s="10">
        <v>71430468703</v>
      </c>
      <c r="AP339" s="12">
        <v>38</v>
      </c>
      <c r="AQ339" s="10">
        <v>28061708665</v>
      </c>
      <c r="AR339" s="10">
        <v>48364610024</v>
      </c>
      <c r="AS339" s="10">
        <v>27913897436</v>
      </c>
      <c r="AT339" s="10">
        <v>20450712588</v>
      </c>
      <c r="AU339" s="11">
        <v>73.260000000000005</v>
      </c>
      <c r="AV339" s="10">
        <v>376131724057</v>
      </c>
      <c r="AW339" s="10">
        <v>126763567180</v>
      </c>
      <c r="AX339" s="10">
        <v>104203473693</v>
      </c>
      <c r="AY339" s="10">
        <v>199465293569</v>
      </c>
      <c r="AZ339" s="10">
        <v>241884359779</v>
      </c>
      <c r="BA339" s="10">
        <v>424230185480</v>
      </c>
      <c r="BB339" s="10">
        <v>119755104064</v>
      </c>
      <c r="BC339" s="10">
        <v>974924032646</v>
      </c>
      <c r="BD339" s="12">
        <v>55502</v>
      </c>
      <c r="BE339" s="10">
        <v>308809487387</v>
      </c>
      <c r="BF339" s="10">
        <v>241884359779</v>
      </c>
      <c r="BG339" s="10">
        <v>424230185480</v>
      </c>
      <c r="BH339" s="10">
        <v>536311276945</v>
      </c>
      <c r="BI339" s="10">
        <v>182079342251</v>
      </c>
      <c r="BJ339" s="10">
        <v>0</v>
      </c>
      <c r="BK339" s="10">
        <v>0</v>
      </c>
      <c r="BL339" s="10">
        <v>0</v>
      </c>
      <c r="BM339" s="10">
        <v>0</v>
      </c>
      <c r="BN339" s="10">
        <v>0</v>
      </c>
      <c r="BO339" s="10">
        <v>236759374</v>
      </c>
    </row>
    <row r="340" spans="1:67" x14ac:dyDescent="0.25">
      <c r="A340" s="25" t="s">
        <v>379</v>
      </c>
      <c r="B340" s="9">
        <v>3305</v>
      </c>
      <c r="C340" s="9" t="s">
        <v>385</v>
      </c>
      <c r="D340" s="10">
        <v>1024113588170</v>
      </c>
      <c r="E340" s="10">
        <v>16796020659</v>
      </c>
      <c r="F340" s="10">
        <v>0</v>
      </c>
      <c r="G340" s="10">
        <v>0</v>
      </c>
      <c r="H340" s="10">
        <v>1040909608829</v>
      </c>
      <c r="I340" s="10">
        <v>71474154572</v>
      </c>
      <c r="J340" s="10">
        <v>5810862963</v>
      </c>
      <c r="K340" s="10">
        <v>963624591294</v>
      </c>
      <c r="L340" s="10">
        <v>664556082043</v>
      </c>
      <c r="M340" s="10">
        <v>376353526786</v>
      </c>
      <c r="N340" s="46">
        <v>56.632319973507983</v>
      </c>
      <c r="O340" s="10">
        <v>1948748610310</v>
      </c>
      <c r="P340" s="11">
        <v>216.45</v>
      </c>
      <c r="Q340" s="11">
        <v>202.23</v>
      </c>
      <c r="R340" s="11">
        <v>3.96</v>
      </c>
      <c r="S340" s="10">
        <v>2004337099869</v>
      </c>
      <c r="T340" s="10">
        <v>74315005759</v>
      </c>
      <c r="U340" s="10">
        <v>17671217255</v>
      </c>
      <c r="V340" s="10">
        <v>13518073002</v>
      </c>
      <c r="W340" s="10">
        <v>43125715502</v>
      </c>
      <c r="X340" s="10">
        <v>2078652105628</v>
      </c>
      <c r="Y340" s="10">
        <v>14888418535</v>
      </c>
      <c r="Z340" s="10">
        <v>150767667884</v>
      </c>
      <c r="AA340" s="10">
        <v>23668000000</v>
      </c>
      <c r="AB340" s="10">
        <v>2253087773512</v>
      </c>
      <c r="AC340" s="10">
        <v>1418155778364</v>
      </c>
      <c r="AD340" s="46">
        <v>46.574314143821056</v>
      </c>
      <c r="AE340" s="10">
        <v>1188372534653</v>
      </c>
      <c r="AF340" s="10">
        <v>1027077886714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1">
        <v>0</v>
      </c>
      <c r="AM340" s="10">
        <v>0</v>
      </c>
      <c r="AN340" s="11">
        <v>98</v>
      </c>
      <c r="AO340" s="10">
        <v>194849130995</v>
      </c>
      <c r="AP340" s="12">
        <v>16</v>
      </c>
      <c r="AQ340" s="10">
        <v>31677306716</v>
      </c>
      <c r="AR340" s="10">
        <v>74315005759</v>
      </c>
      <c r="AS340" s="10">
        <v>114106107082</v>
      </c>
      <c r="AT340" s="10">
        <v>-39791101323</v>
      </c>
      <c r="AU340" s="11">
        <v>-34.869999999999997</v>
      </c>
      <c r="AV340" s="10">
        <v>458010926214</v>
      </c>
      <c r="AW340" s="10">
        <v>154491816015</v>
      </c>
      <c r="AX340" s="10">
        <v>123585806091</v>
      </c>
      <c r="AY340" s="10">
        <v>270785287749</v>
      </c>
      <c r="AZ340" s="10">
        <v>263147952330</v>
      </c>
      <c r="BA340" s="10">
        <v>366594542000</v>
      </c>
      <c r="BB340" s="10">
        <v>225209546529</v>
      </c>
      <c r="BC340" s="10">
        <v>1040909608829</v>
      </c>
      <c r="BD340" s="12">
        <v>35972</v>
      </c>
      <c r="BE340" s="10">
        <v>411105940458</v>
      </c>
      <c r="BF340" s="10">
        <v>263147952330</v>
      </c>
      <c r="BG340" s="10">
        <v>366655716041</v>
      </c>
      <c r="BH340" s="10">
        <v>920637992644</v>
      </c>
      <c r="BI340" s="10">
        <v>267734542009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</row>
    <row r="341" spans="1:67" x14ac:dyDescent="0.25">
      <c r="A341" s="25" t="s">
        <v>379</v>
      </c>
      <c r="B341" s="9">
        <v>3306</v>
      </c>
      <c r="C341" s="9" t="s">
        <v>386</v>
      </c>
      <c r="D341" s="10">
        <v>2436357347875</v>
      </c>
      <c r="E341" s="10">
        <v>265314699804</v>
      </c>
      <c r="F341" s="10">
        <v>0</v>
      </c>
      <c r="G341" s="10">
        <v>0</v>
      </c>
      <c r="H341" s="10">
        <v>2701672047679</v>
      </c>
      <c r="I341" s="10">
        <v>236739161133</v>
      </c>
      <c r="J341" s="10">
        <v>1211165335</v>
      </c>
      <c r="K341" s="10">
        <v>2463721721211</v>
      </c>
      <c r="L341" s="10">
        <v>2189564700851</v>
      </c>
      <c r="M341" s="10">
        <v>512107346828</v>
      </c>
      <c r="N341" s="46">
        <v>23.388545980347757</v>
      </c>
      <c r="O341" s="10">
        <v>3948683377375</v>
      </c>
      <c r="P341" s="11">
        <v>174.72</v>
      </c>
      <c r="Q341" s="11">
        <v>160.27000000000001</v>
      </c>
      <c r="R341" s="11">
        <v>5.47</v>
      </c>
      <c r="S341" s="10">
        <v>4133679158210</v>
      </c>
      <c r="T341" s="10">
        <v>255784921586</v>
      </c>
      <c r="U341" s="10">
        <v>78220159695</v>
      </c>
      <c r="V341" s="10">
        <v>161880801485</v>
      </c>
      <c r="W341" s="10">
        <v>15683960406</v>
      </c>
      <c r="X341" s="10">
        <v>4389464079796</v>
      </c>
      <c r="Y341" s="10">
        <v>2241550256</v>
      </c>
      <c r="Z341" s="10">
        <v>288619729717</v>
      </c>
      <c r="AA341" s="10">
        <v>42278626242</v>
      </c>
      <c r="AB341" s="10">
        <v>4720362435755</v>
      </c>
      <c r="AC341" s="10">
        <v>3430866927542</v>
      </c>
      <c r="AD341" s="46">
        <v>27.940376951337324</v>
      </c>
      <c r="AE341" s="10">
        <v>2612667953950</v>
      </c>
      <c r="AF341" s="10">
        <v>2413253175596</v>
      </c>
      <c r="AG341" s="10">
        <v>31244682288</v>
      </c>
      <c r="AH341" s="10">
        <v>0</v>
      </c>
      <c r="AI341" s="10">
        <v>39407083172</v>
      </c>
      <c r="AJ341" s="10">
        <v>0</v>
      </c>
      <c r="AK341" s="10">
        <v>0</v>
      </c>
      <c r="AL341" s="11">
        <v>2</v>
      </c>
      <c r="AM341" s="10">
        <v>167683626000</v>
      </c>
      <c r="AN341" s="11">
        <v>310</v>
      </c>
      <c r="AO341" s="10">
        <v>3146647846584</v>
      </c>
      <c r="AP341" s="12">
        <v>515</v>
      </c>
      <c r="AQ341" s="10">
        <v>6032811526315</v>
      </c>
      <c r="AR341" s="10">
        <v>255784921586</v>
      </c>
      <c r="AS341" s="10">
        <v>111294454279</v>
      </c>
      <c r="AT341" s="10">
        <v>144490467307</v>
      </c>
      <c r="AU341" s="11">
        <v>129.83000000000001</v>
      </c>
      <c r="AV341" s="10">
        <v>1621518728060</v>
      </c>
      <c r="AW341" s="10">
        <v>443116142663</v>
      </c>
      <c r="AX341" s="10">
        <v>628284947383</v>
      </c>
      <c r="AY341" s="10">
        <v>436382166803</v>
      </c>
      <c r="AZ341" s="10">
        <v>666328032869</v>
      </c>
      <c r="BA341" s="10">
        <v>705362200820</v>
      </c>
      <c r="BB341" s="10">
        <v>448454583284</v>
      </c>
      <c r="BC341" s="10">
        <v>2701672047679</v>
      </c>
      <c r="BD341" s="12">
        <v>68947</v>
      </c>
      <c r="BE341" s="10">
        <v>1265383231494</v>
      </c>
      <c r="BF341" s="10">
        <v>666328032869</v>
      </c>
      <c r="BG341" s="10">
        <v>769960783316</v>
      </c>
      <c r="BH341" s="10">
        <v>1858951957955</v>
      </c>
      <c r="BI341" s="10">
        <v>753715995995</v>
      </c>
      <c r="BJ341" s="10">
        <v>0</v>
      </c>
      <c r="BK341" s="10">
        <v>0</v>
      </c>
      <c r="BL341" s="10">
        <v>31244682288</v>
      </c>
      <c r="BM341" s="10">
        <v>0</v>
      </c>
      <c r="BN341" s="10">
        <v>0</v>
      </c>
      <c r="BO341" s="10">
        <v>0</v>
      </c>
    </row>
    <row r="342" spans="1:67" x14ac:dyDescent="0.25">
      <c r="A342" s="25" t="s">
        <v>379</v>
      </c>
      <c r="B342" s="14">
        <v>3307</v>
      </c>
      <c r="C342" s="14" t="s">
        <v>387</v>
      </c>
      <c r="D342" s="15">
        <v>1228210970941</v>
      </c>
      <c r="E342" s="15">
        <v>23762512042</v>
      </c>
      <c r="F342" s="15">
        <v>0</v>
      </c>
      <c r="G342" s="15">
        <v>0</v>
      </c>
      <c r="H342" s="15">
        <v>1251973482983</v>
      </c>
      <c r="I342" s="15">
        <v>107639438402</v>
      </c>
      <c r="J342" s="15">
        <v>1477567331</v>
      </c>
      <c r="K342" s="15">
        <v>1142856477250</v>
      </c>
      <c r="L342" s="15">
        <v>1362192455246</v>
      </c>
      <c r="M342" s="15">
        <v>-110218972263</v>
      </c>
      <c r="N342" s="48">
        <v>-8.0912922280938222</v>
      </c>
      <c r="O342" s="15">
        <v>1156279509004</v>
      </c>
      <c r="P342" s="16">
        <v>110.4</v>
      </c>
      <c r="Q342" s="16">
        <v>101.17</v>
      </c>
      <c r="R342" s="16">
        <v>3.48</v>
      </c>
      <c r="S342" s="15">
        <v>1245835639589</v>
      </c>
      <c r="T342" s="15">
        <v>46884722332</v>
      </c>
      <c r="U342" s="15">
        <v>28836929658</v>
      </c>
      <c r="V342" s="15">
        <v>13873986972</v>
      </c>
      <c r="W342" s="15">
        <v>4173805702</v>
      </c>
      <c r="X342" s="15">
        <v>1292720361921</v>
      </c>
      <c r="Y342" s="10">
        <v>1227093979</v>
      </c>
      <c r="Z342" s="15">
        <v>70364950469</v>
      </c>
      <c r="AA342" s="15">
        <v>19050000000</v>
      </c>
      <c r="AB342" s="15">
        <v>1382135312390</v>
      </c>
      <c r="AC342" s="15">
        <v>864112506778</v>
      </c>
      <c r="AD342" s="46">
        <v>49.60093179777504</v>
      </c>
      <c r="AE342" s="15">
        <v>758448972707</v>
      </c>
      <c r="AF342" s="15">
        <v>704616042211</v>
      </c>
      <c r="AG342" s="15">
        <v>0</v>
      </c>
      <c r="AH342" s="15">
        <v>0</v>
      </c>
      <c r="AI342" s="15">
        <v>0</v>
      </c>
      <c r="AJ342" s="15">
        <v>8000000000</v>
      </c>
      <c r="AK342" s="15">
        <v>2057346671</v>
      </c>
      <c r="AL342" s="16">
        <v>0</v>
      </c>
      <c r="AM342" s="15">
        <v>0</v>
      </c>
      <c r="AN342" s="16">
        <v>38</v>
      </c>
      <c r="AO342" s="15">
        <v>616435282243</v>
      </c>
      <c r="AP342" s="12">
        <v>20</v>
      </c>
      <c r="AQ342" s="10">
        <v>554369911081</v>
      </c>
      <c r="AR342" s="15">
        <v>46884722332</v>
      </c>
      <c r="AS342" s="15">
        <v>59654261913</v>
      </c>
      <c r="AT342" s="15">
        <v>-12769539581</v>
      </c>
      <c r="AU342" s="16">
        <v>-21.41</v>
      </c>
      <c r="AV342" s="15">
        <v>356934104827</v>
      </c>
      <c r="AW342" s="15">
        <v>129174636542</v>
      </c>
      <c r="AX342" s="15">
        <v>120840576002</v>
      </c>
      <c r="AY342" s="15">
        <v>270475820517</v>
      </c>
      <c r="AZ342" s="15">
        <v>149812299551</v>
      </c>
      <c r="BA342" s="15">
        <v>687082274871</v>
      </c>
      <c r="BB342" s="15">
        <v>56638575104</v>
      </c>
      <c r="BC342" s="15">
        <v>1251973482983</v>
      </c>
      <c r="BD342" s="17">
        <v>13897</v>
      </c>
      <c r="BE342" s="15">
        <v>415078908561</v>
      </c>
      <c r="BF342" s="15">
        <v>149812299551</v>
      </c>
      <c r="BG342" s="15">
        <v>687082274871</v>
      </c>
      <c r="BH342" s="15">
        <v>518953972707</v>
      </c>
      <c r="BI342" s="15">
        <v>239495000000</v>
      </c>
      <c r="BJ342" s="15">
        <v>0</v>
      </c>
      <c r="BK342" s="15">
        <v>0</v>
      </c>
      <c r="BL342" s="15">
        <v>0</v>
      </c>
      <c r="BM342" s="15">
        <v>0</v>
      </c>
      <c r="BN342" s="15">
        <v>0</v>
      </c>
      <c r="BO342" s="15">
        <v>0</v>
      </c>
    </row>
    <row r="343" spans="1:67" x14ac:dyDescent="0.25">
      <c r="A343" s="25" t="s">
        <v>379</v>
      </c>
      <c r="B343" s="26">
        <v>3308</v>
      </c>
      <c r="C343" s="26" t="s">
        <v>388</v>
      </c>
      <c r="D343" s="27">
        <v>1253275079195</v>
      </c>
      <c r="E343" s="27">
        <v>26449779640</v>
      </c>
      <c r="F343" s="27">
        <v>0</v>
      </c>
      <c r="G343" s="27">
        <v>0</v>
      </c>
      <c r="H343" s="27">
        <v>1279724858835</v>
      </c>
      <c r="I343" s="27">
        <v>80644564273</v>
      </c>
      <c r="J343" s="27">
        <v>3165010491</v>
      </c>
      <c r="K343" s="27">
        <v>1195915284071</v>
      </c>
      <c r="L343" s="27">
        <v>756354144694</v>
      </c>
      <c r="M343" s="10">
        <v>523370714141</v>
      </c>
      <c r="N343" s="46">
        <v>69.196515655076013</v>
      </c>
      <c r="O343" s="27">
        <v>1545838465466</v>
      </c>
      <c r="P343" s="28">
        <v>140.22999999999999</v>
      </c>
      <c r="Q343" s="28">
        <v>129.26</v>
      </c>
      <c r="R343" s="28">
        <v>2.98</v>
      </c>
      <c r="S343" s="27">
        <v>1615162681073</v>
      </c>
      <c r="T343" s="27">
        <v>49188008158</v>
      </c>
      <c r="U343" s="27">
        <v>17456767068</v>
      </c>
      <c r="V343" s="27">
        <v>3206248182</v>
      </c>
      <c r="W343" s="27">
        <v>28524992908</v>
      </c>
      <c r="X343" s="27">
        <v>1664350689231</v>
      </c>
      <c r="Y343" s="10">
        <v>4258075653</v>
      </c>
      <c r="Z343" s="27">
        <v>95164688625</v>
      </c>
      <c r="AA343" s="27">
        <v>35064770302</v>
      </c>
      <c r="AB343" s="27">
        <v>1794580148158</v>
      </c>
      <c r="AC343" s="27">
        <v>1184592118435</v>
      </c>
      <c r="AD343" s="46">
        <v>40.499895561505454</v>
      </c>
      <c r="AE343" s="27">
        <v>852193256181</v>
      </c>
      <c r="AF343" s="27">
        <v>852193256181</v>
      </c>
      <c r="AG343" s="27">
        <v>0</v>
      </c>
      <c r="AH343" s="27">
        <v>0</v>
      </c>
      <c r="AI343" s="27">
        <v>0</v>
      </c>
      <c r="AJ343" s="27">
        <v>0</v>
      </c>
      <c r="AK343" s="27">
        <v>0</v>
      </c>
      <c r="AL343" s="28">
        <v>0</v>
      </c>
      <c r="AM343" s="27">
        <v>0</v>
      </c>
      <c r="AN343" s="28">
        <v>41</v>
      </c>
      <c r="AO343" s="27">
        <v>414784030493</v>
      </c>
      <c r="AP343" s="12">
        <v>15</v>
      </c>
      <c r="AQ343" s="10">
        <v>63575066585</v>
      </c>
      <c r="AR343" s="27">
        <v>49188008158</v>
      </c>
      <c r="AS343" s="27">
        <v>51009900963</v>
      </c>
      <c r="AT343" s="27">
        <v>-1821892805</v>
      </c>
      <c r="AU343" s="28">
        <v>-3.57</v>
      </c>
      <c r="AV343" s="27">
        <v>442257457868</v>
      </c>
      <c r="AW343" s="27">
        <v>117002354952</v>
      </c>
      <c r="AX343" s="27">
        <v>191301680786</v>
      </c>
      <c r="AY343" s="27">
        <v>381422228979</v>
      </c>
      <c r="AZ343" s="27">
        <v>187989269430</v>
      </c>
      <c r="BA343" s="27">
        <v>492561900000</v>
      </c>
      <c r="BB343" s="27">
        <v>108731612496</v>
      </c>
      <c r="BC343" s="27">
        <v>1279724858835</v>
      </c>
      <c r="BD343" s="29">
        <v>28365</v>
      </c>
      <c r="BE343" s="27">
        <v>599127665426</v>
      </c>
      <c r="BF343" s="27">
        <v>187624269430</v>
      </c>
      <c r="BG343" s="27">
        <v>492972923979</v>
      </c>
      <c r="BH343" s="27">
        <v>638310860513</v>
      </c>
      <c r="BI343" s="27">
        <v>213882395668</v>
      </c>
      <c r="BJ343" s="27">
        <v>0</v>
      </c>
      <c r="BK343" s="27">
        <v>0</v>
      </c>
      <c r="BL343" s="27">
        <v>0</v>
      </c>
      <c r="BM343" s="27">
        <v>0</v>
      </c>
      <c r="BN343" s="27">
        <v>0</v>
      </c>
      <c r="BO343" s="27">
        <v>0</v>
      </c>
    </row>
    <row r="344" spans="1:67" x14ac:dyDescent="0.25">
      <c r="A344" s="25" t="s">
        <v>379</v>
      </c>
      <c r="B344" s="9">
        <v>3309</v>
      </c>
      <c r="C344" s="9" t="s">
        <v>389</v>
      </c>
      <c r="D344" s="10">
        <v>1126895496010</v>
      </c>
      <c r="E344" s="10">
        <v>29239539910</v>
      </c>
      <c r="F344" s="10">
        <v>0</v>
      </c>
      <c r="G344" s="10">
        <v>0</v>
      </c>
      <c r="H344" s="10">
        <v>1156135035920</v>
      </c>
      <c r="I344" s="10">
        <v>80698160028</v>
      </c>
      <c r="J344" s="10">
        <v>7373386510</v>
      </c>
      <c r="K344" s="10">
        <v>1068063489382</v>
      </c>
      <c r="L344" s="10">
        <v>922634879689</v>
      </c>
      <c r="M344" s="10">
        <v>233500156231</v>
      </c>
      <c r="N344" s="46">
        <v>25.307969747437664</v>
      </c>
      <c r="O344" s="10">
        <v>1422606674104</v>
      </c>
      <c r="P344" s="11">
        <v>143.94</v>
      </c>
      <c r="Q344" s="11">
        <v>133.19</v>
      </c>
      <c r="R344" s="11">
        <v>3.58</v>
      </c>
      <c r="S344" s="10">
        <v>1460182304817</v>
      </c>
      <c r="T344" s="10">
        <v>59042816437</v>
      </c>
      <c r="U344" s="10">
        <v>41123732726</v>
      </c>
      <c r="V344" s="10">
        <v>8646645916</v>
      </c>
      <c r="W344" s="10">
        <v>9272437795</v>
      </c>
      <c r="X344" s="10">
        <v>1519225121254</v>
      </c>
      <c r="Y344" s="10">
        <v>478928342</v>
      </c>
      <c r="Z344" s="10">
        <v>116622506139</v>
      </c>
      <c r="AA344" s="10">
        <v>28323261260</v>
      </c>
      <c r="AB344" s="10">
        <v>1664170888653</v>
      </c>
      <c r="AC344" s="10">
        <v>1079837079211</v>
      </c>
      <c r="AD344" s="46">
        <v>40.69021619113559</v>
      </c>
      <c r="AE344" s="10">
        <v>875549066445</v>
      </c>
      <c r="AF344" s="10">
        <v>871279066445</v>
      </c>
      <c r="AG344" s="10">
        <v>0</v>
      </c>
      <c r="AH344" s="10">
        <v>2060000000</v>
      </c>
      <c r="AI344" s="10">
        <v>0</v>
      </c>
      <c r="AJ344" s="10">
        <v>0</v>
      </c>
      <c r="AK344" s="10">
        <v>0</v>
      </c>
      <c r="AL344" s="11">
        <v>0</v>
      </c>
      <c r="AM344" s="10">
        <v>0</v>
      </c>
      <c r="AN344" s="11">
        <v>84</v>
      </c>
      <c r="AO344" s="10">
        <v>669073021469</v>
      </c>
      <c r="AP344" s="12">
        <v>17</v>
      </c>
      <c r="AQ344" s="10">
        <v>107781361560</v>
      </c>
      <c r="AR344" s="10">
        <v>59042816437</v>
      </c>
      <c r="AS344" s="10">
        <v>39270958753</v>
      </c>
      <c r="AT344" s="10">
        <v>19771857684</v>
      </c>
      <c r="AU344" s="11">
        <v>50.35</v>
      </c>
      <c r="AV344" s="10">
        <v>467114858319</v>
      </c>
      <c r="AW344" s="10">
        <v>155839298334</v>
      </c>
      <c r="AX344" s="10">
        <v>162758267784</v>
      </c>
      <c r="AY344" s="10">
        <v>109387461858</v>
      </c>
      <c r="AZ344" s="10">
        <v>337465334564</v>
      </c>
      <c r="BA344" s="10">
        <v>517284431804</v>
      </c>
      <c r="BB344" s="10">
        <v>235829400970</v>
      </c>
      <c r="BC344" s="10">
        <v>1156135035920</v>
      </c>
      <c r="BD344" s="12">
        <v>3821</v>
      </c>
      <c r="BE344" s="10">
        <v>301366064648</v>
      </c>
      <c r="BF344" s="10">
        <v>337465334564</v>
      </c>
      <c r="BG344" s="10">
        <v>517303636708</v>
      </c>
      <c r="BH344" s="10">
        <v>715471855987</v>
      </c>
      <c r="BI344" s="10">
        <v>160077210458</v>
      </c>
      <c r="BJ344" s="10">
        <v>0</v>
      </c>
      <c r="BK344" s="10">
        <v>0</v>
      </c>
      <c r="BL344" s="10">
        <v>0</v>
      </c>
      <c r="BM344" s="10">
        <v>0</v>
      </c>
      <c r="BN344" s="10">
        <v>0</v>
      </c>
      <c r="BO344" s="10">
        <v>2060000000</v>
      </c>
    </row>
    <row r="345" spans="1:67" x14ac:dyDescent="0.25">
      <c r="A345" s="25" t="s">
        <v>379</v>
      </c>
      <c r="B345" s="9">
        <v>3399</v>
      </c>
      <c r="C345" s="9" t="s">
        <v>390</v>
      </c>
      <c r="D345" s="10">
        <v>0</v>
      </c>
      <c r="E345" s="10">
        <v>413459040</v>
      </c>
      <c r="F345" s="10">
        <v>0</v>
      </c>
      <c r="G345" s="10">
        <v>0</v>
      </c>
      <c r="H345" s="10">
        <v>413459040</v>
      </c>
      <c r="I345" s="10">
        <v>34303504</v>
      </c>
      <c r="J345" s="10">
        <v>94000000</v>
      </c>
      <c r="K345" s="10">
        <v>285155536</v>
      </c>
      <c r="L345" s="10">
        <v>25020000</v>
      </c>
      <c r="M345" s="10">
        <v>388439040</v>
      </c>
      <c r="N345" s="46">
        <v>1552.5141486810553</v>
      </c>
      <c r="O345" s="10">
        <v>0</v>
      </c>
      <c r="P345" s="11">
        <v>0</v>
      </c>
      <c r="Q345" s="11">
        <v>0</v>
      </c>
      <c r="R345" s="11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46" t="s">
        <v>595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1">
        <v>0</v>
      </c>
      <c r="AM345" s="10">
        <v>0</v>
      </c>
      <c r="AN345" s="11">
        <v>0</v>
      </c>
      <c r="AO345" s="10">
        <v>0</v>
      </c>
      <c r="AP345" s="12">
        <v>0</v>
      </c>
      <c r="AQ345" s="10">
        <v>0</v>
      </c>
      <c r="AR345" s="10">
        <v>0</v>
      </c>
      <c r="AS345" s="10">
        <v>0</v>
      </c>
      <c r="AT345" s="10">
        <v>0</v>
      </c>
      <c r="AU345" s="11" t="s">
        <v>593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413459040</v>
      </c>
      <c r="BD345" s="12">
        <v>0</v>
      </c>
      <c r="BE345" s="10">
        <v>413459040</v>
      </c>
      <c r="BF345" s="10">
        <v>0</v>
      </c>
      <c r="BG345" s="10">
        <v>0</v>
      </c>
      <c r="BH345" s="10">
        <v>0</v>
      </c>
      <c r="BI345" s="10">
        <v>0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</row>
    <row r="346" spans="1:67" x14ac:dyDescent="0.25">
      <c r="A346" s="19" t="s">
        <v>607</v>
      </c>
      <c r="B346" s="20" t="s">
        <v>593</v>
      </c>
      <c r="C346" s="20" t="s">
        <v>593</v>
      </c>
      <c r="D346" s="21">
        <v>15629732279822</v>
      </c>
      <c r="E346" s="21">
        <v>894760160378</v>
      </c>
      <c r="F346" s="21">
        <v>4997573700</v>
      </c>
      <c r="G346" s="21">
        <v>96580200</v>
      </c>
      <c r="H346" s="21">
        <v>16529586594100</v>
      </c>
      <c r="I346" s="21">
        <v>1121504454143</v>
      </c>
      <c r="J346" s="21">
        <v>38814578882</v>
      </c>
      <c r="K346" s="21">
        <v>15369267561075</v>
      </c>
      <c r="L346" s="21">
        <v>12228782132468</v>
      </c>
      <c r="M346" s="21">
        <v>4300804461632</v>
      </c>
      <c r="N346" s="47">
        <v>35.169523956217674</v>
      </c>
      <c r="O346" s="21">
        <v>23723292916055</v>
      </c>
      <c r="P346" s="22">
        <v>175.27</v>
      </c>
      <c r="Q346" s="22">
        <v>154.36000000000001</v>
      </c>
      <c r="R346" s="22">
        <v>3.17</v>
      </c>
      <c r="S346" s="21">
        <v>25571669107041</v>
      </c>
      <c r="T346" s="21">
        <v>833977145427</v>
      </c>
      <c r="U346" s="21">
        <v>340693740063</v>
      </c>
      <c r="V346" s="21">
        <v>265503195132</v>
      </c>
      <c r="W346" s="21">
        <v>227780210232</v>
      </c>
      <c r="X346" s="21">
        <v>26405646252468</v>
      </c>
      <c r="Y346" s="21">
        <v>85447053610</v>
      </c>
      <c r="Z346" s="21">
        <v>2273573876707</v>
      </c>
      <c r="AA346" s="21">
        <v>291436324436</v>
      </c>
      <c r="AB346" s="21">
        <v>28970656453611</v>
      </c>
      <c r="AC346" s="21">
        <v>18296054682207</v>
      </c>
      <c r="AD346" s="47">
        <v>44.324263952641203</v>
      </c>
      <c r="AE346" s="21">
        <v>13862466630394</v>
      </c>
      <c r="AF346" s="21">
        <v>12804681612021</v>
      </c>
      <c r="AG346" s="21">
        <v>255416020349</v>
      </c>
      <c r="AH346" s="21">
        <v>14410000000</v>
      </c>
      <c r="AI346" s="21">
        <v>41127083172</v>
      </c>
      <c r="AJ346" s="21">
        <v>8000000000</v>
      </c>
      <c r="AK346" s="21">
        <v>2057346671</v>
      </c>
      <c r="AL346" s="22">
        <v>4</v>
      </c>
      <c r="AM346" s="21">
        <v>349128262163</v>
      </c>
      <c r="AN346" s="23">
        <v>1102</v>
      </c>
      <c r="AO346" s="21">
        <v>12352434275215</v>
      </c>
      <c r="AP346" s="23">
        <v>909</v>
      </c>
      <c r="AQ346" s="21">
        <v>9438846461476</v>
      </c>
      <c r="AR346" s="21">
        <v>833977145427</v>
      </c>
      <c r="AS346" s="21">
        <v>642608675987</v>
      </c>
      <c r="AT346" s="21">
        <v>191368469440</v>
      </c>
      <c r="AU346" s="24">
        <v>29.78</v>
      </c>
      <c r="AV346" s="21">
        <v>7065075879046</v>
      </c>
      <c r="AW346" s="21">
        <v>1758142814235</v>
      </c>
      <c r="AX346" s="21">
        <v>2630364483471</v>
      </c>
      <c r="AY346" s="21">
        <v>2721775168477</v>
      </c>
      <c r="AZ346" s="21">
        <v>4706259571532</v>
      </c>
      <c r="BA346" s="21">
        <v>5571333056342</v>
      </c>
      <c r="BB346" s="21">
        <v>3668579642743</v>
      </c>
      <c r="BC346" s="21">
        <v>16529586594100</v>
      </c>
      <c r="BD346" s="23">
        <v>329948</v>
      </c>
      <c r="BE346" s="21">
        <v>6095566043716</v>
      </c>
      <c r="BF346" s="21">
        <v>4710892145232</v>
      </c>
      <c r="BG346" s="21">
        <v>5723128405152</v>
      </c>
      <c r="BH346" s="21">
        <v>9148960086700</v>
      </c>
      <c r="BI346" s="21">
        <v>4713506543694</v>
      </c>
      <c r="BJ346" s="21">
        <v>5659175217</v>
      </c>
      <c r="BK346" s="21">
        <v>0</v>
      </c>
      <c r="BL346" s="21">
        <v>259884592312</v>
      </c>
      <c r="BM346" s="21">
        <v>0</v>
      </c>
      <c r="BN346" s="21">
        <v>0</v>
      </c>
      <c r="BO346" s="21">
        <v>14646759374</v>
      </c>
    </row>
    <row r="347" spans="1:67" x14ac:dyDescent="0.25">
      <c r="A347" s="25" t="s">
        <v>391</v>
      </c>
      <c r="B347" s="9">
        <v>3400</v>
      </c>
      <c r="C347" s="9" t="s">
        <v>392</v>
      </c>
      <c r="D347" s="10">
        <v>2263692117684</v>
      </c>
      <c r="E347" s="10">
        <v>337098880011</v>
      </c>
      <c r="F347" s="10">
        <v>81560000000</v>
      </c>
      <c r="G347" s="10">
        <v>263905776</v>
      </c>
      <c r="H347" s="10">
        <v>2682614903471</v>
      </c>
      <c r="I347" s="10">
        <v>189491118728</v>
      </c>
      <c r="J347" s="10">
        <v>127966022592</v>
      </c>
      <c r="K347" s="10">
        <v>2365157762151</v>
      </c>
      <c r="L347" s="10">
        <v>2145421947667</v>
      </c>
      <c r="M347" s="10">
        <v>537192955804</v>
      </c>
      <c r="N347" s="46">
        <v>25.039035159874295</v>
      </c>
      <c r="O347" s="10">
        <v>8586285509627</v>
      </c>
      <c r="P347" s="11">
        <v>451.32</v>
      </c>
      <c r="Q347" s="11">
        <v>363.03</v>
      </c>
      <c r="R347" s="11">
        <v>2.0299999999999998</v>
      </c>
      <c r="S347" s="10">
        <v>11451701025177</v>
      </c>
      <c r="T347" s="10">
        <v>196949027766</v>
      </c>
      <c r="U347" s="10">
        <v>42116818205</v>
      </c>
      <c r="V347" s="10">
        <v>39010469143</v>
      </c>
      <c r="W347" s="10">
        <v>115821740418</v>
      </c>
      <c r="X347" s="10">
        <v>11648650052943</v>
      </c>
      <c r="Y347" s="10">
        <v>48456083907</v>
      </c>
      <c r="Z347" s="10">
        <v>421760819484</v>
      </c>
      <c r="AA347" s="10">
        <v>36823616131</v>
      </c>
      <c r="AB347" s="10">
        <v>12107234488558</v>
      </c>
      <c r="AC347" s="10">
        <v>9384828630324</v>
      </c>
      <c r="AD347" s="46">
        <v>24.12213916516496</v>
      </c>
      <c r="AE347" s="10">
        <v>6182307546995</v>
      </c>
      <c r="AF347" s="10">
        <v>6173552353571</v>
      </c>
      <c r="AG347" s="10">
        <v>736834394130</v>
      </c>
      <c r="AH347" s="10">
        <v>27867604000</v>
      </c>
      <c r="AI347" s="10">
        <v>164711806764</v>
      </c>
      <c r="AJ347" s="10">
        <v>0</v>
      </c>
      <c r="AK347" s="10">
        <v>0</v>
      </c>
      <c r="AL347" s="11">
        <v>10</v>
      </c>
      <c r="AM347" s="10">
        <v>484900286032</v>
      </c>
      <c r="AN347" s="11">
        <v>162</v>
      </c>
      <c r="AO347" s="10">
        <v>1521123193936</v>
      </c>
      <c r="AP347" s="12">
        <v>89</v>
      </c>
      <c r="AQ347" s="10">
        <v>892118358902</v>
      </c>
      <c r="AR347" s="10">
        <v>196949027766</v>
      </c>
      <c r="AS347" s="10">
        <v>239052970654</v>
      </c>
      <c r="AT347" s="10">
        <v>-42103942888</v>
      </c>
      <c r="AU347" s="11">
        <v>-17.61</v>
      </c>
      <c r="AV347" s="10">
        <v>4513000669117</v>
      </c>
      <c r="AW347" s="10">
        <v>1518864611959</v>
      </c>
      <c r="AX347" s="10">
        <v>428146213618</v>
      </c>
      <c r="AY347" s="10">
        <v>385683797006</v>
      </c>
      <c r="AZ347" s="10">
        <v>922012602952</v>
      </c>
      <c r="BA347" s="10">
        <v>527849504108</v>
      </c>
      <c r="BB347" s="10">
        <v>591703998765</v>
      </c>
      <c r="BC347" s="10">
        <v>2682614903471</v>
      </c>
      <c r="BD347" s="12">
        <v>91681</v>
      </c>
      <c r="BE347" s="10">
        <v>978088643191</v>
      </c>
      <c r="BF347" s="10">
        <v>1003572602952</v>
      </c>
      <c r="BG347" s="10">
        <v>700953657328</v>
      </c>
      <c r="BH347" s="10">
        <v>3933870082694</v>
      </c>
      <c r="BI347" s="10">
        <v>2248437464301</v>
      </c>
      <c r="BJ347" s="10">
        <v>25809446047</v>
      </c>
      <c r="BK347" s="10">
        <v>36240945783</v>
      </c>
      <c r="BL347" s="10">
        <v>686572820874</v>
      </c>
      <c r="BM347" s="10">
        <v>0</v>
      </c>
      <c r="BN347" s="10">
        <v>3514950000</v>
      </c>
      <c r="BO347" s="10">
        <v>24352654000</v>
      </c>
    </row>
    <row r="348" spans="1:67" x14ac:dyDescent="0.25">
      <c r="A348" s="25" t="s">
        <v>391</v>
      </c>
      <c r="B348" s="9">
        <v>3401</v>
      </c>
      <c r="C348" s="9" t="s">
        <v>393</v>
      </c>
      <c r="D348" s="10">
        <v>1467924570247</v>
      </c>
      <c r="E348" s="10">
        <v>210478714814</v>
      </c>
      <c r="F348" s="10">
        <v>0</v>
      </c>
      <c r="G348" s="10">
        <v>0</v>
      </c>
      <c r="H348" s="10">
        <v>1678403285061</v>
      </c>
      <c r="I348" s="10">
        <v>121638053848</v>
      </c>
      <c r="J348" s="10">
        <v>826936800</v>
      </c>
      <c r="K348" s="10">
        <v>1555938294413</v>
      </c>
      <c r="L348" s="10">
        <v>1041649287967</v>
      </c>
      <c r="M348" s="10">
        <v>636753997094</v>
      </c>
      <c r="N348" s="46">
        <v>61.129403576587734</v>
      </c>
      <c r="O348" s="10">
        <v>2240443738456</v>
      </c>
      <c r="P348" s="11">
        <v>160.53</v>
      </c>
      <c r="Q348" s="11">
        <v>143.99</v>
      </c>
      <c r="R348" s="11">
        <v>2.46</v>
      </c>
      <c r="S348" s="10">
        <v>2480402920801</v>
      </c>
      <c r="T348" s="10">
        <v>61067826039</v>
      </c>
      <c r="U348" s="10">
        <v>18743801440</v>
      </c>
      <c r="V348" s="10">
        <v>34062279395</v>
      </c>
      <c r="W348" s="10">
        <v>8261745204</v>
      </c>
      <c r="X348" s="10">
        <v>2541470746840</v>
      </c>
      <c r="Y348" s="10">
        <v>5253832096</v>
      </c>
      <c r="Z348" s="10">
        <v>114635411281</v>
      </c>
      <c r="AA348" s="10">
        <v>38264604447</v>
      </c>
      <c r="AB348" s="10">
        <v>2694370762568</v>
      </c>
      <c r="AC348" s="10">
        <v>1799529892076</v>
      </c>
      <c r="AD348" s="46">
        <v>41.229704381741129</v>
      </c>
      <c r="AE348" s="10">
        <v>2143651334378</v>
      </c>
      <c r="AF348" s="10">
        <v>1956648250711</v>
      </c>
      <c r="AG348" s="10">
        <v>715260603576</v>
      </c>
      <c r="AH348" s="10">
        <v>0</v>
      </c>
      <c r="AI348" s="10">
        <v>69296954452</v>
      </c>
      <c r="AJ348" s="10">
        <v>0</v>
      </c>
      <c r="AK348" s="10">
        <v>1735393308</v>
      </c>
      <c r="AL348" s="11">
        <v>15</v>
      </c>
      <c r="AM348" s="10">
        <v>798858427204</v>
      </c>
      <c r="AN348" s="11">
        <v>55</v>
      </c>
      <c r="AO348" s="10">
        <v>1808270563589</v>
      </c>
      <c r="AP348" s="12">
        <v>14</v>
      </c>
      <c r="AQ348" s="10">
        <v>29490000000</v>
      </c>
      <c r="AR348" s="10">
        <v>61067826039</v>
      </c>
      <c r="AS348" s="10">
        <v>19339967585</v>
      </c>
      <c r="AT348" s="10">
        <v>41727858454</v>
      </c>
      <c r="AU348" s="13">
        <v>215.76</v>
      </c>
      <c r="AV348" s="10">
        <v>1290669284774</v>
      </c>
      <c r="AW348" s="10">
        <v>414313394418</v>
      </c>
      <c r="AX348" s="10">
        <v>495000740171</v>
      </c>
      <c r="AY348" s="10">
        <v>154876776753</v>
      </c>
      <c r="AZ348" s="10">
        <v>361871405823</v>
      </c>
      <c r="BA348" s="10">
        <v>456175647500</v>
      </c>
      <c r="BB348" s="10">
        <v>304322252356</v>
      </c>
      <c r="BC348" s="10">
        <v>1678403285061</v>
      </c>
      <c r="BD348" s="12">
        <v>59727</v>
      </c>
      <c r="BE348" s="10">
        <v>860356231738</v>
      </c>
      <c r="BF348" s="10">
        <v>361871405823</v>
      </c>
      <c r="BG348" s="10">
        <v>456175647500</v>
      </c>
      <c r="BH348" s="10">
        <v>1635014763497</v>
      </c>
      <c r="BI348" s="10">
        <v>508636570881</v>
      </c>
      <c r="BJ348" s="10">
        <v>48698293140</v>
      </c>
      <c r="BK348" s="10">
        <v>0</v>
      </c>
      <c r="BL348" s="10">
        <v>689042218438</v>
      </c>
      <c r="BM348" s="10">
        <v>0</v>
      </c>
      <c r="BN348" s="10">
        <v>0</v>
      </c>
      <c r="BO348" s="10">
        <v>0</v>
      </c>
    </row>
    <row r="349" spans="1:67" x14ac:dyDescent="0.25">
      <c r="A349" s="25" t="s">
        <v>391</v>
      </c>
      <c r="B349" s="9">
        <v>3402</v>
      </c>
      <c r="C349" s="9" t="s">
        <v>394</v>
      </c>
      <c r="D349" s="10">
        <v>1975284845000</v>
      </c>
      <c r="E349" s="10">
        <v>48665163436</v>
      </c>
      <c r="F349" s="10">
        <v>0</v>
      </c>
      <c r="G349" s="10">
        <v>0</v>
      </c>
      <c r="H349" s="10">
        <v>2023950008436</v>
      </c>
      <c r="I349" s="10">
        <v>134621685802</v>
      </c>
      <c r="J349" s="10">
        <v>1785377495</v>
      </c>
      <c r="K349" s="10">
        <v>1887542945139</v>
      </c>
      <c r="L349" s="10">
        <v>1653937502229</v>
      </c>
      <c r="M349" s="10">
        <v>370012506207</v>
      </c>
      <c r="N349" s="46">
        <v>22.371613540918972</v>
      </c>
      <c r="O349" s="10">
        <v>2003993033143</v>
      </c>
      <c r="P349" s="11">
        <v>117.96</v>
      </c>
      <c r="Q349" s="11">
        <v>106.17</v>
      </c>
      <c r="R349" s="11">
        <v>10.8</v>
      </c>
      <c r="S349" s="10">
        <v>2025785962223</v>
      </c>
      <c r="T349" s="10">
        <v>233438694080</v>
      </c>
      <c r="U349" s="10">
        <v>23015433234</v>
      </c>
      <c r="V349" s="10">
        <v>48787585647</v>
      </c>
      <c r="W349" s="10">
        <v>161635675199</v>
      </c>
      <c r="X349" s="10">
        <v>2259224656303</v>
      </c>
      <c r="Y349" s="10">
        <v>24500878760</v>
      </c>
      <c r="Z349" s="10">
        <v>119034688235</v>
      </c>
      <c r="AA349" s="10">
        <v>9227561644</v>
      </c>
      <c r="AB349" s="10">
        <v>2387486906182</v>
      </c>
      <c r="AC349" s="10">
        <v>1921919782381</v>
      </c>
      <c r="AD349" s="46">
        <v>17.550413758899168</v>
      </c>
      <c r="AE349" s="10">
        <v>1592523113575</v>
      </c>
      <c r="AF349" s="10">
        <v>1421993113575</v>
      </c>
      <c r="AG349" s="10">
        <v>475424638155</v>
      </c>
      <c r="AH349" s="10">
        <v>932639336</v>
      </c>
      <c r="AI349" s="10">
        <v>17520000000</v>
      </c>
      <c r="AJ349" s="10">
        <v>0</v>
      </c>
      <c r="AK349" s="10">
        <v>0</v>
      </c>
      <c r="AL349" s="11">
        <v>2</v>
      </c>
      <c r="AM349" s="10">
        <v>254000000000</v>
      </c>
      <c r="AN349" s="11">
        <v>19</v>
      </c>
      <c r="AO349" s="10">
        <v>170181009500</v>
      </c>
      <c r="AP349" s="12">
        <v>13</v>
      </c>
      <c r="AQ349" s="10">
        <v>31339556909</v>
      </c>
      <c r="AR349" s="10">
        <v>233438694080</v>
      </c>
      <c r="AS349" s="10">
        <v>10262002422</v>
      </c>
      <c r="AT349" s="10">
        <v>223176691658</v>
      </c>
      <c r="AU349" s="13">
        <v>2174.79</v>
      </c>
      <c r="AV349" s="10">
        <v>1102053774677</v>
      </c>
      <c r="AW349" s="10">
        <v>250664351910</v>
      </c>
      <c r="AX349" s="10">
        <v>644332032527</v>
      </c>
      <c r="AY349" s="10">
        <v>417916300241</v>
      </c>
      <c r="AZ349" s="10">
        <v>346813212232</v>
      </c>
      <c r="BA349" s="10">
        <v>566223300000</v>
      </c>
      <c r="BB349" s="10">
        <v>170314869174</v>
      </c>
      <c r="BC349" s="10">
        <v>2023950008436</v>
      </c>
      <c r="BD349" s="12">
        <v>54121</v>
      </c>
      <c r="BE349" s="10">
        <v>1110870659681</v>
      </c>
      <c r="BF349" s="10">
        <v>346813212232</v>
      </c>
      <c r="BG349" s="10">
        <v>566266136523</v>
      </c>
      <c r="BH349" s="10">
        <v>1085712837411</v>
      </c>
      <c r="BI349" s="10">
        <v>506810276164</v>
      </c>
      <c r="BJ349" s="10">
        <v>0</v>
      </c>
      <c r="BK349" s="10">
        <v>159022859552</v>
      </c>
      <c r="BL349" s="10">
        <v>315824318155</v>
      </c>
      <c r="BM349" s="10">
        <v>0</v>
      </c>
      <c r="BN349" s="10">
        <v>0</v>
      </c>
      <c r="BO349" s="10">
        <v>7292853622</v>
      </c>
    </row>
    <row r="350" spans="1:67" x14ac:dyDescent="0.25">
      <c r="A350" s="25" t="s">
        <v>391</v>
      </c>
      <c r="B350" s="9">
        <v>3403</v>
      </c>
      <c r="C350" s="9" t="s">
        <v>395</v>
      </c>
      <c r="D350" s="10">
        <v>2054595835928</v>
      </c>
      <c r="E350" s="10">
        <v>14558581868</v>
      </c>
      <c r="F350" s="10">
        <v>0</v>
      </c>
      <c r="G350" s="10">
        <v>0</v>
      </c>
      <c r="H350" s="10">
        <v>2069154417796</v>
      </c>
      <c r="I350" s="10">
        <v>128769013593</v>
      </c>
      <c r="J350" s="10">
        <v>869122885</v>
      </c>
      <c r="K350" s="10">
        <v>1939516281318</v>
      </c>
      <c r="L350" s="10">
        <v>1516814836207</v>
      </c>
      <c r="M350" s="10">
        <v>552339581589</v>
      </c>
      <c r="N350" s="46">
        <v>36.414436911113</v>
      </c>
      <c r="O350" s="10">
        <v>815757587551</v>
      </c>
      <c r="P350" s="11">
        <v>45.45</v>
      </c>
      <c r="Q350" s="11">
        <v>42.06</v>
      </c>
      <c r="R350" s="11">
        <v>1.36</v>
      </c>
      <c r="S350" s="10">
        <v>886912070400</v>
      </c>
      <c r="T350" s="10">
        <v>9917862813</v>
      </c>
      <c r="U350" s="10">
        <v>7325643667</v>
      </c>
      <c r="V350" s="10">
        <v>2415806249</v>
      </c>
      <c r="W350" s="10">
        <v>176412897</v>
      </c>
      <c r="X350" s="10">
        <v>896829933213</v>
      </c>
      <c r="Y350" s="10">
        <v>2860201029</v>
      </c>
      <c r="Z350" s="10">
        <v>43091523645</v>
      </c>
      <c r="AA350" s="10">
        <v>500000000</v>
      </c>
      <c r="AB350" s="10">
        <v>940421456858</v>
      </c>
      <c r="AC350" s="10">
        <v>702617134891</v>
      </c>
      <c r="AD350" s="46">
        <v>27.641341020259784</v>
      </c>
      <c r="AE350" s="10">
        <v>534667935503</v>
      </c>
      <c r="AF350" s="10">
        <v>534667935503</v>
      </c>
      <c r="AG350" s="10">
        <v>25850053152</v>
      </c>
      <c r="AH350" s="10">
        <v>0</v>
      </c>
      <c r="AI350" s="10">
        <v>17295671232</v>
      </c>
      <c r="AJ350" s="10">
        <v>0</v>
      </c>
      <c r="AK350" s="10">
        <v>0</v>
      </c>
      <c r="AL350" s="11">
        <v>0</v>
      </c>
      <c r="AM350" s="10">
        <v>0</v>
      </c>
      <c r="AN350" s="11">
        <v>2</v>
      </c>
      <c r="AO350" s="10">
        <v>37000000000</v>
      </c>
      <c r="AP350" s="12">
        <v>4</v>
      </c>
      <c r="AQ350" s="10">
        <v>32800000000</v>
      </c>
      <c r="AR350" s="10">
        <v>9917862813</v>
      </c>
      <c r="AS350" s="10">
        <v>9808365664</v>
      </c>
      <c r="AT350" s="10">
        <v>109497149</v>
      </c>
      <c r="AU350" s="13">
        <v>1.1200000000000001</v>
      </c>
      <c r="AV350" s="10">
        <v>324289823536</v>
      </c>
      <c r="AW350" s="10">
        <v>82741266605</v>
      </c>
      <c r="AX350" s="10">
        <v>300174155679</v>
      </c>
      <c r="AY350" s="10">
        <v>198915855186</v>
      </c>
      <c r="AZ350" s="10">
        <v>312520625063</v>
      </c>
      <c r="BA350" s="10">
        <v>1242985200000</v>
      </c>
      <c r="BB350" s="10">
        <v>179035393159</v>
      </c>
      <c r="BC350" s="10">
        <v>2069154417796</v>
      </c>
      <c r="BD350" s="12">
        <v>149951</v>
      </c>
      <c r="BE350" s="10">
        <v>513648592733</v>
      </c>
      <c r="BF350" s="10">
        <v>312350625063</v>
      </c>
      <c r="BG350" s="10">
        <v>1243155200000</v>
      </c>
      <c r="BH350" s="10">
        <v>391108243922</v>
      </c>
      <c r="BI350" s="10">
        <v>143559691581</v>
      </c>
      <c r="BJ350" s="10">
        <v>0</v>
      </c>
      <c r="BK350" s="10">
        <v>0</v>
      </c>
      <c r="BL350" s="10">
        <v>25850053152</v>
      </c>
      <c r="BM350" s="10">
        <v>0</v>
      </c>
      <c r="BN350" s="10">
        <v>0</v>
      </c>
      <c r="BO350" s="10">
        <v>0</v>
      </c>
    </row>
    <row r="351" spans="1:67" x14ac:dyDescent="0.25">
      <c r="A351" s="25" t="s">
        <v>391</v>
      </c>
      <c r="B351" s="9">
        <v>3404</v>
      </c>
      <c r="C351" s="9" t="s">
        <v>396</v>
      </c>
      <c r="D351" s="10">
        <v>1895783431503</v>
      </c>
      <c r="E351" s="10">
        <v>239638234310</v>
      </c>
      <c r="F351" s="10">
        <v>0</v>
      </c>
      <c r="G351" s="10">
        <v>0</v>
      </c>
      <c r="H351" s="10">
        <v>2135421665813</v>
      </c>
      <c r="I351" s="10">
        <v>160201224828</v>
      </c>
      <c r="J351" s="10">
        <v>1623330961</v>
      </c>
      <c r="K351" s="10">
        <v>1973597110024</v>
      </c>
      <c r="L351" s="10">
        <v>1670973192351</v>
      </c>
      <c r="M351" s="10">
        <v>464448473462</v>
      </c>
      <c r="N351" s="46">
        <v>27.795088250849641</v>
      </c>
      <c r="O351" s="10">
        <v>2769705598132</v>
      </c>
      <c r="P351" s="11">
        <v>149.52000000000001</v>
      </c>
      <c r="Q351" s="11">
        <v>140.34</v>
      </c>
      <c r="R351" s="11">
        <v>0.52</v>
      </c>
      <c r="S351" s="10">
        <v>3071115893257</v>
      </c>
      <c r="T351" s="10">
        <v>10053396986</v>
      </c>
      <c r="U351" s="10">
        <v>4677141275</v>
      </c>
      <c r="V351" s="10">
        <v>4866279787</v>
      </c>
      <c r="W351" s="10">
        <v>509975924</v>
      </c>
      <c r="X351" s="10">
        <v>3081169290243</v>
      </c>
      <c r="Y351" s="10">
        <v>6493228085</v>
      </c>
      <c r="Z351" s="10">
        <v>103153572554</v>
      </c>
      <c r="AA351" s="10">
        <v>8532024000</v>
      </c>
      <c r="AB351" s="10">
        <v>3192854886797</v>
      </c>
      <c r="AC351" s="10">
        <v>2613799321901</v>
      </c>
      <c r="AD351" s="46">
        <v>17.880866538831476</v>
      </c>
      <c r="AE351" s="10">
        <v>9468326772924</v>
      </c>
      <c r="AF351" s="10">
        <v>9216215677034</v>
      </c>
      <c r="AG351" s="10">
        <v>8089974964986</v>
      </c>
      <c r="AH351" s="10">
        <v>1838750000</v>
      </c>
      <c r="AI351" s="10">
        <v>51056873734</v>
      </c>
      <c r="AJ351" s="10">
        <v>0</v>
      </c>
      <c r="AK351" s="10">
        <v>0</v>
      </c>
      <c r="AL351" s="11">
        <v>18</v>
      </c>
      <c r="AM351" s="10">
        <v>7838642194636</v>
      </c>
      <c r="AN351" s="11">
        <v>27</v>
      </c>
      <c r="AO351" s="10">
        <v>2115047957460</v>
      </c>
      <c r="AP351" s="12">
        <v>37</v>
      </c>
      <c r="AQ351" s="10">
        <v>93928270178</v>
      </c>
      <c r="AR351" s="10">
        <v>10053396986</v>
      </c>
      <c r="AS351" s="10">
        <v>10574491828</v>
      </c>
      <c r="AT351" s="10">
        <v>-521094842</v>
      </c>
      <c r="AU351" s="13">
        <v>-4.93</v>
      </c>
      <c r="AV351" s="10">
        <v>8775921484945</v>
      </c>
      <c r="AW351" s="10">
        <v>135964081404</v>
      </c>
      <c r="AX351" s="10">
        <v>423032672492</v>
      </c>
      <c r="AY351" s="10">
        <v>271156104521</v>
      </c>
      <c r="AZ351" s="10">
        <v>466990854490</v>
      </c>
      <c r="BA351" s="10">
        <v>734603800000</v>
      </c>
      <c r="BB351" s="10">
        <v>267707828973</v>
      </c>
      <c r="BC351" s="10">
        <v>2135421665813</v>
      </c>
      <c r="BD351" s="12">
        <v>17557</v>
      </c>
      <c r="BE351" s="10">
        <v>933827011323</v>
      </c>
      <c r="BF351" s="10">
        <v>466990854490</v>
      </c>
      <c r="BG351" s="10">
        <v>734603800000</v>
      </c>
      <c r="BH351" s="10">
        <v>9092206430931</v>
      </c>
      <c r="BI351" s="10">
        <v>376120341993</v>
      </c>
      <c r="BJ351" s="10">
        <v>488138427216</v>
      </c>
      <c r="BK351" s="10">
        <v>0</v>
      </c>
      <c r="BL351" s="10">
        <v>7601836537770</v>
      </c>
      <c r="BM351" s="10">
        <v>0</v>
      </c>
      <c r="BN351" s="10">
        <v>0</v>
      </c>
      <c r="BO351" s="10">
        <v>1838750000</v>
      </c>
    </row>
    <row r="352" spans="1:67" x14ac:dyDescent="0.25">
      <c r="A352" s="25" t="s">
        <v>391</v>
      </c>
      <c r="B352" s="9">
        <v>3405</v>
      </c>
      <c r="C352" s="9" t="s">
        <v>397</v>
      </c>
      <c r="D352" s="10">
        <v>925754493489</v>
      </c>
      <c r="E352" s="10">
        <v>38360112475</v>
      </c>
      <c r="F352" s="10">
        <v>0</v>
      </c>
      <c r="G352" s="10">
        <v>0</v>
      </c>
      <c r="H352" s="10">
        <v>964114605964</v>
      </c>
      <c r="I352" s="10">
        <v>69963555152</v>
      </c>
      <c r="J352" s="10">
        <v>751704400</v>
      </c>
      <c r="K352" s="10">
        <v>893399346412</v>
      </c>
      <c r="L352" s="10">
        <v>831906113797</v>
      </c>
      <c r="M352" s="10">
        <v>132208492167</v>
      </c>
      <c r="N352" s="46">
        <v>15.892237113581453</v>
      </c>
      <c r="O352" s="10">
        <v>1434003528782</v>
      </c>
      <c r="P352" s="11">
        <v>171.63</v>
      </c>
      <c r="Q352" s="11">
        <v>160.51</v>
      </c>
      <c r="R352" s="11">
        <v>1.33</v>
      </c>
      <c r="S352" s="10">
        <v>1541531694710</v>
      </c>
      <c r="T352" s="10">
        <v>21641149483</v>
      </c>
      <c r="U352" s="10">
        <v>14626829339</v>
      </c>
      <c r="V352" s="10">
        <v>4833297283</v>
      </c>
      <c r="W352" s="10">
        <v>2181022861</v>
      </c>
      <c r="X352" s="10">
        <v>1563172844193</v>
      </c>
      <c r="Y352" s="10">
        <v>406167294</v>
      </c>
      <c r="Z352" s="10">
        <v>75991779301</v>
      </c>
      <c r="AA352" s="10">
        <v>15546917276</v>
      </c>
      <c r="AB352" s="10">
        <v>1654711540770</v>
      </c>
      <c r="AC352" s="10">
        <v>934284001991</v>
      </c>
      <c r="AD352" s="46">
        <v>67.312384763285081</v>
      </c>
      <c r="AE352" s="10">
        <v>1829773854084</v>
      </c>
      <c r="AF352" s="10">
        <v>1679615980151</v>
      </c>
      <c r="AG352" s="10">
        <v>280140993016</v>
      </c>
      <c r="AH352" s="10">
        <v>517027178400</v>
      </c>
      <c r="AI352" s="10">
        <v>12937770855</v>
      </c>
      <c r="AJ352" s="10">
        <v>0</v>
      </c>
      <c r="AK352" s="10">
        <v>0</v>
      </c>
      <c r="AL352" s="11">
        <v>3</v>
      </c>
      <c r="AM352" s="10">
        <v>231110000000</v>
      </c>
      <c r="AN352" s="11">
        <v>44</v>
      </c>
      <c r="AO352" s="10">
        <v>352557682357</v>
      </c>
      <c r="AP352" s="12">
        <v>56</v>
      </c>
      <c r="AQ352" s="10">
        <v>5384887071945</v>
      </c>
      <c r="AR352" s="10">
        <v>21641149483</v>
      </c>
      <c r="AS352" s="10">
        <v>12790353413</v>
      </c>
      <c r="AT352" s="10">
        <v>8850796070</v>
      </c>
      <c r="AU352" s="11">
        <v>69.2</v>
      </c>
      <c r="AV352" s="10">
        <v>1201874439425</v>
      </c>
      <c r="AW352" s="10">
        <v>478769812775</v>
      </c>
      <c r="AX352" s="10">
        <v>286047530230</v>
      </c>
      <c r="AY352" s="10">
        <v>212425736583</v>
      </c>
      <c r="AZ352" s="10">
        <v>144263726676</v>
      </c>
      <c r="BA352" s="10">
        <v>283017500000</v>
      </c>
      <c r="BB352" s="10">
        <v>93077916434</v>
      </c>
      <c r="BC352" s="10">
        <v>964114605964</v>
      </c>
      <c r="BD352" s="12">
        <v>46174</v>
      </c>
      <c r="BE352" s="10">
        <v>536833379288</v>
      </c>
      <c r="BF352" s="10">
        <v>144263726676</v>
      </c>
      <c r="BG352" s="10">
        <v>283017500000</v>
      </c>
      <c r="BH352" s="10">
        <v>1103737753704</v>
      </c>
      <c r="BI352" s="10">
        <v>726036100380</v>
      </c>
      <c r="BJ352" s="10">
        <v>0</v>
      </c>
      <c r="BK352" s="10">
        <v>0</v>
      </c>
      <c r="BL352" s="10">
        <v>280140993016</v>
      </c>
      <c r="BM352" s="10">
        <v>0</v>
      </c>
      <c r="BN352" s="10">
        <v>0</v>
      </c>
      <c r="BO352" s="10">
        <v>517027178400</v>
      </c>
    </row>
    <row r="353" spans="1:67" x14ac:dyDescent="0.25">
      <c r="A353" s="25" t="s">
        <v>391</v>
      </c>
      <c r="B353" s="9">
        <v>3406</v>
      </c>
      <c r="C353" s="9" t="s">
        <v>398</v>
      </c>
      <c r="D353" s="10">
        <v>1166415623813</v>
      </c>
      <c r="E353" s="10">
        <v>4443575773</v>
      </c>
      <c r="F353" s="10">
        <v>0</v>
      </c>
      <c r="G353" s="10">
        <v>0</v>
      </c>
      <c r="H353" s="10">
        <v>1170859199586</v>
      </c>
      <c r="I353" s="10">
        <v>92610841417</v>
      </c>
      <c r="J353" s="10">
        <v>1349259099</v>
      </c>
      <c r="K353" s="10">
        <v>1076899099070</v>
      </c>
      <c r="L353" s="10">
        <v>1051562771200</v>
      </c>
      <c r="M353" s="10">
        <v>119296428386</v>
      </c>
      <c r="N353" s="46">
        <v>11.344679714161414</v>
      </c>
      <c r="O353" s="10">
        <v>765853056947</v>
      </c>
      <c r="P353" s="11">
        <v>75.95</v>
      </c>
      <c r="Q353" s="11">
        <v>71.12</v>
      </c>
      <c r="R353" s="11">
        <v>4.83</v>
      </c>
      <c r="S353" s="10">
        <v>800623271831</v>
      </c>
      <c r="T353" s="10">
        <v>39969966971</v>
      </c>
      <c r="U353" s="10">
        <v>31490318986</v>
      </c>
      <c r="V353" s="10">
        <v>4680932582</v>
      </c>
      <c r="W353" s="10">
        <v>3798715403</v>
      </c>
      <c r="X353" s="10">
        <v>840593238802</v>
      </c>
      <c r="Y353" s="10">
        <v>2941522114</v>
      </c>
      <c r="Z353" s="10">
        <v>40293967742</v>
      </c>
      <c r="AA353" s="10">
        <v>8399560000</v>
      </c>
      <c r="AB353" s="10">
        <v>889286766544</v>
      </c>
      <c r="AC353" s="10">
        <v>630375552844</v>
      </c>
      <c r="AD353" s="46">
        <v>33.34800739171795</v>
      </c>
      <c r="AE353" s="10">
        <v>442660480752</v>
      </c>
      <c r="AF353" s="10">
        <v>442660480752</v>
      </c>
      <c r="AG353" s="10">
        <v>0</v>
      </c>
      <c r="AH353" s="10">
        <v>0</v>
      </c>
      <c r="AI353" s="10">
        <v>10202615598</v>
      </c>
      <c r="AJ353" s="10">
        <v>0</v>
      </c>
      <c r="AK353" s="10">
        <v>0</v>
      </c>
      <c r="AL353" s="11">
        <v>0</v>
      </c>
      <c r="AM353" s="10">
        <v>0</v>
      </c>
      <c r="AN353" s="11">
        <v>1</v>
      </c>
      <c r="AO353" s="10">
        <v>109980000</v>
      </c>
      <c r="AP353" s="12">
        <v>3</v>
      </c>
      <c r="AQ353" s="10">
        <v>1693150800</v>
      </c>
      <c r="AR353" s="10">
        <v>39969966971</v>
      </c>
      <c r="AS353" s="10">
        <v>19643459427</v>
      </c>
      <c r="AT353" s="10">
        <v>20326507544</v>
      </c>
      <c r="AU353" s="13">
        <v>103.48</v>
      </c>
      <c r="AV353" s="10">
        <v>248658356355</v>
      </c>
      <c r="AW353" s="10">
        <v>68013324373</v>
      </c>
      <c r="AX353" s="10">
        <v>161508044405</v>
      </c>
      <c r="AY353" s="10">
        <v>148897153578</v>
      </c>
      <c r="AZ353" s="10">
        <v>225833425830</v>
      </c>
      <c r="BA353" s="10">
        <v>630177000000</v>
      </c>
      <c r="BB353" s="10">
        <v>101651533055</v>
      </c>
      <c r="BC353" s="10">
        <v>1170859199586</v>
      </c>
      <c r="BD353" s="12">
        <v>78298</v>
      </c>
      <c r="BE353" s="10">
        <v>314848773756</v>
      </c>
      <c r="BF353" s="10">
        <v>225833425830</v>
      </c>
      <c r="BG353" s="10">
        <v>630177000000</v>
      </c>
      <c r="BH353" s="10">
        <v>275991595968</v>
      </c>
      <c r="BI353" s="10">
        <v>166668884784</v>
      </c>
      <c r="BJ353" s="10">
        <v>0</v>
      </c>
      <c r="BK353" s="10">
        <v>0</v>
      </c>
      <c r="BL353" s="10">
        <v>0</v>
      </c>
      <c r="BM353" s="10">
        <v>0</v>
      </c>
      <c r="BN353" s="10">
        <v>0</v>
      </c>
      <c r="BO353" s="10">
        <v>0</v>
      </c>
    </row>
    <row r="354" spans="1:67" x14ac:dyDescent="0.25">
      <c r="A354" s="25" t="s">
        <v>391</v>
      </c>
      <c r="B354" s="9">
        <v>3407</v>
      </c>
      <c r="C354" s="9" t="s">
        <v>399</v>
      </c>
      <c r="D354" s="10">
        <v>935342692341</v>
      </c>
      <c r="E354" s="10">
        <v>43012144609</v>
      </c>
      <c r="F354" s="10">
        <v>0</v>
      </c>
      <c r="G354" s="10">
        <v>0</v>
      </c>
      <c r="H354" s="10">
        <v>978354836950</v>
      </c>
      <c r="I354" s="10">
        <v>77277443130</v>
      </c>
      <c r="J354" s="10">
        <v>2685786607</v>
      </c>
      <c r="K354" s="10">
        <v>898391607213</v>
      </c>
      <c r="L354" s="10">
        <v>1040327030725</v>
      </c>
      <c r="M354" s="10">
        <v>-61972193775</v>
      </c>
      <c r="N354" s="46">
        <v>-5.9569915944423562</v>
      </c>
      <c r="O354" s="10">
        <v>4140206962898</v>
      </c>
      <c r="P354" s="11">
        <v>531.32000000000005</v>
      </c>
      <c r="Q354" s="11">
        <v>460.85</v>
      </c>
      <c r="R354" s="11">
        <v>0.06</v>
      </c>
      <c r="S354" s="10">
        <v>5064378418194</v>
      </c>
      <c r="T354" s="10">
        <v>2575138065</v>
      </c>
      <c r="U354" s="10">
        <v>2442593065</v>
      </c>
      <c r="V354" s="10">
        <v>132545000</v>
      </c>
      <c r="W354" s="10">
        <v>0</v>
      </c>
      <c r="X354" s="10">
        <v>5066953556259</v>
      </c>
      <c r="Y354" s="10">
        <v>556314932</v>
      </c>
      <c r="Z354" s="10">
        <v>123046637172</v>
      </c>
      <c r="AA354" s="10">
        <v>8194000000</v>
      </c>
      <c r="AB354" s="10">
        <v>5198194193431</v>
      </c>
      <c r="AC354" s="10">
        <v>2801823498943</v>
      </c>
      <c r="AD354" s="46">
        <v>80.844851867740061</v>
      </c>
      <c r="AE354" s="10">
        <v>3752616497111</v>
      </c>
      <c r="AF354" s="10">
        <v>3048356346606</v>
      </c>
      <c r="AG354" s="10">
        <v>874885543478</v>
      </c>
      <c r="AH354" s="10">
        <v>0</v>
      </c>
      <c r="AI354" s="10">
        <v>1860000010</v>
      </c>
      <c r="AJ354" s="10">
        <v>0</v>
      </c>
      <c r="AK354" s="10">
        <v>0</v>
      </c>
      <c r="AL354" s="11">
        <v>2</v>
      </c>
      <c r="AM354" s="10">
        <v>600671376668</v>
      </c>
      <c r="AN354" s="11">
        <v>10</v>
      </c>
      <c r="AO354" s="10">
        <v>285135474284</v>
      </c>
      <c r="AP354" s="12">
        <v>6</v>
      </c>
      <c r="AQ354" s="10">
        <v>101554800000</v>
      </c>
      <c r="AR354" s="10">
        <v>2575138065</v>
      </c>
      <c r="AS354" s="10">
        <v>3279058348</v>
      </c>
      <c r="AT354" s="10">
        <v>-703920283</v>
      </c>
      <c r="AU354" s="13">
        <v>-21.47</v>
      </c>
      <c r="AV354" s="10">
        <v>1560109999449</v>
      </c>
      <c r="AW354" s="10">
        <v>387917274109</v>
      </c>
      <c r="AX354" s="10">
        <v>297323608302</v>
      </c>
      <c r="AY354" s="10">
        <v>139314298303</v>
      </c>
      <c r="AZ354" s="10">
        <v>176002769298</v>
      </c>
      <c r="BA354" s="10">
        <v>322702016438</v>
      </c>
      <c r="BB354" s="10">
        <v>104501939780</v>
      </c>
      <c r="BC354" s="10">
        <v>978354836950</v>
      </c>
      <c r="BD354" s="12">
        <v>45676</v>
      </c>
      <c r="BE354" s="10">
        <v>479650051214</v>
      </c>
      <c r="BF354" s="10">
        <v>176002769298</v>
      </c>
      <c r="BG354" s="10">
        <v>322702016438</v>
      </c>
      <c r="BH354" s="10">
        <v>3321293020399</v>
      </c>
      <c r="BI354" s="10">
        <v>431323476712</v>
      </c>
      <c r="BJ354" s="10">
        <v>0</v>
      </c>
      <c r="BK354" s="10">
        <v>0</v>
      </c>
      <c r="BL354" s="10">
        <v>874885543478</v>
      </c>
      <c r="BM354" s="10">
        <v>0</v>
      </c>
      <c r="BN354" s="10">
        <v>0</v>
      </c>
      <c r="BO354" s="10">
        <v>0</v>
      </c>
    </row>
    <row r="355" spans="1:67" x14ac:dyDescent="0.25">
      <c r="A355" s="25" t="s">
        <v>391</v>
      </c>
      <c r="B355" s="9">
        <v>3408</v>
      </c>
      <c r="C355" s="9" t="s">
        <v>400</v>
      </c>
      <c r="D355" s="10">
        <v>1082970019699</v>
      </c>
      <c r="E355" s="10">
        <v>16363890513</v>
      </c>
      <c r="F355" s="10">
        <v>0</v>
      </c>
      <c r="G355" s="10">
        <v>0</v>
      </c>
      <c r="H355" s="10">
        <v>1099333910212</v>
      </c>
      <c r="I355" s="10">
        <v>79341863920</v>
      </c>
      <c r="J355" s="10">
        <v>263710260</v>
      </c>
      <c r="K355" s="10">
        <v>1019728336032</v>
      </c>
      <c r="L355" s="10">
        <v>479392003197</v>
      </c>
      <c r="M355" s="10">
        <v>619941907015</v>
      </c>
      <c r="N355" s="46">
        <v>129.31836636420547</v>
      </c>
      <c r="O355" s="10">
        <v>709195284165</v>
      </c>
      <c r="P355" s="11">
        <v>75.98</v>
      </c>
      <c r="Q355" s="11">
        <v>69.55</v>
      </c>
      <c r="R355" s="11">
        <v>4.16</v>
      </c>
      <c r="S355" s="10">
        <v>762704733411</v>
      </c>
      <c r="T355" s="10">
        <v>32771523241</v>
      </c>
      <c r="U355" s="10">
        <v>1315823855</v>
      </c>
      <c r="V355" s="10">
        <v>30787241847</v>
      </c>
      <c r="W355" s="10">
        <v>668457539</v>
      </c>
      <c r="X355" s="10">
        <v>795476256652</v>
      </c>
      <c r="Y355" s="10">
        <v>2005380469</v>
      </c>
      <c r="Z355" s="10">
        <v>34139938871</v>
      </c>
      <c r="AA355" s="10">
        <v>5662334000</v>
      </c>
      <c r="AB355" s="10">
        <v>835278529523</v>
      </c>
      <c r="AC355" s="10">
        <v>583994359003</v>
      </c>
      <c r="AD355" s="46">
        <v>36.213003497164536</v>
      </c>
      <c r="AE355" s="10">
        <v>415841350218</v>
      </c>
      <c r="AF355" s="10">
        <v>413481350218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1">
        <v>0</v>
      </c>
      <c r="AM355" s="10">
        <v>0</v>
      </c>
      <c r="AN355" s="11">
        <v>3</v>
      </c>
      <c r="AO355" s="10">
        <v>70259560000</v>
      </c>
      <c r="AP355" s="12">
        <v>8</v>
      </c>
      <c r="AQ355" s="10">
        <v>41985000000</v>
      </c>
      <c r="AR355" s="10">
        <v>32771523241</v>
      </c>
      <c r="AS355" s="10">
        <v>4537318260</v>
      </c>
      <c r="AT355" s="10">
        <v>28234204981</v>
      </c>
      <c r="AU355" s="11">
        <v>622.27</v>
      </c>
      <c r="AV355" s="10">
        <v>182778971350</v>
      </c>
      <c r="AW355" s="10">
        <v>42176224583</v>
      </c>
      <c r="AX355" s="10">
        <v>231082409886</v>
      </c>
      <c r="AY355" s="10">
        <v>220156046592</v>
      </c>
      <c r="AZ355" s="10">
        <v>202118563221</v>
      </c>
      <c r="BA355" s="10">
        <v>429613000000</v>
      </c>
      <c r="BB355" s="10">
        <v>97764705503</v>
      </c>
      <c r="BC355" s="10">
        <v>1099333910212</v>
      </c>
      <c r="BD355" s="12">
        <v>79443</v>
      </c>
      <c r="BE355" s="10">
        <v>466825657080</v>
      </c>
      <c r="BF355" s="10">
        <v>202118563221</v>
      </c>
      <c r="BG355" s="10">
        <v>430389689911</v>
      </c>
      <c r="BH355" s="10">
        <v>251587908825</v>
      </c>
      <c r="BI355" s="10">
        <v>164253441393</v>
      </c>
      <c r="BJ355" s="10">
        <v>0</v>
      </c>
      <c r="BK355" s="10">
        <v>0</v>
      </c>
      <c r="BL355" s="10">
        <v>0</v>
      </c>
      <c r="BM355" s="10">
        <v>0</v>
      </c>
      <c r="BN355" s="10">
        <v>0</v>
      </c>
      <c r="BO355" s="10">
        <v>0</v>
      </c>
    </row>
    <row r="356" spans="1:67" x14ac:dyDescent="0.25">
      <c r="A356" s="25" t="s">
        <v>391</v>
      </c>
      <c r="B356" s="9">
        <v>3409</v>
      </c>
      <c r="C356" s="9" t="s">
        <v>401</v>
      </c>
      <c r="D356" s="10">
        <v>1037852902369</v>
      </c>
      <c r="E356" s="10">
        <v>6251374393</v>
      </c>
      <c r="F356" s="10">
        <v>0</v>
      </c>
      <c r="G356" s="10">
        <v>0</v>
      </c>
      <c r="H356" s="10">
        <v>1044104276762</v>
      </c>
      <c r="I356" s="10">
        <v>82220658496</v>
      </c>
      <c r="J356" s="10">
        <v>1706822499</v>
      </c>
      <c r="K356" s="10">
        <v>960176795767</v>
      </c>
      <c r="L356" s="10">
        <v>913571044977</v>
      </c>
      <c r="M356" s="10">
        <v>130533231785</v>
      </c>
      <c r="N356" s="46">
        <v>14.288240909417866</v>
      </c>
      <c r="O356" s="10">
        <v>844685524736</v>
      </c>
      <c r="P356" s="11">
        <v>98.84</v>
      </c>
      <c r="Q356" s="11">
        <v>87.97</v>
      </c>
      <c r="R356" s="11">
        <v>1.61</v>
      </c>
      <c r="S356" s="10">
        <v>964143626806</v>
      </c>
      <c r="T356" s="10">
        <v>13833680015</v>
      </c>
      <c r="U356" s="10">
        <v>10044904813</v>
      </c>
      <c r="V356" s="10">
        <v>3788775202</v>
      </c>
      <c r="W356" s="10">
        <v>0</v>
      </c>
      <c r="X356" s="10">
        <v>977977306821</v>
      </c>
      <c r="Y356" s="10">
        <v>2740806563</v>
      </c>
      <c r="Z356" s="10">
        <v>46765851407</v>
      </c>
      <c r="AA356" s="10">
        <v>7299999999</v>
      </c>
      <c r="AB356" s="10">
        <v>1032043158227</v>
      </c>
      <c r="AC356" s="10">
        <v>578125856831</v>
      </c>
      <c r="AD356" s="46">
        <v>69.163391546226265</v>
      </c>
      <c r="AE356" s="10">
        <v>647703161156</v>
      </c>
      <c r="AF356" s="10">
        <v>647703161156</v>
      </c>
      <c r="AG356" s="10">
        <v>51633096065</v>
      </c>
      <c r="AH356" s="10">
        <v>0</v>
      </c>
      <c r="AI356" s="10">
        <v>26454940409</v>
      </c>
      <c r="AJ356" s="10">
        <v>0</v>
      </c>
      <c r="AK356" s="10">
        <v>0</v>
      </c>
      <c r="AL356" s="11">
        <v>2</v>
      </c>
      <c r="AM356" s="10">
        <v>60984142806</v>
      </c>
      <c r="AN356" s="11">
        <v>2</v>
      </c>
      <c r="AO356" s="10">
        <v>895000000</v>
      </c>
      <c r="AP356" s="12">
        <v>3</v>
      </c>
      <c r="AQ356" s="10">
        <v>1763863864</v>
      </c>
      <c r="AR356" s="10">
        <v>13833680015</v>
      </c>
      <c r="AS356" s="10">
        <v>36474310216</v>
      </c>
      <c r="AT356" s="10">
        <v>-22640630201</v>
      </c>
      <c r="AU356" s="11">
        <v>-62.07</v>
      </c>
      <c r="AV356" s="10">
        <v>323710827424</v>
      </c>
      <c r="AW356" s="10">
        <v>97156032116</v>
      </c>
      <c r="AX356" s="10">
        <v>177674082281</v>
      </c>
      <c r="AY356" s="10">
        <v>133012188345</v>
      </c>
      <c r="AZ356" s="10">
        <v>204665879387</v>
      </c>
      <c r="BA356" s="10">
        <v>522500752356</v>
      </c>
      <c r="BB356" s="10">
        <v>162358277100</v>
      </c>
      <c r="BC356" s="10">
        <v>1044104276762</v>
      </c>
      <c r="BD356" s="12">
        <v>35318</v>
      </c>
      <c r="BE356" s="10">
        <v>316937645019</v>
      </c>
      <c r="BF356" s="10">
        <v>204665879387</v>
      </c>
      <c r="BG356" s="10">
        <v>522500752356</v>
      </c>
      <c r="BH356" s="10">
        <v>588854231156</v>
      </c>
      <c r="BI356" s="10">
        <v>58848930000</v>
      </c>
      <c r="BJ356" s="10">
        <v>0</v>
      </c>
      <c r="BK356" s="10">
        <v>0</v>
      </c>
      <c r="BL356" s="10">
        <v>51633096065</v>
      </c>
      <c r="BM356" s="10">
        <v>0</v>
      </c>
      <c r="BN356" s="10">
        <v>0</v>
      </c>
      <c r="BO356" s="10">
        <v>0</v>
      </c>
    </row>
    <row r="357" spans="1:67" x14ac:dyDescent="0.25">
      <c r="A357" s="25" t="s">
        <v>391</v>
      </c>
      <c r="B357" s="9">
        <v>3410</v>
      </c>
      <c r="C357" s="9" t="s">
        <v>402</v>
      </c>
      <c r="D357" s="10">
        <v>772329003998</v>
      </c>
      <c r="E357" s="10">
        <v>10032579881</v>
      </c>
      <c r="F357" s="10">
        <v>0</v>
      </c>
      <c r="G357" s="10">
        <v>0</v>
      </c>
      <c r="H357" s="10">
        <v>782361583879</v>
      </c>
      <c r="I357" s="10">
        <v>56166018082</v>
      </c>
      <c r="J357" s="10">
        <v>2477792641</v>
      </c>
      <c r="K357" s="10">
        <v>723717773156</v>
      </c>
      <c r="L357" s="10">
        <v>815057038210</v>
      </c>
      <c r="M357" s="10">
        <v>-32695454331</v>
      </c>
      <c r="N357" s="46">
        <v>-4.0114314456819633</v>
      </c>
      <c r="O357" s="10">
        <v>566745678551</v>
      </c>
      <c r="P357" s="11">
        <v>81.680000000000007</v>
      </c>
      <c r="Q357" s="11">
        <v>78.31</v>
      </c>
      <c r="R357" s="11">
        <v>3.22</v>
      </c>
      <c r="S357" s="10">
        <v>576106385226</v>
      </c>
      <c r="T357" s="10">
        <v>19921238618</v>
      </c>
      <c r="U357" s="10">
        <v>15041282901</v>
      </c>
      <c r="V357" s="10">
        <v>4879955717</v>
      </c>
      <c r="W357" s="10">
        <v>0</v>
      </c>
      <c r="X357" s="10">
        <v>596027623844</v>
      </c>
      <c r="Y357" s="10">
        <v>672795687</v>
      </c>
      <c r="Z357" s="10">
        <v>33203482773</v>
      </c>
      <c r="AA357" s="10">
        <v>9800000000</v>
      </c>
      <c r="AB357" s="10">
        <v>639031106617</v>
      </c>
      <c r="AC357" s="10">
        <v>457648145975</v>
      </c>
      <c r="AD357" s="46">
        <v>30.237089145021745</v>
      </c>
      <c r="AE357" s="10">
        <v>349789559273</v>
      </c>
      <c r="AF357" s="10">
        <v>349789559273</v>
      </c>
      <c r="AG357" s="10">
        <v>0</v>
      </c>
      <c r="AH357" s="10">
        <v>0</v>
      </c>
      <c r="AI357" s="10">
        <v>5772661426</v>
      </c>
      <c r="AJ357" s="10">
        <v>0</v>
      </c>
      <c r="AK357" s="10">
        <v>0</v>
      </c>
      <c r="AL357" s="11">
        <v>0</v>
      </c>
      <c r="AM357" s="10">
        <v>0</v>
      </c>
      <c r="AN357" s="11">
        <v>22</v>
      </c>
      <c r="AO357" s="10">
        <v>184039979450</v>
      </c>
      <c r="AP357" s="12">
        <v>3</v>
      </c>
      <c r="AQ357" s="10">
        <v>13331666000</v>
      </c>
      <c r="AR357" s="10">
        <v>19921238618</v>
      </c>
      <c r="AS357" s="10">
        <v>9865194836</v>
      </c>
      <c r="AT357" s="10">
        <v>10056043782</v>
      </c>
      <c r="AU357" s="11">
        <v>101.93</v>
      </c>
      <c r="AV357" s="10">
        <v>218851779971</v>
      </c>
      <c r="AW357" s="10">
        <v>48056679918</v>
      </c>
      <c r="AX357" s="10">
        <v>67633021196</v>
      </c>
      <c r="AY357" s="10">
        <v>152223080180</v>
      </c>
      <c r="AZ357" s="10">
        <v>158707902622</v>
      </c>
      <c r="BA357" s="10">
        <v>393765000000</v>
      </c>
      <c r="BB357" s="10">
        <v>33037663686</v>
      </c>
      <c r="BC357" s="10">
        <v>782361583879</v>
      </c>
      <c r="BD357" s="12">
        <v>49642</v>
      </c>
      <c r="BE357" s="10">
        <v>229888681257</v>
      </c>
      <c r="BF357" s="10">
        <v>158707902622</v>
      </c>
      <c r="BG357" s="10">
        <v>393765000000</v>
      </c>
      <c r="BH357" s="10">
        <v>240681704273</v>
      </c>
      <c r="BI357" s="10">
        <v>109107855000</v>
      </c>
      <c r="BJ357" s="10">
        <v>0</v>
      </c>
      <c r="BK357" s="10">
        <v>0</v>
      </c>
      <c r="BL357" s="10">
        <v>0</v>
      </c>
      <c r="BM357" s="10">
        <v>0</v>
      </c>
      <c r="BN357" s="10">
        <v>0</v>
      </c>
      <c r="BO357" s="10">
        <v>0</v>
      </c>
    </row>
    <row r="358" spans="1:67" x14ac:dyDescent="0.25">
      <c r="A358" s="25" t="s">
        <v>391</v>
      </c>
      <c r="B358" s="9">
        <v>3411</v>
      </c>
      <c r="C358" s="9" t="s">
        <v>403</v>
      </c>
      <c r="D358" s="10">
        <v>1213170331914</v>
      </c>
      <c r="E358" s="10">
        <v>10143309644</v>
      </c>
      <c r="F358" s="10">
        <v>0</v>
      </c>
      <c r="G358" s="10">
        <v>0</v>
      </c>
      <c r="H358" s="10">
        <v>1223313641558</v>
      </c>
      <c r="I358" s="10">
        <v>87907255583</v>
      </c>
      <c r="J358" s="10">
        <v>2198520000</v>
      </c>
      <c r="K358" s="10">
        <v>1133207865975</v>
      </c>
      <c r="L358" s="10">
        <v>1007825290953</v>
      </c>
      <c r="M358" s="10">
        <v>215488350605</v>
      </c>
      <c r="N358" s="46">
        <v>21.381518457552708</v>
      </c>
      <c r="O358" s="10">
        <v>771220928762</v>
      </c>
      <c r="P358" s="11">
        <v>71.459999999999994</v>
      </c>
      <c r="Q358" s="11">
        <v>68.06</v>
      </c>
      <c r="R358" s="11">
        <v>1.51</v>
      </c>
      <c r="S358" s="10">
        <v>829114210215</v>
      </c>
      <c r="T358" s="10">
        <v>13197859926</v>
      </c>
      <c r="U358" s="10">
        <v>10462373992</v>
      </c>
      <c r="V358" s="10">
        <v>2497606681</v>
      </c>
      <c r="W358" s="10">
        <v>237879253</v>
      </c>
      <c r="X358" s="10">
        <v>842312070141</v>
      </c>
      <c r="Y358" s="10">
        <v>10363059</v>
      </c>
      <c r="Z358" s="10">
        <v>30495778774</v>
      </c>
      <c r="AA358" s="10">
        <v>1390000000</v>
      </c>
      <c r="AB358" s="10">
        <v>874197848915</v>
      </c>
      <c r="AC358" s="10">
        <v>587167867707</v>
      </c>
      <c r="AD358" s="46">
        <v>43.453365973581917</v>
      </c>
      <c r="AE358" s="10">
        <v>622198416527</v>
      </c>
      <c r="AF358" s="10">
        <v>622198416527</v>
      </c>
      <c r="AG358" s="10">
        <v>77045526045</v>
      </c>
      <c r="AH358" s="10">
        <v>0</v>
      </c>
      <c r="AI358" s="10">
        <v>0</v>
      </c>
      <c r="AJ358" s="10">
        <v>0</v>
      </c>
      <c r="AK358" s="10">
        <v>0</v>
      </c>
      <c r="AL358" s="11">
        <v>1</v>
      </c>
      <c r="AM358" s="10">
        <v>58448125780</v>
      </c>
      <c r="AN358" s="11">
        <v>6</v>
      </c>
      <c r="AO358" s="10">
        <v>65759007059</v>
      </c>
      <c r="AP358" s="12">
        <v>8</v>
      </c>
      <c r="AQ358" s="10">
        <v>52327600000</v>
      </c>
      <c r="AR358" s="10">
        <v>13197859926</v>
      </c>
      <c r="AS358" s="10">
        <v>16935879944</v>
      </c>
      <c r="AT358" s="10">
        <v>-3738020018</v>
      </c>
      <c r="AU358" s="11">
        <v>-22.07</v>
      </c>
      <c r="AV358" s="10">
        <v>392136290712</v>
      </c>
      <c r="AW358" s="10">
        <v>119750197019</v>
      </c>
      <c r="AX358" s="10">
        <v>89581282798</v>
      </c>
      <c r="AY358" s="10">
        <v>147257993323</v>
      </c>
      <c r="AZ358" s="10">
        <v>228388055793</v>
      </c>
      <c r="BA358" s="10">
        <v>747943000000</v>
      </c>
      <c r="BB358" s="10">
        <v>132201979658</v>
      </c>
      <c r="BC358" s="10">
        <v>1223313641558</v>
      </c>
      <c r="BD358" s="12">
        <v>44546</v>
      </c>
      <c r="BE358" s="10">
        <v>246514051101</v>
      </c>
      <c r="BF358" s="10">
        <v>228338055793</v>
      </c>
      <c r="BG358" s="10">
        <v>748461534664</v>
      </c>
      <c r="BH358" s="10">
        <v>543410056366</v>
      </c>
      <c r="BI358" s="10">
        <v>78788360161</v>
      </c>
      <c r="BJ358" s="10">
        <v>0</v>
      </c>
      <c r="BK358" s="10">
        <v>0</v>
      </c>
      <c r="BL358" s="10">
        <v>79545526045</v>
      </c>
      <c r="BM358" s="10">
        <v>0</v>
      </c>
      <c r="BN358" s="10">
        <v>0</v>
      </c>
      <c r="BO358" s="10">
        <v>0</v>
      </c>
    </row>
    <row r="359" spans="1:67" x14ac:dyDescent="0.25">
      <c r="A359" s="25" t="s">
        <v>391</v>
      </c>
      <c r="B359" s="9">
        <v>3412</v>
      </c>
      <c r="C359" s="9" t="s">
        <v>404</v>
      </c>
      <c r="D359" s="10">
        <v>673561169574</v>
      </c>
      <c r="E359" s="10">
        <v>16409813734</v>
      </c>
      <c r="F359" s="10">
        <v>0</v>
      </c>
      <c r="G359" s="10">
        <v>0</v>
      </c>
      <c r="H359" s="10">
        <v>689970983308</v>
      </c>
      <c r="I359" s="10">
        <v>51004833141</v>
      </c>
      <c r="J359" s="10">
        <v>1557478472</v>
      </c>
      <c r="K359" s="10">
        <v>637408671695</v>
      </c>
      <c r="L359" s="10">
        <v>563217424234</v>
      </c>
      <c r="M359" s="10">
        <v>126753559074</v>
      </c>
      <c r="N359" s="46">
        <v>22.505262376495242</v>
      </c>
      <c r="O359" s="10">
        <v>1168185330891</v>
      </c>
      <c r="P359" s="11">
        <v>198.62</v>
      </c>
      <c r="Q359" s="11">
        <v>183.27</v>
      </c>
      <c r="R359" s="11">
        <v>2.17</v>
      </c>
      <c r="S359" s="10">
        <v>1297638009992</v>
      </c>
      <c r="T359" s="10">
        <v>28749780555</v>
      </c>
      <c r="U359" s="10">
        <v>17578972817</v>
      </c>
      <c r="V359" s="10">
        <v>10172760044</v>
      </c>
      <c r="W359" s="10">
        <v>998047694</v>
      </c>
      <c r="X359" s="10">
        <v>1326387790547</v>
      </c>
      <c r="Y359" s="10">
        <v>1044681107</v>
      </c>
      <c r="Z359" s="10">
        <v>39851042229</v>
      </c>
      <c r="AA359" s="10">
        <v>4196902256</v>
      </c>
      <c r="AB359" s="10">
        <v>1370435735032</v>
      </c>
      <c r="AC359" s="10">
        <v>1086895192203</v>
      </c>
      <c r="AD359" s="46">
        <v>22.034562307574348</v>
      </c>
      <c r="AE359" s="10">
        <v>693173246619</v>
      </c>
      <c r="AF359" s="10">
        <v>560472996584</v>
      </c>
      <c r="AG359" s="10">
        <v>0</v>
      </c>
      <c r="AH359" s="10">
        <v>881100000</v>
      </c>
      <c r="AI359" s="10">
        <v>2785272450</v>
      </c>
      <c r="AJ359" s="10">
        <v>0</v>
      </c>
      <c r="AK359" s="10">
        <v>0</v>
      </c>
      <c r="AL359" s="11">
        <v>0</v>
      </c>
      <c r="AM359" s="10">
        <v>0</v>
      </c>
      <c r="AN359" s="11">
        <v>52</v>
      </c>
      <c r="AO359" s="10">
        <v>252987208729</v>
      </c>
      <c r="AP359" s="12">
        <v>48</v>
      </c>
      <c r="AQ359" s="10">
        <v>35824894092</v>
      </c>
      <c r="AR359" s="10">
        <v>28749780555</v>
      </c>
      <c r="AS359" s="10">
        <v>17292853129</v>
      </c>
      <c r="AT359" s="10">
        <v>11456927426</v>
      </c>
      <c r="AU359" s="11">
        <v>66.25</v>
      </c>
      <c r="AV359" s="10">
        <v>433123834813</v>
      </c>
      <c r="AW359" s="10">
        <v>229321106831</v>
      </c>
      <c r="AX359" s="10">
        <v>245528835683</v>
      </c>
      <c r="AY359" s="10">
        <v>84820130572</v>
      </c>
      <c r="AZ359" s="10">
        <v>232145103319</v>
      </c>
      <c r="BA359" s="10">
        <v>111067100000</v>
      </c>
      <c r="BB359" s="10">
        <v>172014186324</v>
      </c>
      <c r="BC359" s="10">
        <v>689970983308</v>
      </c>
      <c r="BD359" s="12">
        <v>39332</v>
      </c>
      <c r="BE359" s="10">
        <v>346758779989</v>
      </c>
      <c r="BF359" s="10">
        <v>232145103319</v>
      </c>
      <c r="BG359" s="10">
        <v>111067100000</v>
      </c>
      <c r="BH359" s="10">
        <v>500155494619</v>
      </c>
      <c r="BI359" s="10">
        <v>193017752000</v>
      </c>
      <c r="BJ359" s="10">
        <v>0</v>
      </c>
      <c r="BK359" s="10">
        <v>0</v>
      </c>
      <c r="BL359" s="10">
        <v>25908502206</v>
      </c>
      <c r="BM359" s="10">
        <v>0</v>
      </c>
      <c r="BN359" s="10">
        <v>0</v>
      </c>
      <c r="BO359" s="10">
        <v>881100000</v>
      </c>
    </row>
    <row r="360" spans="1:67" x14ac:dyDescent="0.25">
      <c r="A360" s="25" t="s">
        <v>391</v>
      </c>
      <c r="B360" s="9">
        <v>3413</v>
      </c>
      <c r="C360" s="9" t="s">
        <v>405</v>
      </c>
      <c r="D360" s="10">
        <v>945618596429</v>
      </c>
      <c r="E360" s="10">
        <v>4246162889</v>
      </c>
      <c r="F360" s="10">
        <v>0</v>
      </c>
      <c r="G360" s="10">
        <v>0</v>
      </c>
      <c r="H360" s="10">
        <v>949864759318</v>
      </c>
      <c r="I360" s="10">
        <v>74176158586</v>
      </c>
      <c r="J360" s="10">
        <v>1059238866</v>
      </c>
      <c r="K360" s="10">
        <v>874629361866</v>
      </c>
      <c r="L360" s="10">
        <v>900432945928</v>
      </c>
      <c r="M360" s="10">
        <v>49431813390</v>
      </c>
      <c r="N360" s="46">
        <v>5.489782844302173</v>
      </c>
      <c r="O360" s="10">
        <v>709058241902</v>
      </c>
      <c r="P360" s="11">
        <v>83.08</v>
      </c>
      <c r="Q360" s="11">
        <v>81.069999999999993</v>
      </c>
      <c r="R360" s="11">
        <v>1.84</v>
      </c>
      <c r="S360" s="10">
        <v>742212695951</v>
      </c>
      <c r="T360" s="10">
        <v>14071287890</v>
      </c>
      <c r="U360" s="10">
        <v>10025548096</v>
      </c>
      <c r="V360" s="10">
        <v>3639326374</v>
      </c>
      <c r="W360" s="10">
        <v>406413420</v>
      </c>
      <c r="X360" s="10">
        <v>756283983841</v>
      </c>
      <c r="Y360" s="10">
        <v>461049697</v>
      </c>
      <c r="Z360" s="10">
        <v>30887981454</v>
      </c>
      <c r="AA360" s="10">
        <v>1994493838</v>
      </c>
      <c r="AB360" s="10">
        <v>789166459133</v>
      </c>
      <c r="AC360" s="10">
        <v>580000966411</v>
      </c>
      <c r="AD360" s="46">
        <v>30.393573052270124</v>
      </c>
      <c r="AE360" s="10">
        <v>489060419181</v>
      </c>
      <c r="AF360" s="10">
        <v>489060419181</v>
      </c>
      <c r="AG360" s="10">
        <v>42088069103</v>
      </c>
      <c r="AH360" s="10">
        <v>0</v>
      </c>
      <c r="AI360" s="10">
        <v>2567514259</v>
      </c>
      <c r="AJ360" s="10">
        <v>0</v>
      </c>
      <c r="AK360" s="10">
        <v>0</v>
      </c>
      <c r="AL360" s="11">
        <v>0</v>
      </c>
      <c r="AM360" s="10">
        <v>0</v>
      </c>
      <c r="AN360" s="11">
        <v>1</v>
      </c>
      <c r="AO360" s="10">
        <v>12000000000</v>
      </c>
      <c r="AP360" s="12">
        <v>0</v>
      </c>
      <c r="AQ360" s="10">
        <v>0</v>
      </c>
      <c r="AR360" s="10">
        <v>14071287890</v>
      </c>
      <c r="AS360" s="10">
        <v>7006810745</v>
      </c>
      <c r="AT360" s="10">
        <v>7064477145</v>
      </c>
      <c r="AU360" s="13">
        <v>100.82</v>
      </c>
      <c r="AV360" s="10">
        <v>296919092389</v>
      </c>
      <c r="AW360" s="10">
        <v>111168546733</v>
      </c>
      <c r="AX360" s="10">
        <v>148357367412</v>
      </c>
      <c r="AY360" s="10">
        <v>153915307201</v>
      </c>
      <c r="AZ360" s="10">
        <v>216533921816</v>
      </c>
      <c r="BA360" s="10">
        <v>426812000000</v>
      </c>
      <c r="BB360" s="10">
        <v>94587353305</v>
      </c>
      <c r="BC360" s="10">
        <v>949864759318</v>
      </c>
      <c r="BD360" s="12">
        <v>138332</v>
      </c>
      <c r="BE360" s="10">
        <v>306516583306</v>
      </c>
      <c r="BF360" s="10">
        <v>216533921816</v>
      </c>
      <c r="BG360" s="10">
        <v>426814254196</v>
      </c>
      <c r="BH360" s="10">
        <v>262842158078</v>
      </c>
      <c r="BI360" s="10">
        <v>226218261103</v>
      </c>
      <c r="BJ360" s="10">
        <v>0</v>
      </c>
      <c r="BK360" s="10">
        <v>0</v>
      </c>
      <c r="BL360" s="10">
        <v>42088069103</v>
      </c>
      <c r="BM360" s="10">
        <v>0</v>
      </c>
      <c r="BN360" s="10">
        <v>0</v>
      </c>
      <c r="BO360" s="10">
        <v>0</v>
      </c>
    </row>
    <row r="361" spans="1:67" x14ac:dyDescent="0.25">
      <c r="A361" s="25" t="s">
        <v>391</v>
      </c>
      <c r="B361" s="9">
        <v>3414</v>
      </c>
      <c r="C361" s="9" t="s">
        <v>406</v>
      </c>
      <c r="D361" s="10">
        <v>1170842998681</v>
      </c>
      <c r="E361" s="10">
        <v>76391339829</v>
      </c>
      <c r="F361" s="10">
        <v>0</v>
      </c>
      <c r="G361" s="10">
        <v>0</v>
      </c>
      <c r="H361" s="10">
        <v>1247234338510</v>
      </c>
      <c r="I361" s="10">
        <v>89499253746</v>
      </c>
      <c r="J361" s="10">
        <v>5700150183</v>
      </c>
      <c r="K361" s="10">
        <v>1152034934581</v>
      </c>
      <c r="L361" s="10">
        <v>747760861904</v>
      </c>
      <c r="M361" s="10">
        <v>499473476606</v>
      </c>
      <c r="N361" s="46">
        <v>66.795883824971312</v>
      </c>
      <c r="O361" s="10">
        <v>1196926274616</v>
      </c>
      <c r="P361" s="11">
        <v>107.57</v>
      </c>
      <c r="Q361" s="11">
        <v>103.9</v>
      </c>
      <c r="R361" s="11">
        <v>1.66</v>
      </c>
      <c r="S361" s="10">
        <v>1250824024259</v>
      </c>
      <c r="T361" s="10">
        <v>19157597496</v>
      </c>
      <c r="U361" s="10">
        <v>14984602977</v>
      </c>
      <c r="V361" s="10">
        <v>2546169154</v>
      </c>
      <c r="W361" s="10">
        <v>1626825365</v>
      </c>
      <c r="X361" s="10">
        <v>1269981621755</v>
      </c>
      <c r="Y361" s="10">
        <v>3066013238</v>
      </c>
      <c r="Z361" s="10">
        <v>52905483451</v>
      </c>
      <c r="AA361" s="10">
        <v>18787849931</v>
      </c>
      <c r="AB361" s="10">
        <v>1341674955137</v>
      </c>
      <c r="AC361" s="10">
        <v>713303759701</v>
      </c>
      <c r="AD361" s="46">
        <v>78.04218812576373</v>
      </c>
      <c r="AE361" s="10">
        <v>2629769886588</v>
      </c>
      <c r="AF361" s="10">
        <v>2556975695731</v>
      </c>
      <c r="AG361" s="10">
        <v>1575892695338</v>
      </c>
      <c r="AH361" s="10">
        <v>0</v>
      </c>
      <c r="AI361" s="10">
        <v>29560593712</v>
      </c>
      <c r="AJ361" s="10">
        <v>0</v>
      </c>
      <c r="AK361" s="10">
        <v>0</v>
      </c>
      <c r="AL361" s="11">
        <v>26</v>
      </c>
      <c r="AM361" s="10">
        <v>2053354313739</v>
      </c>
      <c r="AN361" s="11">
        <v>1</v>
      </c>
      <c r="AO361" s="10">
        <v>480000000000</v>
      </c>
      <c r="AP361" s="12">
        <v>3</v>
      </c>
      <c r="AQ361" s="10">
        <v>22114904250</v>
      </c>
      <c r="AR361" s="10">
        <v>19157597496</v>
      </c>
      <c r="AS361" s="10">
        <v>14206609815</v>
      </c>
      <c r="AT361" s="10">
        <v>4950987681</v>
      </c>
      <c r="AU361" s="11">
        <v>34.85</v>
      </c>
      <c r="AV361" s="10">
        <v>2017473692535</v>
      </c>
      <c r="AW361" s="10">
        <v>389395059981</v>
      </c>
      <c r="AX361" s="10">
        <v>306689211609</v>
      </c>
      <c r="AY361" s="10">
        <v>183026123015</v>
      </c>
      <c r="AZ361" s="10">
        <v>230511664057</v>
      </c>
      <c r="BA361" s="10">
        <v>450616000000</v>
      </c>
      <c r="BB361" s="10">
        <v>90535325755</v>
      </c>
      <c r="BC361" s="10">
        <v>1247234338510</v>
      </c>
      <c r="BD361" s="12">
        <v>82644</v>
      </c>
      <c r="BE361" s="10">
        <v>565728210537</v>
      </c>
      <c r="BF361" s="10">
        <v>230511664057</v>
      </c>
      <c r="BG361" s="10">
        <v>450994463916</v>
      </c>
      <c r="BH361" s="10">
        <v>1629746694081</v>
      </c>
      <c r="BI361" s="10">
        <v>1000023192507</v>
      </c>
      <c r="BJ361" s="10">
        <v>0</v>
      </c>
      <c r="BK361" s="10">
        <v>0</v>
      </c>
      <c r="BL361" s="10">
        <v>1581649684964</v>
      </c>
      <c r="BM361" s="10">
        <v>0</v>
      </c>
      <c r="BN361" s="10">
        <v>0</v>
      </c>
      <c r="BO361" s="10">
        <v>0</v>
      </c>
    </row>
    <row r="362" spans="1:67" x14ac:dyDescent="0.25">
      <c r="A362" s="25" t="s">
        <v>391</v>
      </c>
      <c r="B362" s="9">
        <v>3415</v>
      </c>
      <c r="C362" s="9" t="s">
        <v>407</v>
      </c>
      <c r="D362" s="10">
        <v>1576349330833</v>
      </c>
      <c r="E362" s="10">
        <v>113973846233</v>
      </c>
      <c r="F362" s="10">
        <v>0</v>
      </c>
      <c r="G362" s="10">
        <v>0</v>
      </c>
      <c r="H362" s="10">
        <v>1690323177066</v>
      </c>
      <c r="I362" s="10">
        <v>84707678365</v>
      </c>
      <c r="J362" s="10">
        <v>2401511400</v>
      </c>
      <c r="K362" s="10">
        <v>1603213987301</v>
      </c>
      <c r="L362" s="10">
        <v>961013687782</v>
      </c>
      <c r="M362" s="10">
        <v>729309489284</v>
      </c>
      <c r="N362" s="46">
        <v>75.889604753417345</v>
      </c>
      <c r="O362" s="10">
        <v>897788324396</v>
      </c>
      <c r="P362" s="11">
        <v>59.44</v>
      </c>
      <c r="Q362" s="11">
        <v>56</v>
      </c>
      <c r="R362" s="11">
        <v>4.45</v>
      </c>
      <c r="S362" s="10">
        <v>908463319189</v>
      </c>
      <c r="T362" s="10">
        <v>41395990786</v>
      </c>
      <c r="U362" s="10">
        <v>928390786</v>
      </c>
      <c r="V362" s="10">
        <v>0</v>
      </c>
      <c r="W362" s="10">
        <v>40467600000</v>
      </c>
      <c r="X362" s="10">
        <v>949859309975</v>
      </c>
      <c r="Y362" s="10">
        <v>3289516965</v>
      </c>
      <c r="Z362" s="10">
        <v>46443982882</v>
      </c>
      <c r="AA362" s="10">
        <v>8500000000</v>
      </c>
      <c r="AB362" s="10">
        <v>1004803292857</v>
      </c>
      <c r="AC362" s="10">
        <v>914649388261</v>
      </c>
      <c r="AD362" s="46">
        <v>3.8495539565104551</v>
      </c>
      <c r="AE362" s="10">
        <v>676834647247</v>
      </c>
      <c r="AF362" s="10">
        <v>676834647247</v>
      </c>
      <c r="AG362" s="10">
        <v>80464400000</v>
      </c>
      <c r="AH362" s="10">
        <v>3200000000</v>
      </c>
      <c r="AI362" s="10">
        <v>6152940313</v>
      </c>
      <c r="AJ362" s="10">
        <v>0</v>
      </c>
      <c r="AK362" s="10">
        <v>0</v>
      </c>
      <c r="AL362" s="11">
        <v>1</v>
      </c>
      <c r="AM362" s="10">
        <v>50000000000</v>
      </c>
      <c r="AN362" s="11">
        <v>27</v>
      </c>
      <c r="AO362" s="10">
        <v>726303893080</v>
      </c>
      <c r="AP362" s="12">
        <v>4</v>
      </c>
      <c r="AQ362" s="10">
        <v>5730000000</v>
      </c>
      <c r="AR362" s="10">
        <v>41395990786</v>
      </c>
      <c r="AS362" s="10">
        <v>0</v>
      </c>
      <c r="AT362" s="10">
        <v>41395990786</v>
      </c>
      <c r="AU362" s="13" t="s">
        <v>593</v>
      </c>
      <c r="AV362" s="10">
        <v>611115340517</v>
      </c>
      <c r="AW362" s="10">
        <v>195101161522</v>
      </c>
      <c r="AX362" s="10">
        <v>333946693308</v>
      </c>
      <c r="AY362" s="10">
        <v>89838891993</v>
      </c>
      <c r="AZ362" s="10">
        <v>273962453150</v>
      </c>
      <c r="BA362" s="10">
        <v>878601292382</v>
      </c>
      <c r="BB362" s="10">
        <v>176577761409</v>
      </c>
      <c r="BC362" s="10">
        <v>1690323177066</v>
      </c>
      <c r="BD362" s="12">
        <v>129487</v>
      </c>
      <c r="BE362" s="10">
        <v>537351998936</v>
      </c>
      <c r="BF362" s="10">
        <v>273962453150</v>
      </c>
      <c r="BG362" s="10">
        <v>879008724980</v>
      </c>
      <c r="BH362" s="10">
        <v>567773633794</v>
      </c>
      <c r="BI362" s="10">
        <v>109061013453</v>
      </c>
      <c r="BJ362" s="10">
        <v>27494200000</v>
      </c>
      <c r="BK362" s="10">
        <v>40467600000</v>
      </c>
      <c r="BL362" s="10">
        <v>4999600000</v>
      </c>
      <c r="BM362" s="10">
        <v>0</v>
      </c>
      <c r="BN362" s="10">
        <v>0</v>
      </c>
      <c r="BO362" s="10">
        <v>3200000000</v>
      </c>
    </row>
    <row r="363" spans="1:67" x14ac:dyDescent="0.25">
      <c r="A363" s="25" t="s">
        <v>391</v>
      </c>
      <c r="B363" s="9">
        <v>3416</v>
      </c>
      <c r="C363" s="9" t="s">
        <v>408</v>
      </c>
      <c r="D363" s="10">
        <v>2542566874427</v>
      </c>
      <c r="E363" s="10">
        <v>248672123707</v>
      </c>
      <c r="F363" s="10">
        <v>0</v>
      </c>
      <c r="G363" s="10">
        <v>0</v>
      </c>
      <c r="H363" s="10">
        <v>2791238998134</v>
      </c>
      <c r="I363" s="10">
        <v>200917256767</v>
      </c>
      <c r="J363" s="10">
        <v>87659199312</v>
      </c>
      <c r="K363" s="10">
        <v>2502662542055</v>
      </c>
      <c r="L363" s="10">
        <v>2252780435300</v>
      </c>
      <c r="M363" s="10">
        <v>538458562834</v>
      </c>
      <c r="N363" s="46">
        <v>23.90195486415853</v>
      </c>
      <c r="O363" s="10">
        <v>4681089436204</v>
      </c>
      <c r="P363" s="11">
        <v>196.38</v>
      </c>
      <c r="Q363" s="11">
        <v>187.04</v>
      </c>
      <c r="R363" s="11">
        <v>2.0499999999999998</v>
      </c>
      <c r="S363" s="10">
        <v>5097359839308</v>
      </c>
      <c r="T363" s="10">
        <v>78387512064</v>
      </c>
      <c r="U363" s="10">
        <v>30782156262</v>
      </c>
      <c r="V363" s="10">
        <v>45936482340</v>
      </c>
      <c r="W363" s="10">
        <v>1668873462</v>
      </c>
      <c r="X363" s="10">
        <v>5175747351372</v>
      </c>
      <c r="Y363" s="10">
        <v>33991124133</v>
      </c>
      <c r="Z363" s="10">
        <v>272926686739</v>
      </c>
      <c r="AA363" s="10">
        <v>32747822800</v>
      </c>
      <c r="AB363" s="10">
        <v>5481421860911</v>
      </c>
      <c r="AC363" s="10">
        <v>2803599718625</v>
      </c>
      <c r="AD363" s="46">
        <v>84.610781524489468</v>
      </c>
      <c r="AE363" s="10">
        <v>7100676985160</v>
      </c>
      <c r="AF363" s="10">
        <v>7100676985160</v>
      </c>
      <c r="AG363" s="10">
        <v>4155362060308</v>
      </c>
      <c r="AH363" s="10">
        <v>180000000000</v>
      </c>
      <c r="AI363" s="10">
        <v>1033218425285</v>
      </c>
      <c r="AJ363" s="10">
        <v>0</v>
      </c>
      <c r="AK363" s="10">
        <v>0</v>
      </c>
      <c r="AL363" s="11">
        <v>29</v>
      </c>
      <c r="AM363" s="10">
        <v>4495693844980</v>
      </c>
      <c r="AN363" s="11">
        <v>215</v>
      </c>
      <c r="AO363" s="10">
        <v>1565095398021</v>
      </c>
      <c r="AP363" s="12">
        <v>93</v>
      </c>
      <c r="AQ363" s="10">
        <v>1053338319049</v>
      </c>
      <c r="AR363" s="10">
        <v>78387512064</v>
      </c>
      <c r="AS363" s="10">
        <v>36390048771</v>
      </c>
      <c r="AT363" s="10">
        <v>41997463293</v>
      </c>
      <c r="AU363" s="13">
        <v>115.41</v>
      </c>
      <c r="AV363" s="10">
        <v>5072088601342</v>
      </c>
      <c r="AW363" s="10">
        <v>2543016311569</v>
      </c>
      <c r="AX363" s="10">
        <v>645856934886</v>
      </c>
      <c r="AY363" s="10">
        <v>688702868516</v>
      </c>
      <c r="AZ363" s="10">
        <v>603502787605</v>
      </c>
      <c r="BA363" s="10">
        <v>604504283420</v>
      </c>
      <c r="BB363" s="10">
        <v>451993797840</v>
      </c>
      <c r="BC363" s="10">
        <v>2791238998134</v>
      </c>
      <c r="BD363" s="12">
        <v>80329</v>
      </c>
      <c r="BE363" s="10">
        <v>1560599011586</v>
      </c>
      <c r="BF363" s="10">
        <v>603502787605</v>
      </c>
      <c r="BG363" s="10">
        <v>627137198943</v>
      </c>
      <c r="BH363" s="10">
        <v>885555931054</v>
      </c>
      <c r="BI363" s="10">
        <v>6215121054106</v>
      </c>
      <c r="BJ363" s="10">
        <v>0</v>
      </c>
      <c r="BK363" s="10">
        <v>0</v>
      </c>
      <c r="BL363" s="10">
        <v>3499057077414</v>
      </c>
      <c r="BM363" s="10">
        <v>0</v>
      </c>
      <c r="BN363" s="10">
        <v>0</v>
      </c>
      <c r="BO363" s="10">
        <v>208754011800</v>
      </c>
    </row>
    <row r="364" spans="1:67" x14ac:dyDescent="0.25">
      <c r="A364" s="25" t="s">
        <v>391</v>
      </c>
      <c r="B364" s="9">
        <v>3417</v>
      </c>
      <c r="C364" s="9" t="s">
        <v>409</v>
      </c>
      <c r="D364" s="10">
        <v>1648007006451</v>
      </c>
      <c r="E364" s="10">
        <v>664861020904</v>
      </c>
      <c r="F364" s="10">
        <v>0</v>
      </c>
      <c r="G364" s="10">
        <v>0</v>
      </c>
      <c r="H364" s="10">
        <v>2312868027355</v>
      </c>
      <c r="I364" s="10">
        <v>177890080214</v>
      </c>
      <c r="J364" s="10">
        <v>1771364251</v>
      </c>
      <c r="K364" s="10">
        <v>2133206582890</v>
      </c>
      <c r="L364" s="10">
        <v>4040803446798</v>
      </c>
      <c r="M364" s="10">
        <v>-1727935419443</v>
      </c>
      <c r="N364" s="46">
        <v>-42.762174458454417</v>
      </c>
      <c r="O364" s="10">
        <v>6884877024161</v>
      </c>
      <c r="P364" s="11">
        <v>332.97</v>
      </c>
      <c r="Q364" s="11">
        <v>322.75</v>
      </c>
      <c r="R364" s="11">
        <v>2</v>
      </c>
      <c r="S364" s="10">
        <v>7313302495790</v>
      </c>
      <c r="T364" s="10">
        <v>134952770696</v>
      </c>
      <c r="U364" s="10">
        <v>35008124049</v>
      </c>
      <c r="V364" s="10">
        <v>4436966566</v>
      </c>
      <c r="W364" s="10">
        <v>95507680081</v>
      </c>
      <c r="X364" s="10">
        <v>7448255266486</v>
      </c>
      <c r="Y364" s="10">
        <v>18859954706</v>
      </c>
      <c r="Z364" s="10">
        <v>229925502357</v>
      </c>
      <c r="AA364" s="10">
        <v>23000000000</v>
      </c>
      <c r="AB364" s="10">
        <v>7701180768843</v>
      </c>
      <c r="AC364" s="10">
        <v>4648785081835</v>
      </c>
      <c r="AD364" s="46">
        <v>60.219393569942667</v>
      </c>
      <c r="AE364" s="10">
        <v>11462792567086</v>
      </c>
      <c r="AF364" s="10">
        <v>11316758764348</v>
      </c>
      <c r="AG364" s="10">
        <v>5201240322485</v>
      </c>
      <c r="AH364" s="10">
        <v>7952054</v>
      </c>
      <c r="AI364" s="10">
        <v>0</v>
      </c>
      <c r="AJ364" s="10">
        <v>0</v>
      </c>
      <c r="AK364" s="10">
        <v>0</v>
      </c>
      <c r="AL364" s="11">
        <v>22</v>
      </c>
      <c r="AM364" s="10">
        <v>6968999551578</v>
      </c>
      <c r="AN364" s="11">
        <v>42</v>
      </c>
      <c r="AO364" s="10">
        <v>343527191345</v>
      </c>
      <c r="AP364" s="12">
        <v>40</v>
      </c>
      <c r="AQ364" s="10">
        <v>4844557621600</v>
      </c>
      <c r="AR364" s="10">
        <v>134952770696</v>
      </c>
      <c r="AS364" s="10">
        <v>137299071224</v>
      </c>
      <c r="AT364" s="10">
        <v>-2346300528</v>
      </c>
      <c r="AU364" s="13">
        <v>-1.71</v>
      </c>
      <c r="AV364" s="10">
        <v>8593302057396</v>
      </c>
      <c r="AW364" s="10">
        <v>2852283315294</v>
      </c>
      <c r="AX364" s="10">
        <v>545304718069</v>
      </c>
      <c r="AY364" s="10">
        <v>186501736794</v>
      </c>
      <c r="AZ364" s="10">
        <v>546319251588</v>
      </c>
      <c r="BA364" s="10">
        <v>369881300000</v>
      </c>
      <c r="BB364" s="10">
        <v>284697368192</v>
      </c>
      <c r="BC364" s="10">
        <v>2312868027355</v>
      </c>
      <c r="BD364" s="12">
        <v>46588</v>
      </c>
      <c r="BE364" s="10">
        <v>1396667475767</v>
      </c>
      <c r="BF364" s="10">
        <v>546319251588</v>
      </c>
      <c r="BG364" s="10">
        <v>369881300000</v>
      </c>
      <c r="BH364" s="10">
        <v>7534851167798</v>
      </c>
      <c r="BI364" s="10">
        <v>3927941399288</v>
      </c>
      <c r="BJ364" s="10">
        <v>556265956113</v>
      </c>
      <c r="BK364" s="10">
        <v>0</v>
      </c>
      <c r="BL364" s="10">
        <v>4644974366372</v>
      </c>
      <c r="BM364" s="10">
        <v>0</v>
      </c>
      <c r="BN364" s="10">
        <v>0</v>
      </c>
      <c r="BO364" s="10">
        <v>7952054</v>
      </c>
    </row>
    <row r="365" spans="1:67" x14ac:dyDescent="0.25">
      <c r="A365" s="25" t="s">
        <v>391</v>
      </c>
      <c r="B365" s="9">
        <v>3418</v>
      </c>
      <c r="C365" s="9" t="s">
        <v>410</v>
      </c>
      <c r="D365" s="10">
        <v>3043599659239</v>
      </c>
      <c r="E365" s="10">
        <v>981489659415</v>
      </c>
      <c r="F365" s="10">
        <v>0</v>
      </c>
      <c r="G365" s="10">
        <v>0</v>
      </c>
      <c r="H365" s="10">
        <v>4025089318654</v>
      </c>
      <c r="I365" s="10">
        <v>205688840346</v>
      </c>
      <c r="J365" s="10">
        <v>2597985450</v>
      </c>
      <c r="K365" s="10">
        <v>3816802492858</v>
      </c>
      <c r="L365" s="10">
        <v>1881975804440</v>
      </c>
      <c r="M365" s="10">
        <v>2143113514214</v>
      </c>
      <c r="N365" s="46">
        <v>113.87572088641724</v>
      </c>
      <c r="O365" s="10">
        <v>3301559695617</v>
      </c>
      <c r="P365" s="11">
        <v>94.18</v>
      </c>
      <c r="Q365" s="11">
        <v>86.5</v>
      </c>
      <c r="R365" s="11">
        <v>0.24</v>
      </c>
      <c r="S365" s="10">
        <v>3606647698636</v>
      </c>
      <c r="T365" s="10">
        <v>7311863034</v>
      </c>
      <c r="U365" s="10">
        <v>4405786268</v>
      </c>
      <c r="V365" s="10">
        <v>2906076766</v>
      </c>
      <c r="W365" s="10">
        <v>0</v>
      </c>
      <c r="X365" s="10">
        <v>3613959561670</v>
      </c>
      <c r="Y365" s="10">
        <v>1751103238</v>
      </c>
      <c r="Z365" s="10">
        <v>156160303948</v>
      </c>
      <c r="AA365" s="10">
        <v>20893000000</v>
      </c>
      <c r="AB365" s="10">
        <v>3791012865618</v>
      </c>
      <c r="AC365" s="10">
        <v>1391608726303</v>
      </c>
      <c r="AD365" s="46">
        <v>159.69652915809033</v>
      </c>
      <c r="AE365" s="10">
        <v>8459497231450</v>
      </c>
      <c r="AF365" s="10">
        <v>8398529006920</v>
      </c>
      <c r="AG365" s="10">
        <v>2329032945533</v>
      </c>
      <c r="AH365" s="10">
        <v>3209838080000</v>
      </c>
      <c r="AI365" s="10">
        <v>51487000000</v>
      </c>
      <c r="AJ365" s="10">
        <v>0</v>
      </c>
      <c r="AK365" s="10">
        <v>0</v>
      </c>
      <c r="AL365" s="11">
        <v>30</v>
      </c>
      <c r="AM365" s="10">
        <v>5854066516890</v>
      </c>
      <c r="AN365" s="11">
        <v>37</v>
      </c>
      <c r="AO365" s="10">
        <v>3500244126005</v>
      </c>
      <c r="AP365" s="12">
        <v>21</v>
      </c>
      <c r="AQ365" s="10">
        <v>5621624569308</v>
      </c>
      <c r="AR365" s="10">
        <v>7311863034</v>
      </c>
      <c r="AS365" s="10">
        <v>8748388468</v>
      </c>
      <c r="AT365" s="10">
        <v>-1436525434</v>
      </c>
      <c r="AU365" s="11">
        <v>-16.420000000000002</v>
      </c>
      <c r="AV365" s="10">
        <v>6553135363191</v>
      </c>
      <c r="AW365" s="10">
        <v>1087907834722</v>
      </c>
      <c r="AX365" s="10">
        <v>111027580789</v>
      </c>
      <c r="AY365" s="10">
        <v>161713251390</v>
      </c>
      <c r="AZ365" s="10">
        <v>1832118662680</v>
      </c>
      <c r="BA365" s="10">
        <v>938740164380</v>
      </c>
      <c r="BB365" s="10">
        <v>1774173746427</v>
      </c>
      <c r="BC365" s="10">
        <v>4025089318654</v>
      </c>
      <c r="BD365" s="12">
        <v>109980</v>
      </c>
      <c r="BE365" s="10">
        <v>1254230491594</v>
      </c>
      <c r="BF365" s="10">
        <v>1832118662680</v>
      </c>
      <c r="BG365" s="10">
        <v>938740164380</v>
      </c>
      <c r="BH365" s="10">
        <v>7907267235617</v>
      </c>
      <c r="BI365" s="10">
        <v>552229995833</v>
      </c>
      <c r="BJ365" s="10">
        <v>35008540000</v>
      </c>
      <c r="BK365" s="10">
        <v>0</v>
      </c>
      <c r="BL365" s="10">
        <v>2314023185533</v>
      </c>
      <c r="BM365" s="10">
        <v>0</v>
      </c>
      <c r="BN365" s="10">
        <v>0</v>
      </c>
      <c r="BO365" s="10">
        <v>3401838080000</v>
      </c>
    </row>
    <row r="366" spans="1:67" x14ac:dyDescent="0.25">
      <c r="A366" s="25" t="s">
        <v>391</v>
      </c>
      <c r="B366" s="14">
        <v>3419</v>
      </c>
      <c r="C366" s="14" t="s">
        <v>411</v>
      </c>
      <c r="D366" s="15">
        <v>500485845750</v>
      </c>
      <c r="E366" s="15">
        <v>54467388785</v>
      </c>
      <c r="F366" s="15">
        <v>0</v>
      </c>
      <c r="G366" s="15">
        <v>0</v>
      </c>
      <c r="H366" s="15">
        <v>554953234535</v>
      </c>
      <c r="I366" s="15">
        <v>42022680591</v>
      </c>
      <c r="J366" s="15">
        <v>1377865343</v>
      </c>
      <c r="K366" s="15">
        <v>511552688601</v>
      </c>
      <c r="L366" s="15">
        <v>691669621584</v>
      </c>
      <c r="M366" s="15">
        <v>-136716387049</v>
      </c>
      <c r="N366" s="48">
        <v>-19.766140189286375</v>
      </c>
      <c r="O366" s="15">
        <v>792125446978</v>
      </c>
      <c r="P366" s="16">
        <v>155.38999999999999</v>
      </c>
      <c r="Q366" s="16">
        <v>154.85</v>
      </c>
      <c r="R366" s="16">
        <v>1.95</v>
      </c>
      <c r="S366" s="15">
        <v>758073615034</v>
      </c>
      <c r="T366" s="15">
        <v>15701614323</v>
      </c>
      <c r="U366" s="15">
        <v>9905346083</v>
      </c>
      <c r="V366" s="15">
        <v>4724978811</v>
      </c>
      <c r="W366" s="15">
        <v>1071289429</v>
      </c>
      <c r="X366" s="15">
        <v>773775229357</v>
      </c>
      <c r="Y366" s="10">
        <v>1156760991</v>
      </c>
      <c r="Z366" s="15">
        <v>72416973664</v>
      </c>
      <c r="AA366" s="15">
        <v>16168453335</v>
      </c>
      <c r="AB366" s="15">
        <v>862360656356</v>
      </c>
      <c r="AC366" s="15">
        <v>667221600939</v>
      </c>
      <c r="AD366" s="46">
        <v>15.969751019458009</v>
      </c>
      <c r="AE366" s="15">
        <v>509349014036</v>
      </c>
      <c r="AF366" s="15">
        <v>509349014036</v>
      </c>
      <c r="AG366" s="15">
        <v>9542926366</v>
      </c>
      <c r="AH366" s="15">
        <v>0</v>
      </c>
      <c r="AI366" s="15">
        <v>4429871132</v>
      </c>
      <c r="AJ366" s="15">
        <v>118400000000</v>
      </c>
      <c r="AK366" s="15">
        <v>0</v>
      </c>
      <c r="AL366" s="16">
        <v>0</v>
      </c>
      <c r="AM366" s="15">
        <v>0</v>
      </c>
      <c r="AN366" s="16">
        <v>15</v>
      </c>
      <c r="AO366" s="15">
        <v>330166646985</v>
      </c>
      <c r="AP366" s="12">
        <v>8</v>
      </c>
      <c r="AQ366" s="10">
        <v>10645577269</v>
      </c>
      <c r="AR366" s="15">
        <v>15701614323</v>
      </c>
      <c r="AS366" s="15">
        <v>8022158436</v>
      </c>
      <c r="AT366" s="15">
        <v>7679455887</v>
      </c>
      <c r="AU366" s="16">
        <v>95.73</v>
      </c>
      <c r="AV366" s="15">
        <v>493802772249</v>
      </c>
      <c r="AW366" s="15">
        <v>39959476021</v>
      </c>
      <c r="AX366" s="15">
        <v>165664158320</v>
      </c>
      <c r="AY366" s="15">
        <v>67025949139</v>
      </c>
      <c r="AZ366" s="15">
        <v>88900138291</v>
      </c>
      <c r="BA366" s="15">
        <v>178895600000</v>
      </c>
      <c r="BB366" s="15">
        <v>52828953664</v>
      </c>
      <c r="BC366" s="15">
        <v>554953234535</v>
      </c>
      <c r="BD366" s="17">
        <v>118682</v>
      </c>
      <c r="BE366" s="15">
        <v>287157496244</v>
      </c>
      <c r="BF366" s="15">
        <v>88900138291</v>
      </c>
      <c r="BG366" s="15">
        <v>178895600000</v>
      </c>
      <c r="BH366" s="15">
        <v>457869087672</v>
      </c>
      <c r="BI366" s="15">
        <v>51479926364</v>
      </c>
      <c r="BJ366" s="15">
        <v>0</v>
      </c>
      <c r="BK366" s="15">
        <v>0</v>
      </c>
      <c r="BL366" s="15">
        <v>9542926366</v>
      </c>
      <c r="BM366" s="15">
        <v>0</v>
      </c>
      <c r="BN366" s="15">
        <v>0</v>
      </c>
      <c r="BO366" s="15">
        <v>0</v>
      </c>
    </row>
    <row r="367" spans="1:67" x14ac:dyDescent="0.25">
      <c r="A367" s="25" t="s">
        <v>391</v>
      </c>
      <c r="B367" s="26">
        <v>3420</v>
      </c>
      <c r="C367" s="26" t="s">
        <v>412</v>
      </c>
      <c r="D367" s="27">
        <v>2071765321852</v>
      </c>
      <c r="E367" s="27">
        <v>309868362906</v>
      </c>
      <c r="F367" s="27">
        <v>0</v>
      </c>
      <c r="G367" s="27">
        <v>0</v>
      </c>
      <c r="H367" s="27">
        <v>2381633684758</v>
      </c>
      <c r="I367" s="27">
        <v>141081045448</v>
      </c>
      <c r="J367" s="27">
        <v>1624003623</v>
      </c>
      <c r="K367" s="27">
        <v>2238928635687</v>
      </c>
      <c r="L367" s="27">
        <v>1479980404486</v>
      </c>
      <c r="M367" s="10">
        <v>901653280272</v>
      </c>
      <c r="N367" s="46">
        <v>60.923325575053532</v>
      </c>
      <c r="O367" s="27">
        <v>2939731624519</v>
      </c>
      <c r="P367" s="28">
        <v>135.97999999999999</v>
      </c>
      <c r="Q367" s="28">
        <v>131.30000000000001</v>
      </c>
      <c r="R367" s="28">
        <v>14.74</v>
      </c>
      <c r="S367" s="27">
        <v>2652298116068</v>
      </c>
      <c r="T367" s="27">
        <v>448534946287</v>
      </c>
      <c r="U367" s="27">
        <v>32844839885</v>
      </c>
      <c r="V367" s="27">
        <v>9570266810</v>
      </c>
      <c r="W367" s="27">
        <v>406119839592</v>
      </c>
      <c r="X367" s="27">
        <v>3100833062355</v>
      </c>
      <c r="Y367" s="10">
        <v>28837691766</v>
      </c>
      <c r="Z367" s="27">
        <v>127973673404</v>
      </c>
      <c r="AA367" s="27">
        <v>9699005547</v>
      </c>
      <c r="AB367" s="27">
        <v>3238505741306</v>
      </c>
      <c r="AC367" s="27">
        <v>1925503830076</v>
      </c>
      <c r="AD367" s="46">
        <v>61.040087997779239</v>
      </c>
      <c r="AE367" s="27">
        <v>3056771376491</v>
      </c>
      <c r="AF367" s="27">
        <v>3056771376491</v>
      </c>
      <c r="AG367" s="27">
        <v>1848250941892</v>
      </c>
      <c r="AH367" s="27">
        <v>42473939876</v>
      </c>
      <c r="AI367" s="27">
        <v>239812666675</v>
      </c>
      <c r="AJ367" s="27">
        <v>0</v>
      </c>
      <c r="AK367" s="27">
        <v>0</v>
      </c>
      <c r="AL367" s="28">
        <v>13</v>
      </c>
      <c r="AM367" s="27">
        <v>2954858466613</v>
      </c>
      <c r="AN367" s="28">
        <v>40</v>
      </c>
      <c r="AO367" s="27">
        <v>1436344641674</v>
      </c>
      <c r="AP367" s="12">
        <v>51</v>
      </c>
      <c r="AQ367" s="10">
        <v>98503446785</v>
      </c>
      <c r="AR367" s="27">
        <v>448534946287</v>
      </c>
      <c r="AS367" s="27">
        <v>26218233410</v>
      </c>
      <c r="AT367" s="27">
        <v>422316712877</v>
      </c>
      <c r="AU367" s="43">
        <v>1610.77</v>
      </c>
      <c r="AV367" s="27">
        <v>2135639091622</v>
      </c>
      <c r="AW367" s="27">
        <v>1061094887836</v>
      </c>
      <c r="AX367" s="27">
        <v>794072859042</v>
      </c>
      <c r="AY367" s="27">
        <v>105565455363</v>
      </c>
      <c r="AZ367" s="27">
        <v>275629007447</v>
      </c>
      <c r="BA367" s="27">
        <v>896498000000</v>
      </c>
      <c r="BB367" s="27">
        <v>138084711282</v>
      </c>
      <c r="BC367" s="27">
        <v>2381633684758</v>
      </c>
      <c r="BD367" s="29">
        <v>58899</v>
      </c>
      <c r="BE367" s="27">
        <v>1209506677311</v>
      </c>
      <c r="BF367" s="27">
        <v>275629007447</v>
      </c>
      <c r="BG367" s="27">
        <v>896498000000</v>
      </c>
      <c r="BH367" s="27">
        <v>1161300321036</v>
      </c>
      <c r="BI367" s="27">
        <v>1895471055455</v>
      </c>
      <c r="BJ367" s="27">
        <v>0</v>
      </c>
      <c r="BK367" s="27">
        <v>399002000996</v>
      </c>
      <c r="BL367" s="27">
        <v>1398839218218</v>
      </c>
      <c r="BM367" s="27">
        <v>0</v>
      </c>
      <c r="BN367" s="27">
        <v>0</v>
      </c>
      <c r="BO367" s="27">
        <v>42473939876</v>
      </c>
    </row>
    <row r="368" spans="1:67" x14ac:dyDescent="0.25">
      <c r="A368" s="25" t="s">
        <v>391</v>
      </c>
      <c r="B368" s="9">
        <v>3421</v>
      </c>
      <c r="C368" s="9" t="s">
        <v>413</v>
      </c>
      <c r="D368" s="10">
        <v>793820040178</v>
      </c>
      <c r="E368" s="10">
        <v>14370624672</v>
      </c>
      <c r="F368" s="10">
        <v>0</v>
      </c>
      <c r="G368" s="10">
        <v>0</v>
      </c>
      <c r="H368" s="10">
        <v>808190664850</v>
      </c>
      <c r="I368" s="10">
        <v>50479844436</v>
      </c>
      <c r="J368" s="10">
        <v>3031400800</v>
      </c>
      <c r="K368" s="10">
        <v>754679419614</v>
      </c>
      <c r="L368" s="10">
        <v>519619735168</v>
      </c>
      <c r="M368" s="10">
        <v>288570929682</v>
      </c>
      <c r="N368" s="46">
        <v>55.535021122456243</v>
      </c>
      <c r="O368" s="10">
        <v>2116819810177</v>
      </c>
      <c r="P368" s="11">
        <v>298.24</v>
      </c>
      <c r="Q368" s="11">
        <v>280.49</v>
      </c>
      <c r="R368" s="11">
        <v>4.59</v>
      </c>
      <c r="S368" s="10">
        <v>2245925058912</v>
      </c>
      <c r="T368" s="10">
        <v>109971230363</v>
      </c>
      <c r="U368" s="10">
        <v>65172885161</v>
      </c>
      <c r="V368" s="10">
        <v>29053987005</v>
      </c>
      <c r="W368" s="10">
        <v>15744358197</v>
      </c>
      <c r="X368" s="10">
        <v>2355896289275</v>
      </c>
      <c r="Y368" s="10">
        <v>697755908</v>
      </c>
      <c r="Z368" s="10">
        <v>45447546677</v>
      </c>
      <c r="AA368" s="10">
        <v>9000000000</v>
      </c>
      <c r="AB368" s="10">
        <v>2410343835952</v>
      </c>
      <c r="AC368" s="10">
        <v>739642662975</v>
      </c>
      <c r="AD368" s="46">
        <v>218.51817197767963</v>
      </c>
      <c r="AE368" s="10">
        <v>3550247553275</v>
      </c>
      <c r="AF368" s="10">
        <v>3550247553275</v>
      </c>
      <c r="AG368" s="10">
        <v>2154381680177</v>
      </c>
      <c r="AH368" s="10">
        <v>0</v>
      </c>
      <c r="AI368" s="10">
        <v>8294528645</v>
      </c>
      <c r="AJ368" s="10">
        <v>0</v>
      </c>
      <c r="AK368" s="10">
        <v>0</v>
      </c>
      <c r="AL368" s="11">
        <v>4</v>
      </c>
      <c r="AM368" s="10">
        <v>1713700000000</v>
      </c>
      <c r="AN368" s="11">
        <v>0</v>
      </c>
      <c r="AO368" s="10">
        <v>0</v>
      </c>
      <c r="AP368" s="12">
        <v>0</v>
      </c>
      <c r="AQ368" s="10">
        <v>0</v>
      </c>
      <c r="AR368" s="10">
        <v>109971230363</v>
      </c>
      <c r="AS368" s="10">
        <v>17047620830</v>
      </c>
      <c r="AT368" s="10">
        <v>92923609533</v>
      </c>
      <c r="AU368" s="13">
        <v>545.08000000000004</v>
      </c>
      <c r="AV368" s="10">
        <v>2103632883168</v>
      </c>
      <c r="AW368" s="10">
        <v>1069292992747</v>
      </c>
      <c r="AX368" s="10">
        <v>96434198855</v>
      </c>
      <c r="AY368" s="10">
        <v>124577750768</v>
      </c>
      <c r="AZ368" s="10">
        <v>133643090555</v>
      </c>
      <c r="BA368" s="10">
        <v>439165000000</v>
      </c>
      <c r="BB368" s="10">
        <v>124011000347</v>
      </c>
      <c r="BC368" s="10">
        <v>808190664850</v>
      </c>
      <c r="BD368" s="12">
        <v>33810</v>
      </c>
      <c r="BE368" s="10">
        <v>235382574295</v>
      </c>
      <c r="BF368" s="10">
        <v>133643090555</v>
      </c>
      <c r="BG368" s="10">
        <v>439165000000</v>
      </c>
      <c r="BH368" s="10">
        <v>3498528033275</v>
      </c>
      <c r="BI368" s="10">
        <v>51719520000</v>
      </c>
      <c r="BJ368" s="10">
        <v>369684244167</v>
      </c>
      <c r="BK368" s="10">
        <v>15253994900</v>
      </c>
      <c r="BL368" s="10">
        <v>1920466339534</v>
      </c>
      <c r="BM368" s="10">
        <v>0</v>
      </c>
      <c r="BN368" s="10">
        <v>0</v>
      </c>
      <c r="BO368" s="10">
        <v>0</v>
      </c>
    </row>
    <row r="369" spans="1:67" x14ac:dyDescent="0.25">
      <c r="A369" s="25" t="s">
        <v>391</v>
      </c>
      <c r="B369" s="9">
        <v>3499</v>
      </c>
      <c r="C369" s="9" t="s">
        <v>414</v>
      </c>
      <c r="D369" s="10">
        <v>0</v>
      </c>
      <c r="E369" s="10">
        <v>3846786614</v>
      </c>
      <c r="F369" s="10">
        <v>0</v>
      </c>
      <c r="G369" s="10">
        <v>0</v>
      </c>
      <c r="H369" s="10">
        <v>3846786614</v>
      </c>
      <c r="I369" s="10">
        <v>314834663</v>
      </c>
      <c r="J369" s="10">
        <v>126800000</v>
      </c>
      <c r="K369" s="10">
        <v>3405151951</v>
      </c>
      <c r="L369" s="10">
        <v>4730173014</v>
      </c>
      <c r="M369" s="10">
        <v>-883386400</v>
      </c>
      <c r="N369" s="46">
        <v>-18.675562128180541</v>
      </c>
      <c r="O369" s="10">
        <v>0</v>
      </c>
      <c r="P369" s="11">
        <v>0</v>
      </c>
      <c r="Q369" s="11">
        <v>0</v>
      </c>
      <c r="R369" s="11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46" t="s">
        <v>595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1">
        <v>0</v>
      </c>
      <c r="AM369" s="10">
        <v>0</v>
      </c>
      <c r="AN369" s="11">
        <v>0</v>
      </c>
      <c r="AO369" s="10">
        <v>0</v>
      </c>
      <c r="AP369" s="12">
        <v>0</v>
      </c>
      <c r="AQ369" s="10">
        <v>0</v>
      </c>
      <c r="AR369" s="10">
        <v>0</v>
      </c>
      <c r="AS369" s="10">
        <v>0</v>
      </c>
      <c r="AT369" s="10">
        <v>0</v>
      </c>
      <c r="AU369" s="11" t="s">
        <v>593</v>
      </c>
      <c r="AV369" s="10">
        <v>0</v>
      </c>
      <c r="AW369" s="10">
        <v>0</v>
      </c>
      <c r="AX369" s="10">
        <v>0</v>
      </c>
      <c r="AY369" s="10">
        <v>0</v>
      </c>
      <c r="AZ369" s="10">
        <v>0</v>
      </c>
      <c r="BA369" s="10">
        <v>0</v>
      </c>
      <c r="BB369" s="10">
        <v>0</v>
      </c>
      <c r="BC369" s="10">
        <v>3846786614</v>
      </c>
      <c r="BD369" s="12">
        <v>0</v>
      </c>
      <c r="BE369" s="10">
        <v>3846786614</v>
      </c>
      <c r="BF369" s="10">
        <v>0</v>
      </c>
      <c r="BG369" s="10">
        <v>0</v>
      </c>
      <c r="BH369" s="10">
        <v>0</v>
      </c>
      <c r="BI369" s="10">
        <v>0</v>
      </c>
      <c r="BJ369" s="10">
        <v>0</v>
      </c>
      <c r="BK369" s="10">
        <v>0</v>
      </c>
      <c r="BL369" s="10">
        <v>0</v>
      </c>
      <c r="BM369" s="10">
        <v>0</v>
      </c>
      <c r="BN369" s="10">
        <v>0</v>
      </c>
      <c r="BO369" s="10">
        <v>0</v>
      </c>
    </row>
    <row r="370" spans="1:67" x14ac:dyDescent="0.25">
      <c r="A370" s="19" t="s">
        <v>606</v>
      </c>
      <c r="B370" s="20" t="s">
        <v>593</v>
      </c>
      <c r="C370" s="20" t="s">
        <v>593</v>
      </c>
      <c r="D370" s="21">
        <v>31757732711399</v>
      </c>
      <c r="E370" s="21">
        <v>3467643691415</v>
      </c>
      <c r="F370" s="21">
        <v>81560000000</v>
      </c>
      <c r="G370" s="21">
        <v>263905776</v>
      </c>
      <c r="H370" s="21">
        <v>35307200308590</v>
      </c>
      <c r="I370" s="21">
        <v>2397991238882</v>
      </c>
      <c r="J370" s="21">
        <v>253411383939</v>
      </c>
      <c r="K370" s="21">
        <v>32655797685769</v>
      </c>
      <c r="L370" s="21">
        <v>28212422600118</v>
      </c>
      <c r="M370" s="21">
        <v>7094777708472</v>
      </c>
      <c r="N370" s="47">
        <v>25.147708188811567</v>
      </c>
      <c r="O370" s="21">
        <v>50336257641211</v>
      </c>
      <c r="P370" s="22">
        <v>171.17</v>
      </c>
      <c r="Q370" s="22">
        <v>154.13999999999999</v>
      </c>
      <c r="R370" s="22">
        <v>2.89</v>
      </c>
      <c r="S370" s="21">
        <v>56327265085390</v>
      </c>
      <c r="T370" s="21">
        <v>1553571957497</v>
      </c>
      <c r="U370" s="21">
        <v>402939617156</v>
      </c>
      <c r="V370" s="21">
        <v>293729788403</v>
      </c>
      <c r="W370" s="21">
        <v>856902551938</v>
      </c>
      <c r="X370" s="21">
        <v>57880837042887</v>
      </c>
      <c r="Y370" s="21">
        <v>190053225744</v>
      </c>
      <c r="Z370" s="21">
        <v>2260552628044</v>
      </c>
      <c r="AA370" s="21">
        <v>294628145204</v>
      </c>
      <c r="AB370" s="21">
        <v>60436017816135</v>
      </c>
      <c r="AC370" s="21">
        <v>38467324972196</v>
      </c>
      <c r="AD370" s="47">
        <v>50.467538579100555</v>
      </c>
      <c r="AE370" s="21">
        <v>66610232949629</v>
      </c>
      <c r="AF370" s="21">
        <v>64722559084050</v>
      </c>
      <c r="AG370" s="21">
        <v>28723305853805</v>
      </c>
      <c r="AH370" s="21">
        <v>3984067243666</v>
      </c>
      <c r="AI370" s="21">
        <v>1755418106951</v>
      </c>
      <c r="AJ370" s="21">
        <v>118400000000</v>
      </c>
      <c r="AK370" s="21">
        <v>1735393308</v>
      </c>
      <c r="AL370" s="22">
        <v>178</v>
      </c>
      <c r="AM370" s="21">
        <v>34418287246926</v>
      </c>
      <c r="AN370" s="22">
        <v>783</v>
      </c>
      <c r="AO370" s="21">
        <v>15257048513474</v>
      </c>
      <c r="AP370" s="23">
        <v>512</v>
      </c>
      <c r="AQ370" s="21">
        <v>18369558670951</v>
      </c>
      <c r="AR370" s="21">
        <v>1553571957497</v>
      </c>
      <c r="AS370" s="21">
        <v>664795167425</v>
      </c>
      <c r="AT370" s="21">
        <v>888776790072</v>
      </c>
      <c r="AU370" s="24">
        <v>133.69</v>
      </c>
      <c r="AV370" s="21">
        <v>48444288430957</v>
      </c>
      <c r="AW370" s="21">
        <v>13222927944445</v>
      </c>
      <c r="AX370" s="21">
        <v>6994418351558</v>
      </c>
      <c r="AY370" s="21">
        <v>4427522795362</v>
      </c>
      <c r="AZ370" s="21">
        <v>8183455103895</v>
      </c>
      <c r="BA370" s="21">
        <v>12152336460584</v>
      </c>
      <c r="BB370" s="21">
        <v>5597182562188</v>
      </c>
      <c r="BC370" s="21">
        <v>35307200308590</v>
      </c>
      <c r="BD370" s="23">
        <v>1590217</v>
      </c>
      <c r="BE370" s="21">
        <v>14692035463560</v>
      </c>
      <c r="BF370" s="21">
        <v>8264795103895</v>
      </c>
      <c r="BG370" s="21">
        <v>12350369741135</v>
      </c>
      <c r="BH370" s="21">
        <v>46869358386170</v>
      </c>
      <c r="BI370" s="21">
        <v>19740874563459</v>
      </c>
      <c r="BJ370" s="21">
        <v>1551099106683</v>
      </c>
      <c r="BK370" s="21">
        <v>649987401231</v>
      </c>
      <c r="BL370" s="21">
        <v>26046880076703</v>
      </c>
      <c r="BM370" s="21">
        <v>0</v>
      </c>
      <c r="BN370" s="21">
        <v>3514950000</v>
      </c>
      <c r="BO370" s="21">
        <v>4207666519752</v>
      </c>
    </row>
    <row r="371" spans="1:67" x14ac:dyDescent="0.25">
      <c r="A371" s="25" t="s">
        <v>415</v>
      </c>
      <c r="B371" s="9">
        <v>3500</v>
      </c>
      <c r="C371" s="9" t="s">
        <v>416</v>
      </c>
      <c r="D371" s="10">
        <v>3300549955000</v>
      </c>
      <c r="E371" s="10">
        <v>963244839498</v>
      </c>
      <c r="F371" s="10">
        <v>2962000000</v>
      </c>
      <c r="G371" s="10">
        <v>517364280</v>
      </c>
      <c r="H371" s="10">
        <v>4267274158778</v>
      </c>
      <c r="I371" s="10">
        <v>304916862793</v>
      </c>
      <c r="J371" s="10">
        <v>59571701375</v>
      </c>
      <c r="K371" s="10">
        <v>3902785594610</v>
      </c>
      <c r="L371" s="10">
        <v>4033966315527</v>
      </c>
      <c r="M371" s="10">
        <v>233307843251</v>
      </c>
      <c r="N371" s="46">
        <v>5.7835843188125509</v>
      </c>
      <c r="O371" s="10">
        <v>6546060826903</v>
      </c>
      <c r="P371" s="11">
        <v>209.33</v>
      </c>
      <c r="Q371" s="11">
        <v>167.73</v>
      </c>
      <c r="R371" s="11">
        <v>1.62</v>
      </c>
      <c r="S371" s="10">
        <v>8435236160577</v>
      </c>
      <c r="T371" s="10">
        <v>127311179124</v>
      </c>
      <c r="U371" s="10">
        <v>47386922968</v>
      </c>
      <c r="V371" s="10">
        <v>33281917295</v>
      </c>
      <c r="W371" s="10">
        <v>46642338861</v>
      </c>
      <c r="X371" s="10">
        <v>8562547339701</v>
      </c>
      <c r="Y371" s="10">
        <v>17718567896</v>
      </c>
      <c r="Z371" s="10">
        <v>336441750546</v>
      </c>
      <c r="AA371" s="10">
        <v>33830409090</v>
      </c>
      <c r="AB371" s="10">
        <v>8932819499337</v>
      </c>
      <c r="AC371" s="10">
        <v>6942381834330</v>
      </c>
      <c r="AD371" s="46">
        <v>23.337314829894545</v>
      </c>
      <c r="AE371" s="10">
        <v>15963824237611</v>
      </c>
      <c r="AF371" s="10">
        <v>15388036998889</v>
      </c>
      <c r="AG371" s="10">
        <v>10131133367750</v>
      </c>
      <c r="AH371" s="10">
        <v>167388489239</v>
      </c>
      <c r="AI371" s="10">
        <v>0</v>
      </c>
      <c r="AJ371" s="10">
        <v>90505000000</v>
      </c>
      <c r="AK371" s="10">
        <v>0</v>
      </c>
      <c r="AL371" s="11">
        <v>133</v>
      </c>
      <c r="AM371" s="10">
        <v>18046346047463</v>
      </c>
      <c r="AN371" s="11">
        <v>274</v>
      </c>
      <c r="AO371" s="10">
        <v>7535470734375</v>
      </c>
      <c r="AP371" s="12">
        <v>99</v>
      </c>
      <c r="AQ371" s="10">
        <v>2629376285365</v>
      </c>
      <c r="AR371" s="10">
        <v>127311179124</v>
      </c>
      <c r="AS371" s="10">
        <v>66799040425</v>
      </c>
      <c r="AT371" s="10">
        <v>60512138699</v>
      </c>
      <c r="AU371" s="11">
        <v>90.59</v>
      </c>
      <c r="AV371" s="10">
        <v>14838204130033</v>
      </c>
      <c r="AW371" s="10">
        <v>1935256231211</v>
      </c>
      <c r="AX371" s="10">
        <v>1423906517950</v>
      </c>
      <c r="AY371" s="10">
        <v>424059089382</v>
      </c>
      <c r="AZ371" s="10">
        <v>751851943150</v>
      </c>
      <c r="BA371" s="10">
        <v>700732404518</v>
      </c>
      <c r="BB371" s="10">
        <v>450785482190</v>
      </c>
      <c r="BC371" s="10">
        <v>4267274158778</v>
      </c>
      <c r="BD371" s="12">
        <v>154965</v>
      </c>
      <c r="BE371" s="10">
        <v>2778861773910</v>
      </c>
      <c r="BF371" s="10">
        <v>754813943150</v>
      </c>
      <c r="BG371" s="10">
        <v>733598441718</v>
      </c>
      <c r="BH371" s="10">
        <v>15566486977216</v>
      </c>
      <c r="BI371" s="10">
        <v>397337260395</v>
      </c>
      <c r="BJ371" s="10">
        <v>0</v>
      </c>
      <c r="BK371" s="10">
        <v>0</v>
      </c>
      <c r="BL371" s="10">
        <v>10258740382930</v>
      </c>
      <c r="BM371" s="10">
        <v>0</v>
      </c>
      <c r="BN371" s="10">
        <v>0</v>
      </c>
      <c r="BO371" s="10">
        <v>167388489239</v>
      </c>
    </row>
    <row r="372" spans="1:67" x14ac:dyDescent="0.25">
      <c r="A372" s="25" t="s">
        <v>415</v>
      </c>
      <c r="B372" s="9">
        <v>3501</v>
      </c>
      <c r="C372" s="9" t="s">
        <v>417</v>
      </c>
      <c r="D372" s="10">
        <v>3359024415474</v>
      </c>
      <c r="E372" s="10">
        <v>130738706107</v>
      </c>
      <c r="F372" s="10">
        <v>0</v>
      </c>
      <c r="G372" s="10">
        <v>0</v>
      </c>
      <c r="H372" s="10">
        <v>3489763121581</v>
      </c>
      <c r="I372" s="10">
        <v>170961551762</v>
      </c>
      <c r="J372" s="10">
        <v>11645513260</v>
      </c>
      <c r="K372" s="10">
        <v>3307156056559</v>
      </c>
      <c r="L372" s="10">
        <v>1718981623785</v>
      </c>
      <c r="M372" s="10">
        <v>1770781497796</v>
      </c>
      <c r="N372" s="46">
        <v>103.0134047562965</v>
      </c>
      <c r="O372" s="10">
        <v>2465924644810</v>
      </c>
      <c r="P372" s="11">
        <v>82.73</v>
      </c>
      <c r="Q372" s="11">
        <v>74.56</v>
      </c>
      <c r="R372" s="11">
        <v>12.15</v>
      </c>
      <c r="S372" s="10">
        <v>2410972305813</v>
      </c>
      <c r="T372" s="10">
        <v>247671318895</v>
      </c>
      <c r="U372" s="10">
        <v>10425289094</v>
      </c>
      <c r="V372" s="10">
        <v>1396841118</v>
      </c>
      <c r="W372" s="10">
        <v>235849188683</v>
      </c>
      <c r="X372" s="10">
        <v>2658643624708</v>
      </c>
      <c r="Y372" s="10">
        <v>102986268685</v>
      </c>
      <c r="Z372" s="10">
        <v>212715050223</v>
      </c>
      <c r="AA372" s="10">
        <v>15742330000</v>
      </c>
      <c r="AB372" s="10">
        <v>2887101004931</v>
      </c>
      <c r="AC372" s="10">
        <v>2255557515204</v>
      </c>
      <c r="AD372" s="46">
        <v>17.87079721030938</v>
      </c>
      <c r="AE372" s="10">
        <v>2868540396407</v>
      </c>
      <c r="AF372" s="10">
        <v>2715210396407</v>
      </c>
      <c r="AG372" s="10">
        <v>159928885137</v>
      </c>
      <c r="AH372" s="10">
        <v>0</v>
      </c>
      <c r="AI372" s="10">
        <v>0</v>
      </c>
      <c r="AJ372" s="10">
        <v>0</v>
      </c>
      <c r="AK372" s="10">
        <v>0</v>
      </c>
      <c r="AL372" s="11">
        <v>5</v>
      </c>
      <c r="AM372" s="10">
        <v>181267924321</v>
      </c>
      <c r="AN372" s="11">
        <v>85</v>
      </c>
      <c r="AO372" s="10">
        <v>656023478236</v>
      </c>
      <c r="AP372" s="12">
        <v>66</v>
      </c>
      <c r="AQ372" s="10">
        <v>821060086713</v>
      </c>
      <c r="AR372" s="10">
        <v>247671318895</v>
      </c>
      <c r="AS372" s="10">
        <v>238044863950</v>
      </c>
      <c r="AT372" s="10">
        <v>9626454945</v>
      </c>
      <c r="AU372" s="11">
        <v>4.04</v>
      </c>
      <c r="AV372" s="10">
        <v>2359650338229</v>
      </c>
      <c r="AW372" s="10">
        <v>80166697671</v>
      </c>
      <c r="AX372" s="10">
        <v>1663398860350</v>
      </c>
      <c r="AY372" s="10">
        <v>189769531887</v>
      </c>
      <c r="AZ372" s="10">
        <v>691445823237</v>
      </c>
      <c r="BA372" s="10">
        <v>814410200000</v>
      </c>
      <c r="BB372" s="10">
        <v>581562595522</v>
      </c>
      <c r="BC372" s="10">
        <v>3489763121581</v>
      </c>
      <c r="BD372" s="12">
        <v>36834</v>
      </c>
      <c r="BE372" s="10">
        <v>1983907098344</v>
      </c>
      <c r="BF372" s="10">
        <v>691445823237</v>
      </c>
      <c r="BG372" s="10">
        <v>814410200000</v>
      </c>
      <c r="BH372" s="10">
        <v>2051164851240</v>
      </c>
      <c r="BI372" s="10">
        <v>817375545167</v>
      </c>
      <c r="BJ372" s="10">
        <v>0</v>
      </c>
      <c r="BK372" s="10">
        <v>231507748960</v>
      </c>
      <c r="BL372" s="10">
        <v>159928885137</v>
      </c>
      <c r="BM372" s="10">
        <v>0</v>
      </c>
      <c r="BN372" s="10">
        <v>0</v>
      </c>
      <c r="BO372" s="10">
        <v>0</v>
      </c>
    </row>
    <row r="373" spans="1:67" x14ac:dyDescent="0.25">
      <c r="A373" s="25" t="s">
        <v>415</v>
      </c>
      <c r="B373" s="9">
        <v>3502</v>
      </c>
      <c r="C373" s="9" t="s">
        <v>418</v>
      </c>
      <c r="D373" s="10">
        <v>1186308488021</v>
      </c>
      <c r="E373" s="10">
        <v>22814082331</v>
      </c>
      <c r="F373" s="10">
        <v>0</v>
      </c>
      <c r="G373" s="10">
        <v>0</v>
      </c>
      <c r="H373" s="10">
        <v>1209122570352</v>
      </c>
      <c r="I373" s="10">
        <v>81674098717</v>
      </c>
      <c r="J373" s="10">
        <v>5156501266</v>
      </c>
      <c r="K373" s="10">
        <v>1122291970369</v>
      </c>
      <c r="L373" s="10">
        <v>781365122466</v>
      </c>
      <c r="M373" s="10">
        <v>427757447886</v>
      </c>
      <c r="N373" s="46">
        <v>54.744886300528883</v>
      </c>
      <c r="O373" s="10">
        <v>887640453642</v>
      </c>
      <c r="P373" s="11">
        <v>87.21</v>
      </c>
      <c r="Q373" s="11">
        <v>79.09</v>
      </c>
      <c r="R373" s="11">
        <v>1.1499999999999999</v>
      </c>
      <c r="S373" s="10">
        <v>941004701323</v>
      </c>
      <c r="T373" s="10">
        <v>11974969350</v>
      </c>
      <c r="U373" s="10">
        <v>11148074783</v>
      </c>
      <c r="V373" s="10">
        <v>0</v>
      </c>
      <c r="W373" s="10">
        <v>826894567</v>
      </c>
      <c r="X373" s="10">
        <v>952979670673</v>
      </c>
      <c r="Y373" s="10">
        <v>198454696</v>
      </c>
      <c r="Z373" s="10">
        <v>77063633072</v>
      </c>
      <c r="AA373" s="10">
        <v>24445450000</v>
      </c>
      <c r="AB373" s="10">
        <v>1054488753745</v>
      </c>
      <c r="AC373" s="10">
        <v>637318393077</v>
      </c>
      <c r="AD373" s="46">
        <v>49.529604201751354</v>
      </c>
      <c r="AE373" s="10">
        <v>580050202342</v>
      </c>
      <c r="AF373" s="10">
        <v>526500518783</v>
      </c>
      <c r="AG373" s="10">
        <v>0</v>
      </c>
      <c r="AH373" s="10">
        <v>0</v>
      </c>
      <c r="AI373" s="10">
        <v>0</v>
      </c>
      <c r="AJ373" s="10">
        <v>0</v>
      </c>
      <c r="AK373" s="10">
        <v>0</v>
      </c>
      <c r="AL373" s="11">
        <v>0</v>
      </c>
      <c r="AM373" s="10">
        <v>0</v>
      </c>
      <c r="AN373" s="11">
        <v>11</v>
      </c>
      <c r="AO373" s="10">
        <v>25590560000</v>
      </c>
      <c r="AP373" s="12">
        <v>9</v>
      </c>
      <c r="AQ373" s="10">
        <v>127881600000</v>
      </c>
      <c r="AR373" s="10">
        <v>11974969350</v>
      </c>
      <c r="AS373" s="10">
        <v>19082767463</v>
      </c>
      <c r="AT373" s="10">
        <v>-7107798113</v>
      </c>
      <c r="AU373" s="11">
        <v>-37.25</v>
      </c>
      <c r="AV373" s="10">
        <v>378534539623</v>
      </c>
      <c r="AW373" s="10">
        <v>98123512437</v>
      </c>
      <c r="AX373" s="10">
        <v>154277421211</v>
      </c>
      <c r="AY373" s="10">
        <v>41346681577</v>
      </c>
      <c r="AZ373" s="10">
        <v>222322485233</v>
      </c>
      <c r="BA373" s="10">
        <v>768361900000</v>
      </c>
      <c r="BB373" s="10">
        <v>115610292849</v>
      </c>
      <c r="BC373" s="10">
        <v>1209122570352</v>
      </c>
      <c r="BD373" s="12">
        <v>225325</v>
      </c>
      <c r="BE373" s="10">
        <v>218438185119</v>
      </c>
      <c r="BF373" s="10">
        <v>222322485233</v>
      </c>
      <c r="BG373" s="10">
        <v>768361900000</v>
      </c>
      <c r="BH373" s="10">
        <v>567450202342</v>
      </c>
      <c r="BI373" s="10">
        <v>12600000000</v>
      </c>
      <c r="BJ373" s="10">
        <v>0</v>
      </c>
      <c r="BK373" s="10">
        <v>0</v>
      </c>
      <c r="BL373" s="10">
        <v>0</v>
      </c>
      <c r="BM373" s="10">
        <v>0</v>
      </c>
      <c r="BN373" s="10">
        <v>0</v>
      </c>
      <c r="BO373" s="10">
        <v>0</v>
      </c>
    </row>
    <row r="374" spans="1:67" x14ac:dyDescent="0.25">
      <c r="A374" s="25" t="s">
        <v>415</v>
      </c>
      <c r="B374" s="9">
        <v>3503</v>
      </c>
      <c r="C374" s="9" t="s">
        <v>419</v>
      </c>
      <c r="D374" s="10">
        <v>1169885896910</v>
      </c>
      <c r="E374" s="10">
        <v>19460627432</v>
      </c>
      <c r="F374" s="10">
        <v>0</v>
      </c>
      <c r="G374" s="10">
        <v>0</v>
      </c>
      <c r="H374" s="10">
        <v>1189346524342</v>
      </c>
      <c r="I374" s="10">
        <v>97758792490</v>
      </c>
      <c r="J374" s="10">
        <v>5586388955</v>
      </c>
      <c r="K374" s="10">
        <v>1086001342897</v>
      </c>
      <c r="L374" s="10">
        <v>879790880686</v>
      </c>
      <c r="M374" s="10">
        <v>309555643656</v>
      </c>
      <c r="N374" s="46">
        <v>35.185138929222582</v>
      </c>
      <c r="O374" s="10">
        <v>1061100665525</v>
      </c>
      <c r="P374" s="11">
        <v>104.6</v>
      </c>
      <c r="Q374" s="11">
        <v>97.71</v>
      </c>
      <c r="R374" s="11">
        <v>0.71</v>
      </c>
      <c r="S374" s="10">
        <v>1111108382722</v>
      </c>
      <c r="T374" s="10">
        <v>8784161634</v>
      </c>
      <c r="U374" s="10">
        <v>8491503931</v>
      </c>
      <c r="V374" s="10">
        <v>292657703</v>
      </c>
      <c r="W374" s="10">
        <v>0</v>
      </c>
      <c r="X374" s="10">
        <v>1119892544356</v>
      </c>
      <c r="Y374" s="10">
        <v>0</v>
      </c>
      <c r="Z374" s="10">
        <v>103417863771</v>
      </c>
      <c r="AA374" s="10">
        <v>20687077220</v>
      </c>
      <c r="AB374" s="10">
        <v>1243997485347</v>
      </c>
      <c r="AC374" s="10">
        <v>898756529103</v>
      </c>
      <c r="AD374" s="46">
        <v>24.60466300853512</v>
      </c>
      <c r="AE374" s="10">
        <v>676265902441</v>
      </c>
      <c r="AF374" s="10">
        <v>668725782441</v>
      </c>
      <c r="AG374" s="10">
        <v>67760000000</v>
      </c>
      <c r="AH374" s="10">
        <v>0</v>
      </c>
      <c r="AI374" s="10">
        <v>0</v>
      </c>
      <c r="AJ374" s="10">
        <v>0</v>
      </c>
      <c r="AK374" s="10">
        <v>3937432578</v>
      </c>
      <c r="AL374" s="11">
        <v>1</v>
      </c>
      <c r="AM374" s="10">
        <v>84700000000</v>
      </c>
      <c r="AN374" s="11">
        <v>150</v>
      </c>
      <c r="AO374" s="10">
        <v>146364626203</v>
      </c>
      <c r="AP374" s="12">
        <v>16</v>
      </c>
      <c r="AQ374" s="10">
        <v>73917924003</v>
      </c>
      <c r="AR374" s="10">
        <v>8784161634</v>
      </c>
      <c r="AS374" s="10">
        <v>5548716045</v>
      </c>
      <c r="AT374" s="10">
        <v>3235445589</v>
      </c>
      <c r="AU374" s="11">
        <v>58.31</v>
      </c>
      <c r="AV374" s="10">
        <v>472488397893</v>
      </c>
      <c r="AW374" s="10">
        <v>83157226413</v>
      </c>
      <c r="AX374" s="10">
        <v>210682718065</v>
      </c>
      <c r="AY374" s="10">
        <v>85743796994</v>
      </c>
      <c r="AZ374" s="10">
        <v>365467388026</v>
      </c>
      <c r="BA374" s="10">
        <v>507991993825</v>
      </c>
      <c r="BB374" s="10">
        <v>333640257242</v>
      </c>
      <c r="BC374" s="10">
        <v>1189346524342</v>
      </c>
      <c r="BD374" s="12">
        <v>29916</v>
      </c>
      <c r="BE374" s="10">
        <v>315887142491</v>
      </c>
      <c r="BF374" s="10">
        <v>365467388026</v>
      </c>
      <c r="BG374" s="10">
        <v>507991993825</v>
      </c>
      <c r="BH374" s="10">
        <v>566772648518</v>
      </c>
      <c r="BI374" s="10">
        <v>109493253923</v>
      </c>
      <c r="BJ374" s="10">
        <v>0</v>
      </c>
      <c r="BK374" s="10">
        <v>0</v>
      </c>
      <c r="BL374" s="10">
        <v>67760000000</v>
      </c>
      <c r="BM374" s="10">
        <v>0</v>
      </c>
      <c r="BN374" s="10">
        <v>0</v>
      </c>
      <c r="BO374" s="10">
        <v>0</v>
      </c>
    </row>
    <row r="375" spans="1:67" x14ac:dyDescent="0.25">
      <c r="A375" s="25" t="s">
        <v>415</v>
      </c>
      <c r="B375" s="9">
        <v>3504</v>
      </c>
      <c r="C375" s="9" t="s">
        <v>420</v>
      </c>
      <c r="D375" s="10">
        <v>1419369956584</v>
      </c>
      <c r="E375" s="10">
        <v>14449592000</v>
      </c>
      <c r="F375" s="10">
        <v>0</v>
      </c>
      <c r="G375" s="10">
        <v>0</v>
      </c>
      <c r="H375" s="10">
        <v>1433819548584</v>
      </c>
      <c r="I375" s="10">
        <v>104592903946</v>
      </c>
      <c r="J375" s="10">
        <v>3542490944</v>
      </c>
      <c r="K375" s="10">
        <v>1325684153694</v>
      </c>
      <c r="L375" s="10">
        <v>1090532088689</v>
      </c>
      <c r="M375" s="10">
        <v>343287459895</v>
      </c>
      <c r="N375" s="46">
        <v>31.478895802845042</v>
      </c>
      <c r="O375" s="10">
        <v>1711494562582</v>
      </c>
      <c r="P375" s="11">
        <v>143.12</v>
      </c>
      <c r="Q375" s="11">
        <v>129.1</v>
      </c>
      <c r="R375" s="11">
        <v>2.41</v>
      </c>
      <c r="S375" s="10">
        <v>1857507593977</v>
      </c>
      <c r="T375" s="10">
        <v>49072855634</v>
      </c>
      <c r="U375" s="10">
        <v>35138574989</v>
      </c>
      <c r="V375" s="10">
        <v>13750072645</v>
      </c>
      <c r="W375" s="10">
        <v>184208000</v>
      </c>
      <c r="X375" s="10">
        <v>1906580449611</v>
      </c>
      <c r="Y375" s="10">
        <v>327009571</v>
      </c>
      <c r="Z375" s="10">
        <v>113153377627</v>
      </c>
      <c r="AA375" s="10">
        <v>32396777187</v>
      </c>
      <c r="AB375" s="10">
        <v>2052130604425</v>
      </c>
      <c r="AC375" s="10">
        <v>1257135348890</v>
      </c>
      <c r="AD375" s="46">
        <v>51.660714281436285</v>
      </c>
      <c r="AE375" s="10">
        <v>1191241152126</v>
      </c>
      <c r="AF375" s="10">
        <v>1066129291859</v>
      </c>
      <c r="AG375" s="10">
        <v>0</v>
      </c>
      <c r="AH375" s="10">
        <v>10298539</v>
      </c>
      <c r="AI375" s="10">
        <v>0</v>
      </c>
      <c r="AJ375" s="10">
        <v>0</v>
      </c>
      <c r="AK375" s="10">
        <v>0</v>
      </c>
      <c r="AL375" s="11">
        <v>0</v>
      </c>
      <c r="AM375" s="10">
        <v>0</v>
      </c>
      <c r="AN375" s="11">
        <v>23</v>
      </c>
      <c r="AO375" s="10">
        <v>67133383861</v>
      </c>
      <c r="AP375" s="12">
        <v>24</v>
      </c>
      <c r="AQ375" s="10">
        <v>43438512078</v>
      </c>
      <c r="AR375" s="10">
        <v>49072855634</v>
      </c>
      <c r="AS375" s="10">
        <v>19769939711</v>
      </c>
      <c r="AT375" s="10">
        <v>29302915923</v>
      </c>
      <c r="AU375" s="11">
        <v>148.22</v>
      </c>
      <c r="AV375" s="10">
        <v>458889334575</v>
      </c>
      <c r="AW375" s="10">
        <v>108474648527</v>
      </c>
      <c r="AX375" s="10">
        <v>351557914467</v>
      </c>
      <c r="AY375" s="10">
        <v>117540228540</v>
      </c>
      <c r="AZ375" s="10">
        <v>394179913577</v>
      </c>
      <c r="BA375" s="10">
        <v>556091900000</v>
      </c>
      <c r="BB375" s="10">
        <v>263190267720</v>
      </c>
      <c r="BC375" s="10">
        <v>1433819548584</v>
      </c>
      <c r="BD375" s="12">
        <v>68434</v>
      </c>
      <c r="BE375" s="10">
        <v>483547735007</v>
      </c>
      <c r="BF375" s="10">
        <v>394179913577</v>
      </c>
      <c r="BG375" s="10">
        <v>556091900000</v>
      </c>
      <c r="BH375" s="10">
        <v>1002799146322</v>
      </c>
      <c r="BI375" s="10">
        <v>188442005804</v>
      </c>
      <c r="BJ375" s="10">
        <v>0</v>
      </c>
      <c r="BK375" s="10">
        <v>0</v>
      </c>
      <c r="BL375" s="10">
        <v>0</v>
      </c>
      <c r="BM375" s="10">
        <v>0</v>
      </c>
      <c r="BN375" s="10">
        <v>0</v>
      </c>
      <c r="BO375" s="10">
        <v>10298539</v>
      </c>
    </row>
    <row r="376" spans="1:67" x14ac:dyDescent="0.25">
      <c r="A376" s="25" t="s">
        <v>415</v>
      </c>
      <c r="B376" s="9">
        <v>3505</v>
      </c>
      <c r="C376" s="9" t="s">
        <v>421</v>
      </c>
      <c r="D376" s="10">
        <v>1709790603656</v>
      </c>
      <c r="E376" s="10">
        <v>43198853526</v>
      </c>
      <c r="F376" s="10">
        <v>0</v>
      </c>
      <c r="G376" s="10">
        <v>0</v>
      </c>
      <c r="H376" s="10">
        <v>1752989457182</v>
      </c>
      <c r="I376" s="10">
        <v>156227541585</v>
      </c>
      <c r="J376" s="10">
        <v>730176623</v>
      </c>
      <c r="K376" s="10">
        <v>1596031738974</v>
      </c>
      <c r="L376" s="10">
        <v>1249413910218</v>
      </c>
      <c r="M376" s="10">
        <v>503575546964</v>
      </c>
      <c r="N376" s="46">
        <v>40.304941608672763</v>
      </c>
      <c r="O376" s="10">
        <v>892364414280</v>
      </c>
      <c r="P376" s="11">
        <v>60.65</v>
      </c>
      <c r="Q376" s="11">
        <v>55.91</v>
      </c>
      <c r="R376" s="11">
        <v>1.82</v>
      </c>
      <c r="S376" s="10">
        <v>957104103863</v>
      </c>
      <c r="T376" s="10">
        <v>18918443523</v>
      </c>
      <c r="U376" s="10">
        <v>15690195517</v>
      </c>
      <c r="V376" s="10">
        <v>3067232785</v>
      </c>
      <c r="W376" s="10">
        <v>161015221</v>
      </c>
      <c r="X376" s="10">
        <v>976022547386</v>
      </c>
      <c r="Y376" s="10">
        <v>392895673</v>
      </c>
      <c r="Z376" s="10">
        <v>64594062378</v>
      </c>
      <c r="AA376" s="10">
        <v>22509959563</v>
      </c>
      <c r="AB376" s="10">
        <v>1063126569327</v>
      </c>
      <c r="AC376" s="10">
        <v>632901906858</v>
      </c>
      <c r="AD376" s="46">
        <v>54.213873715659965</v>
      </c>
      <c r="AE376" s="10">
        <v>1646438905929</v>
      </c>
      <c r="AF376" s="10">
        <v>1646438905929</v>
      </c>
      <c r="AG376" s="10">
        <v>798317337749</v>
      </c>
      <c r="AH376" s="10">
        <v>15771838820</v>
      </c>
      <c r="AI376" s="10">
        <v>11114380418</v>
      </c>
      <c r="AJ376" s="10">
        <v>0</v>
      </c>
      <c r="AK376" s="10">
        <v>0</v>
      </c>
      <c r="AL376" s="11">
        <v>20</v>
      </c>
      <c r="AM376" s="10">
        <v>513381418386</v>
      </c>
      <c r="AN376" s="11">
        <v>9</v>
      </c>
      <c r="AO376" s="10">
        <v>363806568333</v>
      </c>
      <c r="AP376" s="12">
        <v>4</v>
      </c>
      <c r="AQ376" s="10">
        <v>1334500000</v>
      </c>
      <c r="AR376" s="10">
        <v>18918443523</v>
      </c>
      <c r="AS376" s="10">
        <v>19222154137</v>
      </c>
      <c r="AT376" s="10">
        <v>-303710614</v>
      </c>
      <c r="AU376" s="11">
        <v>-1.58</v>
      </c>
      <c r="AV376" s="10">
        <v>1398183762407</v>
      </c>
      <c r="AW376" s="10">
        <v>156299660364</v>
      </c>
      <c r="AX376" s="10">
        <v>286578335940</v>
      </c>
      <c r="AY376" s="10">
        <v>116931692111</v>
      </c>
      <c r="AZ376" s="10">
        <v>303000670605</v>
      </c>
      <c r="BA376" s="10">
        <v>1003279905000</v>
      </c>
      <c r="BB376" s="10">
        <v>219944273047</v>
      </c>
      <c r="BC376" s="10">
        <v>1752989457182</v>
      </c>
      <c r="BD376" s="12">
        <v>150979</v>
      </c>
      <c r="BE376" s="10">
        <v>446672221525</v>
      </c>
      <c r="BF376" s="10">
        <v>303000670605</v>
      </c>
      <c r="BG376" s="10">
        <v>1003316565052</v>
      </c>
      <c r="BH376" s="10">
        <v>1416689071531</v>
      </c>
      <c r="BI376" s="10">
        <v>229749834398</v>
      </c>
      <c r="BJ376" s="10">
        <v>2117869981</v>
      </c>
      <c r="BK376" s="10">
        <v>0</v>
      </c>
      <c r="BL376" s="10">
        <v>831537882001</v>
      </c>
      <c r="BM376" s="10">
        <v>0</v>
      </c>
      <c r="BN376" s="10">
        <v>0</v>
      </c>
      <c r="BO376" s="10">
        <v>15771838820</v>
      </c>
    </row>
    <row r="377" spans="1:67" x14ac:dyDescent="0.25">
      <c r="A377" s="25" t="s">
        <v>415</v>
      </c>
      <c r="B377" s="9">
        <v>3506</v>
      </c>
      <c r="C377" s="9" t="s">
        <v>422</v>
      </c>
      <c r="D377" s="10">
        <v>1004820823765</v>
      </c>
      <c r="E377" s="10">
        <v>83537134111</v>
      </c>
      <c r="F377" s="10">
        <v>0</v>
      </c>
      <c r="G377" s="10">
        <v>0</v>
      </c>
      <c r="H377" s="10">
        <v>1088357957876</v>
      </c>
      <c r="I377" s="10">
        <v>74507867005</v>
      </c>
      <c r="J377" s="10">
        <v>5519313709</v>
      </c>
      <c r="K377" s="10">
        <v>1008330777162</v>
      </c>
      <c r="L377" s="10">
        <v>1166528702690</v>
      </c>
      <c r="M377" s="10">
        <v>-78170744814</v>
      </c>
      <c r="N377" s="46">
        <v>-6.7011419979413525</v>
      </c>
      <c r="O377" s="10">
        <v>1069628826603</v>
      </c>
      <c r="P377" s="11">
        <v>115.76</v>
      </c>
      <c r="Q377" s="11">
        <v>106.08</v>
      </c>
      <c r="R377" s="11">
        <v>0.64</v>
      </c>
      <c r="S377" s="10">
        <v>1167617757721</v>
      </c>
      <c r="T377" s="10">
        <v>8091087201</v>
      </c>
      <c r="U377" s="10">
        <v>8009437023</v>
      </c>
      <c r="V377" s="10">
        <v>81650178</v>
      </c>
      <c r="W377" s="10">
        <v>0</v>
      </c>
      <c r="X377" s="10">
        <v>1175708844922</v>
      </c>
      <c r="Y377" s="10">
        <v>1439536</v>
      </c>
      <c r="Z377" s="10">
        <v>72670294606</v>
      </c>
      <c r="AA377" s="10">
        <v>11500000000</v>
      </c>
      <c r="AB377" s="10">
        <v>1259879139528</v>
      </c>
      <c r="AC377" s="10">
        <v>1039338102395</v>
      </c>
      <c r="AD377" s="46">
        <v>13.120922076536395</v>
      </c>
      <c r="AE377" s="10">
        <v>1097138694633</v>
      </c>
      <c r="AF377" s="10">
        <v>991362812720</v>
      </c>
      <c r="AG377" s="10">
        <v>195226229828</v>
      </c>
      <c r="AH377" s="10">
        <v>1753279171</v>
      </c>
      <c r="AI377" s="10">
        <v>28491881765</v>
      </c>
      <c r="AJ377" s="10">
        <v>81000000000</v>
      </c>
      <c r="AK377" s="10">
        <v>0</v>
      </c>
      <c r="AL377" s="11">
        <v>2</v>
      </c>
      <c r="AM377" s="10">
        <v>64300000000</v>
      </c>
      <c r="AN377" s="11">
        <v>108</v>
      </c>
      <c r="AO377" s="10">
        <v>1512361983816</v>
      </c>
      <c r="AP377" s="12">
        <v>64</v>
      </c>
      <c r="AQ377" s="10">
        <v>682083096057</v>
      </c>
      <c r="AR377" s="10">
        <v>8091087201</v>
      </c>
      <c r="AS377" s="10">
        <v>12097430857</v>
      </c>
      <c r="AT377" s="10">
        <v>-4006343656</v>
      </c>
      <c r="AU377" s="13">
        <v>-33.119999999999997</v>
      </c>
      <c r="AV377" s="10">
        <v>981660735825</v>
      </c>
      <c r="AW377" s="10">
        <v>217805582842</v>
      </c>
      <c r="AX377" s="10">
        <v>347386403371</v>
      </c>
      <c r="AY377" s="10">
        <v>162280898149</v>
      </c>
      <c r="AZ377" s="10">
        <v>317051773817</v>
      </c>
      <c r="BA377" s="10">
        <v>178101748428</v>
      </c>
      <c r="BB377" s="10">
        <v>263964985143</v>
      </c>
      <c r="BC377" s="10">
        <v>1088357957876</v>
      </c>
      <c r="BD377" s="12">
        <v>12942</v>
      </c>
      <c r="BE377" s="10">
        <v>593204435631</v>
      </c>
      <c r="BF377" s="10">
        <v>317051773817</v>
      </c>
      <c r="BG377" s="10">
        <v>178101748428</v>
      </c>
      <c r="BH377" s="10">
        <v>1026733565433</v>
      </c>
      <c r="BI377" s="10">
        <v>70405129200</v>
      </c>
      <c r="BJ377" s="10">
        <v>28862372233</v>
      </c>
      <c r="BK377" s="10">
        <v>0</v>
      </c>
      <c r="BL377" s="10">
        <v>170496351862</v>
      </c>
      <c r="BM377" s="10">
        <v>0</v>
      </c>
      <c r="BN377" s="10">
        <v>0</v>
      </c>
      <c r="BO377" s="10">
        <v>8353159171</v>
      </c>
    </row>
    <row r="378" spans="1:67" x14ac:dyDescent="0.25">
      <c r="A378" s="25" t="s">
        <v>415</v>
      </c>
      <c r="B378" s="9">
        <v>3507</v>
      </c>
      <c r="C378" s="9" t="s">
        <v>423</v>
      </c>
      <c r="D378" s="10">
        <v>2086150224446</v>
      </c>
      <c r="E378" s="10">
        <v>212538127744</v>
      </c>
      <c r="F378" s="10">
        <v>0</v>
      </c>
      <c r="G378" s="10">
        <v>0</v>
      </c>
      <c r="H378" s="10">
        <v>2298688352190</v>
      </c>
      <c r="I378" s="10">
        <v>189048800986</v>
      </c>
      <c r="J378" s="10">
        <v>2218124525</v>
      </c>
      <c r="K378" s="10">
        <v>2107421426679</v>
      </c>
      <c r="L378" s="10">
        <v>1935963879354</v>
      </c>
      <c r="M378" s="10">
        <v>362724472836</v>
      </c>
      <c r="N378" s="46">
        <v>18.736117791465993</v>
      </c>
      <c r="O378" s="10">
        <v>1919574709356</v>
      </c>
      <c r="P378" s="11">
        <v>96.67</v>
      </c>
      <c r="Q378" s="11">
        <v>91.09</v>
      </c>
      <c r="R378" s="11">
        <v>1.08</v>
      </c>
      <c r="S378" s="10">
        <v>2063576069114</v>
      </c>
      <c r="T378" s="10">
        <v>23792625005</v>
      </c>
      <c r="U378" s="10">
        <v>22607398694</v>
      </c>
      <c r="V378" s="10">
        <v>866049033</v>
      </c>
      <c r="W378" s="10">
        <v>319177278</v>
      </c>
      <c r="X378" s="10">
        <v>2087368694119</v>
      </c>
      <c r="Y378" s="10">
        <v>144349225</v>
      </c>
      <c r="Z378" s="10">
        <v>119317903833</v>
      </c>
      <c r="AA378" s="10">
        <v>15499355000</v>
      </c>
      <c r="AB378" s="10">
        <v>2222185952952</v>
      </c>
      <c r="AC378" s="10">
        <v>1289442549569</v>
      </c>
      <c r="AD378" s="46">
        <v>61.881480862928647</v>
      </c>
      <c r="AE378" s="10">
        <v>3575174525673</v>
      </c>
      <c r="AF378" s="10">
        <v>3548944480869</v>
      </c>
      <c r="AG378" s="10">
        <v>2383339241438</v>
      </c>
      <c r="AH378" s="10">
        <v>0</v>
      </c>
      <c r="AI378" s="10">
        <v>0</v>
      </c>
      <c r="AJ378" s="10">
        <v>0</v>
      </c>
      <c r="AK378" s="10">
        <v>0</v>
      </c>
      <c r="AL378" s="11">
        <v>13</v>
      </c>
      <c r="AM378" s="10">
        <v>3701182981031</v>
      </c>
      <c r="AN378" s="11">
        <v>199</v>
      </c>
      <c r="AO378" s="10">
        <v>4238479564956</v>
      </c>
      <c r="AP378" s="12">
        <v>73</v>
      </c>
      <c r="AQ378" s="10">
        <v>210426251312</v>
      </c>
      <c r="AR378" s="10">
        <v>23792625005</v>
      </c>
      <c r="AS378" s="10">
        <v>10555922765</v>
      </c>
      <c r="AT378" s="10">
        <v>13236702240</v>
      </c>
      <c r="AU378" s="13">
        <v>125.4</v>
      </c>
      <c r="AV378" s="10">
        <v>2716459834365</v>
      </c>
      <c r="AW378" s="10">
        <v>179315339141</v>
      </c>
      <c r="AX378" s="10">
        <v>673767280189</v>
      </c>
      <c r="AY378" s="10">
        <v>49121013679</v>
      </c>
      <c r="AZ378" s="10">
        <v>404801930578</v>
      </c>
      <c r="BA378" s="10">
        <v>958460000000</v>
      </c>
      <c r="BB378" s="10">
        <v>248496556018</v>
      </c>
      <c r="BC378" s="10">
        <v>2298688352190</v>
      </c>
      <c r="BD378" s="12">
        <v>124123</v>
      </c>
      <c r="BE378" s="10">
        <v>888614695060</v>
      </c>
      <c r="BF378" s="10">
        <v>404801930578</v>
      </c>
      <c r="BG378" s="10">
        <v>1005271726552</v>
      </c>
      <c r="BH378" s="10">
        <v>3258275742929</v>
      </c>
      <c r="BI378" s="10">
        <v>316898782744</v>
      </c>
      <c r="BJ378" s="10">
        <v>457106286100</v>
      </c>
      <c r="BK378" s="10">
        <v>0</v>
      </c>
      <c r="BL378" s="10">
        <v>1926240530838</v>
      </c>
      <c r="BM378" s="10">
        <v>0</v>
      </c>
      <c r="BN378" s="10">
        <v>0</v>
      </c>
      <c r="BO378" s="10">
        <v>0</v>
      </c>
    </row>
    <row r="379" spans="1:67" x14ac:dyDescent="0.25">
      <c r="A379" s="25" t="s">
        <v>415</v>
      </c>
      <c r="B379" s="9">
        <v>3508</v>
      </c>
      <c r="C379" s="9" t="s">
        <v>424</v>
      </c>
      <c r="D379" s="10">
        <v>1537511096745</v>
      </c>
      <c r="E379" s="10">
        <v>26123115346</v>
      </c>
      <c r="F379" s="10">
        <v>0</v>
      </c>
      <c r="G379" s="10">
        <v>0</v>
      </c>
      <c r="H379" s="10">
        <v>1563634212091</v>
      </c>
      <c r="I379" s="10">
        <v>128595433295</v>
      </c>
      <c r="J379" s="10">
        <v>3343748111</v>
      </c>
      <c r="K379" s="10">
        <v>1431695030685</v>
      </c>
      <c r="L379" s="10">
        <v>1009224202094</v>
      </c>
      <c r="M379" s="10">
        <v>554410009997</v>
      </c>
      <c r="N379" s="46">
        <v>54.93427613474551</v>
      </c>
      <c r="O379" s="10">
        <v>1175538009863</v>
      </c>
      <c r="P379" s="11">
        <v>86.95</v>
      </c>
      <c r="Q379" s="11">
        <v>82.11</v>
      </c>
      <c r="R379" s="11">
        <v>2.59</v>
      </c>
      <c r="S379" s="10">
        <v>1217842793916</v>
      </c>
      <c r="T379" s="10">
        <v>22877419869</v>
      </c>
      <c r="U379" s="10">
        <v>9890623224</v>
      </c>
      <c r="V379" s="10">
        <v>1466821320</v>
      </c>
      <c r="W379" s="10">
        <v>11519975325</v>
      </c>
      <c r="X379" s="10">
        <v>1240720213785</v>
      </c>
      <c r="Y379" s="10">
        <v>12355766455</v>
      </c>
      <c r="Z379" s="10">
        <v>93508738369</v>
      </c>
      <c r="AA379" s="10">
        <v>25319650000</v>
      </c>
      <c r="AB379" s="10">
        <v>1359548602154</v>
      </c>
      <c r="AC379" s="10">
        <v>854024736871</v>
      </c>
      <c r="AD379" s="46">
        <v>45.279189257536714</v>
      </c>
      <c r="AE379" s="10">
        <v>814552912114</v>
      </c>
      <c r="AF379" s="10">
        <v>781012856773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1">
        <v>0</v>
      </c>
      <c r="AM379" s="10">
        <v>0</v>
      </c>
      <c r="AN379" s="11">
        <v>72</v>
      </c>
      <c r="AO379" s="10">
        <v>106357327866</v>
      </c>
      <c r="AP379" s="12">
        <v>6</v>
      </c>
      <c r="AQ379" s="10">
        <v>6428000000</v>
      </c>
      <c r="AR379" s="10">
        <v>22877419869</v>
      </c>
      <c r="AS379" s="10">
        <v>58284603605</v>
      </c>
      <c r="AT379" s="10">
        <v>-35407183736</v>
      </c>
      <c r="AU379" s="11">
        <v>-60.75</v>
      </c>
      <c r="AV379" s="10">
        <v>344312277670</v>
      </c>
      <c r="AW379" s="10">
        <v>86464718383</v>
      </c>
      <c r="AX379" s="10">
        <v>483639785785</v>
      </c>
      <c r="AY379" s="10">
        <v>82562631002</v>
      </c>
      <c r="AZ379" s="10">
        <v>315845679958</v>
      </c>
      <c r="BA379" s="10">
        <v>655463000000</v>
      </c>
      <c r="BB379" s="10">
        <v>235591494956</v>
      </c>
      <c r="BC379" s="10">
        <v>1563634212091</v>
      </c>
      <c r="BD379" s="12">
        <v>7161</v>
      </c>
      <c r="BE379" s="10">
        <v>592325532133</v>
      </c>
      <c r="BF379" s="10">
        <v>315845679958</v>
      </c>
      <c r="BG379" s="10">
        <v>655463000000</v>
      </c>
      <c r="BH379" s="10">
        <v>625830498207</v>
      </c>
      <c r="BI379" s="10">
        <v>188722413907</v>
      </c>
      <c r="BJ379" s="10">
        <v>0</v>
      </c>
      <c r="BK379" s="10">
        <v>0</v>
      </c>
      <c r="BL379" s="10">
        <v>0</v>
      </c>
      <c r="BM379" s="10">
        <v>0</v>
      </c>
      <c r="BN379" s="10">
        <v>0</v>
      </c>
      <c r="BO379" s="10">
        <v>0</v>
      </c>
    </row>
    <row r="380" spans="1:67" x14ac:dyDescent="0.25">
      <c r="A380" s="25" t="s">
        <v>415</v>
      </c>
      <c r="B380" s="9">
        <v>3509</v>
      </c>
      <c r="C380" s="9" t="s">
        <v>425</v>
      </c>
      <c r="D380" s="10">
        <v>1791357148594</v>
      </c>
      <c r="E380" s="10">
        <v>9981618035</v>
      </c>
      <c r="F380" s="10">
        <v>0</v>
      </c>
      <c r="G380" s="10">
        <v>0</v>
      </c>
      <c r="H380" s="10">
        <v>1801338766629</v>
      </c>
      <c r="I380" s="10">
        <v>142308139373</v>
      </c>
      <c r="J380" s="10">
        <v>1702894947</v>
      </c>
      <c r="K380" s="10">
        <v>1657327732309</v>
      </c>
      <c r="L380" s="10">
        <v>1213931101819</v>
      </c>
      <c r="M380" s="10">
        <v>587407664810</v>
      </c>
      <c r="N380" s="46">
        <v>48.388880055038236</v>
      </c>
      <c r="O380" s="10">
        <v>798878440496</v>
      </c>
      <c r="P380" s="11">
        <v>51.9</v>
      </c>
      <c r="Q380" s="11">
        <v>48.2</v>
      </c>
      <c r="R380" s="11">
        <v>1.33</v>
      </c>
      <c r="S380" s="10">
        <v>811746780144</v>
      </c>
      <c r="T380" s="10">
        <v>12334570721</v>
      </c>
      <c r="U380" s="10">
        <v>8574288617</v>
      </c>
      <c r="V380" s="10">
        <v>1453423002</v>
      </c>
      <c r="W380" s="10">
        <v>2306859102</v>
      </c>
      <c r="X380" s="10">
        <v>824081350865</v>
      </c>
      <c r="Y380" s="10">
        <v>103678923</v>
      </c>
      <c r="Z380" s="10">
        <v>97181874478</v>
      </c>
      <c r="AA380" s="10">
        <v>13567100000</v>
      </c>
      <c r="AB380" s="10">
        <v>934830325343</v>
      </c>
      <c r="AC380" s="10">
        <v>649631160765</v>
      </c>
      <c r="AD380" s="46">
        <v>26.853728798133542</v>
      </c>
      <c r="AE380" s="10">
        <v>369189582510</v>
      </c>
      <c r="AF380" s="10">
        <v>369189582510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1">
        <v>0</v>
      </c>
      <c r="AM380" s="10">
        <v>0</v>
      </c>
      <c r="AN380" s="11">
        <v>27</v>
      </c>
      <c r="AO380" s="10">
        <v>71214480030</v>
      </c>
      <c r="AP380" s="12">
        <v>4</v>
      </c>
      <c r="AQ380" s="10">
        <v>3932500000</v>
      </c>
      <c r="AR380" s="10">
        <v>12334570721</v>
      </c>
      <c r="AS380" s="10">
        <v>8948662141</v>
      </c>
      <c r="AT380" s="10">
        <v>3385908580</v>
      </c>
      <c r="AU380" s="13">
        <v>37.840000000000003</v>
      </c>
      <c r="AV380" s="10">
        <v>212321775489</v>
      </c>
      <c r="AW380" s="10">
        <v>60099434354</v>
      </c>
      <c r="AX380" s="10">
        <v>59660630289</v>
      </c>
      <c r="AY380" s="10">
        <v>182842580959</v>
      </c>
      <c r="AZ380" s="10">
        <v>227929437346</v>
      </c>
      <c r="BA380" s="10">
        <v>1320924500000</v>
      </c>
      <c r="BB380" s="10">
        <v>140628722404</v>
      </c>
      <c r="BC380" s="10">
        <v>1801338766629</v>
      </c>
      <c r="BD380" s="12">
        <v>163563</v>
      </c>
      <c r="BE380" s="10">
        <v>250869631527</v>
      </c>
      <c r="BF380" s="10">
        <v>227929437346</v>
      </c>
      <c r="BG380" s="10">
        <v>1322539697756</v>
      </c>
      <c r="BH380" s="10">
        <v>302350133635</v>
      </c>
      <c r="BI380" s="10">
        <v>66839448875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</row>
    <row r="381" spans="1:67" x14ac:dyDescent="0.25">
      <c r="A381" s="25" t="s">
        <v>415</v>
      </c>
      <c r="B381" s="9">
        <v>3510</v>
      </c>
      <c r="C381" s="9" t="s">
        <v>426</v>
      </c>
      <c r="D381" s="10">
        <v>1405111744752</v>
      </c>
      <c r="E381" s="10">
        <v>232036837794</v>
      </c>
      <c r="F381" s="10">
        <v>0</v>
      </c>
      <c r="G381" s="10">
        <v>0</v>
      </c>
      <c r="H381" s="10">
        <v>1637148582546</v>
      </c>
      <c r="I381" s="10">
        <v>109314874535</v>
      </c>
      <c r="J381" s="10">
        <v>7505519716</v>
      </c>
      <c r="K381" s="10">
        <v>1520328188295</v>
      </c>
      <c r="L381" s="10">
        <v>1513054065998</v>
      </c>
      <c r="M381" s="10">
        <v>124094516548</v>
      </c>
      <c r="N381" s="46">
        <v>8.2015916903899999</v>
      </c>
      <c r="O381" s="10">
        <v>2196374917085</v>
      </c>
      <c r="P381" s="11">
        <v>149.51</v>
      </c>
      <c r="Q381" s="11">
        <v>144.47</v>
      </c>
      <c r="R381" s="11">
        <v>7.88</v>
      </c>
      <c r="S381" s="10">
        <v>1986247204166</v>
      </c>
      <c r="T381" s="10">
        <v>181787611309</v>
      </c>
      <c r="U381" s="10">
        <v>24585250441</v>
      </c>
      <c r="V381" s="10">
        <v>88731715078</v>
      </c>
      <c r="W381" s="10">
        <v>68470645790</v>
      </c>
      <c r="X381" s="10">
        <v>2168034815475</v>
      </c>
      <c r="Y381" s="10">
        <v>10984474947</v>
      </c>
      <c r="Z381" s="10">
        <v>266609444778</v>
      </c>
      <c r="AA381" s="10">
        <v>13060156000</v>
      </c>
      <c r="AB381" s="10">
        <v>2447704416253</v>
      </c>
      <c r="AC381" s="10">
        <v>1831080495335</v>
      </c>
      <c r="AD381" s="46">
        <v>18.401939237431147</v>
      </c>
      <c r="AE381" s="10">
        <v>1583183405160</v>
      </c>
      <c r="AF381" s="10">
        <v>1508213176027</v>
      </c>
      <c r="AG381" s="10">
        <v>597005955425</v>
      </c>
      <c r="AH381" s="10">
        <v>6755595999</v>
      </c>
      <c r="AI381" s="10">
        <v>0</v>
      </c>
      <c r="AJ381" s="10">
        <v>0</v>
      </c>
      <c r="AK381" s="10">
        <v>0</v>
      </c>
      <c r="AL381" s="11">
        <v>14</v>
      </c>
      <c r="AM381" s="10">
        <v>1596193783691</v>
      </c>
      <c r="AN381" s="11">
        <v>68</v>
      </c>
      <c r="AO381" s="10">
        <v>1352363766073</v>
      </c>
      <c r="AP381" s="12">
        <v>2</v>
      </c>
      <c r="AQ381" s="10">
        <v>5450000000</v>
      </c>
      <c r="AR381" s="10">
        <v>181787611309</v>
      </c>
      <c r="AS381" s="10">
        <v>2757966606</v>
      </c>
      <c r="AT381" s="10">
        <v>179029644703</v>
      </c>
      <c r="AU381" s="13">
        <v>6491.36</v>
      </c>
      <c r="AV381" s="10">
        <v>1025238441659</v>
      </c>
      <c r="AW381" s="10">
        <v>209406262171</v>
      </c>
      <c r="AX381" s="10">
        <v>301404394007</v>
      </c>
      <c r="AY381" s="10">
        <v>46393915580</v>
      </c>
      <c r="AZ381" s="10">
        <v>476898015977</v>
      </c>
      <c r="BA381" s="10">
        <v>580415419188</v>
      </c>
      <c r="BB381" s="10">
        <v>346642214572</v>
      </c>
      <c r="BC381" s="10">
        <v>1637148582546</v>
      </c>
      <c r="BD381" s="12">
        <v>15869</v>
      </c>
      <c r="BE381" s="10">
        <v>579835147381</v>
      </c>
      <c r="BF381" s="10">
        <v>476898015977</v>
      </c>
      <c r="BG381" s="10">
        <v>580415419188</v>
      </c>
      <c r="BH381" s="10">
        <v>1382752100248</v>
      </c>
      <c r="BI381" s="10">
        <v>200431304912</v>
      </c>
      <c r="BJ381" s="10">
        <v>0</v>
      </c>
      <c r="BK381" s="10">
        <v>67541821601</v>
      </c>
      <c r="BL381" s="10">
        <v>203816258864</v>
      </c>
      <c r="BM381" s="10">
        <v>0</v>
      </c>
      <c r="BN381" s="10">
        <v>0</v>
      </c>
      <c r="BO381" s="10">
        <v>6755595999</v>
      </c>
    </row>
    <row r="382" spans="1:67" x14ac:dyDescent="0.25">
      <c r="A382" s="25" t="s">
        <v>415</v>
      </c>
      <c r="B382" s="14">
        <v>3511</v>
      </c>
      <c r="C382" s="14" t="s">
        <v>427</v>
      </c>
      <c r="D382" s="15">
        <v>1470771868026</v>
      </c>
      <c r="E382" s="15">
        <v>4211564487</v>
      </c>
      <c r="F382" s="15">
        <v>0</v>
      </c>
      <c r="G382" s="15">
        <v>0</v>
      </c>
      <c r="H382" s="15">
        <v>1474983432513</v>
      </c>
      <c r="I382" s="15">
        <v>111636898044</v>
      </c>
      <c r="J382" s="15">
        <v>1397995512</v>
      </c>
      <c r="K382" s="15">
        <v>1361948538957</v>
      </c>
      <c r="L382" s="15">
        <v>1304043146720</v>
      </c>
      <c r="M382" s="15">
        <v>170940285793</v>
      </c>
      <c r="N382" s="48">
        <v>13.108483888969339</v>
      </c>
      <c r="O382" s="15">
        <v>441129905384</v>
      </c>
      <c r="P382" s="16">
        <v>35.33</v>
      </c>
      <c r="Q382" s="16">
        <v>32.39</v>
      </c>
      <c r="R382" s="16">
        <v>0.6</v>
      </c>
      <c r="S382" s="15">
        <v>473492184465</v>
      </c>
      <c r="T382" s="15">
        <v>3151482076</v>
      </c>
      <c r="U382" s="15">
        <v>3062766616</v>
      </c>
      <c r="V382" s="15">
        <v>88715460</v>
      </c>
      <c r="W382" s="15">
        <v>0</v>
      </c>
      <c r="X382" s="15">
        <v>476643666541</v>
      </c>
      <c r="Y382" s="10">
        <v>0</v>
      </c>
      <c r="Z382" s="15">
        <v>28735063443</v>
      </c>
      <c r="AA382" s="15">
        <v>15727231543</v>
      </c>
      <c r="AB382" s="15">
        <v>521105961527</v>
      </c>
      <c r="AC382" s="15">
        <v>356970723883</v>
      </c>
      <c r="AD382" s="46">
        <v>33.524581891825882</v>
      </c>
      <c r="AE382" s="15">
        <v>306181611840</v>
      </c>
      <c r="AF382" s="15">
        <v>306181611840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6">
        <v>0</v>
      </c>
      <c r="AM382" s="15">
        <v>0</v>
      </c>
      <c r="AN382" s="16">
        <v>34</v>
      </c>
      <c r="AO382" s="15">
        <v>182132160067</v>
      </c>
      <c r="AP382" s="12">
        <v>13</v>
      </c>
      <c r="AQ382" s="10">
        <v>12907802113</v>
      </c>
      <c r="AR382" s="15">
        <v>3151482076</v>
      </c>
      <c r="AS382" s="15">
        <v>1797656874</v>
      </c>
      <c r="AT382" s="15">
        <v>1353825202</v>
      </c>
      <c r="AU382" s="16">
        <v>75.31</v>
      </c>
      <c r="AV382" s="15">
        <v>207549135969</v>
      </c>
      <c r="AW382" s="15">
        <v>16977841998</v>
      </c>
      <c r="AX382" s="15">
        <v>63541997013</v>
      </c>
      <c r="AY382" s="15">
        <v>135756342572</v>
      </c>
      <c r="AZ382" s="15">
        <v>317366528441</v>
      </c>
      <c r="BA382" s="15">
        <v>954107000000</v>
      </c>
      <c r="BB382" s="15">
        <v>166491864903</v>
      </c>
      <c r="BC382" s="15">
        <v>1474983432513</v>
      </c>
      <c r="BD382" s="17">
        <v>166</v>
      </c>
      <c r="BE382" s="15">
        <v>203509904072</v>
      </c>
      <c r="BF382" s="15">
        <v>317366528441</v>
      </c>
      <c r="BG382" s="15">
        <v>954107000000</v>
      </c>
      <c r="BH382" s="15">
        <v>290331650533</v>
      </c>
      <c r="BI382" s="15">
        <v>15849961307</v>
      </c>
      <c r="BJ382" s="15">
        <v>0</v>
      </c>
      <c r="BK382" s="15">
        <v>0</v>
      </c>
      <c r="BL382" s="15">
        <v>0</v>
      </c>
      <c r="BM382" s="15">
        <v>0</v>
      </c>
      <c r="BN382" s="15">
        <v>0</v>
      </c>
      <c r="BO382" s="15">
        <v>0</v>
      </c>
    </row>
    <row r="383" spans="1:67" x14ac:dyDescent="0.25">
      <c r="A383" s="25" t="s">
        <v>415</v>
      </c>
      <c r="B383" s="26">
        <v>3512</v>
      </c>
      <c r="C383" s="26" t="s">
        <v>428</v>
      </c>
      <c r="D383" s="27">
        <v>843502207545</v>
      </c>
      <c r="E383" s="27">
        <v>20264268731</v>
      </c>
      <c r="F383" s="27">
        <v>0</v>
      </c>
      <c r="G383" s="27">
        <v>0</v>
      </c>
      <c r="H383" s="27">
        <v>863766476276</v>
      </c>
      <c r="I383" s="27">
        <v>54201739799</v>
      </c>
      <c r="J383" s="27">
        <v>1681697257</v>
      </c>
      <c r="K383" s="27">
        <v>807883039220</v>
      </c>
      <c r="L383" s="27">
        <v>552501453853</v>
      </c>
      <c r="M383" s="10">
        <v>311265022423</v>
      </c>
      <c r="N383" s="46">
        <v>56.337412372821738</v>
      </c>
      <c r="O383" s="27">
        <v>447291422476</v>
      </c>
      <c r="P383" s="28">
        <v>61.25</v>
      </c>
      <c r="Q383" s="28">
        <v>55.37</v>
      </c>
      <c r="R383" s="28">
        <v>0.26</v>
      </c>
      <c r="S383" s="27">
        <v>483967491660</v>
      </c>
      <c r="T383" s="27">
        <v>1400426488</v>
      </c>
      <c r="U383" s="27">
        <v>473492810</v>
      </c>
      <c r="V383" s="27">
        <v>926933678</v>
      </c>
      <c r="W383" s="27">
        <v>0</v>
      </c>
      <c r="X383" s="27">
        <v>485367918148</v>
      </c>
      <c r="Y383" s="10">
        <v>0</v>
      </c>
      <c r="Z383" s="27">
        <v>27821155808</v>
      </c>
      <c r="AA383" s="27">
        <v>15875190999</v>
      </c>
      <c r="AB383" s="27">
        <v>529064264955</v>
      </c>
      <c r="AC383" s="27">
        <v>73697333544</v>
      </c>
      <c r="AD383" s="46">
        <v>558.59630845153663</v>
      </c>
      <c r="AE383" s="27">
        <v>424792148141</v>
      </c>
      <c r="AF383" s="27">
        <v>424792148141</v>
      </c>
      <c r="AG383" s="27">
        <v>0</v>
      </c>
      <c r="AH383" s="27">
        <v>0</v>
      </c>
      <c r="AI383" s="27">
        <v>0</v>
      </c>
      <c r="AJ383" s="27">
        <v>0</v>
      </c>
      <c r="AK383" s="27">
        <v>0</v>
      </c>
      <c r="AL383" s="28">
        <v>0</v>
      </c>
      <c r="AM383" s="27">
        <v>0</v>
      </c>
      <c r="AN383" s="28">
        <v>21</v>
      </c>
      <c r="AO383" s="27">
        <v>277405168293</v>
      </c>
      <c r="AP383" s="12">
        <v>2</v>
      </c>
      <c r="AQ383" s="10">
        <v>45094290837</v>
      </c>
      <c r="AR383" s="27">
        <v>1400426488</v>
      </c>
      <c r="AS383" s="27">
        <v>0</v>
      </c>
      <c r="AT383" s="27">
        <v>1400426488</v>
      </c>
      <c r="AU383" s="28" t="s">
        <v>593</v>
      </c>
      <c r="AV383" s="27">
        <v>62623298120</v>
      </c>
      <c r="AW383" s="27">
        <v>2828897004</v>
      </c>
      <c r="AX383" s="27">
        <v>230302171202</v>
      </c>
      <c r="AY383" s="27">
        <v>120263905685</v>
      </c>
      <c r="AZ383" s="27">
        <v>199441130658</v>
      </c>
      <c r="BA383" s="27">
        <v>293495000000</v>
      </c>
      <c r="BB383" s="27">
        <v>196666896013</v>
      </c>
      <c r="BC383" s="27">
        <v>863766476276</v>
      </c>
      <c r="BD383" s="29">
        <v>0</v>
      </c>
      <c r="BE383" s="27">
        <v>370830345618</v>
      </c>
      <c r="BF383" s="27">
        <v>199441130658</v>
      </c>
      <c r="BG383" s="27">
        <v>293495000000</v>
      </c>
      <c r="BH383" s="27">
        <v>381324358141</v>
      </c>
      <c r="BI383" s="27">
        <v>43467790000</v>
      </c>
      <c r="BJ383" s="27">
        <v>0</v>
      </c>
      <c r="BK383" s="27">
        <v>0</v>
      </c>
      <c r="BL383" s="27">
        <v>0</v>
      </c>
      <c r="BM383" s="27">
        <v>0</v>
      </c>
      <c r="BN383" s="27">
        <v>0</v>
      </c>
      <c r="BO383" s="27">
        <v>0</v>
      </c>
    </row>
    <row r="384" spans="1:67" x14ac:dyDescent="0.25">
      <c r="A384" s="25" t="s">
        <v>415</v>
      </c>
      <c r="B384" s="9">
        <v>3513</v>
      </c>
      <c r="C384" s="9" t="s">
        <v>429</v>
      </c>
      <c r="D384" s="10">
        <v>344000804099</v>
      </c>
      <c r="E384" s="10">
        <v>547002264</v>
      </c>
      <c r="F384" s="10">
        <v>0</v>
      </c>
      <c r="G384" s="10">
        <v>0</v>
      </c>
      <c r="H384" s="10">
        <v>344547806363</v>
      </c>
      <c r="I384" s="10">
        <v>28565212136</v>
      </c>
      <c r="J384" s="10">
        <v>1427109000</v>
      </c>
      <c r="K384" s="10">
        <v>314555485227</v>
      </c>
      <c r="L384" s="10">
        <v>295485461787</v>
      </c>
      <c r="M384" s="10">
        <v>49062344576</v>
      </c>
      <c r="N384" s="46">
        <v>16.603979187093298</v>
      </c>
      <c r="O384" s="10">
        <v>126100416387</v>
      </c>
      <c r="P384" s="11">
        <v>42.88</v>
      </c>
      <c r="Q384" s="11">
        <v>40.090000000000003</v>
      </c>
      <c r="R384" s="11">
        <v>0</v>
      </c>
      <c r="S384" s="10">
        <v>129085729764</v>
      </c>
      <c r="T384" s="10">
        <v>0</v>
      </c>
      <c r="U384" s="10">
        <v>0</v>
      </c>
      <c r="V384" s="10">
        <v>0</v>
      </c>
      <c r="W384" s="10">
        <v>0</v>
      </c>
      <c r="X384" s="10">
        <v>129085729764</v>
      </c>
      <c r="Y384" s="10">
        <v>0</v>
      </c>
      <c r="Z384" s="10">
        <v>11657733140</v>
      </c>
      <c r="AA384" s="10">
        <v>7000000000</v>
      </c>
      <c r="AB384" s="10">
        <v>147743462904</v>
      </c>
      <c r="AC384" s="10">
        <v>16420567855</v>
      </c>
      <c r="AD384" s="46">
        <v>686.12220298272996</v>
      </c>
      <c r="AE384" s="10">
        <v>135161042621</v>
      </c>
      <c r="AF384" s="10">
        <v>135161042621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1">
        <v>0</v>
      </c>
      <c r="AM384" s="10">
        <v>0</v>
      </c>
      <c r="AN384" s="11">
        <v>10</v>
      </c>
      <c r="AO384" s="10">
        <v>18344075000</v>
      </c>
      <c r="AP384" s="12">
        <v>0</v>
      </c>
      <c r="AQ384" s="10">
        <v>0</v>
      </c>
      <c r="AR384" s="10">
        <v>0</v>
      </c>
      <c r="AS384" s="10">
        <v>0</v>
      </c>
      <c r="AT384" s="10">
        <v>0</v>
      </c>
      <c r="AU384" s="11" t="s">
        <v>593</v>
      </c>
      <c r="AV384" s="10">
        <v>31859739586</v>
      </c>
      <c r="AW384" s="10">
        <v>3524457528</v>
      </c>
      <c r="AX384" s="10">
        <v>23270011069</v>
      </c>
      <c r="AY384" s="10">
        <v>16306973529</v>
      </c>
      <c r="AZ384" s="10">
        <v>40878319501</v>
      </c>
      <c r="BA384" s="10">
        <v>263545500000</v>
      </c>
      <c r="BB384" s="10">
        <v>40815003519</v>
      </c>
      <c r="BC384" s="10">
        <v>344547806363</v>
      </c>
      <c r="BD384" s="12">
        <v>2412</v>
      </c>
      <c r="BE384" s="10">
        <v>40123986862</v>
      </c>
      <c r="BF384" s="10">
        <v>40878319501</v>
      </c>
      <c r="BG384" s="10">
        <v>263545500000</v>
      </c>
      <c r="BH384" s="10">
        <v>128261042621</v>
      </c>
      <c r="BI384" s="10">
        <v>6900000000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</row>
    <row r="385" spans="1:67" x14ac:dyDescent="0.25">
      <c r="A385" s="25" t="s">
        <v>415</v>
      </c>
      <c r="B385" s="9">
        <v>3599</v>
      </c>
      <c r="C385" s="9" t="s">
        <v>430</v>
      </c>
      <c r="D385" s="10">
        <v>0</v>
      </c>
      <c r="E385" s="10">
        <v>4760869754</v>
      </c>
      <c r="F385" s="10">
        <v>0</v>
      </c>
      <c r="G385" s="10">
        <v>0</v>
      </c>
      <c r="H385" s="10">
        <v>4760869754</v>
      </c>
      <c r="I385" s="10">
        <v>393884883</v>
      </c>
      <c r="J385" s="10">
        <v>36000000</v>
      </c>
      <c r="K385" s="10">
        <v>4330984871</v>
      </c>
      <c r="L385" s="10">
        <v>4311245186</v>
      </c>
      <c r="M385" s="10">
        <v>449624568</v>
      </c>
      <c r="N385" s="46">
        <v>10.429111511914831</v>
      </c>
      <c r="O385" s="10">
        <v>0</v>
      </c>
      <c r="P385" s="11">
        <v>0</v>
      </c>
      <c r="Q385" s="11">
        <v>0</v>
      </c>
      <c r="R385" s="11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46" t="s">
        <v>595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1">
        <v>0</v>
      </c>
      <c r="AM385" s="10">
        <v>0</v>
      </c>
      <c r="AN385" s="11">
        <v>0</v>
      </c>
      <c r="AO385" s="10">
        <v>0</v>
      </c>
      <c r="AP385" s="12">
        <v>0</v>
      </c>
      <c r="AQ385" s="10">
        <v>0</v>
      </c>
      <c r="AR385" s="10">
        <v>0</v>
      </c>
      <c r="AS385" s="10">
        <v>0</v>
      </c>
      <c r="AT385" s="10">
        <v>0</v>
      </c>
      <c r="AU385" s="11" t="s">
        <v>593</v>
      </c>
      <c r="AV385" s="10">
        <v>0</v>
      </c>
      <c r="AW385" s="10">
        <v>0</v>
      </c>
      <c r="AX385" s="10">
        <v>0</v>
      </c>
      <c r="AY385" s="10">
        <v>0</v>
      </c>
      <c r="AZ385" s="10">
        <v>0</v>
      </c>
      <c r="BA385" s="10">
        <v>0</v>
      </c>
      <c r="BB385" s="10">
        <v>0</v>
      </c>
      <c r="BC385" s="10">
        <v>4760869754</v>
      </c>
      <c r="BD385" s="12">
        <v>0</v>
      </c>
      <c r="BE385" s="10">
        <v>4760869754</v>
      </c>
      <c r="BF385" s="10">
        <v>0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</row>
    <row r="386" spans="1:67" x14ac:dyDescent="0.25">
      <c r="A386" s="19" t="s">
        <v>605</v>
      </c>
      <c r="B386" s="20" t="s">
        <v>593</v>
      </c>
      <c r="C386" s="20" t="s">
        <v>593</v>
      </c>
      <c r="D386" s="21">
        <v>22628155233617</v>
      </c>
      <c r="E386" s="21">
        <v>1787907239160</v>
      </c>
      <c r="F386" s="21">
        <v>2962000000</v>
      </c>
      <c r="G386" s="21">
        <v>517364280</v>
      </c>
      <c r="H386" s="21">
        <v>24419541837057</v>
      </c>
      <c r="I386" s="21">
        <v>1754704601349</v>
      </c>
      <c r="J386" s="21">
        <v>111065175200</v>
      </c>
      <c r="K386" s="21">
        <v>22553772060508</v>
      </c>
      <c r="L386" s="21">
        <v>18749093200872</v>
      </c>
      <c r="M386" s="21">
        <v>5670448636185</v>
      </c>
      <c r="N386" s="47">
        <v>30.243855398410808</v>
      </c>
      <c r="O386" s="21">
        <v>21739102215392</v>
      </c>
      <c r="P386" s="22">
        <v>109.16</v>
      </c>
      <c r="Q386" s="22">
        <v>96.39</v>
      </c>
      <c r="R386" s="22">
        <v>3.24</v>
      </c>
      <c r="S386" s="21">
        <v>24046509259225</v>
      </c>
      <c r="T386" s="21">
        <v>717168150829</v>
      </c>
      <c r="U386" s="21">
        <v>205483818707</v>
      </c>
      <c r="V386" s="21">
        <v>145404029295</v>
      </c>
      <c r="W386" s="21">
        <v>366280302827</v>
      </c>
      <c r="X386" s="21">
        <v>24763677410054</v>
      </c>
      <c r="Y386" s="21">
        <v>145212905607</v>
      </c>
      <c r="Z386" s="21">
        <v>1624887946072</v>
      </c>
      <c r="AA386" s="21">
        <v>267160686602</v>
      </c>
      <c r="AB386" s="21">
        <v>26655726042728</v>
      </c>
      <c r="AC386" s="21">
        <v>18734657197679</v>
      </c>
      <c r="AD386" s="47">
        <v>32.18110771261896</v>
      </c>
      <c r="AE386" s="21">
        <v>31231734719548</v>
      </c>
      <c r="AF386" s="21">
        <v>30075899605809</v>
      </c>
      <c r="AG386" s="21">
        <v>14332711017327</v>
      </c>
      <c r="AH386" s="21">
        <v>191679501768</v>
      </c>
      <c r="AI386" s="21">
        <v>39606262183</v>
      </c>
      <c r="AJ386" s="21">
        <v>171505000000</v>
      </c>
      <c r="AK386" s="21">
        <v>3937432578</v>
      </c>
      <c r="AL386" s="22">
        <v>188</v>
      </c>
      <c r="AM386" s="21">
        <v>24187372154892</v>
      </c>
      <c r="AN386" s="23">
        <v>1091</v>
      </c>
      <c r="AO386" s="21">
        <v>16553047877109</v>
      </c>
      <c r="AP386" s="23">
        <v>382</v>
      </c>
      <c r="AQ386" s="21">
        <v>4663330848478</v>
      </c>
      <c r="AR386" s="21">
        <v>717168150829</v>
      </c>
      <c r="AS386" s="21">
        <v>462909724579</v>
      </c>
      <c r="AT386" s="21">
        <v>254258426250</v>
      </c>
      <c r="AU386" s="24">
        <v>54.93</v>
      </c>
      <c r="AV386" s="21">
        <v>25487975741443</v>
      </c>
      <c r="AW386" s="21">
        <v>3237900510044</v>
      </c>
      <c r="AX386" s="21">
        <v>6273374440908</v>
      </c>
      <c r="AY386" s="21">
        <v>1770919281646</v>
      </c>
      <c r="AZ386" s="21">
        <v>5028481040104</v>
      </c>
      <c r="BA386" s="21">
        <v>9555380470959</v>
      </c>
      <c r="BB386" s="21">
        <v>3604030906098</v>
      </c>
      <c r="BC386" s="21">
        <v>24419541837057</v>
      </c>
      <c r="BD386" s="23">
        <v>992689</v>
      </c>
      <c r="BE386" s="21">
        <v>9751388704434</v>
      </c>
      <c r="BF386" s="21">
        <v>5031443040104</v>
      </c>
      <c r="BG386" s="21">
        <v>9636710092519</v>
      </c>
      <c r="BH386" s="21">
        <v>28567221988916</v>
      </c>
      <c r="BI386" s="21">
        <v>2664512730632</v>
      </c>
      <c r="BJ386" s="21">
        <v>488086528314</v>
      </c>
      <c r="BK386" s="21">
        <v>299049570561</v>
      </c>
      <c r="BL386" s="21">
        <v>13618520291632</v>
      </c>
      <c r="BM386" s="21">
        <v>0</v>
      </c>
      <c r="BN386" s="21">
        <v>0</v>
      </c>
      <c r="BO386" s="21">
        <v>198279381768</v>
      </c>
    </row>
    <row r="387" spans="1:67" x14ac:dyDescent="0.25">
      <c r="A387" s="25" t="s">
        <v>431</v>
      </c>
      <c r="B387" s="9">
        <v>3600</v>
      </c>
      <c r="C387" s="9" t="s">
        <v>432</v>
      </c>
      <c r="D387" s="10">
        <v>1930728438951</v>
      </c>
      <c r="E387" s="10">
        <v>214181647823</v>
      </c>
      <c r="F387" s="10">
        <v>0</v>
      </c>
      <c r="G387" s="10">
        <v>3248435227</v>
      </c>
      <c r="H387" s="10">
        <v>2148158522001</v>
      </c>
      <c r="I387" s="10">
        <v>156485642834</v>
      </c>
      <c r="J387" s="10">
        <v>25464223562</v>
      </c>
      <c r="K387" s="10">
        <v>1966208655605</v>
      </c>
      <c r="L387" s="10">
        <v>1502049486769</v>
      </c>
      <c r="M387" s="10">
        <v>646109035232</v>
      </c>
      <c r="N387" s="46">
        <v>43.015163010495741</v>
      </c>
      <c r="O387" s="10">
        <v>3482272459491</v>
      </c>
      <c r="P387" s="11">
        <v>221.41</v>
      </c>
      <c r="Q387" s="11">
        <v>177.11</v>
      </c>
      <c r="R387" s="11">
        <v>2.42</v>
      </c>
      <c r="S387" s="10">
        <v>4468790369901</v>
      </c>
      <c r="T387" s="10">
        <v>84533485071</v>
      </c>
      <c r="U387" s="10">
        <v>8469814531</v>
      </c>
      <c r="V387" s="10">
        <v>55728385581</v>
      </c>
      <c r="W387" s="10">
        <v>20335284959</v>
      </c>
      <c r="X387" s="10">
        <v>4553323854972</v>
      </c>
      <c r="Y387" s="10">
        <v>30383610032</v>
      </c>
      <c r="Z387" s="10">
        <v>177598451725</v>
      </c>
      <c r="AA387" s="10">
        <v>25310000000</v>
      </c>
      <c r="AB387" s="10">
        <v>4756232306697</v>
      </c>
      <c r="AC387" s="10">
        <v>2972975511365</v>
      </c>
      <c r="AD387" s="46">
        <v>53.157126170925139</v>
      </c>
      <c r="AE387" s="10">
        <v>2501868278040</v>
      </c>
      <c r="AF387" s="10">
        <v>2501868278040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1">
        <v>0</v>
      </c>
      <c r="AM387" s="10">
        <v>0</v>
      </c>
      <c r="AN387" s="11">
        <v>173</v>
      </c>
      <c r="AO387" s="10">
        <v>2769440361064</v>
      </c>
      <c r="AP387" s="12">
        <v>36</v>
      </c>
      <c r="AQ387" s="10">
        <v>712497430444</v>
      </c>
      <c r="AR387" s="10">
        <v>84533485071</v>
      </c>
      <c r="AS387" s="10">
        <v>196488767858</v>
      </c>
      <c r="AT387" s="10">
        <v>-111955282787</v>
      </c>
      <c r="AU387" s="11">
        <v>-56.98</v>
      </c>
      <c r="AV387" s="10">
        <v>990338220184</v>
      </c>
      <c r="AW387" s="10">
        <v>159403567139</v>
      </c>
      <c r="AX387" s="10">
        <v>378388458202</v>
      </c>
      <c r="AY387" s="10">
        <v>666861203323</v>
      </c>
      <c r="AZ387" s="10">
        <v>511129684626</v>
      </c>
      <c r="BA387" s="10">
        <v>374349092800</v>
      </c>
      <c r="BB387" s="10">
        <v>299363949131</v>
      </c>
      <c r="BC387" s="10">
        <v>2148158522001</v>
      </c>
      <c r="BD387" s="12">
        <v>25621</v>
      </c>
      <c r="BE387" s="10">
        <v>1218374767277</v>
      </c>
      <c r="BF387" s="10">
        <v>511129684626</v>
      </c>
      <c r="BG387" s="10">
        <v>418654070098</v>
      </c>
      <c r="BH387" s="10">
        <v>1673327825147</v>
      </c>
      <c r="BI387" s="10">
        <v>828540452893</v>
      </c>
      <c r="BJ387" s="10">
        <v>0</v>
      </c>
      <c r="BK387" s="10">
        <v>0</v>
      </c>
      <c r="BL387" s="10">
        <v>0</v>
      </c>
      <c r="BM387" s="10">
        <v>0</v>
      </c>
      <c r="BN387" s="10">
        <v>9555721492</v>
      </c>
      <c r="BO387" s="10">
        <v>0</v>
      </c>
    </row>
    <row r="388" spans="1:67" x14ac:dyDescent="0.25">
      <c r="A388" s="25" t="s">
        <v>431</v>
      </c>
      <c r="B388" s="9">
        <v>3601</v>
      </c>
      <c r="C388" s="9" t="s">
        <v>433</v>
      </c>
      <c r="D388" s="10">
        <v>944476541987</v>
      </c>
      <c r="E388" s="10">
        <v>39737365132</v>
      </c>
      <c r="F388" s="10">
        <v>0</v>
      </c>
      <c r="G388" s="10">
        <v>0</v>
      </c>
      <c r="H388" s="10">
        <v>984213907119</v>
      </c>
      <c r="I388" s="10">
        <v>55405922061</v>
      </c>
      <c r="J388" s="10">
        <v>3726071079</v>
      </c>
      <c r="K388" s="10">
        <v>925081913979</v>
      </c>
      <c r="L388" s="10">
        <v>698440567721</v>
      </c>
      <c r="M388" s="10">
        <v>285773339398</v>
      </c>
      <c r="N388" s="46">
        <v>40.915913623183961</v>
      </c>
      <c r="O388" s="10">
        <v>1649795979582</v>
      </c>
      <c r="P388" s="11">
        <v>175.94</v>
      </c>
      <c r="Q388" s="11">
        <v>178.34</v>
      </c>
      <c r="R388" s="11">
        <v>2.23</v>
      </c>
      <c r="S388" s="10">
        <v>1638617109226</v>
      </c>
      <c r="T388" s="10">
        <v>27501881296</v>
      </c>
      <c r="U388" s="10">
        <v>22108985204</v>
      </c>
      <c r="V388" s="10">
        <v>3473906350</v>
      </c>
      <c r="W388" s="10">
        <v>1918989742</v>
      </c>
      <c r="X388" s="10">
        <v>1666118990522</v>
      </c>
      <c r="Y388" s="10">
        <v>11075804192</v>
      </c>
      <c r="Z388" s="10">
        <v>56368115940</v>
      </c>
      <c r="AA388" s="10">
        <v>9100000000</v>
      </c>
      <c r="AB388" s="10">
        <v>1731587106462</v>
      </c>
      <c r="AC388" s="10">
        <v>1043574267010</v>
      </c>
      <c r="AD388" s="46">
        <v>59.655047387828553</v>
      </c>
      <c r="AE388" s="10">
        <v>913953508252</v>
      </c>
      <c r="AF388" s="10">
        <v>913953508252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1">
        <v>0</v>
      </c>
      <c r="AM388" s="10">
        <v>0</v>
      </c>
      <c r="AN388" s="11">
        <v>81</v>
      </c>
      <c r="AO388" s="10">
        <v>400384177531</v>
      </c>
      <c r="AP388" s="12">
        <v>23</v>
      </c>
      <c r="AQ388" s="10">
        <v>53577207484</v>
      </c>
      <c r="AR388" s="10">
        <v>27501881296</v>
      </c>
      <c r="AS388" s="10">
        <v>15089700784</v>
      </c>
      <c r="AT388" s="10">
        <v>12412180512</v>
      </c>
      <c r="AU388" s="11">
        <v>82.26</v>
      </c>
      <c r="AV388" s="10">
        <v>290372568086</v>
      </c>
      <c r="AW388" s="10">
        <v>81918959111</v>
      </c>
      <c r="AX388" s="10">
        <v>194075891639</v>
      </c>
      <c r="AY388" s="10">
        <v>260846805554</v>
      </c>
      <c r="AZ388" s="10">
        <v>317685759997</v>
      </c>
      <c r="BA388" s="10">
        <v>171868084797</v>
      </c>
      <c r="BB388" s="10">
        <v>256560560427</v>
      </c>
      <c r="BC388" s="10">
        <v>984213907119</v>
      </c>
      <c r="BD388" s="12">
        <v>14112</v>
      </c>
      <c r="BE388" s="10">
        <v>494660062325</v>
      </c>
      <c r="BF388" s="10">
        <v>317685759997</v>
      </c>
      <c r="BG388" s="10">
        <v>171868084797</v>
      </c>
      <c r="BH388" s="10">
        <v>824553508252</v>
      </c>
      <c r="BI388" s="10">
        <v>89400000000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</row>
    <row r="389" spans="1:67" x14ac:dyDescent="0.25">
      <c r="A389" s="25" t="s">
        <v>431</v>
      </c>
      <c r="B389" s="9">
        <v>3602</v>
      </c>
      <c r="C389" s="9" t="s">
        <v>434</v>
      </c>
      <c r="D389" s="10">
        <v>735871627360</v>
      </c>
      <c r="E389" s="10">
        <v>32501095167</v>
      </c>
      <c r="F389" s="10">
        <v>0</v>
      </c>
      <c r="G389" s="10">
        <v>0</v>
      </c>
      <c r="H389" s="10">
        <v>768372722527</v>
      </c>
      <c r="I389" s="10">
        <v>59214783060</v>
      </c>
      <c r="J389" s="10">
        <v>2276078250</v>
      </c>
      <c r="K389" s="10">
        <v>706881861217</v>
      </c>
      <c r="L389" s="10">
        <v>643379372360</v>
      </c>
      <c r="M389" s="10">
        <v>124993350167</v>
      </c>
      <c r="N389" s="46">
        <v>19.427627856408883</v>
      </c>
      <c r="O389" s="10">
        <v>968877368508</v>
      </c>
      <c r="P389" s="11">
        <v>157.12</v>
      </c>
      <c r="Q389" s="11">
        <v>137.06</v>
      </c>
      <c r="R389" s="11">
        <v>1.53</v>
      </c>
      <c r="S389" s="10">
        <v>991408361097</v>
      </c>
      <c r="T389" s="10">
        <v>18474482466</v>
      </c>
      <c r="U389" s="10">
        <v>12338348021</v>
      </c>
      <c r="V389" s="10">
        <v>6136134445</v>
      </c>
      <c r="W389" s="10">
        <v>0</v>
      </c>
      <c r="X389" s="10">
        <v>1009882843563</v>
      </c>
      <c r="Y389" s="10">
        <v>0</v>
      </c>
      <c r="Z389" s="10">
        <v>178311600978</v>
      </c>
      <c r="AA389" s="10">
        <v>19099630000</v>
      </c>
      <c r="AB389" s="10">
        <v>1207294074541</v>
      </c>
      <c r="AC389" s="10">
        <v>856995947227</v>
      </c>
      <c r="AD389" s="46">
        <v>17.839862233969644</v>
      </c>
      <c r="AE389" s="10">
        <v>600638019805</v>
      </c>
      <c r="AF389" s="10">
        <v>394934518815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1">
        <v>0</v>
      </c>
      <c r="AM389" s="10">
        <v>0</v>
      </c>
      <c r="AN389" s="11">
        <v>11</v>
      </c>
      <c r="AO389" s="10">
        <v>124907695318</v>
      </c>
      <c r="AP389" s="12">
        <v>6</v>
      </c>
      <c r="AQ389" s="10">
        <v>67995037868</v>
      </c>
      <c r="AR389" s="10">
        <v>18474482466</v>
      </c>
      <c r="AS389" s="10">
        <v>7851948476</v>
      </c>
      <c r="AT389" s="10">
        <v>10622533990</v>
      </c>
      <c r="AU389" s="11">
        <v>135.29</v>
      </c>
      <c r="AV389" s="10">
        <v>339174005946</v>
      </c>
      <c r="AW389" s="10">
        <v>68490844001</v>
      </c>
      <c r="AX389" s="10">
        <v>166795233529</v>
      </c>
      <c r="AY389" s="10">
        <v>137973095354</v>
      </c>
      <c r="AZ389" s="10">
        <v>290966229877</v>
      </c>
      <c r="BA389" s="10">
        <v>140137068600</v>
      </c>
      <c r="BB389" s="10">
        <v>190008807785</v>
      </c>
      <c r="BC389" s="10">
        <v>768372722527</v>
      </c>
      <c r="BD389" s="12">
        <v>75555</v>
      </c>
      <c r="BE389" s="10">
        <v>337269424050</v>
      </c>
      <c r="BF389" s="10">
        <v>290966229877</v>
      </c>
      <c r="BG389" s="10">
        <v>140137068600</v>
      </c>
      <c r="BH389" s="10">
        <v>550778019805</v>
      </c>
      <c r="BI389" s="10">
        <v>49860000000</v>
      </c>
      <c r="BJ389" s="10">
        <v>0</v>
      </c>
      <c r="BK389" s="10">
        <v>0</v>
      </c>
      <c r="BL389" s="10">
        <v>0</v>
      </c>
      <c r="BM389" s="10">
        <v>0</v>
      </c>
      <c r="BN389" s="10">
        <v>0</v>
      </c>
      <c r="BO389" s="10">
        <v>0</v>
      </c>
    </row>
    <row r="390" spans="1:67" x14ac:dyDescent="0.25">
      <c r="A390" s="25" t="s">
        <v>431</v>
      </c>
      <c r="B390" s="9">
        <v>3603</v>
      </c>
      <c r="C390" s="9" t="s">
        <v>435</v>
      </c>
      <c r="D390" s="10">
        <v>797283874696</v>
      </c>
      <c r="E390" s="10">
        <v>27141047648</v>
      </c>
      <c r="F390" s="10">
        <v>0</v>
      </c>
      <c r="G390" s="10">
        <v>0</v>
      </c>
      <c r="H390" s="10">
        <v>824424922344</v>
      </c>
      <c r="I390" s="10">
        <v>60513928607</v>
      </c>
      <c r="J390" s="10">
        <v>19346691596</v>
      </c>
      <c r="K390" s="10">
        <v>744564302141</v>
      </c>
      <c r="L390" s="10">
        <v>790861082684</v>
      </c>
      <c r="M390" s="10">
        <v>33563839660</v>
      </c>
      <c r="N390" s="46">
        <v>4.243961473751126</v>
      </c>
      <c r="O390" s="10">
        <v>1639667328457</v>
      </c>
      <c r="P390" s="11">
        <v>217.29</v>
      </c>
      <c r="Q390" s="11">
        <v>220.22</v>
      </c>
      <c r="R390" s="11">
        <v>7.03</v>
      </c>
      <c r="S390" s="10">
        <v>1591909595200</v>
      </c>
      <c r="T390" s="10">
        <v>115606693531</v>
      </c>
      <c r="U390" s="10">
        <v>42692451698</v>
      </c>
      <c r="V390" s="10">
        <v>6620564691</v>
      </c>
      <c r="W390" s="10">
        <v>66293677142</v>
      </c>
      <c r="X390" s="10">
        <v>1707516288731</v>
      </c>
      <c r="Y390" s="10">
        <v>10273243989</v>
      </c>
      <c r="Z390" s="10">
        <v>78868463490</v>
      </c>
      <c r="AA390" s="10">
        <v>5000000000</v>
      </c>
      <c r="AB390" s="10">
        <v>1791384752221</v>
      </c>
      <c r="AC390" s="10">
        <v>1241180309904</v>
      </c>
      <c r="AD390" s="46">
        <v>37.571976859918855</v>
      </c>
      <c r="AE390" s="10">
        <v>929785437741</v>
      </c>
      <c r="AF390" s="10">
        <v>876929027202</v>
      </c>
      <c r="AG390" s="10">
        <v>0</v>
      </c>
      <c r="AH390" s="10">
        <v>53049928095</v>
      </c>
      <c r="AI390" s="10">
        <v>0</v>
      </c>
      <c r="AJ390" s="10">
        <v>0</v>
      </c>
      <c r="AK390" s="10">
        <v>0</v>
      </c>
      <c r="AL390" s="11">
        <v>0</v>
      </c>
      <c r="AM390" s="10">
        <v>0</v>
      </c>
      <c r="AN390" s="11">
        <v>177</v>
      </c>
      <c r="AO390" s="10">
        <v>642583676213</v>
      </c>
      <c r="AP390" s="12">
        <v>26</v>
      </c>
      <c r="AQ390" s="10">
        <v>190724707997</v>
      </c>
      <c r="AR390" s="10">
        <v>115606693531</v>
      </c>
      <c r="AS390" s="10">
        <v>99759032033</v>
      </c>
      <c r="AT390" s="10">
        <v>15847661498</v>
      </c>
      <c r="AU390" s="11">
        <v>15.89</v>
      </c>
      <c r="AV390" s="10">
        <v>416272411550</v>
      </c>
      <c r="AW390" s="10">
        <v>124245805471</v>
      </c>
      <c r="AX390" s="10">
        <v>113340755843</v>
      </c>
      <c r="AY390" s="10">
        <v>205078466594</v>
      </c>
      <c r="AZ390" s="10">
        <v>344806852259</v>
      </c>
      <c r="BA390" s="10">
        <v>134057800000</v>
      </c>
      <c r="BB390" s="10">
        <v>244383442737</v>
      </c>
      <c r="BC390" s="10">
        <v>824424922344</v>
      </c>
      <c r="BD390" s="12">
        <v>11890</v>
      </c>
      <c r="BE390" s="10">
        <v>345560270085</v>
      </c>
      <c r="BF390" s="10">
        <v>344806852259</v>
      </c>
      <c r="BG390" s="10">
        <v>134057800000</v>
      </c>
      <c r="BH390" s="10">
        <v>737435437741</v>
      </c>
      <c r="BI390" s="10">
        <v>192350000000</v>
      </c>
      <c r="BJ390" s="10">
        <v>0</v>
      </c>
      <c r="BK390" s="10">
        <v>0</v>
      </c>
      <c r="BL390" s="10">
        <v>0</v>
      </c>
      <c r="BM390" s="10">
        <v>0</v>
      </c>
      <c r="BN390" s="10">
        <v>0</v>
      </c>
      <c r="BO390" s="10">
        <v>53049928095</v>
      </c>
    </row>
    <row r="391" spans="1:67" x14ac:dyDescent="0.25">
      <c r="A391" s="25" t="s">
        <v>431</v>
      </c>
      <c r="B391" s="9">
        <v>3604</v>
      </c>
      <c r="C391" s="9" t="s">
        <v>436</v>
      </c>
      <c r="D391" s="10">
        <v>2362002560518</v>
      </c>
      <c r="E391" s="10">
        <v>134450081316</v>
      </c>
      <c r="F391" s="10">
        <v>0</v>
      </c>
      <c r="G391" s="10">
        <v>5999335871</v>
      </c>
      <c r="H391" s="10">
        <v>2502451977705</v>
      </c>
      <c r="I391" s="10">
        <v>184427174038</v>
      </c>
      <c r="J391" s="10">
        <v>3266896274</v>
      </c>
      <c r="K391" s="10">
        <v>2314757907393</v>
      </c>
      <c r="L391" s="10">
        <v>1712985661367</v>
      </c>
      <c r="M391" s="10">
        <v>789466316338</v>
      </c>
      <c r="N391" s="46">
        <v>46.087152633139297</v>
      </c>
      <c r="O391" s="10">
        <v>1268927280162</v>
      </c>
      <c r="P391" s="11">
        <v>58.08</v>
      </c>
      <c r="Q391" s="11">
        <v>54.82</v>
      </c>
      <c r="R391" s="11">
        <v>0.62</v>
      </c>
      <c r="S391" s="10">
        <v>1381155540417</v>
      </c>
      <c r="T391" s="10">
        <v>8828827980</v>
      </c>
      <c r="U391" s="10">
        <v>8734893364</v>
      </c>
      <c r="V391" s="10">
        <v>0</v>
      </c>
      <c r="W391" s="10">
        <v>93934616</v>
      </c>
      <c r="X391" s="10">
        <v>1389984368397</v>
      </c>
      <c r="Y391" s="10">
        <v>240734841</v>
      </c>
      <c r="Z391" s="10">
        <v>57044567819</v>
      </c>
      <c r="AA391" s="10">
        <v>6500000000</v>
      </c>
      <c r="AB391" s="10">
        <v>1453528936216</v>
      </c>
      <c r="AC391" s="10">
        <v>786891147870</v>
      </c>
      <c r="AD391" s="46">
        <v>76.642521924345658</v>
      </c>
      <c r="AE391" s="10">
        <v>1393517000371</v>
      </c>
      <c r="AF391" s="10">
        <v>1190803841486</v>
      </c>
      <c r="AG391" s="10">
        <v>0</v>
      </c>
      <c r="AH391" s="10">
        <v>4240000000</v>
      </c>
      <c r="AI391" s="10">
        <v>0</v>
      </c>
      <c r="AJ391" s="10">
        <v>0</v>
      </c>
      <c r="AK391" s="10">
        <v>0</v>
      </c>
      <c r="AL391" s="11">
        <v>0</v>
      </c>
      <c r="AM391" s="10">
        <v>0</v>
      </c>
      <c r="AN391" s="11">
        <v>64</v>
      </c>
      <c r="AO391" s="10">
        <v>890261306192</v>
      </c>
      <c r="AP391" s="12">
        <v>37</v>
      </c>
      <c r="AQ391" s="10">
        <v>1040820685049</v>
      </c>
      <c r="AR391" s="10">
        <v>8828827980</v>
      </c>
      <c r="AS391" s="10">
        <v>25845544505</v>
      </c>
      <c r="AT391" s="10">
        <v>-17016716525</v>
      </c>
      <c r="AU391" s="13">
        <v>-65.84</v>
      </c>
      <c r="AV391" s="10">
        <v>720058919645</v>
      </c>
      <c r="AW391" s="10">
        <v>145099387500</v>
      </c>
      <c r="AX391" s="10">
        <v>791813655196</v>
      </c>
      <c r="AY391" s="10">
        <v>795255932181</v>
      </c>
      <c r="AZ391" s="10">
        <v>386805353565</v>
      </c>
      <c r="BA391" s="10">
        <v>388127619576</v>
      </c>
      <c r="BB391" s="10">
        <v>167183395132</v>
      </c>
      <c r="BC391" s="10">
        <v>2502451977705</v>
      </c>
      <c r="BD391" s="12">
        <v>34905</v>
      </c>
      <c r="BE391" s="10">
        <v>1727519004564</v>
      </c>
      <c r="BF391" s="10">
        <v>386805353565</v>
      </c>
      <c r="BG391" s="10">
        <v>388127619576</v>
      </c>
      <c r="BH391" s="10">
        <v>1197977000371</v>
      </c>
      <c r="BI391" s="10">
        <v>195540000000</v>
      </c>
      <c r="BJ391" s="10">
        <v>0</v>
      </c>
      <c r="BK391" s="10">
        <v>0</v>
      </c>
      <c r="BL391" s="10">
        <v>0</v>
      </c>
      <c r="BM391" s="10">
        <v>0</v>
      </c>
      <c r="BN391" s="10">
        <v>0</v>
      </c>
      <c r="BO391" s="10">
        <v>4240000000</v>
      </c>
    </row>
    <row r="392" spans="1:67" x14ac:dyDescent="0.25">
      <c r="A392" s="25" t="s">
        <v>431</v>
      </c>
      <c r="B392" s="9">
        <v>3605</v>
      </c>
      <c r="C392" s="9" t="s">
        <v>437</v>
      </c>
      <c r="D392" s="10">
        <v>1067294363177</v>
      </c>
      <c r="E392" s="10">
        <v>194320695545</v>
      </c>
      <c r="F392" s="10">
        <v>0</v>
      </c>
      <c r="G392" s="10">
        <v>0</v>
      </c>
      <c r="H392" s="10">
        <v>1261615058722</v>
      </c>
      <c r="I392" s="10">
        <v>74336311687</v>
      </c>
      <c r="J392" s="10">
        <v>5535235196</v>
      </c>
      <c r="K392" s="10">
        <v>1181743511839</v>
      </c>
      <c r="L392" s="10">
        <v>988005394466</v>
      </c>
      <c r="M392" s="10">
        <v>273609664256</v>
      </c>
      <c r="N392" s="46">
        <v>27.693134651747659</v>
      </c>
      <c r="O392" s="10">
        <v>4868550675427</v>
      </c>
      <c r="P392" s="11">
        <v>400.39</v>
      </c>
      <c r="Q392" s="11">
        <v>411.98</v>
      </c>
      <c r="R392" s="11">
        <v>29.68</v>
      </c>
      <c r="S392" s="10">
        <v>3332159822856</v>
      </c>
      <c r="T392" s="10">
        <v>1450432388945</v>
      </c>
      <c r="U392" s="10">
        <v>14140738688</v>
      </c>
      <c r="V392" s="10">
        <v>10459079460</v>
      </c>
      <c r="W392" s="10">
        <v>1425832570797</v>
      </c>
      <c r="X392" s="10">
        <v>4782592211801</v>
      </c>
      <c r="Y392" s="10">
        <v>48651205503</v>
      </c>
      <c r="Z392" s="10">
        <v>252659320274</v>
      </c>
      <c r="AA392" s="10">
        <v>16168000000</v>
      </c>
      <c r="AB392" s="10">
        <v>5051419532075</v>
      </c>
      <c r="AC392" s="10">
        <v>316343777760</v>
      </c>
      <c r="AD392" s="46">
        <v>1411.8338175215829</v>
      </c>
      <c r="AE392" s="10">
        <v>9556534611731</v>
      </c>
      <c r="AF392" s="10">
        <v>9556534611731</v>
      </c>
      <c r="AG392" s="10">
        <v>7440543910254</v>
      </c>
      <c r="AH392" s="10">
        <v>1119143057760</v>
      </c>
      <c r="AI392" s="10">
        <v>10990093697</v>
      </c>
      <c r="AJ392" s="10">
        <v>0</v>
      </c>
      <c r="AK392" s="10">
        <v>0</v>
      </c>
      <c r="AL392" s="11">
        <v>45</v>
      </c>
      <c r="AM392" s="10">
        <v>8325889868487</v>
      </c>
      <c r="AN392" s="11">
        <v>26</v>
      </c>
      <c r="AO392" s="10">
        <v>2574542035641</v>
      </c>
      <c r="AP392" s="12">
        <v>17</v>
      </c>
      <c r="AQ392" s="10">
        <v>661226811829</v>
      </c>
      <c r="AR392" s="10">
        <v>1450432388945</v>
      </c>
      <c r="AS392" s="10">
        <v>4947784872</v>
      </c>
      <c r="AT392" s="10">
        <v>1445484604073</v>
      </c>
      <c r="AU392" s="13">
        <v>29214.78</v>
      </c>
      <c r="AV392" s="10">
        <v>5140233986816</v>
      </c>
      <c r="AW392" s="10">
        <v>1363886546101</v>
      </c>
      <c r="AX392" s="10">
        <v>158653378425</v>
      </c>
      <c r="AY392" s="10">
        <v>282614419851</v>
      </c>
      <c r="AZ392" s="10">
        <v>303212564901</v>
      </c>
      <c r="BA392" s="10">
        <v>322814000000</v>
      </c>
      <c r="BB392" s="10">
        <v>223476061465</v>
      </c>
      <c r="BC392" s="10">
        <v>1261615058722</v>
      </c>
      <c r="BD392" s="12">
        <v>7272</v>
      </c>
      <c r="BE392" s="10">
        <v>635588493821</v>
      </c>
      <c r="BF392" s="10">
        <v>303212564901</v>
      </c>
      <c r="BG392" s="10">
        <v>322814000000</v>
      </c>
      <c r="BH392" s="10">
        <v>3280297113894</v>
      </c>
      <c r="BI392" s="10">
        <v>6276237497837</v>
      </c>
      <c r="BJ392" s="10">
        <v>1926819832723</v>
      </c>
      <c r="BK392" s="10">
        <v>1425221294275</v>
      </c>
      <c r="BL392" s="10">
        <v>4081095102615</v>
      </c>
      <c r="BM392" s="10">
        <v>268643057760</v>
      </c>
      <c r="BN392" s="10">
        <v>0</v>
      </c>
      <c r="BO392" s="10">
        <v>850500000000</v>
      </c>
    </row>
    <row r="393" spans="1:67" x14ac:dyDescent="0.25">
      <c r="A393" s="25" t="s">
        <v>431</v>
      </c>
      <c r="B393" s="9">
        <v>3606</v>
      </c>
      <c r="C393" s="9" t="s">
        <v>438</v>
      </c>
      <c r="D393" s="10">
        <v>3348169374659</v>
      </c>
      <c r="E393" s="10">
        <v>777059356661</v>
      </c>
      <c r="F393" s="10">
        <v>50000000000</v>
      </c>
      <c r="G393" s="10">
        <v>0</v>
      </c>
      <c r="H393" s="10">
        <v>4175228731320</v>
      </c>
      <c r="I393" s="10">
        <v>306575456031</v>
      </c>
      <c r="J393" s="10">
        <v>4459949600</v>
      </c>
      <c r="K393" s="10">
        <v>3864193325689</v>
      </c>
      <c r="L393" s="10">
        <v>2745328925797</v>
      </c>
      <c r="M393" s="10">
        <v>1429899805523</v>
      </c>
      <c r="N393" s="46">
        <v>52.084826415030903</v>
      </c>
      <c r="O393" s="10">
        <v>2984311716755</v>
      </c>
      <c r="P393" s="11">
        <v>83.54</v>
      </c>
      <c r="Q393" s="11">
        <v>77.23</v>
      </c>
      <c r="R393" s="11">
        <v>8.19</v>
      </c>
      <c r="S393" s="10">
        <v>2913343827327</v>
      </c>
      <c r="T393" s="10">
        <v>250084863907</v>
      </c>
      <c r="U393" s="10">
        <v>32518700677</v>
      </c>
      <c r="V393" s="10">
        <v>130259403630</v>
      </c>
      <c r="W393" s="10">
        <v>87306759600</v>
      </c>
      <c r="X393" s="10">
        <v>3163428691234</v>
      </c>
      <c r="Y393" s="10">
        <v>35619510303</v>
      </c>
      <c r="Z393" s="10">
        <v>291968951360</v>
      </c>
      <c r="AA393" s="10">
        <v>32612385551</v>
      </c>
      <c r="AB393" s="10">
        <v>3488010028145</v>
      </c>
      <c r="AC393" s="10">
        <v>3440622377981</v>
      </c>
      <c r="AD393" s="46">
        <v>-8.0564983975271574</v>
      </c>
      <c r="AE393" s="10">
        <v>2464539559419</v>
      </c>
      <c r="AF393" s="10">
        <v>2422303833393</v>
      </c>
      <c r="AG393" s="10">
        <v>395090000340</v>
      </c>
      <c r="AH393" s="10">
        <v>573019520</v>
      </c>
      <c r="AI393" s="10">
        <v>0</v>
      </c>
      <c r="AJ393" s="10">
        <v>0</v>
      </c>
      <c r="AK393" s="10">
        <v>0</v>
      </c>
      <c r="AL393" s="11">
        <v>5</v>
      </c>
      <c r="AM393" s="10">
        <v>2323278359600</v>
      </c>
      <c r="AN393" s="11">
        <v>481</v>
      </c>
      <c r="AO393" s="10">
        <v>7232055696577</v>
      </c>
      <c r="AP393" s="12">
        <v>230</v>
      </c>
      <c r="AQ393" s="10">
        <v>1734696755721</v>
      </c>
      <c r="AR393" s="10">
        <v>250084863907</v>
      </c>
      <c r="AS393" s="10">
        <v>165911461234</v>
      </c>
      <c r="AT393" s="10">
        <v>84173402673</v>
      </c>
      <c r="AU393" s="11">
        <v>50.73</v>
      </c>
      <c r="AV393" s="10">
        <v>2660018300886</v>
      </c>
      <c r="AW393" s="10">
        <v>1046667053745</v>
      </c>
      <c r="AX393" s="10">
        <v>523036582794</v>
      </c>
      <c r="AY393" s="10">
        <v>490571083101</v>
      </c>
      <c r="AZ393" s="10">
        <v>1493917204655</v>
      </c>
      <c r="BA393" s="10">
        <v>840644504109</v>
      </c>
      <c r="BB393" s="10">
        <v>1082282168628</v>
      </c>
      <c r="BC393" s="10">
        <v>4175228731320</v>
      </c>
      <c r="BD393" s="12">
        <v>46265</v>
      </c>
      <c r="BE393" s="10">
        <v>1790667022556</v>
      </c>
      <c r="BF393" s="10">
        <v>1543917204655</v>
      </c>
      <c r="BG393" s="10">
        <v>840644504109</v>
      </c>
      <c r="BH393" s="10">
        <v>2059471561190</v>
      </c>
      <c r="BI393" s="10">
        <v>405067998229</v>
      </c>
      <c r="BJ393" s="10">
        <v>0</v>
      </c>
      <c r="BK393" s="10">
        <v>78528807470</v>
      </c>
      <c r="BL393" s="10">
        <v>1143892107960</v>
      </c>
      <c r="BM393" s="10">
        <v>0</v>
      </c>
      <c r="BN393" s="10">
        <v>0</v>
      </c>
      <c r="BO393" s="10">
        <v>573019520</v>
      </c>
    </row>
    <row r="394" spans="1:67" x14ac:dyDescent="0.25">
      <c r="A394" s="25" t="s">
        <v>431</v>
      </c>
      <c r="B394" s="9">
        <v>3607</v>
      </c>
      <c r="C394" s="9" t="s">
        <v>439</v>
      </c>
      <c r="D394" s="10">
        <v>1364126579888</v>
      </c>
      <c r="E394" s="10">
        <v>19166398684</v>
      </c>
      <c r="F394" s="10">
        <v>0</v>
      </c>
      <c r="G394" s="10">
        <v>0</v>
      </c>
      <c r="H394" s="10">
        <v>1383292978572</v>
      </c>
      <c r="I394" s="10">
        <v>106017474306</v>
      </c>
      <c r="J394" s="10">
        <v>2844244388</v>
      </c>
      <c r="K394" s="10">
        <v>1274431259878</v>
      </c>
      <c r="L394" s="10">
        <v>1026755115892</v>
      </c>
      <c r="M394" s="10">
        <v>356537862680</v>
      </c>
      <c r="N394" s="46">
        <v>34.72472229858387</v>
      </c>
      <c r="O394" s="10">
        <v>1219947147342</v>
      </c>
      <c r="P394" s="11">
        <v>100.72</v>
      </c>
      <c r="Q394" s="11">
        <v>95.72</v>
      </c>
      <c r="R394" s="11">
        <v>2.83</v>
      </c>
      <c r="S394" s="10">
        <v>1222210056114</v>
      </c>
      <c r="T394" s="10">
        <v>39476136914</v>
      </c>
      <c r="U394" s="10">
        <v>37386264495</v>
      </c>
      <c r="V394" s="10">
        <v>2089872419</v>
      </c>
      <c r="W394" s="10">
        <v>0</v>
      </c>
      <c r="X394" s="10">
        <v>1261686193028</v>
      </c>
      <c r="Y394" s="10">
        <v>0</v>
      </c>
      <c r="Z394" s="10">
        <v>109311989128</v>
      </c>
      <c r="AA394" s="10">
        <v>22263100000</v>
      </c>
      <c r="AB394" s="10">
        <v>1393261282156</v>
      </c>
      <c r="AC394" s="10">
        <v>786146724332</v>
      </c>
      <c r="AD394" s="46">
        <v>60.489912884909955</v>
      </c>
      <c r="AE394" s="10">
        <v>804741060026</v>
      </c>
      <c r="AF394" s="10">
        <v>804741060026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1">
        <v>0</v>
      </c>
      <c r="AM394" s="10">
        <v>0</v>
      </c>
      <c r="AN394" s="11">
        <v>19</v>
      </c>
      <c r="AO394" s="10">
        <v>58166548368</v>
      </c>
      <c r="AP394" s="12">
        <v>21</v>
      </c>
      <c r="AQ394" s="10">
        <v>52476801091</v>
      </c>
      <c r="AR394" s="10">
        <v>39476136914</v>
      </c>
      <c r="AS394" s="10">
        <v>16224742705</v>
      </c>
      <c r="AT394" s="10">
        <v>23251394209</v>
      </c>
      <c r="AU394" s="11">
        <v>143.31</v>
      </c>
      <c r="AV394" s="10">
        <v>350107399161</v>
      </c>
      <c r="AW394" s="10">
        <v>83621430612</v>
      </c>
      <c r="AX394" s="10">
        <v>360441620513</v>
      </c>
      <c r="AY394" s="10">
        <v>315524109070</v>
      </c>
      <c r="AZ394" s="10">
        <v>314836020305</v>
      </c>
      <c r="BA394" s="10">
        <v>373324830000</v>
      </c>
      <c r="BB394" s="10">
        <v>161512431799</v>
      </c>
      <c r="BC394" s="10">
        <v>1383292978572</v>
      </c>
      <c r="BD394" s="12">
        <v>161178</v>
      </c>
      <c r="BE394" s="10">
        <v>695132128267</v>
      </c>
      <c r="BF394" s="10">
        <v>314836020305</v>
      </c>
      <c r="BG394" s="10">
        <v>373324830000</v>
      </c>
      <c r="BH394" s="10">
        <v>716691996189</v>
      </c>
      <c r="BI394" s="10">
        <v>88049063837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</row>
    <row r="395" spans="1:67" x14ac:dyDescent="0.25">
      <c r="A395" s="25" t="s">
        <v>431</v>
      </c>
      <c r="B395" s="14">
        <v>3608</v>
      </c>
      <c r="C395" s="14" t="s">
        <v>440</v>
      </c>
      <c r="D395" s="15">
        <v>2227114938128</v>
      </c>
      <c r="E395" s="15">
        <v>268266529009</v>
      </c>
      <c r="F395" s="15">
        <v>0</v>
      </c>
      <c r="G395" s="15">
        <v>0</v>
      </c>
      <c r="H395" s="15">
        <v>2495381467137</v>
      </c>
      <c r="I395" s="15">
        <v>158018165077</v>
      </c>
      <c r="J395" s="15">
        <v>3321512600</v>
      </c>
      <c r="K395" s="15">
        <v>2334041789460</v>
      </c>
      <c r="L395" s="15">
        <v>1395159820607</v>
      </c>
      <c r="M395" s="15">
        <v>1100221646530</v>
      </c>
      <c r="N395" s="48">
        <v>78.859900513141241</v>
      </c>
      <c r="O395" s="15">
        <v>1706051184461</v>
      </c>
      <c r="P395" s="16">
        <v>76.959999999999994</v>
      </c>
      <c r="Q395" s="16">
        <v>73.09</v>
      </c>
      <c r="R395" s="16">
        <v>6.55</v>
      </c>
      <c r="S395" s="15">
        <v>1703023971639</v>
      </c>
      <c r="T395" s="15">
        <v>123164592400</v>
      </c>
      <c r="U395" s="15">
        <v>34659136193</v>
      </c>
      <c r="V395" s="15">
        <v>2161739137</v>
      </c>
      <c r="W395" s="15">
        <v>86343717070</v>
      </c>
      <c r="X395" s="15">
        <v>1826188564039</v>
      </c>
      <c r="Y395" s="10">
        <v>2694399817</v>
      </c>
      <c r="Z395" s="15">
        <v>91334027731</v>
      </c>
      <c r="AA395" s="15">
        <v>3000000000</v>
      </c>
      <c r="AB395" s="15">
        <v>1920522591770</v>
      </c>
      <c r="AC395" s="15">
        <v>1352546045765</v>
      </c>
      <c r="AD395" s="46">
        <v>35.018587334385934</v>
      </c>
      <c r="AE395" s="15">
        <v>967824401542</v>
      </c>
      <c r="AF395" s="15">
        <v>967824401542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6">
        <v>0</v>
      </c>
      <c r="AM395" s="15">
        <v>0</v>
      </c>
      <c r="AN395" s="17">
        <v>729</v>
      </c>
      <c r="AO395" s="15">
        <v>3769268216439</v>
      </c>
      <c r="AP395" s="12">
        <v>286</v>
      </c>
      <c r="AQ395" s="10">
        <v>885555607896</v>
      </c>
      <c r="AR395" s="15">
        <v>123164592400</v>
      </c>
      <c r="AS395" s="15">
        <v>129217644155</v>
      </c>
      <c r="AT395" s="15">
        <v>-6053051755</v>
      </c>
      <c r="AU395" s="16">
        <v>-4.68</v>
      </c>
      <c r="AV395" s="15">
        <v>545325921694</v>
      </c>
      <c r="AW395" s="15">
        <v>155931340517</v>
      </c>
      <c r="AX395" s="15">
        <v>395560761798</v>
      </c>
      <c r="AY395" s="15">
        <v>811111776500</v>
      </c>
      <c r="AZ395" s="15">
        <v>541799245075</v>
      </c>
      <c r="BA395" s="15">
        <v>478643154755</v>
      </c>
      <c r="BB395" s="15">
        <v>482395660311</v>
      </c>
      <c r="BC395" s="15">
        <v>2495381467137</v>
      </c>
      <c r="BD395" s="17">
        <v>38136</v>
      </c>
      <c r="BE395" s="15">
        <v>1419192499920</v>
      </c>
      <c r="BF395" s="15">
        <v>541799245075</v>
      </c>
      <c r="BG395" s="15">
        <v>534389722142</v>
      </c>
      <c r="BH395" s="15">
        <v>874994401542</v>
      </c>
      <c r="BI395" s="15">
        <v>92830000000</v>
      </c>
      <c r="BJ395" s="15">
        <v>0</v>
      </c>
      <c r="BK395" s="15">
        <v>0</v>
      </c>
      <c r="BL395" s="15">
        <v>0</v>
      </c>
      <c r="BM395" s="15">
        <v>0</v>
      </c>
      <c r="BN395" s="15">
        <v>0</v>
      </c>
      <c r="BO395" s="15">
        <v>349200000</v>
      </c>
    </row>
    <row r="396" spans="1:67" x14ac:dyDescent="0.25">
      <c r="A396" s="25" t="s">
        <v>431</v>
      </c>
      <c r="B396" s="9">
        <v>3609</v>
      </c>
      <c r="C396" s="9" t="s">
        <v>441</v>
      </c>
      <c r="D396" s="10">
        <v>1054692202041</v>
      </c>
      <c r="E396" s="10">
        <v>155193253626</v>
      </c>
      <c r="F396" s="10">
        <v>0</v>
      </c>
      <c r="G396" s="10">
        <v>8348618885</v>
      </c>
      <c r="H396" s="10">
        <v>1218234074552</v>
      </c>
      <c r="I396" s="10">
        <v>103517628318</v>
      </c>
      <c r="J396" s="10">
        <v>2008038358</v>
      </c>
      <c r="K396" s="10">
        <v>1112708407876</v>
      </c>
      <c r="L396" s="10">
        <v>806347244107</v>
      </c>
      <c r="M396" s="10">
        <v>411886830445</v>
      </c>
      <c r="N396" s="46">
        <v>51.080577686000474</v>
      </c>
      <c r="O396" s="10">
        <v>1082571571275</v>
      </c>
      <c r="P396" s="11">
        <v>105.04</v>
      </c>
      <c r="Q396" s="11">
        <v>97.29</v>
      </c>
      <c r="R396" s="11">
        <v>5.39</v>
      </c>
      <c r="S396" s="10">
        <v>1140786122318</v>
      </c>
      <c r="T396" s="10">
        <v>28775302225</v>
      </c>
      <c r="U396" s="10">
        <v>2946436891</v>
      </c>
      <c r="V396" s="10">
        <v>0</v>
      </c>
      <c r="W396" s="10">
        <v>25828865334</v>
      </c>
      <c r="X396" s="10">
        <v>1169561424543</v>
      </c>
      <c r="Y396" s="10">
        <v>40141651529</v>
      </c>
      <c r="Z396" s="10">
        <v>105122370536</v>
      </c>
      <c r="AA396" s="10">
        <v>5000000000</v>
      </c>
      <c r="AB396" s="10">
        <v>1279683795079</v>
      </c>
      <c r="AC396" s="10">
        <v>776551005914</v>
      </c>
      <c r="AD396" s="46">
        <v>50.609736596300849</v>
      </c>
      <c r="AE396" s="10">
        <v>1728044810945</v>
      </c>
      <c r="AF396" s="10">
        <v>1728044810945</v>
      </c>
      <c r="AG396" s="10">
        <v>500788658758</v>
      </c>
      <c r="AH396" s="10">
        <v>0</v>
      </c>
      <c r="AI396" s="10">
        <v>0</v>
      </c>
      <c r="AJ396" s="10">
        <v>0</v>
      </c>
      <c r="AK396" s="10">
        <v>0</v>
      </c>
      <c r="AL396" s="11">
        <v>15</v>
      </c>
      <c r="AM396" s="10">
        <v>1674136699835</v>
      </c>
      <c r="AN396" s="11">
        <v>16</v>
      </c>
      <c r="AO396" s="10">
        <v>337972326101</v>
      </c>
      <c r="AP396" s="12">
        <v>17</v>
      </c>
      <c r="AQ396" s="10">
        <v>46940913689</v>
      </c>
      <c r="AR396" s="10">
        <v>28775302225</v>
      </c>
      <c r="AS396" s="10">
        <v>28114347846</v>
      </c>
      <c r="AT396" s="10">
        <v>660954379</v>
      </c>
      <c r="AU396" s="11">
        <v>2.35</v>
      </c>
      <c r="AV396" s="10">
        <v>1402115794192</v>
      </c>
      <c r="AW396" s="10">
        <v>24558726852</v>
      </c>
      <c r="AX396" s="10">
        <v>265302531979</v>
      </c>
      <c r="AY396" s="10">
        <v>183325423551</v>
      </c>
      <c r="AZ396" s="10">
        <v>281093246511</v>
      </c>
      <c r="BA396" s="10">
        <v>324971000000</v>
      </c>
      <c r="BB396" s="10">
        <v>119146148753</v>
      </c>
      <c r="BC396" s="10">
        <v>1218234074552</v>
      </c>
      <c r="BD396" s="12">
        <v>12897</v>
      </c>
      <c r="BE396" s="10">
        <v>612169828041</v>
      </c>
      <c r="BF396" s="10">
        <v>281093246511</v>
      </c>
      <c r="BG396" s="10">
        <v>324971000000</v>
      </c>
      <c r="BH396" s="10">
        <v>1690651810945</v>
      </c>
      <c r="BI396" s="10">
        <v>37393000000</v>
      </c>
      <c r="BJ396" s="10">
        <v>72041394903</v>
      </c>
      <c r="BK396" s="10">
        <v>25540200000</v>
      </c>
      <c r="BL396" s="10">
        <v>454094392180</v>
      </c>
      <c r="BM396" s="10">
        <v>0</v>
      </c>
      <c r="BN396" s="10">
        <v>0</v>
      </c>
      <c r="BO396" s="10">
        <v>0</v>
      </c>
    </row>
    <row r="397" spans="1:67" x14ac:dyDescent="0.25">
      <c r="A397" s="25" t="s">
        <v>431</v>
      </c>
      <c r="B397" s="26">
        <v>3610</v>
      </c>
      <c r="C397" s="26" t="s">
        <v>442</v>
      </c>
      <c r="D397" s="27">
        <v>1096826680594</v>
      </c>
      <c r="E397" s="27">
        <v>46037336883</v>
      </c>
      <c r="F397" s="27">
        <v>0</v>
      </c>
      <c r="G397" s="27">
        <v>0</v>
      </c>
      <c r="H397" s="27">
        <v>1142864017477</v>
      </c>
      <c r="I397" s="27">
        <v>86301953792</v>
      </c>
      <c r="J397" s="27">
        <v>5407282952</v>
      </c>
      <c r="K397" s="27">
        <v>1051154780733</v>
      </c>
      <c r="L397" s="27">
        <v>806049216560</v>
      </c>
      <c r="M397" s="10">
        <v>336814800917</v>
      </c>
      <c r="N397" s="46">
        <v>41.785885278126621</v>
      </c>
      <c r="O397" s="27">
        <v>967525424796</v>
      </c>
      <c r="P397" s="28">
        <v>96.22</v>
      </c>
      <c r="Q397" s="28">
        <v>92.04</v>
      </c>
      <c r="R397" s="28">
        <v>1.87</v>
      </c>
      <c r="S397" s="27">
        <v>976587675497</v>
      </c>
      <c r="T397" s="27">
        <v>20531158195</v>
      </c>
      <c r="U397" s="27">
        <v>18144763561</v>
      </c>
      <c r="V397" s="27">
        <v>2386394634</v>
      </c>
      <c r="W397" s="27">
        <v>0</v>
      </c>
      <c r="X397" s="27">
        <v>997118833692</v>
      </c>
      <c r="Y397" s="10">
        <v>0</v>
      </c>
      <c r="Z397" s="27">
        <v>96109040422</v>
      </c>
      <c r="AA397" s="27">
        <v>6380820000</v>
      </c>
      <c r="AB397" s="27">
        <v>1099608694114</v>
      </c>
      <c r="AC397" s="27">
        <v>807708040274</v>
      </c>
      <c r="AD397" s="46">
        <v>23.450403360321374</v>
      </c>
      <c r="AE397" s="27">
        <v>696261465644</v>
      </c>
      <c r="AF397" s="27">
        <v>685178600439</v>
      </c>
      <c r="AG397" s="27">
        <v>0</v>
      </c>
      <c r="AH397" s="27">
        <v>0</v>
      </c>
      <c r="AI397" s="27">
        <v>0</v>
      </c>
      <c r="AJ397" s="27">
        <v>0</v>
      </c>
      <c r="AK397" s="27">
        <v>0</v>
      </c>
      <c r="AL397" s="28">
        <v>0</v>
      </c>
      <c r="AM397" s="27">
        <v>0</v>
      </c>
      <c r="AN397" s="29">
        <v>121</v>
      </c>
      <c r="AO397" s="27">
        <v>913097621970</v>
      </c>
      <c r="AP397" s="12">
        <v>29</v>
      </c>
      <c r="AQ397" s="10">
        <v>317164767878</v>
      </c>
      <c r="AR397" s="27">
        <v>20531158195</v>
      </c>
      <c r="AS397" s="27">
        <v>7841897836</v>
      </c>
      <c r="AT397" s="27">
        <v>12689260359</v>
      </c>
      <c r="AU397" s="28">
        <v>161.81</v>
      </c>
      <c r="AV397" s="27">
        <v>440079916762</v>
      </c>
      <c r="AW397" s="27">
        <v>100394005646</v>
      </c>
      <c r="AX397" s="27">
        <v>176146544954</v>
      </c>
      <c r="AY397" s="27">
        <v>257611474411</v>
      </c>
      <c r="AZ397" s="27">
        <v>473282661229</v>
      </c>
      <c r="BA397" s="27">
        <v>189786000000</v>
      </c>
      <c r="BB397" s="27">
        <v>412929586791</v>
      </c>
      <c r="BC397" s="27">
        <v>1142864017477</v>
      </c>
      <c r="BD397" s="29">
        <v>58672</v>
      </c>
      <c r="BE397" s="27">
        <v>479795356248</v>
      </c>
      <c r="BF397" s="27">
        <v>473282661229</v>
      </c>
      <c r="BG397" s="27">
        <v>189786000000</v>
      </c>
      <c r="BH397" s="27">
        <v>530611465644</v>
      </c>
      <c r="BI397" s="27">
        <v>165650000000</v>
      </c>
      <c r="BJ397" s="27">
        <v>0</v>
      </c>
      <c r="BK397" s="27">
        <v>0</v>
      </c>
      <c r="BL397" s="27">
        <v>0</v>
      </c>
      <c r="BM397" s="27">
        <v>0</v>
      </c>
      <c r="BN397" s="27">
        <v>0</v>
      </c>
      <c r="BO397" s="27">
        <v>0</v>
      </c>
    </row>
    <row r="398" spans="1:67" x14ac:dyDescent="0.25">
      <c r="A398" s="25" t="s">
        <v>431</v>
      </c>
      <c r="B398" s="9">
        <v>3611</v>
      </c>
      <c r="C398" s="9" t="s">
        <v>443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46" t="s">
        <v>595</v>
      </c>
      <c r="O398" s="10">
        <v>0</v>
      </c>
      <c r="P398" s="11" t="s">
        <v>593</v>
      </c>
      <c r="Q398" s="11" t="s">
        <v>593</v>
      </c>
      <c r="R398" s="11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46" t="s">
        <v>595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1">
        <v>0</v>
      </c>
      <c r="AM398" s="10">
        <v>0</v>
      </c>
      <c r="AN398" s="11">
        <v>0</v>
      </c>
      <c r="AO398" s="10">
        <v>0</v>
      </c>
      <c r="AP398" s="12">
        <v>0</v>
      </c>
      <c r="AQ398" s="10">
        <v>0</v>
      </c>
      <c r="AR398" s="10">
        <v>0</v>
      </c>
      <c r="AS398" s="10">
        <v>0</v>
      </c>
      <c r="AT398" s="10">
        <v>0</v>
      </c>
      <c r="AU398" s="11" t="s">
        <v>593</v>
      </c>
      <c r="AV398" s="10">
        <v>0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2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</row>
    <row r="399" spans="1:67" x14ac:dyDescent="0.25">
      <c r="A399" s="25" t="s">
        <v>431</v>
      </c>
      <c r="B399" s="9">
        <v>3699</v>
      </c>
      <c r="C399" s="9" t="s">
        <v>444</v>
      </c>
      <c r="D399" s="10">
        <v>0</v>
      </c>
      <c r="E399" s="10">
        <v>5060311678</v>
      </c>
      <c r="F399" s="10">
        <v>0</v>
      </c>
      <c r="G399" s="10">
        <v>0</v>
      </c>
      <c r="H399" s="10">
        <v>5060311678</v>
      </c>
      <c r="I399" s="10">
        <v>373995618</v>
      </c>
      <c r="J399" s="10">
        <v>83581000</v>
      </c>
      <c r="K399" s="10">
        <v>4602735060</v>
      </c>
      <c r="L399" s="10">
        <v>2111193453</v>
      </c>
      <c r="M399" s="10">
        <v>2949118225</v>
      </c>
      <c r="N399" s="46">
        <v>139.68962535429006</v>
      </c>
      <c r="O399" s="10">
        <v>0</v>
      </c>
      <c r="P399" s="11">
        <v>0</v>
      </c>
      <c r="Q399" s="11">
        <v>0</v>
      </c>
      <c r="R399" s="11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46" t="s">
        <v>595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1">
        <v>0</v>
      </c>
      <c r="AM399" s="10">
        <v>0</v>
      </c>
      <c r="AN399" s="11">
        <v>0</v>
      </c>
      <c r="AO399" s="10">
        <v>0</v>
      </c>
      <c r="AP399" s="12">
        <v>0</v>
      </c>
      <c r="AQ399" s="10">
        <v>0</v>
      </c>
      <c r="AR399" s="10">
        <v>0</v>
      </c>
      <c r="AS399" s="10">
        <v>0</v>
      </c>
      <c r="AT399" s="10">
        <v>0</v>
      </c>
      <c r="AU399" s="11" t="s">
        <v>593</v>
      </c>
      <c r="AV399" s="10">
        <v>0</v>
      </c>
      <c r="AW399" s="10">
        <v>0</v>
      </c>
      <c r="AX399" s="10">
        <v>0</v>
      </c>
      <c r="AY399" s="10">
        <v>0</v>
      </c>
      <c r="AZ399" s="10">
        <v>0</v>
      </c>
      <c r="BA399" s="10">
        <v>0</v>
      </c>
      <c r="BB399" s="10">
        <v>0</v>
      </c>
      <c r="BC399" s="10">
        <v>5060311678</v>
      </c>
      <c r="BD399" s="12">
        <v>0</v>
      </c>
      <c r="BE399" s="10">
        <v>5060311678</v>
      </c>
      <c r="BF399" s="10">
        <v>0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0</v>
      </c>
      <c r="BM399" s="10">
        <v>0</v>
      </c>
      <c r="BN399" s="10">
        <v>0</v>
      </c>
      <c r="BO399" s="10">
        <v>0</v>
      </c>
    </row>
    <row r="400" spans="1:67" x14ac:dyDescent="0.25">
      <c r="A400" s="19" t="s">
        <v>604</v>
      </c>
      <c r="B400" s="20" t="s">
        <v>593</v>
      </c>
      <c r="C400" s="20" t="s">
        <v>593</v>
      </c>
      <c r="D400" s="21">
        <v>16928587181999</v>
      </c>
      <c r="E400" s="21">
        <v>1913115119172</v>
      </c>
      <c r="F400" s="21">
        <v>50000000000</v>
      </c>
      <c r="G400" s="21">
        <v>17596389983</v>
      </c>
      <c r="H400" s="21">
        <v>18909298691154</v>
      </c>
      <c r="I400" s="21">
        <v>1351188435429</v>
      </c>
      <c r="J400" s="21">
        <v>77739804855</v>
      </c>
      <c r="K400" s="21">
        <v>17480370450870</v>
      </c>
      <c r="L400" s="21">
        <v>13117473081783</v>
      </c>
      <c r="M400" s="21">
        <v>5791825609371</v>
      </c>
      <c r="N400" s="47">
        <v>44.153516254700357</v>
      </c>
      <c r="O400" s="21">
        <v>21838498136256</v>
      </c>
      <c r="P400" s="22">
        <v>133.12</v>
      </c>
      <c r="Q400" s="22">
        <v>124.93</v>
      </c>
      <c r="R400" s="22">
        <v>9.32</v>
      </c>
      <c r="S400" s="21">
        <v>21359992451592</v>
      </c>
      <c r="T400" s="21">
        <v>2167409812930</v>
      </c>
      <c r="U400" s="21">
        <v>234140533323</v>
      </c>
      <c r="V400" s="21">
        <v>219315480347</v>
      </c>
      <c r="W400" s="21">
        <v>1713953799260</v>
      </c>
      <c r="X400" s="21">
        <v>23527402264522</v>
      </c>
      <c r="Y400" s="21">
        <v>179080160206</v>
      </c>
      <c r="Z400" s="21">
        <v>1494696899403</v>
      </c>
      <c r="AA400" s="21">
        <v>150433935551</v>
      </c>
      <c r="AB400" s="21">
        <v>25172533099476</v>
      </c>
      <c r="AC400" s="21">
        <v>14381535155402</v>
      </c>
      <c r="AD400" s="47">
        <v>63.594512062118937</v>
      </c>
      <c r="AE400" s="21">
        <v>22557708153516</v>
      </c>
      <c r="AF400" s="21">
        <v>22043116491871</v>
      </c>
      <c r="AG400" s="21">
        <v>8336422569352</v>
      </c>
      <c r="AH400" s="21">
        <v>1177006005375</v>
      </c>
      <c r="AI400" s="21">
        <v>10990093697</v>
      </c>
      <c r="AJ400" s="21">
        <v>0</v>
      </c>
      <c r="AK400" s="21">
        <v>0</v>
      </c>
      <c r="AL400" s="22">
        <v>65</v>
      </c>
      <c r="AM400" s="21">
        <v>12323304927922</v>
      </c>
      <c r="AN400" s="23">
        <v>1898</v>
      </c>
      <c r="AO400" s="21">
        <v>19712679661414</v>
      </c>
      <c r="AP400" s="23">
        <v>728</v>
      </c>
      <c r="AQ400" s="21">
        <v>5763676726946</v>
      </c>
      <c r="AR400" s="21">
        <v>2167409812930</v>
      </c>
      <c r="AS400" s="21">
        <v>697292872304</v>
      </c>
      <c r="AT400" s="21">
        <v>1470116940626</v>
      </c>
      <c r="AU400" s="24">
        <v>210.83</v>
      </c>
      <c r="AV400" s="21">
        <v>13294097444922</v>
      </c>
      <c r="AW400" s="21">
        <v>3354217666695</v>
      </c>
      <c r="AX400" s="21">
        <v>3523555414872</v>
      </c>
      <c r="AY400" s="21">
        <v>4406773789490</v>
      </c>
      <c r="AZ400" s="21">
        <v>5259534823000</v>
      </c>
      <c r="BA400" s="21">
        <v>3738723154637</v>
      </c>
      <c r="BB400" s="21">
        <v>3639242212959</v>
      </c>
      <c r="BC400" s="21">
        <v>18909298691154</v>
      </c>
      <c r="BD400" s="23">
        <v>486503</v>
      </c>
      <c r="BE400" s="21">
        <v>9760989168832</v>
      </c>
      <c r="BF400" s="21">
        <v>5309534823000</v>
      </c>
      <c r="BG400" s="21">
        <v>3838774699322</v>
      </c>
      <c r="BH400" s="21">
        <v>14136790140720</v>
      </c>
      <c r="BI400" s="21">
        <v>8420918012796</v>
      </c>
      <c r="BJ400" s="21">
        <v>1998861227626</v>
      </c>
      <c r="BK400" s="21">
        <v>1529290301745</v>
      </c>
      <c r="BL400" s="21">
        <v>5679081602755</v>
      </c>
      <c r="BM400" s="21">
        <v>268643057760</v>
      </c>
      <c r="BN400" s="21">
        <v>9555721492</v>
      </c>
      <c r="BO400" s="21">
        <v>908712147615</v>
      </c>
    </row>
    <row r="401" spans="1:67" x14ac:dyDescent="0.25">
      <c r="A401" s="25" t="s">
        <v>445</v>
      </c>
      <c r="B401" s="9">
        <v>3700</v>
      </c>
      <c r="C401" s="9" t="s">
        <v>446</v>
      </c>
      <c r="D401" s="10">
        <v>4473692683115</v>
      </c>
      <c r="E401" s="10">
        <v>334104327639</v>
      </c>
      <c r="F401" s="10">
        <v>50122000000</v>
      </c>
      <c r="G401" s="10">
        <v>17502079736</v>
      </c>
      <c r="H401" s="10">
        <v>4875421090490</v>
      </c>
      <c r="I401" s="10">
        <v>340443085312</v>
      </c>
      <c r="J401" s="10">
        <v>74874603222</v>
      </c>
      <c r="K401" s="10">
        <v>4460103401956</v>
      </c>
      <c r="L401" s="10">
        <v>3306240468744</v>
      </c>
      <c r="M401" s="10">
        <v>1569180621746</v>
      </c>
      <c r="N401" s="46">
        <v>47.46117642018072</v>
      </c>
      <c r="O401" s="10">
        <v>5003118717698</v>
      </c>
      <c r="P401" s="11">
        <v>143.19999999999999</v>
      </c>
      <c r="Q401" s="11">
        <v>112.17</v>
      </c>
      <c r="R401" s="11">
        <v>1.42</v>
      </c>
      <c r="S401" s="10">
        <v>6581328507144</v>
      </c>
      <c r="T401" s="10">
        <v>96549736506</v>
      </c>
      <c r="U401" s="10">
        <v>54050522454</v>
      </c>
      <c r="V401" s="10">
        <v>17060935963</v>
      </c>
      <c r="W401" s="10">
        <v>25438278089</v>
      </c>
      <c r="X401" s="10">
        <v>6677878243650</v>
      </c>
      <c r="Y401" s="10">
        <v>2584904604</v>
      </c>
      <c r="Z401" s="10">
        <v>249986812072</v>
      </c>
      <c r="AA401" s="10">
        <v>53782079695</v>
      </c>
      <c r="AB401" s="10">
        <v>6981647135417</v>
      </c>
      <c r="AC401" s="10">
        <v>4769214043489</v>
      </c>
      <c r="AD401" s="46">
        <v>40.020518742846861</v>
      </c>
      <c r="AE401" s="10">
        <v>3953355061211</v>
      </c>
      <c r="AF401" s="10">
        <v>3765773897652</v>
      </c>
      <c r="AG401" s="10">
        <v>32794664987</v>
      </c>
      <c r="AH401" s="10">
        <v>0</v>
      </c>
      <c r="AI401" s="10">
        <v>0</v>
      </c>
      <c r="AJ401" s="10">
        <v>0</v>
      </c>
      <c r="AK401" s="10">
        <v>0</v>
      </c>
      <c r="AL401" s="11">
        <v>3</v>
      </c>
      <c r="AM401" s="10">
        <v>54214532100</v>
      </c>
      <c r="AN401" s="11">
        <v>461</v>
      </c>
      <c r="AO401" s="10">
        <v>1898356920095</v>
      </c>
      <c r="AP401" s="12">
        <v>291</v>
      </c>
      <c r="AQ401" s="10">
        <v>1035883571239</v>
      </c>
      <c r="AR401" s="10">
        <v>96549736506</v>
      </c>
      <c r="AS401" s="10">
        <v>71781403212</v>
      </c>
      <c r="AT401" s="10">
        <v>24768333294</v>
      </c>
      <c r="AU401" s="11">
        <v>34.51</v>
      </c>
      <c r="AV401" s="10">
        <v>2357093555092</v>
      </c>
      <c r="AW401" s="10">
        <v>375660970803</v>
      </c>
      <c r="AX401" s="10">
        <v>546272438057</v>
      </c>
      <c r="AY401" s="10">
        <v>647069870795</v>
      </c>
      <c r="AZ401" s="10">
        <v>813031518922</v>
      </c>
      <c r="BA401" s="10">
        <v>2467318855341</v>
      </c>
      <c r="BB401" s="10">
        <v>409702112338</v>
      </c>
      <c r="BC401" s="10">
        <v>4875421090490</v>
      </c>
      <c r="BD401" s="12">
        <v>665438</v>
      </c>
      <c r="BE401" s="10">
        <v>1402846737393</v>
      </c>
      <c r="BF401" s="10">
        <v>863153518922</v>
      </c>
      <c r="BG401" s="10">
        <v>2609420834175</v>
      </c>
      <c r="BH401" s="10">
        <v>2315589426506</v>
      </c>
      <c r="BI401" s="10">
        <v>1637765634705</v>
      </c>
      <c r="BJ401" s="10">
        <v>0</v>
      </c>
      <c r="BK401" s="10">
        <v>0</v>
      </c>
      <c r="BL401" s="10">
        <v>32794664987</v>
      </c>
      <c r="BM401" s="10">
        <v>0</v>
      </c>
      <c r="BN401" s="10">
        <v>19402354984</v>
      </c>
      <c r="BO401" s="10">
        <v>0</v>
      </c>
    </row>
    <row r="402" spans="1:67" x14ac:dyDescent="0.25">
      <c r="A402" s="25" t="s">
        <v>445</v>
      </c>
      <c r="B402" s="9">
        <v>3701</v>
      </c>
      <c r="C402" s="9" t="s">
        <v>447</v>
      </c>
      <c r="D402" s="10">
        <v>1428244062771</v>
      </c>
      <c r="E402" s="10">
        <v>14447520948</v>
      </c>
      <c r="F402" s="10">
        <v>0</v>
      </c>
      <c r="G402" s="10">
        <v>0</v>
      </c>
      <c r="H402" s="10">
        <v>1442691583719</v>
      </c>
      <c r="I402" s="10">
        <v>142723020707</v>
      </c>
      <c r="J402" s="10">
        <v>2583127840</v>
      </c>
      <c r="K402" s="10">
        <v>1297385435172</v>
      </c>
      <c r="L402" s="10">
        <v>1225575836210</v>
      </c>
      <c r="M402" s="10">
        <v>217115747509</v>
      </c>
      <c r="N402" s="46">
        <v>17.715407002508627</v>
      </c>
      <c r="O402" s="10">
        <v>1592317621615</v>
      </c>
      <c r="P402" s="11">
        <v>133.09</v>
      </c>
      <c r="Q402" s="11">
        <v>122.73</v>
      </c>
      <c r="R402" s="11">
        <v>1.68</v>
      </c>
      <c r="S402" s="10">
        <v>1681955488143</v>
      </c>
      <c r="T402" s="10">
        <v>30339165494</v>
      </c>
      <c r="U402" s="10">
        <v>25805062512</v>
      </c>
      <c r="V402" s="10">
        <v>4027340719</v>
      </c>
      <c r="W402" s="10">
        <v>506762263</v>
      </c>
      <c r="X402" s="10">
        <v>1712294653637</v>
      </c>
      <c r="Y402" s="10">
        <v>2001205235</v>
      </c>
      <c r="Z402" s="10">
        <v>176289123059</v>
      </c>
      <c r="AA402" s="10">
        <v>31550534575</v>
      </c>
      <c r="AB402" s="10">
        <v>1920134311271</v>
      </c>
      <c r="AC402" s="10">
        <v>1524981459890</v>
      </c>
      <c r="AD402" s="46">
        <v>12.28298170657834</v>
      </c>
      <c r="AE402" s="10">
        <v>953160713385</v>
      </c>
      <c r="AF402" s="10">
        <v>898590713385</v>
      </c>
      <c r="AG402" s="10">
        <v>0</v>
      </c>
      <c r="AH402" s="10">
        <v>9514394049</v>
      </c>
      <c r="AI402" s="10">
        <v>41311769753</v>
      </c>
      <c r="AJ402" s="10">
        <v>0</v>
      </c>
      <c r="AK402" s="10">
        <v>0</v>
      </c>
      <c r="AL402" s="11">
        <v>0</v>
      </c>
      <c r="AM402" s="10">
        <v>0</v>
      </c>
      <c r="AN402" s="11">
        <v>495</v>
      </c>
      <c r="AO402" s="10">
        <v>240727690000</v>
      </c>
      <c r="AP402" s="12">
        <v>11</v>
      </c>
      <c r="AQ402" s="10">
        <v>16007900000</v>
      </c>
      <c r="AR402" s="10">
        <v>30339165494</v>
      </c>
      <c r="AS402" s="10">
        <v>32370433859</v>
      </c>
      <c r="AT402" s="10">
        <v>-2031268365</v>
      </c>
      <c r="AU402" s="11">
        <v>-6.28</v>
      </c>
      <c r="AV402" s="10">
        <v>691834428422</v>
      </c>
      <c r="AW402" s="10">
        <v>240770252557</v>
      </c>
      <c r="AX402" s="10">
        <v>184151597300</v>
      </c>
      <c r="AY402" s="10">
        <v>150660246558</v>
      </c>
      <c r="AZ402" s="10">
        <v>449042118913</v>
      </c>
      <c r="BA402" s="10">
        <v>644390100000</v>
      </c>
      <c r="BB402" s="10">
        <v>358821951601</v>
      </c>
      <c r="BC402" s="10">
        <v>1442691583719</v>
      </c>
      <c r="BD402" s="12">
        <v>66561</v>
      </c>
      <c r="BE402" s="10">
        <v>349259364806</v>
      </c>
      <c r="BF402" s="10">
        <v>449042118913</v>
      </c>
      <c r="BG402" s="10">
        <v>644390100000</v>
      </c>
      <c r="BH402" s="10">
        <v>785724517960</v>
      </c>
      <c r="BI402" s="10">
        <v>167436195425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9514394049</v>
      </c>
    </row>
    <row r="403" spans="1:67" x14ac:dyDescent="0.25">
      <c r="A403" s="25" t="s">
        <v>445</v>
      </c>
      <c r="B403" s="9">
        <v>3702</v>
      </c>
      <c r="C403" s="9" t="s">
        <v>448</v>
      </c>
      <c r="D403" s="10">
        <v>1628375900269</v>
      </c>
      <c r="E403" s="10">
        <v>11852043576</v>
      </c>
      <c r="F403" s="10">
        <v>0</v>
      </c>
      <c r="G403" s="10">
        <v>0</v>
      </c>
      <c r="H403" s="10">
        <v>1640227943845</v>
      </c>
      <c r="I403" s="10">
        <v>139520487223</v>
      </c>
      <c r="J403" s="10">
        <v>4511527329</v>
      </c>
      <c r="K403" s="10">
        <v>1496195929293</v>
      </c>
      <c r="L403" s="10">
        <v>1306624589422</v>
      </c>
      <c r="M403" s="10">
        <v>333603354423</v>
      </c>
      <c r="N403" s="46">
        <v>25.531691131771307</v>
      </c>
      <c r="O403" s="10">
        <v>1795922575554</v>
      </c>
      <c r="P403" s="11">
        <v>129.72999999999999</v>
      </c>
      <c r="Q403" s="11">
        <v>120.03</v>
      </c>
      <c r="R403" s="11">
        <v>1.68</v>
      </c>
      <c r="S403" s="10">
        <v>1931743126634</v>
      </c>
      <c r="T403" s="10">
        <v>35592899504</v>
      </c>
      <c r="U403" s="10">
        <v>17392801595</v>
      </c>
      <c r="V403" s="10">
        <v>2622465562</v>
      </c>
      <c r="W403" s="10">
        <v>15577632347</v>
      </c>
      <c r="X403" s="10">
        <v>1967336026138</v>
      </c>
      <c r="Y403" s="10">
        <v>262964190</v>
      </c>
      <c r="Z403" s="10">
        <v>134516848738</v>
      </c>
      <c r="AA403" s="10">
        <v>26095000000</v>
      </c>
      <c r="AB403" s="10">
        <v>2127947874876</v>
      </c>
      <c r="AC403" s="10">
        <v>1753797825133</v>
      </c>
      <c r="AD403" s="46">
        <v>12.175759254850611</v>
      </c>
      <c r="AE403" s="10">
        <v>965741834060</v>
      </c>
      <c r="AF403" s="10">
        <v>945501834060</v>
      </c>
      <c r="AG403" s="10">
        <v>0</v>
      </c>
      <c r="AH403" s="10">
        <v>14276070732</v>
      </c>
      <c r="AI403" s="10">
        <v>0</v>
      </c>
      <c r="AJ403" s="10">
        <v>0</v>
      </c>
      <c r="AK403" s="10">
        <v>0</v>
      </c>
      <c r="AL403" s="11">
        <v>0</v>
      </c>
      <c r="AM403" s="10">
        <v>0</v>
      </c>
      <c r="AN403" s="11">
        <v>234</v>
      </c>
      <c r="AO403" s="10">
        <v>386692488805</v>
      </c>
      <c r="AP403" s="12">
        <v>53</v>
      </c>
      <c r="AQ403" s="10">
        <v>86476842205</v>
      </c>
      <c r="AR403" s="10">
        <v>35592899504</v>
      </c>
      <c r="AS403" s="10">
        <v>20532713642</v>
      </c>
      <c r="AT403" s="10">
        <v>15060185862</v>
      </c>
      <c r="AU403" s="11">
        <v>73.349999999999994</v>
      </c>
      <c r="AV403" s="10">
        <v>695575311698</v>
      </c>
      <c r="AW403" s="10">
        <v>172495145899</v>
      </c>
      <c r="AX403" s="10">
        <v>225591657269</v>
      </c>
      <c r="AY403" s="10">
        <v>157482148914</v>
      </c>
      <c r="AZ403" s="10">
        <v>519884094086</v>
      </c>
      <c r="BA403" s="10">
        <v>725418000000</v>
      </c>
      <c r="BB403" s="10">
        <v>420833925965</v>
      </c>
      <c r="BC403" s="10">
        <v>1640227943845</v>
      </c>
      <c r="BD403" s="12">
        <v>36630</v>
      </c>
      <c r="BE403" s="10">
        <v>394925849759</v>
      </c>
      <c r="BF403" s="10">
        <v>519884094086</v>
      </c>
      <c r="BG403" s="10">
        <v>725418000000</v>
      </c>
      <c r="BH403" s="10">
        <v>692502524060</v>
      </c>
      <c r="BI403" s="10">
        <v>273239310000</v>
      </c>
      <c r="BJ403" s="10">
        <v>0</v>
      </c>
      <c r="BK403" s="10">
        <v>0</v>
      </c>
      <c r="BL403" s="10">
        <v>0</v>
      </c>
      <c r="BM403" s="10">
        <v>0</v>
      </c>
      <c r="BN403" s="10">
        <v>14878607674</v>
      </c>
      <c r="BO403" s="10">
        <v>0</v>
      </c>
    </row>
    <row r="404" spans="1:67" x14ac:dyDescent="0.25">
      <c r="A404" s="25" t="s">
        <v>445</v>
      </c>
      <c r="B404" s="9">
        <v>3703</v>
      </c>
      <c r="C404" s="9" t="s">
        <v>449</v>
      </c>
      <c r="D404" s="10">
        <v>3371836589879</v>
      </c>
      <c r="E404" s="10">
        <v>95290874915</v>
      </c>
      <c r="F404" s="10">
        <v>0</v>
      </c>
      <c r="G404" s="10">
        <v>0</v>
      </c>
      <c r="H404" s="10">
        <v>3467127464794</v>
      </c>
      <c r="I404" s="10">
        <v>314271746126</v>
      </c>
      <c r="J404" s="10">
        <v>62282257204</v>
      </c>
      <c r="K404" s="10">
        <v>3090573461464</v>
      </c>
      <c r="L404" s="10">
        <v>2646344613112</v>
      </c>
      <c r="M404" s="10">
        <v>820782851682</v>
      </c>
      <c r="N404" s="46">
        <v>31.015720613831576</v>
      </c>
      <c r="O404" s="10">
        <v>2676075743691</v>
      </c>
      <c r="P404" s="11">
        <v>94.65</v>
      </c>
      <c r="Q404" s="11">
        <v>86.59</v>
      </c>
      <c r="R404" s="11">
        <v>0.64</v>
      </c>
      <c r="S404" s="10">
        <v>2940365532866</v>
      </c>
      <c r="T404" s="10">
        <v>20892004075</v>
      </c>
      <c r="U404" s="10">
        <v>20700122424</v>
      </c>
      <c r="V404" s="10">
        <v>191881651</v>
      </c>
      <c r="W404" s="10">
        <v>0</v>
      </c>
      <c r="X404" s="10">
        <v>2961257536941</v>
      </c>
      <c r="Y404" s="10">
        <v>128731094</v>
      </c>
      <c r="Z404" s="10">
        <v>284510013688</v>
      </c>
      <c r="AA404" s="10">
        <v>35902934000</v>
      </c>
      <c r="AB404" s="10">
        <v>3281670484629</v>
      </c>
      <c r="AC404" s="10">
        <v>2110580467764</v>
      </c>
      <c r="AD404" s="46">
        <v>40.305360642242078</v>
      </c>
      <c r="AE404" s="10">
        <v>1819332696849</v>
      </c>
      <c r="AF404" s="10">
        <v>1756632696849</v>
      </c>
      <c r="AG404" s="10">
        <v>0</v>
      </c>
      <c r="AH404" s="10">
        <v>0</v>
      </c>
      <c r="AI404" s="10">
        <v>0</v>
      </c>
      <c r="AJ404" s="10">
        <v>0</v>
      </c>
      <c r="AK404" s="10">
        <v>0</v>
      </c>
      <c r="AL404" s="11">
        <v>0</v>
      </c>
      <c r="AM404" s="10">
        <v>0</v>
      </c>
      <c r="AN404" s="11">
        <v>253</v>
      </c>
      <c r="AO404" s="10">
        <v>2175812981331</v>
      </c>
      <c r="AP404" s="12">
        <v>193</v>
      </c>
      <c r="AQ404" s="10">
        <v>258216841641</v>
      </c>
      <c r="AR404" s="10">
        <v>20892004075</v>
      </c>
      <c r="AS404" s="10">
        <v>22861277113</v>
      </c>
      <c r="AT404" s="10">
        <v>-1969273038</v>
      </c>
      <c r="AU404" s="11">
        <v>-8.61</v>
      </c>
      <c r="AV404" s="10">
        <v>1028481543795</v>
      </c>
      <c r="AW404" s="10">
        <v>179787401449</v>
      </c>
      <c r="AX404" s="10">
        <v>863413715725</v>
      </c>
      <c r="AY404" s="10">
        <v>205808835612</v>
      </c>
      <c r="AZ404" s="10">
        <v>861501183738</v>
      </c>
      <c r="BA404" s="10">
        <v>1441112854804</v>
      </c>
      <c r="BB404" s="10">
        <v>611432294395</v>
      </c>
      <c r="BC404" s="10">
        <v>3467127464794</v>
      </c>
      <c r="BD404" s="12">
        <v>99920</v>
      </c>
      <c r="BE404" s="10">
        <v>1160084343580</v>
      </c>
      <c r="BF404" s="10">
        <v>855493383738</v>
      </c>
      <c r="BG404" s="10">
        <v>1451549737476</v>
      </c>
      <c r="BH404" s="10">
        <v>1441446991814</v>
      </c>
      <c r="BI404" s="10">
        <v>377885705035</v>
      </c>
      <c r="BJ404" s="10">
        <v>0</v>
      </c>
      <c r="BK404" s="10">
        <v>0</v>
      </c>
      <c r="BL404" s="10">
        <v>0</v>
      </c>
      <c r="BM404" s="10">
        <v>0</v>
      </c>
      <c r="BN404" s="10">
        <v>0</v>
      </c>
      <c r="BO404" s="10">
        <v>0</v>
      </c>
    </row>
    <row r="405" spans="1:67" x14ac:dyDescent="0.25">
      <c r="A405" s="25" t="s">
        <v>445</v>
      </c>
      <c r="B405" s="9">
        <v>3704</v>
      </c>
      <c r="C405" s="9" t="s">
        <v>450</v>
      </c>
      <c r="D405" s="10">
        <v>1742136179992</v>
      </c>
      <c r="E405" s="10">
        <v>26317748720</v>
      </c>
      <c r="F405" s="10">
        <v>0</v>
      </c>
      <c r="G405" s="10">
        <v>0</v>
      </c>
      <c r="H405" s="10">
        <v>1768453928712</v>
      </c>
      <c r="I405" s="10">
        <v>141842239083</v>
      </c>
      <c r="J405" s="10">
        <v>3891715856</v>
      </c>
      <c r="K405" s="10">
        <v>1622719973773</v>
      </c>
      <c r="L405" s="10">
        <v>1262837500837</v>
      </c>
      <c r="M405" s="10">
        <v>505616427875</v>
      </c>
      <c r="N405" s="46">
        <v>40.038122683233659</v>
      </c>
      <c r="O405" s="10">
        <v>1475443437271</v>
      </c>
      <c r="P405" s="11">
        <v>96.58</v>
      </c>
      <c r="Q405" s="11">
        <v>90.92</v>
      </c>
      <c r="R405" s="11">
        <v>0.68</v>
      </c>
      <c r="S405" s="10">
        <v>1590676092727</v>
      </c>
      <c r="T405" s="10">
        <v>11683390009</v>
      </c>
      <c r="U405" s="10">
        <v>11472095113</v>
      </c>
      <c r="V405" s="10">
        <v>89239896</v>
      </c>
      <c r="W405" s="10">
        <v>122055000</v>
      </c>
      <c r="X405" s="10">
        <v>1602359482736</v>
      </c>
      <c r="Y405" s="10">
        <v>3796624</v>
      </c>
      <c r="Z405" s="10">
        <v>80036340090</v>
      </c>
      <c r="AA405" s="10">
        <v>25630524530</v>
      </c>
      <c r="AB405" s="10">
        <v>1708026347356</v>
      </c>
      <c r="AC405" s="10">
        <v>1238409052233</v>
      </c>
      <c r="AD405" s="46">
        <v>29.388547333916343</v>
      </c>
      <c r="AE405" s="10">
        <v>1238460508057</v>
      </c>
      <c r="AF405" s="10">
        <v>1175960508057</v>
      </c>
      <c r="AG405" s="10">
        <v>71265033920</v>
      </c>
      <c r="AH405" s="10">
        <v>0</v>
      </c>
      <c r="AI405" s="10">
        <v>0</v>
      </c>
      <c r="AJ405" s="10">
        <v>0</v>
      </c>
      <c r="AK405" s="10">
        <v>0</v>
      </c>
      <c r="AL405" s="11">
        <v>1</v>
      </c>
      <c r="AM405" s="10">
        <v>46600000000</v>
      </c>
      <c r="AN405" s="11">
        <v>143</v>
      </c>
      <c r="AO405" s="10">
        <v>217815383845</v>
      </c>
      <c r="AP405" s="12">
        <v>28</v>
      </c>
      <c r="AQ405" s="10">
        <v>19269610000</v>
      </c>
      <c r="AR405" s="10">
        <v>11683390009</v>
      </c>
      <c r="AS405" s="10">
        <v>12074717637</v>
      </c>
      <c r="AT405" s="10">
        <v>-391327628</v>
      </c>
      <c r="AU405" s="11">
        <v>-3.24</v>
      </c>
      <c r="AV405" s="10">
        <v>833857748486</v>
      </c>
      <c r="AW405" s="10">
        <v>172911613092</v>
      </c>
      <c r="AX405" s="10">
        <v>256660102447</v>
      </c>
      <c r="AY405" s="10">
        <v>325486096945</v>
      </c>
      <c r="AZ405" s="10">
        <v>387335980600</v>
      </c>
      <c r="BA405" s="10">
        <v>772654000000</v>
      </c>
      <c r="BB405" s="10">
        <v>326616982127</v>
      </c>
      <c r="BC405" s="10">
        <v>1768453928712</v>
      </c>
      <c r="BD405" s="12">
        <v>133543</v>
      </c>
      <c r="BE405" s="10">
        <v>608463948112</v>
      </c>
      <c r="BF405" s="10">
        <v>387335980600</v>
      </c>
      <c r="BG405" s="10">
        <v>772654000000</v>
      </c>
      <c r="BH405" s="10">
        <v>937171494554</v>
      </c>
      <c r="BI405" s="10">
        <v>301289013503</v>
      </c>
      <c r="BJ405" s="10">
        <v>0</v>
      </c>
      <c r="BK405" s="10">
        <v>0</v>
      </c>
      <c r="BL405" s="10">
        <v>71265033920</v>
      </c>
      <c r="BM405" s="10">
        <v>0</v>
      </c>
      <c r="BN405" s="10">
        <v>0</v>
      </c>
      <c r="BO405" s="10">
        <v>0</v>
      </c>
    </row>
    <row r="406" spans="1:67" x14ac:dyDescent="0.25">
      <c r="A406" s="25" t="s">
        <v>445</v>
      </c>
      <c r="B406" s="9">
        <v>3705</v>
      </c>
      <c r="C406" s="9" t="s">
        <v>451</v>
      </c>
      <c r="D406" s="10">
        <v>1625500406914</v>
      </c>
      <c r="E406" s="10">
        <v>26125040075</v>
      </c>
      <c r="F406" s="10">
        <v>0</v>
      </c>
      <c r="G406" s="10">
        <v>0</v>
      </c>
      <c r="H406" s="10">
        <v>1651625446989</v>
      </c>
      <c r="I406" s="10">
        <v>137837019798</v>
      </c>
      <c r="J406" s="10">
        <v>5293385163</v>
      </c>
      <c r="K406" s="10">
        <v>1508495042028</v>
      </c>
      <c r="L406" s="10">
        <v>876857192555</v>
      </c>
      <c r="M406" s="10">
        <v>774768254434</v>
      </c>
      <c r="N406" s="46">
        <v>88.357404262884401</v>
      </c>
      <c r="O406" s="10">
        <v>1391118867725</v>
      </c>
      <c r="P406" s="11">
        <v>100.34</v>
      </c>
      <c r="Q406" s="11">
        <v>92.22</v>
      </c>
      <c r="R406" s="11">
        <v>1.57</v>
      </c>
      <c r="S406" s="10">
        <v>1494059967224</v>
      </c>
      <c r="T406" s="10">
        <v>26060082423</v>
      </c>
      <c r="U406" s="10">
        <v>24408364083</v>
      </c>
      <c r="V406" s="10">
        <v>1651718340</v>
      </c>
      <c r="W406" s="10">
        <v>0</v>
      </c>
      <c r="X406" s="10">
        <v>1520120049647</v>
      </c>
      <c r="Y406" s="10">
        <v>0</v>
      </c>
      <c r="Z406" s="10">
        <v>110163821210</v>
      </c>
      <c r="AA406" s="10">
        <v>26996273918</v>
      </c>
      <c r="AB406" s="10">
        <v>1657280144775</v>
      </c>
      <c r="AC406" s="10">
        <v>1438887236890</v>
      </c>
      <c r="AD406" s="46">
        <v>5.645530148184231</v>
      </c>
      <c r="AE406" s="10">
        <v>1019150484139</v>
      </c>
      <c r="AF406" s="10">
        <v>932809484139</v>
      </c>
      <c r="AG406" s="10">
        <v>0</v>
      </c>
      <c r="AH406" s="10">
        <v>13365000000</v>
      </c>
      <c r="AI406" s="10">
        <v>0</v>
      </c>
      <c r="AJ406" s="10">
        <v>0</v>
      </c>
      <c r="AK406" s="10">
        <v>0</v>
      </c>
      <c r="AL406" s="11">
        <v>0</v>
      </c>
      <c r="AM406" s="10">
        <v>0</v>
      </c>
      <c r="AN406" s="11">
        <v>70</v>
      </c>
      <c r="AO406" s="10">
        <v>320925884599</v>
      </c>
      <c r="AP406" s="12">
        <v>21</v>
      </c>
      <c r="AQ406" s="10">
        <v>118280667000</v>
      </c>
      <c r="AR406" s="10">
        <v>26060082423</v>
      </c>
      <c r="AS406" s="10">
        <v>39473561500</v>
      </c>
      <c r="AT406" s="10">
        <v>-13413479077</v>
      </c>
      <c r="AU406" s="11">
        <v>-33.979999999999997</v>
      </c>
      <c r="AV406" s="10">
        <v>871573695960</v>
      </c>
      <c r="AW406" s="10">
        <v>242430839228</v>
      </c>
      <c r="AX406" s="10">
        <v>267548443334</v>
      </c>
      <c r="AY406" s="10">
        <v>54320765304</v>
      </c>
      <c r="AZ406" s="10">
        <v>322281198276</v>
      </c>
      <c r="BA406" s="10">
        <v>981350000000</v>
      </c>
      <c r="BB406" s="10">
        <v>174227863261</v>
      </c>
      <c r="BC406" s="10">
        <v>1651625446989</v>
      </c>
      <c r="BD406" s="12">
        <v>62937</v>
      </c>
      <c r="BE406" s="10">
        <v>347994248713</v>
      </c>
      <c r="BF406" s="10">
        <v>322281198276</v>
      </c>
      <c r="BG406" s="10">
        <v>981350000000</v>
      </c>
      <c r="BH406" s="10">
        <v>780516074139</v>
      </c>
      <c r="BI406" s="10">
        <v>238634410000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13365000000</v>
      </c>
    </row>
    <row r="407" spans="1:67" x14ac:dyDescent="0.25">
      <c r="A407" s="25" t="s">
        <v>445</v>
      </c>
      <c r="B407" s="9">
        <v>3706</v>
      </c>
      <c r="C407" s="9" t="s">
        <v>452</v>
      </c>
      <c r="D407" s="10">
        <v>1619373073305</v>
      </c>
      <c r="E407" s="10">
        <v>13199177487</v>
      </c>
      <c r="F407" s="10">
        <v>0</v>
      </c>
      <c r="G407" s="10">
        <v>0</v>
      </c>
      <c r="H407" s="10">
        <v>1632572250792</v>
      </c>
      <c r="I407" s="10">
        <v>135035547547</v>
      </c>
      <c r="J407" s="10">
        <v>7535828150</v>
      </c>
      <c r="K407" s="10">
        <v>1490000875095</v>
      </c>
      <c r="L407" s="10">
        <v>1421370590296</v>
      </c>
      <c r="M407" s="10">
        <v>211201660496</v>
      </c>
      <c r="N407" s="46">
        <v>14.859014386390063</v>
      </c>
      <c r="O407" s="10">
        <v>1433243769151</v>
      </c>
      <c r="P407" s="11">
        <v>99.55</v>
      </c>
      <c r="Q407" s="11">
        <v>96.19</v>
      </c>
      <c r="R407" s="11">
        <v>1.66</v>
      </c>
      <c r="S407" s="10">
        <v>1497942623733</v>
      </c>
      <c r="T407" s="10">
        <v>26910044516</v>
      </c>
      <c r="U407" s="10">
        <v>21199543482</v>
      </c>
      <c r="V407" s="10">
        <v>5710501034</v>
      </c>
      <c r="W407" s="10">
        <v>0</v>
      </c>
      <c r="X407" s="10">
        <v>1524852668249</v>
      </c>
      <c r="Y407" s="10">
        <v>118772741</v>
      </c>
      <c r="Z407" s="10">
        <v>75553250333</v>
      </c>
      <c r="AA407" s="10">
        <v>24859538861</v>
      </c>
      <c r="AB407" s="10">
        <v>1625265457443</v>
      </c>
      <c r="AC407" s="10">
        <v>1214354911444</v>
      </c>
      <c r="AD407" s="46">
        <v>25.56894643229008</v>
      </c>
      <c r="AE407" s="10">
        <v>1138382366255</v>
      </c>
      <c r="AF407" s="10">
        <v>1120660312174</v>
      </c>
      <c r="AG407" s="10">
        <v>108479830647</v>
      </c>
      <c r="AH407" s="10">
        <v>7571909</v>
      </c>
      <c r="AI407" s="10">
        <v>0</v>
      </c>
      <c r="AJ407" s="10">
        <v>0</v>
      </c>
      <c r="AK407" s="10">
        <v>0</v>
      </c>
      <c r="AL407" s="11">
        <v>1</v>
      </c>
      <c r="AM407" s="10">
        <v>11167024000</v>
      </c>
      <c r="AN407" s="11">
        <v>67</v>
      </c>
      <c r="AO407" s="10">
        <v>138073967252</v>
      </c>
      <c r="AP407" s="12">
        <v>16</v>
      </c>
      <c r="AQ407" s="10">
        <v>22960399223</v>
      </c>
      <c r="AR407" s="10">
        <v>26910044516</v>
      </c>
      <c r="AS407" s="10">
        <v>31577062905</v>
      </c>
      <c r="AT407" s="10">
        <v>-4667018389</v>
      </c>
      <c r="AU407" s="11">
        <v>-14.78</v>
      </c>
      <c r="AV407" s="10">
        <v>815270721384</v>
      </c>
      <c r="AW407" s="10">
        <v>213940845710</v>
      </c>
      <c r="AX407" s="10">
        <v>177432373846</v>
      </c>
      <c r="AY407" s="10">
        <v>197070304493</v>
      </c>
      <c r="AZ407" s="10">
        <v>568811188166</v>
      </c>
      <c r="BA407" s="10">
        <v>676059206800</v>
      </c>
      <c r="BB407" s="10">
        <v>404047301066</v>
      </c>
      <c r="BC407" s="10">
        <v>1632572250792</v>
      </c>
      <c r="BD407" s="12">
        <v>14211</v>
      </c>
      <c r="BE407" s="10">
        <v>387701855826</v>
      </c>
      <c r="BF407" s="10">
        <v>568461188166</v>
      </c>
      <c r="BG407" s="10">
        <v>676409206800</v>
      </c>
      <c r="BH407" s="10">
        <v>993794367015</v>
      </c>
      <c r="BI407" s="10">
        <v>144587999240</v>
      </c>
      <c r="BJ407" s="10">
        <v>0</v>
      </c>
      <c r="BK407" s="10">
        <v>0</v>
      </c>
      <c r="BL407" s="10">
        <v>108479830647</v>
      </c>
      <c r="BM407" s="10">
        <v>0</v>
      </c>
      <c r="BN407" s="10">
        <v>0</v>
      </c>
      <c r="BO407" s="10">
        <v>7571909</v>
      </c>
    </row>
    <row r="408" spans="1:67" x14ac:dyDescent="0.25">
      <c r="A408" s="25" t="s">
        <v>445</v>
      </c>
      <c r="B408" s="9">
        <v>3707</v>
      </c>
      <c r="C408" s="9" t="s">
        <v>453</v>
      </c>
      <c r="D408" s="10">
        <v>2033627033074</v>
      </c>
      <c r="E408" s="10">
        <v>36744643964</v>
      </c>
      <c r="F408" s="10">
        <v>0</v>
      </c>
      <c r="G408" s="10">
        <v>0</v>
      </c>
      <c r="H408" s="10">
        <v>2070371677038</v>
      </c>
      <c r="I408" s="10">
        <v>152981070524</v>
      </c>
      <c r="J408" s="10">
        <v>7903893818</v>
      </c>
      <c r="K408" s="10">
        <v>1909486712696</v>
      </c>
      <c r="L408" s="10">
        <v>1467995470535</v>
      </c>
      <c r="M408" s="10">
        <v>602376206503</v>
      </c>
      <c r="N408" s="46">
        <v>41.033928141717531</v>
      </c>
      <c r="O408" s="10">
        <v>2093004380652</v>
      </c>
      <c r="P408" s="11">
        <v>116.22</v>
      </c>
      <c r="Q408" s="11">
        <v>109.61</v>
      </c>
      <c r="R408" s="11">
        <v>1.55</v>
      </c>
      <c r="S408" s="10">
        <v>2205359807498</v>
      </c>
      <c r="T408" s="10">
        <v>36740015701</v>
      </c>
      <c r="U408" s="10">
        <v>32225286480</v>
      </c>
      <c r="V408" s="10">
        <v>2794533697</v>
      </c>
      <c r="W408" s="10">
        <v>1720195524</v>
      </c>
      <c r="X408" s="10">
        <v>2242099823199</v>
      </c>
      <c r="Y408" s="10">
        <v>611796452</v>
      </c>
      <c r="Z408" s="10">
        <v>119964767750</v>
      </c>
      <c r="AA408" s="10">
        <v>44210878420</v>
      </c>
      <c r="AB408" s="10">
        <v>2406275469369</v>
      </c>
      <c r="AC408" s="10">
        <v>1640662189529</v>
      </c>
      <c r="AD408" s="46">
        <v>36.658224801454118</v>
      </c>
      <c r="AE408" s="10">
        <v>1563293119063</v>
      </c>
      <c r="AF408" s="10">
        <v>1520403119063</v>
      </c>
      <c r="AG408" s="10">
        <v>0</v>
      </c>
      <c r="AH408" s="10">
        <v>87525000</v>
      </c>
      <c r="AI408" s="10">
        <v>705000000</v>
      </c>
      <c r="AJ408" s="10">
        <v>0</v>
      </c>
      <c r="AK408" s="10">
        <v>0</v>
      </c>
      <c r="AL408" s="11">
        <v>0</v>
      </c>
      <c r="AM408" s="10">
        <v>0</v>
      </c>
      <c r="AN408" s="11">
        <v>92</v>
      </c>
      <c r="AO408" s="10">
        <v>367890607984</v>
      </c>
      <c r="AP408" s="12">
        <v>55</v>
      </c>
      <c r="AQ408" s="10">
        <v>157974688406</v>
      </c>
      <c r="AR408" s="10">
        <v>36740015701</v>
      </c>
      <c r="AS408" s="10">
        <v>61910128162</v>
      </c>
      <c r="AT408" s="10">
        <v>-25170112461</v>
      </c>
      <c r="AU408" s="11">
        <v>-40.659999999999997</v>
      </c>
      <c r="AV408" s="10">
        <v>935435696436</v>
      </c>
      <c r="AW408" s="10">
        <v>299969418801</v>
      </c>
      <c r="AX408" s="10">
        <v>512606151220</v>
      </c>
      <c r="AY408" s="10">
        <v>271721494946</v>
      </c>
      <c r="AZ408" s="10">
        <v>382715245908</v>
      </c>
      <c r="BA408" s="10">
        <v>866584141000</v>
      </c>
      <c r="BB408" s="10">
        <v>232114110750</v>
      </c>
      <c r="BC408" s="10">
        <v>2070371677038</v>
      </c>
      <c r="BD408" s="12">
        <v>81219</v>
      </c>
      <c r="BE408" s="10">
        <v>821072290130</v>
      </c>
      <c r="BF408" s="10">
        <v>382715245908</v>
      </c>
      <c r="BG408" s="10">
        <v>866584141000</v>
      </c>
      <c r="BH408" s="10">
        <v>954216064521</v>
      </c>
      <c r="BI408" s="10">
        <v>609077054542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87525000</v>
      </c>
    </row>
    <row r="409" spans="1:67" x14ac:dyDescent="0.25">
      <c r="A409" s="25" t="s">
        <v>445</v>
      </c>
      <c r="B409" s="9">
        <v>3708</v>
      </c>
      <c r="C409" s="9" t="s">
        <v>454</v>
      </c>
      <c r="D409" s="10">
        <v>2172721987837</v>
      </c>
      <c r="E409" s="10">
        <v>35522736918</v>
      </c>
      <c r="F409" s="10">
        <v>0</v>
      </c>
      <c r="G409" s="10">
        <v>0</v>
      </c>
      <c r="H409" s="10">
        <v>2208244724755</v>
      </c>
      <c r="I409" s="10">
        <v>169757950027</v>
      </c>
      <c r="J409" s="10">
        <v>6338341735</v>
      </c>
      <c r="K409" s="10">
        <v>2032148432993</v>
      </c>
      <c r="L409" s="10">
        <v>1362634752989</v>
      </c>
      <c r="M409" s="10">
        <v>845609971766</v>
      </c>
      <c r="N409" s="46">
        <v>62.056979679339378</v>
      </c>
      <c r="O409" s="10">
        <v>1372055308833</v>
      </c>
      <c r="P409" s="11">
        <v>74.709999999999994</v>
      </c>
      <c r="Q409" s="11">
        <v>67.52</v>
      </c>
      <c r="R409" s="11">
        <v>1.52</v>
      </c>
      <c r="S409" s="10">
        <v>1540031020659</v>
      </c>
      <c r="T409" s="10">
        <v>23870405616</v>
      </c>
      <c r="U409" s="10">
        <v>18528644070</v>
      </c>
      <c r="V409" s="10">
        <v>2562754786</v>
      </c>
      <c r="W409" s="10">
        <v>2779006760</v>
      </c>
      <c r="X409" s="10">
        <v>1563901426275</v>
      </c>
      <c r="Y409" s="10">
        <v>1238711929</v>
      </c>
      <c r="Z409" s="10">
        <v>75171582406</v>
      </c>
      <c r="AA409" s="10">
        <v>10776519260</v>
      </c>
      <c r="AB409" s="10">
        <v>1649849527941</v>
      </c>
      <c r="AC409" s="10">
        <v>1079525482390</v>
      </c>
      <c r="AD409" s="46">
        <v>44.869338592417733</v>
      </c>
      <c r="AE409" s="10">
        <v>1031479699481</v>
      </c>
      <c r="AF409" s="10">
        <v>971861691813</v>
      </c>
      <c r="AG409" s="10">
        <v>63624145900</v>
      </c>
      <c r="AH409" s="10">
        <v>3884760000</v>
      </c>
      <c r="AI409" s="10">
        <v>0</v>
      </c>
      <c r="AJ409" s="10">
        <v>0</v>
      </c>
      <c r="AK409" s="10">
        <v>0</v>
      </c>
      <c r="AL409" s="11">
        <v>6</v>
      </c>
      <c r="AM409" s="10">
        <v>116288474000</v>
      </c>
      <c r="AN409" s="11">
        <v>107</v>
      </c>
      <c r="AO409" s="10">
        <v>342372411238</v>
      </c>
      <c r="AP409" s="12">
        <v>62</v>
      </c>
      <c r="AQ409" s="10">
        <v>108987869487</v>
      </c>
      <c r="AR409" s="10">
        <v>23870405616</v>
      </c>
      <c r="AS409" s="10">
        <v>18548834930</v>
      </c>
      <c r="AT409" s="10">
        <v>5321570686</v>
      </c>
      <c r="AU409" s="11">
        <v>28.69</v>
      </c>
      <c r="AV409" s="10">
        <v>516800839054</v>
      </c>
      <c r="AW409" s="10">
        <v>138028658960</v>
      </c>
      <c r="AX409" s="10">
        <v>594081555650</v>
      </c>
      <c r="AY409" s="10">
        <v>167479516479</v>
      </c>
      <c r="AZ409" s="10">
        <v>519924232075</v>
      </c>
      <c r="BA409" s="10">
        <v>891236683633</v>
      </c>
      <c r="BB409" s="10">
        <v>210691013626</v>
      </c>
      <c r="BC409" s="10">
        <v>2208244724755</v>
      </c>
      <c r="BD409" s="12">
        <v>78765</v>
      </c>
      <c r="BE409" s="10">
        <v>797083809047</v>
      </c>
      <c r="BF409" s="10">
        <v>519924232075</v>
      </c>
      <c r="BG409" s="10">
        <v>891236683633</v>
      </c>
      <c r="BH409" s="10">
        <v>747248121893</v>
      </c>
      <c r="BI409" s="10">
        <v>284231577588</v>
      </c>
      <c r="BJ409" s="10">
        <v>38084963168</v>
      </c>
      <c r="BK409" s="10">
        <v>0</v>
      </c>
      <c r="BL409" s="10">
        <v>24206216800</v>
      </c>
      <c r="BM409" s="10">
        <v>0</v>
      </c>
      <c r="BN409" s="10">
        <v>0</v>
      </c>
      <c r="BO409" s="10">
        <v>7998360000</v>
      </c>
    </row>
    <row r="410" spans="1:67" x14ac:dyDescent="0.25">
      <c r="A410" s="25" t="s">
        <v>445</v>
      </c>
      <c r="B410" s="14">
        <v>3709</v>
      </c>
      <c r="C410" s="14" t="s">
        <v>455</v>
      </c>
      <c r="D410" s="15">
        <v>1675032327918</v>
      </c>
      <c r="E410" s="15">
        <v>17664973132</v>
      </c>
      <c r="F410" s="15">
        <v>0</v>
      </c>
      <c r="G410" s="15">
        <v>0</v>
      </c>
      <c r="H410" s="15">
        <v>1692697301050</v>
      </c>
      <c r="I410" s="15">
        <v>144441268766</v>
      </c>
      <c r="J410" s="15">
        <v>2227793907</v>
      </c>
      <c r="K410" s="15">
        <v>1546028238377</v>
      </c>
      <c r="L410" s="15">
        <v>1222059710046</v>
      </c>
      <c r="M410" s="15">
        <v>470637591004</v>
      </c>
      <c r="N410" s="48">
        <v>38.511832698116244</v>
      </c>
      <c r="O410" s="15">
        <v>1321441861215</v>
      </c>
      <c r="P410" s="16">
        <v>90.31</v>
      </c>
      <c r="Q410" s="16">
        <v>85.47</v>
      </c>
      <c r="R410" s="16">
        <v>0.42</v>
      </c>
      <c r="S410" s="15">
        <v>1444418447330</v>
      </c>
      <c r="T410" s="15">
        <v>6205203399</v>
      </c>
      <c r="U410" s="15">
        <v>2142471721</v>
      </c>
      <c r="V410" s="15">
        <v>1710481713</v>
      </c>
      <c r="W410" s="15">
        <v>2352249965</v>
      </c>
      <c r="X410" s="15">
        <v>1450623650729</v>
      </c>
      <c r="Y410" s="10">
        <v>222722627</v>
      </c>
      <c r="Z410" s="15">
        <v>56967393107</v>
      </c>
      <c r="AA410" s="15">
        <v>21140374866</v>
      </c>
      <c r="AB410" s="15">
        <v>1528731418702</v>
      </c>
      <c r="AC410" s="15">
        <v>994287316103</v>
      </c>
      <c r="AD410" s="46">
        <v>45.895821784648746</v>
      </c>
      <c r="AE410" s="15">
        <v>998498488133</v>
      </c>
      <c r="AF410" s="15">
        <v>967111472656</v>
      </c>
      <c r="AG410" s="15">
        <v>17138748294</v>
      </c>
      <c r="AH410" s="15">
        <v>167031986</v>
      </c>
      <c r="AI410" s="15">
        <v>0</v>
      </c>
      <c r="AJ410" s="15">
        <v>0</v>
      </c>
      <c r="AK410" s="15">
        <v>0</v>
      </c>
      <c r="AL410" s="16">
        <v>4</v>
      </c>
      <c r="AM410" s="15">
        <v>78217670113</v>
      </c>
      <c r="AN410" s="17">
        <v>85</v>
      </c>
      <c r="AO410" s="15">
        <v>232574150000</v>
      </c>
      <c r="AP410" s="12">
        <v>4</v>
      </c>
      <c r="AQ410" s="10">
        <v>94250000000</v>
      </c>
      <c r="AR410" s="15">
        <v>6205203399</v>
      </c>
      <c r="AS410" s="15">
        <v>5461090393</v>
      </c>
      <c r="AT410" s="15">
        <v>744113006</v>
      </c>
      <c r="AU410" s="16">
        <v>13.63</v>
      </c>
      <c r="AV410" s="15">
        <v>569516516139</v>
      </c>
      <c r="AW410" s="15">
        <v>60567239178</v>
      </c>
      <c r="AX410" s="15">
        <v>372837484743</v>
      </c>
      <c r="AY410" s="15">
        <v>119831164196</v>
      </c>
      <c r="AZ410" s="15">
        <v>406608678979</v>
      </c>
      <c r="BA410" s="15">
        <v>775755000000</v>
      </c>
      <c r="BB410" s="15">
        <v>382891054422</v>
      </c>
      <c r="BC410" s="15">
        <v>1692697301050</v>
      </c>
      <c r="BD410" s="17">
        <v>2366</v>
      </c>
      <c r="BE410" s="15">
        <v>510333622071</v>
      </c>
      <c r="BF410" s="15">
        <v>405342678979</v>
      </c>
      <c r="BG410" s="15">
        <v>777021000000</v>
      </c>
      <c r="BH410" s="15">
        <v>767636477992</v>
      </c>
      <c r="BI410" s="15">
        <v>230862010141</v>
      </c>
      <c r="BJ410" s="15">
        <v>0</v>
      </c>
      <c r="BK410" s="15">
        <v>0</v>
      </c>
      <c r="BL410" s="15">
        <v>17138748294</v>
      </c>
      <c r="BM410" s="15">
        <v>0</v>
      </c>
      <c r="BN410" s="15">
        <v>0</v>
      </c>
      <c r="BO410" s="15">
        <v>167031986</v>
      </c>
    </row>
    <row r="411" spans="1:67" x14ac:dyDescent="0.25">
      <c r="A411" s="25" t="s">
        <v>445</v>
      </c>
      <c r="B411" s="9">
        <v>3710</v>
      </c>
      <c r="C411" s="9" t="s">
        <v>456</v>
      </c>
      <c r="D411" s="10">
        <v>1637059597153</v>
      </c>
      <c r="E411" s="10">
        <v>2558637786</v>
      </c>
      <c r="F411" s="10">
        <v>0</v>
      </c>
      <c r="G411" s="10">
        <v>0</v>
      </c>
      <c r="H411" s="10">
        <v>1639618234939</v>
      </c>
      <c r="I411" s="10">
        <v>142947493089</v>
      </c>
      <c r="J411" s="10">
        <v>3676692400</v>
      </c>
      <c r="K411" s="10">
        <v>1492994049450</v>
      </c>
      <c r="L411" s="10">
        <v>873564988450</v>
      </c>
      <c r="M411" s="10">
        <v>766053246489</v>
      </c>
      <c r="N411" s="46">
        <v>87.69275973940276</v>
      </c>
      <c r="O411" s="10">
        <v>875055784824</v>
      </c>
      <c r="P411" s="11">
        <v>62.46</v>
      </c>
      <c r="Q411" s="11">
        <v>58.61</v>
      </c>
      <c r="R411" s="11">
        <v>0.05</v>
      </c>
      <c r="S411" s="10">
        <v>953556646135</v>
      </c>
      <c r="T411" s="10">
        <v>480533074</v>
      </c>
      <c r="U411" s="10">
        <v>480533074</v>
      </c>
      <c r="V411" s="10">
        <v>0</v>
      </c>
      <c r="W411" s="10">
        <v>0</v>
      </c>
      <c r="X411" s="10">
        <v>954037179209</v>
      </c>
      <c r="Y411" s="10">
        <v>0</v>
      </c>
      <c r="Z411" s="10">
        <v>51002332375</v>
      </c>
      <c r="AA411" s="10">
        <v>19127942000</v>
      </c>
      <c r="AB411" s="10">
        <v>1024167453584</v>
      </c>
      <c r="AC411" s="10">
        <v>671996980375</v>
      </c>
      <c r="AD411" s="46">
        <v>41.970456277439041</v>
      </c>
      <c r="AE411" s="10">
        <v>656711850669</v>
      </c>
      <c r="AF411" s="10">
        <v>648711850669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1">
        <v>0</v>
      </c>
      <c r="AM411" s="10">
        <v>0</v>
      </c>
      <c r="AN411" s="11">
        <v>35</v>
      </c>
      <c r="AO411" s="10">
        <v>32975674061</v>
      </c>
      <c r="AP411" s="12">
        <v>4</v>
      </c>
      <c r="AQ411" s="10">
        <v>1793000000</v>
      </c>
      <c r="AR411" s="10">
        <v>480533074</v>
      </c>
      <c r="AS411" s="10">
        <v>1033759244</v>
      </c>
      <c r="AT411" s="10">
        <v>-553226170</v>
      </c>
      <c r="AU411" s="11">
        <v>-53.52</v>
      </c>
      <c r="AV411" s="10">
        <v>394605905407</v>
      </c>
      <c r="AW411" s="10">
        <v>58515547393</v>
      </c>
      <c r="AX411" s="10">
        <v>42684629058</v>
      </c>
      <c r="AY411" s="10">
        <v>128624920490</v>
      </c>
      <c r="AZ411" s="10">
        <v>357807047605</v>
      </c>
      <c r="BA411" s="10">
        <v>1107943000000</v>
      </c>
      <c r="BB411" s="10">
        <v>320834255846</v>
      </c>
      <c r="BC411" s="10">
        <v>1639618234939</v>
      </c>
      <c r="BD411" s="12">
        <v>1002</v>
      </c>
      <c r="BE411" s="10">
        <v>173868187334</v>
      </c>
      <c r="BF411" s="10">
        <v>357807047605</v>
      </c>
      <c r="BG411" s="10">
        <v>1107943000000</v>
      </c>
      <c r="BH411" s="10">
        <v>579228169221</v>
      </c>
      <c r="BI411" s="10">
        <v>77483681448</v>
      </c>
      <c r="BJ411" s="10">
        <v>0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</row>
    <row r="412" spans="1:67" x14ac:dyDescent="0.25">
      <c r="A412" s="25" t="s">
        <v>445</v>
      </c>
      <c r="B412" s="26">
        <v>3711</v>
      </c>
      <c r="C412" s="26" t="s">
        <v>457</v>
      </c>
      <c r="D412" s="27">
        <v>1060628786978</v>
      </c>
      <c r="E412" s="27">
        <v>2495494320</v>
      </c>
      <c r="F412" s="27">
        <v>0</v>
      </c>
      <c r="G412" s="27">
        <v>0</v>
      </c>
      <c r="H412" s="27">
        <v>1063124281298</v>
      </c>
      <c r="I412" s="27">
        <v>87375719231</v>
      </c>
      <c r="J412" s="27">
        <v>14258684647</v>
      </c>
      <c r="K412" s="27">
        <v>961489877420</v>
      </c>
      <c r="L412" s="27">
        <v>869351008776</v>
      </c>
      <c r="M412" s="10">
        <v>193773272522</v>
      </c>
      <c r="N412" s="46">
        <v>22.289417112982072</v>
      </c>
      <c r="O412" s="27">
        <v>661394997857</v>
      </c>
      <c r="P412" s="28">
        <v>72.06</v>
      </c>
      <c r="Q412" s="28">
        <v>68.790000000000006</v>
      </c>
      <c r="R412" s="28">
        <v>0.37</v>
      </c>
      <c r="S412" s="27">
        <v>721386934421</v>
      </c>
      <c r="T412" s="27">
        <v>2870731771</v>
      </c>
      <c r="U412" s="27">
        <v>2627081788</v>
      </c>
      <c r="V412" s="27">
        <v>243649983</v>
      </c>
      <c r="W412" s="27">
        <v>0</v>
      </c>
      <c r="X412" s="27">
        <v>724257666192</v>
      </c>
      <c r="Y412" s="10">
        <v>0</v>
      </c>
      <c r="Z412" s="27">
        <v>28847345792</v>
      </c>
      <c r="AA412" s="27">
        <v>12990780000</v>
      </c>
      <c r="AB412" s="27">
        <v>766095791984</v>
      </c>
      <c r="AC412" s="27">
        <v>508704147602</v>
      </c>
      <c r="AD412" s="46">
        <v>42.373060964040889</v>
      </c>
      <c r="AE412" s="27">
        <v>480500281934</v>
      </c>
      <c r="AF412" s="27">
        <v>473170281934</v>
      </c>
      <c r="AG412" s="27">
        <v>0</v>
      </c>
      <c r="AH412" s="27">
        <v>0</v>
      </c>
      <c r="AI412" s="27">
        <v>0</v>
      </c>
      <c r="AJ412" s="27">
        <v>0</v>
      </c>
      <c r="AK412" s="27">
        <v>0</v>
      </c>
      <c r="AL412" s="28">
        <v>0</v>
      </c>
      <c r="AM412" s="27">
        <v>0</v>
      </c>
      <c r="AN412" s="29">
        <v>25</v>
      </c>
      <c r="AO412" s="27">
        <v>34136684536</v>
      </c>
      <c r="AP412" s="12">
        <v>5</v>
      </c>
      <c r="AQ412" s="10">
        <v>3674200000</v>
      </c>
      <c r="AR412" s="27">
        <v>2870731771</v>
      </c>
      <c r="AS412" s="27">
        <v>4109251712</v>
      </c>
      <c r="AT412" s="27">
        <v>-1238519941</v>
      </c>
      <c r="AU412" s="28">
        <v>-30.14</v>
      </c>
      <c r="AV412" s="27">
        <v>280886582847</v>
      </c>
      <c r="AW412" s="27">
        <v>38137273008</v>
      </c>
      <c r="AX412" s="27">
        <v>37349791627</v>
      </c>
      <c r="AY412" s="27">
        <v>71445076252</v>
      </c>
      <c r="AZ412" s="27">
        <v>199871279299</v>
      </c>
      <c r="BA412" s="27">
        <v>751962639800</v>
      </c>
      <c r="BB412" s="27">
        <v>193066112782</v>
      </c>
      <c r="BC412" s="27">
        <v>1063124281298</v>
      </c>
      <c r="BD412" s="29">
        <v>3366</v>
      </c>
      <c r="BE412" s="27">
        <v>111290362199</v>
      </c>
      <c r="BF412" s="27">
        <v>199871279299</v>
      </c>
      <c r="BG412" s="27">
        <v>751962639800</v>
      </c>
      <c r="BH412" s="27">
        <v>372679897738</v>
      </c>
      <c r="BI412" s="27">
        <v>107820384196</v>
      </c>
      <c r="BJ412" s="27">
        <v>0</v>
      </c>
      <c r="BK412" s="27">
        <v>0</v>
      </c>
      <c r="BL412" s="27">
        <v>0</v>
      </c>
      <c r="BM412" s="27">
        <v>0</v>
      </c>
      <c r="BN412" s="27">
        <v>0</v>
      </c>
      <c r="BO412" s="27">
        <v>0</v>
      </c>
    </row>
    <row r="413" spans="1:67" x14ac:dyDescent="0.25">
      <c r="A413" s="25" t="s">
        <v>445</v>
      </c>
      <c r="B413" s="9">
        <v>3712</v>
      </c>
      <c r="C413" s="9" t="s">
        <v>458</v>
      </c>
      <c r="D413" s="10">
        <v>732564815048</v>
      </c>
      <c r="E413" s="10">
        <v>4013173196</v>
      </c>
      <c r="F413" s="10">
        <v>0</v>
      </c>
      <c r="G413" s="10">
        <v>0</v>
      </c>
      <c r="H413" s="10">
        <v>736577988244</v>
      </c>
      <c r="I413" s="10">
        <v>49934529376</v>
      </c>
      <c r="J413" s="10">
        <v>7680978600</v>
      </c>
      <c r="K413" s="10">
        <v>678962480268</v>
      </c>
      <c r="L413" s="10">
        <v>290575618451</v>
      </c>
      <c r="M413" s="10">
        <v>446002369793</v>
      </c>
      <c r="N413" s="46">
        <v>153.48926113297071</v>
      </c>
      <c r="O413" s="10">
        <v>290657508635</v>
      </c>
      <c r="P413" s="11">
        <v>47.21</v>
      </c>
      <c r="Q413" s="11">
        <v>42.81</v>
      </c>
      <c r="R413" s="11">
        <v>0.1</v>
      </c>
      <c r="S413" s="10">
        <v>315054827910</v>
      </c>
      <c r="T413" s="10">
        <v>344248323</v>
      </c>
      <c r="U413" s="10">
        <v>344248323</v>
      </c>
      <c r="V413" s="10">
        <v>0</v>
      </c>
      <c r="W413" s="10">
        <v>0</v>
      </c>
      <c r="X413" s="10">
        <v>315399076233</v>
      </c>
      <c r="Y413" s="10">
        <v>0</v>
      </c>
      <c r="Z413" s="10">
        <v>15666667342</v>
      </c>
      <c r="AA413" s="10">
        <v>16704795000</v>
      </c>
      <c r="AB413" s="10">
        <v>347770538575</v>
      </c>
      <c r="AC413" s="10">
        <v>50908980567</v>
      </c>
      <c r="AD413" s="46">
        <v>519.5352425450975</v>
      </c>
      <c r="AE413" s="10">
        <v>294493929070</v>
      </c>
      <c r="AF413" s="10">
        <v>294493929070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1">
        <v>0</v>
      </c>
      <c r="AM413" s="10">
        <v>0</v>
      </c>
      <c r="AN413" s="11">
        <v>33</v>
      </c>
      <c r="AO413" s="10">
        <v>52822000000</v>
      </c>
      <c r="AP413" s="12">
        <v>7</v>
      </c>
      <c r="AQ413" s="10">
        <v>12165000000</v>
      </c>
      <c r="AR413" s="10">
        <v>344248323</v>
      </c>
      <c r="AS413" s="10">
        <v>0</v>
      </c>
      <c r="AT413" s="10">
        <v>344248323</v>
      </c>
      <c r="AU413" s="11" t="s">
        <v>593</v>
      </c>
      <c r="AV413" s="10">
        <v>63662584290</v>
      </c>
      <c r="AW413" s="10">
        <v>3568840551</v>
      </c>
      <c r="AX413" s="10">
        <v>22364826481</v>
      </c>
      <c r="AY413" s="10">
        <v>47414235144</v>
      </c>
      <c r="AZ413" s="10">
        <v>206448758070</v>
      </c>
      <c r="BA413" s="10">
        <v>456336995353</v>
      </c>
      <c r="BB413" s="10">
        <v>205297013210</v>
      </c>
      <c r="BC413" s="10">
        <v>736577988244</v>
      </c>
      <c r="BD413" s="12">
        <v>0</v>
      </c>
      <c r="BE413" s="10">
        <v>73792234821</v>
      </c>
      <c r="BF413" s="10">
        <v>206448758070</v>
      </c>
      <c r="BG413" s="10">
        <v>456336995353</v>
      </c>
      <c r="BH413" s="10">
        <v>215283943543</v>
      </c>
      <c r="BI413" s="10">
        <v>79209985527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</row>
    <row r="414" spans="1:67" x14ac:dyDescent="0.25">
      <c r="A414" s="25" t="s">
        <v>445</v>
      </c>
      <c r="B414" s="9">
        <v>3799</v>
      </c>
      <c r="C414" s="9" t="s">
        <v>459</v>
      </c>
      <c r="D414" s="10">
        <v>0</v>
      </c>
      <c r="E414" s="10">
        <v>6603840492</v>
      </c>
      <c r="F414" s="10">
        <v>0</v>
      </c>
      <c r="G414" s="10">
        <v>0</v>
      </c>
      <c r="H414" s="10">
        <v>6603840492</v>
      </c>
      <c r="I414" s="10">
        <v>364917329</v>
      </c>
      <c r="J414" s="10">
        <v>118974600</v>
      </c>
      <c r="K414" s="10">
        <v>6119948563</v>
      </c>
      <c r="L414" s="10">
        <v>4261140304</v>
      </c>
      <c r="M414" s="10">
        <v>2342700188</v>
      </c>
      <c r="N414" s="46">
        <v>54.978245747995437</v>
      </c>
      <c r="O414" s="10">
        <v>0</v>
      </c>
      <c r="P414" s="11">
        <v>0</v>
      </c>
      <c r="Q414" s="11">
        <v>0</v>
      </c>
      <c r="R414" s="11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46" t="s">
        <v>595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1">
        <v>0</v>
      </c>
      <c r="AM414" s="10">
        <v>0</v>
      </c>
      <c r="AN414" s="11">
        <v>0</v>
      </c>
      <c r="AO414" s="10">
        <v>0</v>
      </c>
      <c r="AP414" s="12">
        <v>0</v>
      </c>
      <c r="AQ414" s="10">
        <v>0</v>
      </c>
      <c r="AR414" s="10">
        <v>0</v>
      </c>
      <c r="AS414" s="10">
        <v>0</v>
      </c>
      <c r="AT414" s="10">
        <v>0</v>
      </c>
      <c r="AU414" s="11" t="s">
        <v>593</v>
      </c>
      <c r="AV414" s="10">
        <v>0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6603840492</v>
      </c>
      <c r="BD414" s="12">
        <v>0</v>
      </c>
      <c r="BE414" s="10">
        <v>6603840492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</row>
    <row r="415" spans="1:67" x14ac:dyDescent="0.25">
      <c r="A415" s="19" t="s">
        <v>603</v>
      </c>
      <c r="B415" s="20" t="s">
        <v>593</v>
      </c>
      <c r="C415" s="20" t="s">
        <v>593</v>
      </c>
      <c r="D415" s="21">
        <v>25200793444253</v>
      </c>
      <c r="E415" s="21">
        <v>626940233168</v>
      </c>
      <c r="F415" s="21">
        <v>50122000000</v>
      </c>
      <c r="G415" s="21">
        <v>17502079736</v>
      </c>
      <c r="H415" s="21">
        <v>25895357757157</v>
      </c>
      <c r="I415" s="21">
        <v>2099476094138</v>
      </c>
      <c r="J415" s="21">
        <v>203177804471</v>
      </c>
      <c r="K415" s="21">
        <v>23592703858548</v>
      </c>
      <c r="L415" s="21">
        <v>18136293480727</v>
      </c>
      <c r="M415" s="21">
        <v>7759064276430</v>
      </c>
      <c r="N415" s="47">
        <v>42.781973531004944</v>
      </c>
      <c r="O415" s="21">
        <v>21980850574721</v>
      </c>
      <c r="P415" s="22">
        <v>104.36</v>
      </c>
      <c r="Q415" s="22">
        <v>93.17</v>
      </c>
      <c r="R415" s="22">
        <v>1.21</v>
      </c>
      <c r="S415" s="21">
        <v>24897879022424</v>
      </c>
      <c r="T415" s="21">
        <v>318538460411</v>
      </c>
      <c r="U415" s="21">
        <v>231376777119</v>
      </c>
      <c r="V415" s="21">
        <v>38665503344</v>
      </c>
      <c r="W415" s="21">
        <v>48496179948</v>
      </c>
      <c r="X415" s="21">
        <v>25216417482835</v>
      </c>
      <c r="Y415" s="21">
        <v>7173605496</v>
      </c>
      <c r="Z415" s="21">
        <v>1458676297962</v>
      </c>
      <c r="AA415" s="21">
        <v>349768175125</v>
      </c>
      <c r="AB415" s="21">
        <v>27024861955922</v>
      </c>
      <c r="AC415" s="21">
        <v>18996310093409</v>
      </c>
      <c r="AD415" s="47">
        <v>32.743766335885105</v>
      </c>
      <c r="AE415" s="21">
        <v>16112561032306</v>
      </c>
      <c r="AF415" s="21">
        <v>15471681791521</v>
      </c>
      <c r="AG415" s="21">
        <v>293302423748</v>
      </c>
      <c r="AH415" s="21">
        <v>41302353676</v>
      </c>
      <c r="AI415" s="21">
        <v>42016769753</v>
      </c>
      <c r="AJ415" s="21">
        <v>0</v>
      </c>
      <c r="AK415" s="21">
        <v>0</v>
      </c>
      <c r="AL415" s="22">
        <v>15</v>
      </c>
      <c r="AM415" s="21">
        <v>306487700213</v>
      </c>
      <c r="AN415" s="23">
        <v>2100</v>
      </c>
      <c r="AO415" s="21">
        <v>6441176843746</v>
      </c>
      <c r="AP415" s="23">
        <v>750</v>
      </c>
      <c r="AQ415" s="21">
        <v>1935940589201</v>
      </c>
      <c r="AR415" s="21">
        <v>318538460411</v>
      </c>
      <c r="AS415" s="21">
        <v>321734234309</v>
      </c>
      <c r="AT415" s="21">
        <v>-3195773898</v>
      </c>
      <c r="AU415" s="24">
        <v>-0.99</v>
      </c>
      <c r="AV415" s="21">
        <v>10054595129010</v>
      </c>
      <c r="AW415" s="21">
        <v>2196784046629</v>
      </c>
      <c r="AX415" s="21">
        <v>4102994766757</v>
      </c>
      <c r="AY415" s="21">
        <v>2544414676128</v>
      </c>
      <c r="AZ415" s="21">
        <v>5995262524637</v>
      </c>
      <c r="BA415" s="21">
        <v>12558121476731</v>
      </c>
      <c r="BB415" s="21">
        <v>4250575991389</v>
      </c>
      <c r="BC415" s="21">
        <v>25895357757157</v>
      </c>
      <c r="BD415" s="23">
        <v>1245958</v>
      </c>
      <c r="BE415" s="21">
        <v>7145320694283</v>
      </c>
      <c r="BF415" s="21">
        <v>6037760724637</v>
      </c>
      <c r="BG415" s="21">
        <v>12712276338237</v>
      </c>
      <c r="BH415" s="21">
        <v>11583038070956</v>
      </c>
      <c r="BI415" s="21">
        <v>4529522961350</v>
      </c>
      <c r="BJ415" s="21">
        <v>38084963168</v>
      </c>
      <c r="BK415" s="21">
        <v>0</v>
      </c>
      <c r="BL415" s="21">
        <v>253884494648</v>
      </c>
      <c r="BM415" s="21">
        <v>0</v>
      </c>
      <c r="BN415" s="21">
        <v>34280962658</v>
      </c>
      <c r="BO415" s="21">
        <v>31139882944</v>
      </c>
    </row>
    <row r="416" spans="1:67" x14ac:dyDescent="0.25">
      <c r="A416" s="25" t="s">
        <v>460</v>
      </c>
      <c r="B416" s="9">
        <v>3800</v>
      </c>
      <c r="C416" s="9" t="s">
        <v>460</v>
      </c>
      <c r="D416" s="10">
        <v>2625778635171</v>
      </c>
      <c r="E416" s="10">
        <v>327737650107</v>
      </c>
      <c r="F416" s="10">
        <v>23785000000</v>
      </c>
      <c r="G416" s="10">
        <v>1138540800</v>
      </c>
      <c r="H416" s="10">
        <v>2978439826078</v>
      </c>
      <c r="I416" s="10">
        <v>180430890139</v>
      </c>
      <c r="J416" s="10">
        <v>34778270000</v>
      </c>
      <c r="K416" s="10">
        <v>2763230665939</v>
      </c>
      <c r="L416" s="10">
        <v>2484053577322</v>
      </c>
      <c r="M416" s="10">
        <v>494386248756</v>
      </c>
      <c r="N416" s="46">
        <v>19.902398775512172</v>
      </c>
      <c r="O416" s="10">
        <v>9794576392355</v>
      </c>
      <c r="P416" s="11">
        <v>407.09</v>
      </c>
      <c r="Q416" s="11">
        <v>354.46</v>
      </c>
      <c r="R416" s="11">
        <v>1.1100000000000001</v>
      </c>
      <c r="S416" s="10">
        <v>10339963369897</v>
      </c>
      <c r="T416" s="10">
        <v>116091303401</v>
      </c>
      <c r="U416" s="10">
        <v>99279496043</v>
      </c>
      <c r="V416" s="10">
        <v>9249933652</v>
      </c>
      <c r="W416" s="10">
        <v>7561873706</v>
      </c>
      <c r="X416" s="10">
        <v>10456054673298</v>
      </c>
      <c r="Y416" s="10">
        <v>18284237075</v>
      </c>
      <c r="Z416" s="10">
        <v>1633544838757</v>
      </c>
      <c r="AA416" s="10">
        <v>35301061446</v>
      </c>
      <c r="AB416" s="10">
        <v>12124900573501</v>
      </c>
      <c r="AC416" s="10">
        <v>7555691732531</v>
      </c>
      <c r="AD416" s="46">
        <v>38.386464713475526</v>
      </c>
      <c r="AE416" s="10">
        <v>7351540550685</v>
      </c>
      <c r="AF416" s="10">
        <v>6482880550685</v>
      </c>
      <c r="AG416" s="10">
        <v>2735090096848</v>
      </c>
      <c r="AH416" s="10">
        <v>103150644</v>
      </c>
      <c r="AI416" s="10">
        <v>0</v>
      </c>
      <c r="AJ416" s="10">
        <v>0</v>
      </c>
      <c r="AK416" s="10">
        <v>0</v>
      </c>
      <c r="AL416" s="11">
        <v>18</v>
      </c>
      <c r="AM416" s="10">
        <v>2727042906040</v>
      </c>
      <c r="AN416" s="11">
        <v>60</v>
      </c>
      <c r="AO416" s="10">
        <v>4908828319880</v>
      </c>
      <c r="AP416" s="12">
        <v>31</v>
      </c>
      <c r="AQ416" s="10">
        <v>1178893868800</v>
      </c>
      <c r="AR416" s="10">
        <v>116091303401</v>
      </c>
      <c r="AS416" s="10">
        <v>108110369728</v>
      </c>
      <c r="AT416" s="10">
        <v>7980933673</v>
      </c>
      <c r="AU416" s="13">
        <v>7.38</v>
      </c>
      <c r="AV416" s="10">
        <v>6164102645156</v>
      </c>
      <c r="AW416" s="10">
        <v>669227320129</v>
      </c>
      <c r="AX416" s="10">
        <v>866873386583</v>
      </c>
      <c r="AY416" s="10">
        <v>440134893807</v>
      </c>
      <c r="AZ416" s="10">
        <v>497841654781</v>
      </c>
      <c r="BA416" s="10">
        <v>820928700000</v>
      </c>
      <c r="BB416" s="10">
        <v>353440700781</v>
      </c>
      <c r="BC416" s="10">
        <v>2978439826078</v>
      </c>
      <c r="BD416" s="12">
        <v>69324</v>
      </c>
      <c r="BE416" s="10">
        <v>1527580737380</v>
      </c>
      <c r="BF416" s="10">
        <v>521626654781</v>
      </c>
      <c r="BG416" s="10">
        <v>929232433917</v>
      </c>
      <c r="BH416" s="10">
        <v>7208527758921</v>
      </c>
      <c r="BI416" s="10">
        <v>143012791764</v>
      </c>
      <c r="BJ416" s="10">
        <v>93691427903</v>
      </c>
      <c r="BK416" s="10">
        <v>0</v>
      </c>
      <c r="BL416" s="10">
        <v>3553967796364</v>
      </c>
      <c r="BM416" s="10">
        <v>0</v>
      </c>
      <c r="BN416" s="10">
        <v>0</v>
      </c>
      <c r="BO416" s="10">
        <v>15729642024</v>
      </c>
    </row>
    <row r="417" spans="1:67" x14ac:dyDescent="0.25">
      <c r="A417" s="25" t="s">
        <v>460</v>
      </c>
      <c r="B417" s="9">
        <v>3801</v>
      </c>
      <c r="C417" s="9" t="s">
        <v>461</v>
      </c>
      <c r="D417" s="10">
        <v>574187689022</v>
      </c>
      <c r="E417" s="10">
        <v>12165304416</v>
      </c>
      <c r="F417" s="10">
        <v>0</v>
      </c>
      <c r="G417" s="10">
        <v>0</v>
      </c>
      <c r="H417" s="10">
        <v>586352993438</v>
      </c>
      <c r="I417" s="10">
        <v>46091288531</v>
      </c>
      <c r="J417" s="10">
        <v>961094400</v>
      </c>
      <c r="K417" s="10">
        <v>539300610507</v>
      </c>
      <c r="L417" s="10">
        <v>602944870855</v>
      </c>
      <c r="M417" s="10">
        <v>-16591877417</v>
      </c>
      <c r="N417" s="46">
        <v>-2.7518067105325983</v>
      </c>
      <c r="O417" s="10">
        <v>1426221939598</v>
      </c>
      <c r="P417" s="11">
        <v>280.13</v>
      </c>
      <c r="Q417" s="11">
        <v>264.45999999999998</v>
      </c>
      <c r="R417" s="11">
        <v>2.62</v>
      </c>
      <c r="S417" s="10">
        <v>1511816051777</v>
      </c>
      <c r="T417" s="10">
        <v>42766711707</v>
      </c>
      <c r="U417" s="10">
        <v>19963255218</v>
      </c>
      <c r="V417" s="10">
        <v>22803456489</v>
      </c>
      <c r="W417" s="10">
        <v>0</v>
      </c>
      <c r="X417" s="10">
        <v>1554582763484</v>
      </c>
      <c r="Y417" s="10">
        <v>245043311</v>
      </c>
      <c r="Z417" s="10">
        <v>78653682173</v>
      </c>
      <c r="AA417" s="10">
        <v>9318221833</v>
      </c>
      <c r="AB417" s="10">
        <v>1642554667490</v>
      </c>
      <c r="AC417" s="10">
        <v>1129701566099</v>
      </c>
      <c r="AD417" s="46">
        <v>37.610038804510786</v>
      </c>
      <c r="AE417" s="10">
        <v>1792282759370</v>
      </c>
      <c r="AF417" s="10">
        <v>1738549564852</v>
      </c>
      <c r="AG417" s="10">
        <v>603000000000</v>
      </c>
      <c r="AH417" s="10">
        <v>0</v>
      </c>
      <c r="AI417" s="10">
        <v>0</v>
      </c>
      <c r="AJ417" s="10">
        <v>0</v>
      </c>
      <c r="AK417" s="10">
        <v>0</v>
      </c>
      <c r="AL417" s="11">
        <v>4</v>
      </c>
      <c r="AM417" s="10">
        <v>670000000000</v>
      </c>
      <c r="AN417" s="11">
        <v>16</v>
      </c>
      <c r="AO417" s="10">
        <v>124570500000</v>
      </c>
      <c r="AP417" s="12">
        <v>10</v>
      </c>
      <c r="AQ417" s="10">
        <v>44377739600</v>
      </c>
      <c r="AR417" s="10">
        <v>42766711707</v>
      </c>
      <c r="AS417" s="10">
        <v>32834658552</v>
      </c>
      <c r="AT417" s="10">
        <v>9932053155</v>
      </c>
      <c r="AU417" s="13">
        <v>30.25</v>
      </c>
      <c r="AV417" s="10">
        <v>1243517841271</v>
      </c>
      <c r="AW417" s="10">
        <v>559172631103</v>
      </c>
      <c r="AX417" s="10">
        <v>256347109592</v>
      </c>
      <c r="AY417" s="10">
        <v>119823173990</v>
      </c>
      <c r="AZ417" s="10">
        <v>188442405440</v>
      </c>
      <c r="BA417" s="10">
        <v>9575000000</v>
      </c>
      <c r="BB417" s="10">
        <v>141557521161</v>
      </c>
      <c r="BC417" s="10">
        <v>586352993438</v>
      </c>
      <c r="BD417" s="12">
        <v>115396</v>
      </c>
      <c r="BE417" s="10">
        <v>388335587998</v>
      </c>
      <c r="BF417" s="10">
        <v>188442405440</v>
      </c>
      <c r="BG417" s="10">
        <v>9575000000</v>
      </c>
      <c r="BH417" s="10">
        <v>1673955819370</v>
      </c>
      <c r="BI417" s="10">
        <v>118326940000</v>
      </c>
      <c r="BJ417" s="10">
        <v>0</v>
      </c>
      <c r="BK417" s="10">
        <v>0</v>
      </c>
      <c r="BL417" s="10">
        <v>603000000000</v>
      </c>
      <c r="BM417" s="10">
        <v>0</v>
      </c>
      <c r="BN417" s="10">
        <v>0</v>
      </c>
      <c r="BO417" s="10">
        <v>0</v>
      </c>
    </row>
    <row r="418" spans="1:67" x14ac:dyDescent="0.25">
      <c r="A418" s="25" t="s">
        <v>460</v>
      </c>
      <c r="B418" s="9">
        <v>3802</v>
      </c>
      <c r="C418" s="9" t="s">
        <v>462</v>
      </c>
      <c r="D418" s="10">
        <v>734215848616</v>
      </c>
      <c r="E418" s="10">
        <v>10348165076</v>
      </c>
      <c r="F418" s="10">
        <v>0</v>
      </c>
      <c r="G418" s="10">
        <v>0</v>
      </c>
      <c r="H418" s="10">
        <v>744564013692</v>
      </c>
      <c r="I418" s="10">
        <v>53469286828</v>
      </c>
      <c r="J418" s="10">
        <v>3316075124</v>
      </c>
      <c r="K418" s="10">
        <v>687778651740</v>
      </c>
      <c r="L418" s="10">
        <v>649477175271</v>
      </c>
      <c r="M418" s="10">
        <v>95086838421</v>
      </c>
      <c r="N418" s="46">
        <v>14.640520412641782</v>
      </c>
      <c r="O418" s="10">
        <v>1401835451838</v>
      </c>
      <c r="P418" s="11">
        <v>220.23</v>
      </c>
      <c r="Q418" s="11">
        <v>203.82</v>
      </c>
      <c r="R418" s="11">
        <v>3.66</v>
      </c>
      <c r="S418" s="10">
        <v>1527994269302</v>
      </c>
      <c r="T418" s="10">
        <v>60023965030</v>
      </c>
      <c r="U418" s="10">
        <v>14433892253</v>
      </c>
      <c r="V418" s="10">
        <v>45590072777</v>
      </c>
      <c r="W418" s="10">
        <v>0</v>
      </c>
      <c r="X418" s="10">
        <v>1588018234332</v>
      </c>
      <c r="Y418" s="10">
        <v>61451689</v>
      </c>
      <c r="Z418" s="10">
        <v>45949641660</v>
      </c>
      <c r="AA418" s="10">
        <v>5800000000</v>
      </c>
      <c r="AB418" s="10">
        <v>1639767875992</v>
      </c>
      <c r="AC418" s="10">
        <v>1511171475332</v>
      </c>
      <c r="AD418" s="46">
        <v>5.0852441469699521</v>
      </c>
      <c r="AE418" s="10">
        <v>1569828314644</v>
      </c>
      <c r="AF418" s="10">
        <v>1415215228348</v>
      </c>
      <c r="AG418" s="10">
        <v>100918297752</v>
      </c>
      <c r="AH418" s="10">
        <v>0</v>
      </c>
      <c r="AI418" s="10">
        <v>0</v>
      </c>
      <c r="AJ418" s="10">
        <v>0</v>
      </c>
      <c r="AK418" s="10">
        <v>0</v>
      </c>
      <c r="AL418" s="11">
        <v>1</v>
      </c>
      <c r="AM418" s="10">
        <v>112131441946</v>
      </c>
      <c r="AN418" s="11">
        <v>15</v>
      </c>
      <c r="AO418" s="10">
        <v>52993441508</v>
      </c>
      <c r="AP418" s="12">
        <v>42</v>
      </c>
      <c r="AQ418" s="10">
        <v>138602545871</v>
      </c>
      <c r="AR418" s="10">
        <v>60023965030</v>
      </c>
      <c r="AS418" s="10">
        <v>13517210902</v>
      </c>
      <c r="AT418" s="10">
        <v>46506754128</v>
      </c>
      <c r="AU418" s="11">
        <v>344.06</v>
      </c>
      <c r="AV418" s="10">
        <v>1349818716023</v>
      </c>
      <c r="AW418" s="10">
        <v>758640535604</v>
      </c>
      <c r="AX418" s="10">
        <v>239149404276</v>
      </c>
      <c r="AY418" s="10">
        <v>107876366509</v>
      </c>
      <c r="AZ418" s="10">
        <v>119927754131</v>
      </c>
      <c r="BA418" s="10">
        <v>267262323700</v>
      </c>
      <c r="BB418" s="10">
        <v>94129342467</v>
      </c>
      <c r="BC418" s="10">
        <v>744564013692</v>
      </c>
      <c r="BD418" s="12">
        <v>51845</v>
      </c>
      <c r="BE418" s="10">
        <v>357373935861</v>
      </c>
      <c r="BF418" s="10">
        <v>119927754131</v>
      </c>
      <c r="BG418" s="10">
        <v>267262323700</v>
      </c>
      <c r="BH418" s="10">
        <v>1248479114644</v>
      </c>
      <c r="BI418" s="10">
        <v>321349200000</v>
      </c>
      <c r="BJ418" s="10">
        <v>0</v>
      </c>
      <c r="BK418" s="10">
        <v>0</v>
      </c>
      <c r="BL418" s="10">
        <v>240137803013</v>
      </c>
      <c r="BM418" s="10">
        <v>0</v>
      </c>
      <c r="BN418" s="10">
        <v>0</v>
      </c>
      <c r="BO418" s="10">
        <v>0</v>
      </c>
    </row>
    <row r="419" spans="1:67" x14ac:dyDescent="0.25">
      <c r="A419" s="25" t="s">
        <v>460</v>
      </c>
      <c r="B419" s="9">
        <v>3803</v>
      </c>
      <c r="C419" s="9" t="s">
        <v>463</v>
      </c>
      <c r="D419" s="10">
        <v>1092054227470</v>
      </c>
      <c r="E419" s="10">
        <v>3287666476</v>
      </c>
      <c r="F419" s="10">
        <v>0</v>
      </c>
      <c r="G419" s="10">
        <v>0</v>
      </c>
      <c r="H419" s="10">
        <v>1095341893946</v>
      </c>
      <c r="I419" s="10">
        <v>90385741757</v>
      </c>
      <c r="J419" s="10">
        <v>722539095</v>
      </c>
      <c r="K419" s="10">
        <v>1004233613094</v>
      </c>
      <c r="L419" s="10">
        <v>785275693682</v>
      </c>
      <c r="M419" s="10">
        <v>310066200264</v>
      </c>
      <c r="N419" s="46">
        <v>39.485011793776764</v>
      </c>
      <c r="O419" s="10">
        <v>1967690017025</v>
      </c>
      <c r="P419" s="11">
        <v>206.24</v>
      </c>
      <c r="Q419" s="11">
        <v>195.94</v>
      </c>
      <c r="R419" s="11">
        <v>0.56999999999999995</v>
      </c>
      <c r="S419" s="10">
        <v>2117917706639</v>
      </c>
      <c r="T419" s="10">
        <v>12699931423</v>
      </c>
      <c r="U419" s="10">
        <v>12699931423</v>
      </c>
      <c r="V419" s="10">
        <v>0</v>
      </c>
      <c r="W419" s="10">
        <v>0</v>
      </c>
      <c r="X419" s="10">
        <v>2130617638062</v>
      </c>
      <c r="Y419" s="10">
        <v>223426441</v>
      </c>
      <c r="Z419" s="10">
        <v>83835454358</v>
      </c>
      <c r="AA419" s="10">
        <v>44549106350</v>
      </c>
      <c r="AB419" s="10">
        <v>2259002198770</v>
      </c>
      <c r="AC419" s="10">
        <v>1550309545493</v>
      </c>
      <c r="AD419" s="46">
        <v>37.431756403490468</v>
      </c>
      <c r="AE419" s="10">
        <v>1502179528344</v>
      </c>
      <c r="AF419" s="10">
        <v>1382749528344</v>
      </c>
      <c r="AG419" s="10">
        <v>194746913625</v>
      </c>
      <c r="AH419" s="10">
        <v>0</v>
      </c>
      <c r="AI419" s="10">
        <v>0</v>
      </c>
      <c r="AJ419" s="10">
        <v>0</v>
      </c>
      <c r="AK419" s="10">
        <v>0</v>
      </c>
      <c r="AL419" s="11">
        <v>12</v>
      </c>
      <c r="AM419" s="10">
        <v>227501684124</v>
      </c>
      <c r="AN419" s="11">
        <v>5</v>
      </c>
      <c r="AO419" s="10">
        <v>8104000000</v>
      </c>
      <c r="AP419" s="12">
        <v>2</v>
      </c>
      <c r="AQ419" s="10">
        <v>194700000000</v>
      </c>
      <c r="AR419" s="10">
        <v>12699931423</v>
      </c>
      <c r="AS419" s="10">
        <v>9447833368</v>
      </c>
      <c r="AT419" s="10">
        <v>3252098055</v>
      </c>
      <c r="AU419" s="13">
        <v>34.42</v>
      </c>
      <c r="AV419" s="10">
        <v>855756675249</v>
      </c>
      <c r="AW419" s="10">
        <v>98297498667</v>
      </c>
      <c r="AX419" s="10">
        <v>226431948207</v>
      </c>
      <c r="AY419" s="10">
        <v>192037251525</v>
      </c>
      <c r="AZ419" s="10">
        <v>162897627738</v>
      </c>
      <c r="BA419" s="10">
        <v>510687400000</v>
      </c>
      <c r="BB419" s="10">
        <v>136317683574</v>
      </c>
      <c r="BC419" s="10">
        <v>1095341893946</v>
      </c>
      <c r="BD419" s="12">
        <v>75374</v>
      </c>
      <c r="BE419" s="10">
        <v>421756866208</v>
      </c>
      <c r="BF419" s="10">
        <v>162897627738</v>
      </c>
      <c r="BG419" s="10">
        <v>510687400000</v>
      </c>
      <c r="BH419" s="10">
        <v>1484230390944</v>
      </c>
      <c r="BI419" s="10">
        <v>17949137400</v>
      </c>
      <c r="BJ419" s="10">
        <v>0</v>
      </c>
      <c r="BK419" s="10">
        <v>0</v>
      </c>
      <c r="BL419" s="10">
        <v>194746913625</v>
      </c>
      <c r="BM419" s="10">
        <v>0</v>
      </c>
      <c r="BN419" s="10">
        <v>0</v>
      </c>
      <c r="BO419" s="10">
        <v>0</v>
      </c>
    </row>
    <row r="420" spans="1:67" x14ac:dyDescent="0.25">
      <c r="A420" s="25" t="s">
        <v>460</v>
      </c>
      <c r="B420" s="9">
        <v>3804</v>
      </c>
      <c r="C420" s="9" t="s">
        <v>464</v>
      </c>
      <c r="D420" s="10">
        <v>1219015161540</v>
      </c>
      <c r="E420" s="10">
        <v>14192165542</v>
      </c>
      <c r="F420" s="10">
        <v>0</v>
      </c>
      <c r="G420" s="10">
        <v>0</v>
      </c>
      <c r="H420" s="10">
        <v>1233207327082</v>
      </c>
      <c r="I420" s="10">
        <v>93789242936</v>
      </c>
      <c r="J420" s="10">
        <v>2618052126</v>
      </c>
      <c r="K420" s="10">
        <v>1136800032020</v>
      </c>
      <c r="L420" s="10">
        <v>1082092937360</v>
      </c>
      <c r="M420" s="10">
        <v>151114389722</v>
      </c>
      <c r="N420" s="46">
        <v>13.965010259717273</v>
      </c>
      <c r="O420" s="10">
        <v>840348730371</v>
      </c>
      <c r="P420" s="11">
        <v>80.69</v>
      </c>
      <c r="Q420" s="11">
        <v>73.92</v>
      </c>
      <c r="R420" s="11">
        <v>1.07</v>
      </c>
      <c r="S420" s="10">
        <v>906592501018</v>
      </c>
      <c r="T420" s="10">
        <v>10546538770</v>
      </c>
      <c r="U420" s="10">
        <v>10546538770</v>
      </c>
      <c r="V420" s="10">
        <v>0</v>
      </c>
      <c r="W420" s="10">
        <v>0</v>
      </c>
      <c r="X420" s="10">
        <v>917139039788</v>
      </c>
      <c r="Y420" s="10">
        <v>56502313</v>
      </c>
      <c r="Z420" s="10">
        <v>59533912977</v>
      </c>
      <c r="AA420" s="10">
        <v>18386605805</v>
      </c>
      <c r="AB420" s="10">
        <v>995059558570</v>
      </c>
      <c r="AC420" s="10">
        <v>798712373603</v>
      </c>
      <c r="AD420" s="46">
        <v>14.827198137769676</v>
      </c>
      <c r="AE420" s="10">
        <v>454375549542</v>
      </c>
      <c r="AF420" s="10">
        <v>454375549542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1">
        <v>0</v>
      </c>
      <c r="AM420" s="10">
        <v>0</v>
      </c>
      <c r="AN420" s="11">
        <v>13</v>
      </c>
      <c r="AO420" s="10">
        <v>137706875000</v>
      </c>
      <c r="AP420" s="12">
        <v>13</v>
      </c>
      <c r="AQ420" s="10">
        <v>51638158670</v>
      </c>
      <c r="AR420" s="10">
        <v>10546538770</v>
      </c>
      <c r="AS420" s="10">
        <v>8119580962</v>
      </c>
      <c r="AT420" s="10">
        <v>2426957808</v>
      </c>
      <c r="AU420" s="11">
        <v>29.89</v>
      </c>
      <c r="AV420" s="10">
        <v>354399576999</v>
      </c>
      <c r="AW420" s="10">
        <v>90994954422</v>
      </c>
      <c r="AX420" s="10">
        <v>124261419903</v>
      </c>
      <c r="AY420" s="10">
        <v>126463038047</v>
      </c>
      <c r="AZ420" s="10">
        <v>395845203590</v>
      </c>
      <c r="BA420" s="10">
        <v>572445500000</v>
      </c>
      <c r="BB420" s="10">
        <v>272421884494</v>
      </c>
      <c r="BC420" s="10">
        <v>1233207327082</v>
      </c>
      <c r="BD420" s="12">
        <v>102414</v>
      </c>
      <c r="BE420" s="10">
        <v>264916623492</v>
      </c>
      <c r="BF420" s="10">
        <v>395845203590</v>
      </c>
      <c r="BG420" s="10">
        <v>572445500000</v>
      </c>
      <c r="BH420" s="10">
        <v>441895549542</v>
      </c>
      <c r="BI420" s="10">
        <v>12480000000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</row>
    <row r="421" spans="1:67" x14ac:dyDescent="0.25">
      <c r="A421" s="25" t="s">
        <v>460</v>
      </c>
      <c r="B421" s="9">
        <v>3805</v>
      </c>
      <c r="C421" s="9" t="s">
        <v>465</v>
      </c>
      <c r="D421" s="10">
        <v>920184202026</v>
      </c>
      <c r="E421" s="10">
        <v>32533670820</v>
      </c>
      <c r="F421" s="10">
        <v>0</v>
      </c>
      <c r="G421" s="10">
        <v>0</v>
      </c>
      <c r="H421" s="10">
        <v>952717872846</v>
      </c>
      <c r="I421" s="10">
        <v>46446242510</v>
      </c>
      <c r="J421" s="10">
        <v>31543583442</v>
      </c>
      <c r="K421" s="10">
        <v>874728046894</v>
      </c>
      <c r="L421" s="10">
        <v>447835720697</v>
      </c>
      <c r="M421" s="10">
        <v>504882152149</v>
      </c>
      <c r="N421" s="46">
        <v>112.73824949988681</v>
      </c>
      <c r="O421" s="10">
        <v>2497170727278</v>
      </c>
      <c r="P421" s="11">
        <v>301.33999999999997</v>
      </c>
      <c r="Q421" s="11">
        <v>285.48</v>
      </c>
      <c r="R421" s="11">
        <v>7.38</v>
      </c>
      <c r="S421" s="10">
        <v>2483562293893</v>
      </c>
      <c r="T421" s="10">
        <v>202461793545</v>
      </c>
      <c r="U421" s="10">
        <v>56203668765</v>
      </c>
      <c r="V421" s="10">
        <v>93433982323</v>
      </c>
      <c r="W421" s="10">
        <v>52824142457</v>
      </c>
      <c r="X421" s="10">
        <v>2686024087438</v>
      </c>
      <c r="Y421" s="10">
        <v>9305184575</v>
      </c>
      <c r="Z421" s="10">
        <v>165527887672</v>
      </c>
      <c r="AA421" s="10">
        <v>19322110000</v>
      </c>
      <c r="AB421" s="10">
        <v>2870874085110</v>
      </c>
      <c r="AC421" s="10">
        <v>1858561974585</v>
      </c>
      <c r="AD421" s="46">
        <v>44.521631463904491</v>
      </c>
      <c r="AE421" s="10">
        <v>2096004076776</v>
      </c>
      <c r="AF421" s="10">
        <v>1614270385952</v>
      </c>
      <c r="AG421" s="10">
        <v>51500000000</v>
      </c>
      <c r="AH421" s="10">
        <v>29760650564</v>
      </c>
      <c r="AI421" s="10">
        <v>0</v>
      </c>
      <c r="AJ421" s="10">
        <v>0</v>
      </c>
      <c r="AK421" s="10">
        <v>0</v>
      </c>
      <c r="AL421" s="11">
        <v>0</v>
      </c>
      <c r="AM421" s="10">
        <v>0</v>
      </c>
      <c r="AN421" s="11">
        <v>33</v>
      </c>
      <c r="AO421" s="10">
        <v>205179104994</v>
      </c>
      <c r="AP421" s="12">
        <v>17</v>
      </c>
      <c r="AQ421" s="10">
        <v>197947845000</v>
      </c>
      <c r="AR421" s="10">
        <v>202461793545</v>
      </c>
      <c r="AS421" s="10">
        <v>365408963016</v>
      </c>
      <c r="AT421" s="10">
        <v>-162947169471</v>
      </c>
      <c r="AU421" s="11">
        <v>-44.59</v>
      </c>
      <c r="AV421" s="10">
        <v>1258037923856</v>
      </c>
      <c r="AW421" s="10">
        <v>743539463846</v>
      </c>
      <c r="AX421" s="10">
        <v>551397104065</v>
      </c>
      <c r="AY421" s="10">
        <v>148725944474</v>
      </c>
      <c r="AZ421" s="10">
        <v>113239653487</v>
      </c>
      <c r="BA421" s="10">
        <v>106821500000</v>
      </c>
      <c r="BB421" s="10">
        <v>84525061501</v>
      </c>
      <c r="BC421" s="10">
        <v>952717872846</v>
      </c>
      <c r="BD421" s="12">
        <v>25969</v>
      </c>
      <c r="BE421" s="10">
        <v>732656719359</v>
      </c>
      <c r="BF421" s="10">
        <v>113239653487</v>
      </c>
      <c r="BG421" s="10">
        <v>106821500000</v>
      </c>
      <c r="BH421" s="10">
        <v>1887719426212</v>
      </c>
      <c r="BI421" s="10">
        <v>208284650564</v>
      </c>
      <c r="BJ421" s="10">
        <v>0</v>
      </c>
      <c r="BK421" s="10">
        <v>52824142457</v>
      </c>
      <c r="BL421" s="10">
        <v>429178359637</v>
      </c>
      <c r="BM421" s="10">
        <v>13312033556</v>
      </c>
      <c r="BN421" s="10">
        <v>0</v>
      </c>
      <c r="BO421" s="10">
        <v>16448617008</v>
      </c>
    </row>
    <row r="422" spans="1:67" x14ac:dyDescent="0.25">
      <c r="A422" s="25" t="s">
        <v>460</v>
      </c>
      <c r="B422" s="9">
        <v>3807</v>
      </c>
      <c r="C422" s="9" t="s">
        <v>466</v>
      </c>
      <c r="D422" s="10">
        <v>849555533866</v>
      </c>
      <c r="E422" s="10">
        <v>20064166438</v>
      </c>
      <c r="F422" s="10">
        <v>0</v>
      </c>
      <c r="G422" s="10">
        <v>0</v>
      </c>
      <c r="H422" s="10">
        <v>869619700304</v>
      </c>
      <c r="I422" s="10">
        <v>66307677687</v>
      </c>
      <c r="J422" s="10">
        <v>1307547800</v>
      </c>
      <c r="K422" s="10">
        <v>802004474817</v>
      </c>
      <c r="L422" s="10">
        <v>726574326871</v>
      </c>
      <c r="M422" s="10">
        <v>143045373433</v>
      </c>
      <c r="N422" s="46">
        <v>19.687644903313114</v>
      </c>
      <c r="O422" s="10">
        <v>1528873177197</v>
      </c>
      <c r="P422" s="11">
        <v>193.27</v>
      </c>
      <c r="Q422" s="11">
        <v>190.63</v>
      </c>
      <c r="R422" s="11">
        <v>4.21</v>
      </c>
      <c r="S422" s="10">
        <v>1518786242157</v>
      </c>
      <c r="T422" s="10">
        <v>64127420825</v>
      </c>
      <c r="U422" s="10">
        <v>26465209929</v>
      </c>
      <c r="V422" s="10">
        <v>6217798050</v>
      </c>
      <c r="W422" s="10">
        <v>31444412846</v>
      </c>
      <c r="X422" s="10">
        <v>1582913662982</v>
      </c>
      <c r="Y422" s="10">
        <v>6611362868</v>
      </c>
      <c r="Z422" s="10">
        <v>86681793192</v>
      </c>
      <c r="AA422" s="10">
        <v>11109786000</v>
      </c>
      <c r="AB422" s="10">
        <v>1680705242174</v>
      </c>
      <c r="AC422" s="10">
        <v>1261031572013</v>
      </c>
      <c r="AD422" s="46">
        <v>25.525299930054544</v>
      </c>
      <c r="AE422" s="10">
        <v>1264098226749</v>
      </c>
      <c r="AF422" s="10">
        <v>1264098226749</v>
      </c>
      <c r="AG422" s="10">
        <v>276048000000</v>
      </c>
      <c r="AH422" s="10">
        <v>0</v>
      </c>
      <c r="AI422" s="10">
        <v>0</v>
      </c>
      <c r="AJ422" s="10">
        <v>0</v>
      </c>
      <c r="AK422" s="10">
        <v>0</v>
      </c>
      <c r="AL422" s="11">
        <v>1</v>
      </c>
      <c r="AM422" s="10">
        <v>100000000000</v>
      </c>
      <c r="AN422" s="11">
        <v>7</v>
      </c>
      <c r="AO422" s="10">
        <v>80154096000</v>
      </c>
      <c r="AP422" s="12">
        <v>3</v>
      </c>
      <c r="AQ422" s="10">
        <v>48140000000</v>
      </c>
      <c r="AR422" s="10">
        <v>64127420825</v>
      </c>
      <c r="AS422" s="10">
        <v>15702153198</v>
      </c>
      <c r="AT422" s="10">
        <v>48425267627</v>
      </c>
      <c r="AU422" s="11">
        <v>308.39999999999998</v>
      </c>
      <c r="AV422" s="10">
        <v>860496871485</v>
      </c>
      <c r="AW422" s="10">
        <v>453456410821</v>
      </c>
      <c r="AX422" s="10">
        <v>324574978581</v>
      </c>
      <c r="AY422" s="10">
        <v>102296512396</v>
      </c>
      <c r="AZ422" s="10">
        <v>211539042889</v>
      </c>
      <c r="BA422" s="10">
        <v>211145000000</v>
      </c>
      <c r="BB422" s="10">
        <v>138035728010</v>
      </c>
      <c r="BC422" s="10">
        <v>869619700304</v>
      </c>
      <c r="BD422" s="12">
        <v>105334</v>
      </c>
      <c r="BE422" s="10">
        <v>446934575224</v>
      </c>
      <c r="BF422" s="10">
        <v>211539042889</v>
      </c>
      <c r="BG422" s="10">
        <v>211146082191</v>
      </c>
      <c r="BH422" s="10">
        <v>1222683226749</v>
      </c>
      <c r="BI422" s="10">
        <v>41415000000</v>
      </c>
      <c r="BJ422" s="10">
        <v>0</v>
      </c>
      <c r="BK422" s="10">
        <v>31444412846</v>
      </c>
      <c r="BL422" s="10">
        <v>293256000000</v>
      </c>
      <c r="BM422" s="10">
        <v>0</v>
      </c>
      <c r="BN422" s="10">
        <v>0</v>
      </c>
      <c r="BO422" s="10">
        <v>0</v>
      </c>
    </row>
    <row r="423" spans="1:67" x14ac:dyDescent="0.25">
      <c r="A423" s="25" t="s">
        <v>460</v>
      </c>
      <c r="B423" s="9">
        <v>3808</v>
      </c>
      <c r="C423" s="9" t="s">
        <v>467</v>
      </c>
      <c r="D423" s="10">
        <v>1277663010352</v>
      </c>
      <c r="E423" s="10">
        <v>7330251277</v>
      </c>
      <c r="F423" s="10">
        <v>0</v>
      </c>
      <c r="G423" s="10">
        <v>0</v>
      </c>
      <c r="H423" s="10">
        <v>1284993261629</v>
      </c>
      <c r="I423" s="10">
        <v>57749456169</v>
      </c>
      <c r="J423" s="10">
        <v>9030247216</v>
      </c>
      <c r="K423" s="10">
        <v>1218213558244</v>
      </c>
      <c r="L423" s="10">
        <v>528699900603</v>
      </c>
      <c r="M423" s="10">
        <v>756293361026</v>
      </c>
      <c r="N423" s="46">
        <v>143.04775926067359</v>
      </c>
      <c r="O423" s="10">
        <v>1274112078105</v>
      </c>
      <c r="P423" s="11">
        <v>109.86</v>
      </c>
      <c r="Q423" s="11">
        <v>104.59</v>
      </c>
      <c r="R423" s="11">
        <v>1.42</v>
      </c>
      <c r="S423" s="10">
        <v>1317539486573</v>
      </c>
      <c r="T423" s="10">
        <v>17675233646</v>
      </c>
      <c r="U423" s="10">
        <v>13514254600</v>
      </c>
      <c r="V423" s="10">
        <v>1786614329</v>
      </c>
      <c r="W423" s="10">
        <v>2374364717</v>
      </c>
      <c r="X423" s="10">
        <v>1335214720219</v>
      </c>
      <c r="Y423" s="10">
        <v>2403236259</v>
      </c>
      <c r="Z423" s="10">
        <v>53950890122</v>
      </c>
      <c r="AA423" s="10">
        <v>22499660000</v>
      </c>
      <c r="AB423" s="10">
        <v>1411665270341</v>
      </c>
      <c r="AC423" s="10">
        <v>881926714254</v>
      </c>
      <c r="AD423" s="46">
        <v>51.397468592208952</v>
      </c>
      <c r="AE423" s="10">
        <v>1613894305322</v>
      </c>
      <c r="AF423" s="10">
        <v>1613894305322</v>
      </c>
      <c r="AG423" s="10">
        <v>356987400000</v>
      </c>
      <c r="AH423" s="10">
        <v>988000000</v>
      </c>
      <c r="AI423" s="10">
        <v>0</v>
      </c>
      <c r="AJ423" s="10">
        <v>0</v>
      </c>
      <c r="AK423" s="10">
        <v>0</v>
      </c>
      <c r="AL423" s="11">
        <v>8</v>
      </c>
      <c r="AM423" s="10">
        <v>390786000000</v>
      </c>
      <c r="AN423" s="11">
        <v>13</v>
      </c>
      <c r="AO423" s="10">
        <v>55438651565</v>
      </c>
      <c r="AP423" s="12">
        <v>6</v>
      </c>
      <c r="AQ423" s="10">
        <v>26074550000</v>
      </c>
      <c r="AR423" s="10">
        <v>17675233646</v>
      </c>
      <c r="AS423" s="10">
        <v>17871603273</v>
      </c>
      <c r="AT423" s="10">
        <v>-196369627</v>
      </c>
      <c r="AU423" s="11">
        <v>-1.1000000000000001</v>
      </c>
      <c r="AV423" s="10">
        <v>1173035276728</v>
      </c>
      <c r="AW423" s="10">
        <v>236714169894</v>
      </c>
      <c r="AX423" s="10">
        <v>835514711783</v>
      </c>
      <c r="AY423" s="10">
        <v>108731755995</v>
      </c>
      <c r="AZ423" s="10">
        <v>180603542574</v>
      </c>
      <c r="BA423" s="10">
        <v>152813000000</v>
      </c>
      <c r="BB423" s="10">
        <v>164661206944</v>
      </c>
      <c r="BC423" s="10">
        <v>1284993261629</v>
      </c>
      <c r="BD423" s="12">
        <v>22679</v>
      </c>
      <c r="BE423" s="10">
        <v>951576719055</v>
      </c>
      <c r="BF423" s="10">
        <v>180603542574</v>
      </c>
      <c r="BG423" s="10">
        <v>152813000000</v>
      </c>
      <c r="BH423" s="10">
        <v>1323144305322</v>
      </c>
      <c r="BI423" s="10">
        <v>290750000000</v>
      </c>
      <c r="BJ423" s="10">
        <v>0</v>
      </c>
      <c r="BK423" s="10">
        <v>0</v>
      </c>
      <c r="BL423" s="10">
        <v>356987400000</v>
      </c>
      <c r="BM423" s="10">
        <v>0</v>
      </c>
      <c r="BN423" s="10">
        <v>0</v>
      </c>
      <c r="BO423" s="10">
        <v>988000000</v>
      </c>
    </row>
    <row r="424" spans="1:67" x14ac:dyDescent="0.25">
      <c r="A424" s="25" t="s">
        <v>460</v>
      </c>
      <c r="B424" s="14">
        <v>3809</v>
      </c>
      <c r="C424" s="14" t="s">
        <v>468</v>
      </c>
      <c r="D424" s="15">
        <v>796240468086</v>
      </c>
      <c r="E424" s="15">
        <v>47392358404</v>
      </c>
      <c r="F424" s="15">
        <v>0</v>
      </c>
      <c r="G424" s="15">
        <v>0</v>
      </c>
      <c r="H424" s="15">
        <v>843632826490</v>
      </c>
      <c r="I424" s="15">
        <v>64507864195</v>
      </c>
      <c r="J424" s="15">
        <v>848557400</v>
      </c>
      <c r="K424" s="15">
        <v>778276404895</v>
      </c>
      <c r="L424" s="15">
        <v>806991509015</v>
      </c>
      <c r="M424" s="15">
        <v>36641317475</v>
      </c>
      <c r="N424" s="48">
        <v>4.5404836439634622</v>
      </c>
      <c r="O424" s="15">
        <v>1044627416691</v>
      </c>
      <c r="P424" s="16">
        <v>141.12</v>
      </c>
      <c r="Q424" s="16">
        <v>134.22</v>
      </c>
      <c r="R424" s="16">
        <v>0.57999999999999996</v>
      </c>
      <c r="S424" s="15">
        <v>1130776701669</v>
      </c>
      <c r="T424" s="15">
        <v>6541848724</v>
      </c>
      <c r="U424" s="15">
        <v>6200850623</v>
      </c>
      <c r="V424" s="15">
        <v>340998101</v>
      </c>
      <c r="W424" s="15">
        <v>0</v>
      </c>
      <c r="X424" s="15">
        <v>1137318550393</v>
      </c>
      <c r="Y424" s="10">
        <v>353603838</v>
      </c>
      <c r="Z424" s="15">
        <v>43668577370</v>
      </c>
      <c r="AA424" s="15">
        <v>9564484000</v>
      </c>
      <c r="AB424" s="15">
        <v>1190551611763</v>
      </c>
      <c r="AC424" s="15">
        <v>1019441273536</v>
      </c>
      <c r="AD424" s="46">
        <v>11.562929608307384</v>
      </c>
      <c r="AE424" s="15">
        <v>2069371166998</v>
      </c>
      <c r="AF424" s="15">
        <v>2056328166998</v>
      </c>
      <c r="AG424" s="15">
        <v>1188619923689</v>
      </c>
      <c r="AH424" s="15">
        <v>0</v>
      </c>
      <c r="AI424" s="15">
        <v>0</v>
      </c>
      <c r="AJ424" s="15">
        <v>0</v>
      </c>
      <c r="AK424" s="15">
        <v>0</v>
      </c>
      <c r="AL424" s="16">
        <v>16</v>
      </c>
      <c r="AM424" s="15">
        <v>1641200826384</v>
      </c>
      <c r="AN424" s="16">
        <v>36</v>
      </c>
      <c r="AO424" s="15">
        <v>317384301192</v>
      </c>
      <c r="AP424" s="12">
        <v>22</v>
      </c>
      <c r="AQ424" s="10">
        <v>269519496478</v>
      </c>
      <c r="AR424" s="15">
        <v>6541848724</v>
      </c>
      <c r="AS424" s="15">
        <v>58156552211</v>
      </c>
      <c r="AT424" s="15">
        <v>-51614703487</v>
      </c>
      <c r="AU424" s="16">
        <v>-88.75</v>
      </c>
      <c r="AV424" s="15">
        <v>2028962401176</v>
      </c>
      <c r="AW424" s="15">
        <v>294127494910</v>
      </c>
      <c r="AX424" s="15">
        <v>339441351386</v>
      </c>
      <c r="AY424" s="15">
        <v>90125069660</v>
      </c>
      <c r="AZ424" s="15">
        <v>160517547040</v>
      </c>
      <c r="BA424" s="15">
        <v>206156500000</v>
      </c>
      <c r="BB424" s="15">
        <v>86299973665</v>
      </c>
      <c r="BC424" s="15">
        <v>843632826490</v>
      </c>
      <c r="BD424" s="17">
        <v>36132</v>
      </c>
      <c r="BE424" s="15">
        <v>476958779450</v>
      </c>
      <c r="BF424" s="15">
        <v>160517547040</v>
      </c>
      <c r="BG424" s="15">
        <v>206156500000</v>
      </c>
      <c r="BH424" s="15">
        <v>1878840104589</v>
      </c>
      <c r="BI424" s="15">
        <v>190531062409</v>
      </c>
      <c r="BJ424" s="15">
        <v>13488094809</v>
      </c>
      <c r="BK424" s="15">
        <v>0</v>
      </c>
      <c r="BL424" s="15">
        <v>1499795387433</v>
      </c>
      <c r="BM424" s="15">
        <v>0</v>
      </c>
      <c r="BN424" s="15">
        <v>0</v>
      </c>
      <c r="BO424" s="15">
        <v>0</v>
      </c>
    </row>
    <row r="425" spans="1:67" x14ac:dyDescent="0.25">
      <c r="A425" s="25" t="s">
        <v>460</v>
      </c>
      <c r="B425" s="9">
        <v>3810</v>
      </c>
      <c r="C425" s="9" t="s">
        <v>469</v>
      </c>
      <c r="D425" s="10">
        <v>2343385875185</v>
      </c>
      <c r="E425" s="10">
        <v>237211297266</v>
      </c>
      <c r="F425" s="10">
        <v>0</v>
      </c>
      <c r="G425" s="10">
        <v>0</v>
      </c>
      <c r="H425" s="10">
        <v>2580597172451</v>
      </c>
      <c r="I425" s="10">
        <v>166638269584</v>
      </c>
      <c r="J425" s="10">
        <v>844420305</v>
      </c>
      <c r="K425" s="10">
        <v>2413114482562</v>
      </c>
      <c r="L425" s="10">
        <v>1419345801841</v>
      </c>
      <c r="M425" s="10">
        <v>1161251370610</v>
      </c>
      <c r="N425" s="46">
        <v>81.815958387573218</v>
      </c>
      <c r="O425" s="10">
        <v>2408590750057</v>
      </c>
      <c r="P425" s="11">
        <v>110.32</v>
      </c>
      <c r="Q425" s="11">
        <v>99.81</v>
      </c>
      <c r="R425" s="11">
        <v>1.21</v>
      </c>
      <c r="S425" s="10">
        <v>2688842006005</v>
      </c>
      <c r="T425" s="10">
        <v>34419210247</v>
      </c>
      <c r="U425" s="10">
        <v>19130424333</v>
      </c>
      <c r="V425" s="10">
        <v>15288785914</v>
      </c>
      <c r="W425" s="10">
        <v>0</v>
      </c>
      <c r="X425" s="10">
        <v>2723261216252</v>
      </c>
      <c r="Y425" s="10">
        <v>0</v>
      </c>
      <c r="Z425" s="10">
        <v>96324262306</v>
      </c>
      <c r="AA425" s="10">
        <v>27416419997</v>
      </c>
      <c r="AB425" s="10">
        <v>2847001898555</v>
      </c>
      <c r="AC425" s="10">
        <v>1614870237021</v>
      </c>
      <c r="AD425" s="46">
        <v>68.636535234910411</v>
      </c>
      <c r="AE425" s="10">
        <v>2980268598005</v>
      </c>
      <c r="AF425" s="10">
        <v>2954436593181</v>
      </c>
      <c r="AG425" s="10">
        <v>910701374670</v>
      </c>
      <c r="AH425" s="10">
        <v>4180100438</v>
      </c>
      <c r="AI425" s="10">
        <v>0</v>
      </c>
      <c r="AJ425" s="10">
        <v>0</v>
      </c>
      <c r="AK425" s="10">
        <v>0</v>
      </c>
      <c r="AL425" s="11">
        <v>7</v>
      </c>
      <c r="AM425" s="10">
        <v>794203574298</v>
      </c>
      <c r="AN425" s="11">
        <v>30</v>
      </c>
      <c r="AO425" s="10">
        <v>3204871209633</v>
      </c>
      <c r="AP425" s="12">
        <v>48</v>
      </c>
      <c r="AQ425" s="10">
        <v>726953120866</v>
      </c>
      <c r="AR425" s="10">
        <v>34419210247</v>
      </c>
      <c r="AS425" s="10">
        <v>49982915149</v>
      </c>
      <c r="AT425" s="10">
        <v>-15563704902</v>
      </c>
      <c r="AU425" s="11">
        <v>-31.14</v>
      </c>
      <c r="AV425" s="10">
        <v>2019790980554</v>
      </c>
      <c r="AW425" s="10">
        <v>880734078187</v>
      </c>
      <c r="AX425" s="10">
        <v>349032056268</v>
      </c>
      <c r="AY425" s="10">
        <v>291746983946</v>
      </c>
      <c r="AZ425" s="10">
        <v>1074375234971</v>
      </c>
      <c r="BA425" s="10">
        <v>628231600000</v>
      </c>
      <c r="BB425" s="10">
        <v>826263731589</v>
      </c>
      <c r="BC425" s="10">
        <v>2580597172451</v>
      </c>
      <c r="BD425" s="12">
        <v>10720</v>
      </c>
      <c r="BE425" s="10">
        <v>807751894156</v>
      </c>
      <c r="BF425" s="10">
        <v>1074375234971</v>
      </c>
      <c r="BG425" s="10">
        <v>698470043324</v>
      </c>
      <c r="BH425" s="10">
        <v>2277368717218</v>
      </c>
      <c r="BI425" s="10">
        <v>702899880787</v>
      </c>
      <c r="BJ425" s="10">
        <v>0</v>
      </c>
      <c r="BK425" s="10">
        <v>0</v>
      </c>
      <c r="BL425" s="10">
        <v>910701374670</v>
      </c>
      <c r="BM425" s="10">
        <v>0</v>
      </c>
      <c r="BN425" s="10">
        <v>0</v>
      </c>
      <c r="BO425" s="10">
        <v>4180100438</v>
      </c>
    </row>
    <row r="426" spans="1:67" x14ac:dyDescent="0.25">
      <c r="A426" s="25" t="s">
        <v>460</v>
      </c>
      <c r="B426" s="26">
        <v>3811</v>
      </c>
      <c r="C426" s="26" t="s">
        <v>470</v>
      </c>
      <c r="D426" s="27">
        <v>293392604281</v>
      </c>
      <c r="E426" s="27">
        <v>545896576</v>
      </c>
      <c r="F426" s="27">
        <v>0</v>
      </c>
      <c r="G426" s="27">
        <v>0</v>
      </c>
      <c r="H426" s="27">
        <v>293938500857</v>
      </c>
      <c r="I426" s="27">
        <v>20526452243</v>
      </c>
      <c r="J426" s="27">
        <v>1538916635</v>
      </c>
      <c r="K426" s="27">
        <v>271873131979</v>
      </c>
      <c r="L426" s="27">
        <v>61788374893</v>
      </c>
      <c r="M426" s="10">
        <v>232150125964</v>
      </c>
      <c r="N426" s="46">
        <v>375.71812880014789</v>
      </c>
      <c r="O426" s="27">
        <v>85130784988</v>
      </c>
      <c r="P426" s="28">
        <v>32.4</v>
      </c>
      <c r="Q426" s="28">
        <v>31.31</v>
      </c>
      <c r="R426" s="28">
        <v>0.49</v>
      </c>
      <c r="S426" s="27">
        <v>85981926530</v>
      </c>
      <c r="T426" s="27">
        <v>470164485</v>
      </c>
      <c r="U426" s="27">
        <v>470164485</v>
      </c>
      <c r="V426" s="27">
        <v>0</v>
      </c>
      <c r="W426" s="27">
        <v>0</v>
      </c>
      <c r="X426" s="27">
        <v>86452091015</v>
      </c>
      <c r="Y426" s="10">
        <v>0</v>
      </c>
      <c r="Z426" s="27">
        <v>6279014935</v>
      </c>
      <c r="AA426" s="27">
        <v>2500000000</v>
      </c>
      <c r="AB426" s="27">
        <v>95231105950</v>
      </c>
      <c r="AC426" s="27">
        <v>12111076485</v>
      </c>
      <c r="AD426" s="46">
        <v>613.82664556758436</v>
      </c>
      <c r="AE426" s="27">
        <v>73700000000</v>
      </c>
      <c r="AF426" s="27">
        <v>73700000000</v>
      </c>
      <c r="AG426" s="27">
        <v>0</v>
      </c>
      <c r="AH426" s="27">
        <v>0</v>
      </c>
      <c r="AI426" s="27">
        <v>0</v>
      </c>
      <c r="AJ426" s="27">
        <v>0</v>
      </c>
      <c r="AK426" s="27">
        <v>0</v>
      </c>
      <c r="AL426" s="28">
        <v>0</v>
      </c>
      <c r="AM426" s="27">
        <v>0</v>
      </c>
      <c r="AN426" s="28">
        <v>2</v>
      </c>
      <c r="AO426" s="27">
        <v>18708000000</v>
      </c>
      <c r="AP426" s="12">
        <v>0</v>
      </c>
      <c r="AQ426" s="10">
        <v>0</v>
      </c>
      <c r="AR426" s="27">
        <v>470164485</v>
      </c>
      <c r="AS426" s="27">
        <v>0</v>
      </c>
      <c r="AT426" s="27">
        <v>470164485</v>
      </c>
      <c r="AU426" s="28" t="s">
        <v>593</v>
      </c>
      <c r="AV426" s="27">
        <v>3848407128</v>
      </c>
      <c r="AW426" s="27">
        <v>19480000</v>
      </c>
      <c r="AX426" s="27">
        <v>39580609307</v>
      </c>
      <c r="AY426" s="27">
        <v>34652180214</v>
      </c>
      <c r="AZ426" s="27">
        <v>74256814760</v>
      </c>
      <c r="BA426" s="27">
        <v>144903000000</v>
      </c>
      <c r="BB426" s="27">
        <v>70044809663</v>
      </c>
      <c r="BC426" s="27">
        <v>293938500857</v>
      </c>
      <c r="BD426" s="29">
        <v>0</v>
      </c>
      <c r="BE426" s="27">
        <v>74778686097</v>
      </c>
      <c r="BF426" s="27">
        <v>74256814760</v>
      </c>
      <c r="BG426" s="27">
        <v>144903000000</v>
      </c>
      <c r="BH426" s="27">
        <v>62200000000</v>
      </c>
      <c r="BI426" s="27">
        <v>11500000000</v>
      </c>
      <c r="BJ426" s="27">
        <v>0</v>
      </c>
      <c r="BK426" s="27">
        <v>0</v>
      </c>
      <c r="BL426" s="27">
        <v>0</v>
      </c>
      <c r="BM426" s="27">
        <v>0</v>
      </c>
      <c r="BN426" s="27">
        <v>0</v>
      </c>
      <c r="BO426" s="27">
        <v>0</v>
      </c>
    </row>
    <row r="427" spans="1:67" x14ac:dyDescent="0.25">
      <c r="A427" s="25" t="s">
        <v>460</v>
      </c>
      <c r="B427" s="9">
        <v>3812</v>
      </c>
      <c r="C427" s="9" t="s">
        <v>471</v>
      </c>
      <c r="D427" s="10">
        <v>348858908340</v>
      </c>
      <c r="E427" s="10">
        <v>240800063</v>
      </c>
      <c r="F427" s="10">
        <v>0</v>
      </c>
      <c r="G427" s="10">
        <v>0</v>
      </c>
      <c r="H427" s="10">
        <v>349099708403</v>
      </c>
      <c r="I427" s="10">
        <v>23346441435</v>
      </c>
      <c r="J427" s="10">
        <v>1426555811</v>
      </c>
      <c r="K427" s="10">
        <v>324326711157</v>
      </c>
      <c r="L427" s="10">
        <v>287196220841</v>
      </c>
      <c r="M427" s="10">
        <v>61903487562</v>
      </c>
      <c r="N427" s="46">
        <v>21.554422749967706</v>
      </c>
      <c r="O427" s="10">
        <v>313563777174</v>
      </c>
      <c r="P427" s="11">
        <v>107.42</v>
      </c>
      <c r="Q427" s="11">
        <v>96.68</v>
      </c>
      <c r="R427" s="11">
        <v>2.08</v>
      </c>
      <c r="S427" s="10">
        <v>314988522792</v>
      </c>
      <c r="T427" s="10">
        <v>7799615743</v>
      </c>
      <c r="U427" s="10">
        <v>7735198467</v>
      </c>
      <c r="V427" s="10">
        <v>64417276</v>
      </c>
      <c r="W427" s="10">
        <v>0</v>
      </c>
      <c r="X427" s="10">
        <v>322788138535</v>
      </c>
      <c r="Y427" s="10">
        <v>0</v>
      </c>
      <c r="Z427" s="10">
        <v>47817221421</v>
      </c>
      <c r="AA427" s="10">
        <v>4400000000</v>
      </c>
      <c r="AB427" s="10">
        <v>375005359956</v>
      </c>
      <c r="AC427" s="10">
        <v>14511083887</v>
      </c>
      <c r="AD427" s="46">
        <v>2124.4247297348702</v>
      </c>
      <c r="AE427" s="10">
        <v>343651201225</v>
      </c>
      <c r="AF427" s="10">
        <v>332519061280</v>
      </c>
      <c r="AG427" s="10">
        <v>0</v>
      </c>
      <c r="AH427" s="10">
        <v>0</v>
      </c>
      <c r="AI427" s="10">
        <v>0</v>
      </c>
      <c r="AJ427" s="10">
        <v>0</v>
      </c>
      <c r="AK427" s="10">
        <v>0</v>
      </c>
      <c r="AL427" s="11">
        <v>0</v>
      </c>
      <c r="AM427" s="10">
        <v>0</v>
      </c>
      <c r="AN427" s="11">
        <v>1</v>
      </c>
      <c r="AO427" s="10">
        <v>760000000</v>
      </c>
      <c r="AP427" s="12">
        <v>0</v>
      </c>
      <c r="AQ427" s="10">
        <v>0</v>
      </c>
      <c r="AR427" s="10">
        <v>7799615743</v>
      </c>
      <c r="AS427" s="10">
        <v>0</v>
      </c>
      <c r="AT427" s="10">
        <v>7799615743</v>
      </c>
      <c r="AU427" s="11" t="s">
        <v>593</v>
      </c>
      <c r="AV427" s="10">
        <v>22762320102</v>
      </c>
      <c r="AW427" s="10">
        <v>4516370427</v>
      </c>
      <c r="AX427" s="10">
        <v>44448689700</v>
      </c>
      <c r="AY427" s="10">
        <v>98878452432</v>
      </c>
      <c r="AZ427" s="10">
        <v>129682766208</v>
      </c>
      <c r="BA427" s="10">
        <v>75849000000</v>
      </c>
      <c r="BB427" s="10">
        <v>78087019351</v>
      </c>
      <c r="BC427" s="10">
        <v>349099708403</v>
      </c>
      <c r="BD427" s="12">
        <v>0</v>
      </c>
      <c r="BE427" s="10">
        <v>143567942195</v>
      </c>
      <c r="BF427" s="10">
        <v>129682766208</v>
      </c>
      <c r="BG427" s="10">
        <v>75849000000</v>
      </c>
      <c r="BH427" s="10">
        <v>324951201225</v>
      </c>
      <c r="BI427" s="10">
        <v>18700000000</v>
      </c>
      <c r="BJ427" s="10">
        <v>0</v>
      </c>
      <c r="BK427" s="10">
        <v>0</v>
      </c>
      <c r="BL427" s="10">
        <v>0</v>
      </c>
      <c r="BM427" s="10">
        <v>0</v>
      </c>
      <c r="BN427" s="10">
        <v>0</v>
      </c>
      <c r="BO427" s="10">
        <v>0</v>
      </c>
    </row>
    <row r="428" spans="1:67" x14ac:dyDescent="0.25">
      <c r="A428" s="25" t="s">
        <v>460</v>
      </c>
      <c r="B428" s="9">
        <v>3899</v>
      </c>
      <c r="C428" s="9" t="s">
        <v>472</v>
      </c>
      <c r="D428" s="10">
        <v>0</v>
      </c>
      <c r="E428" s="10">
        <v>9041763737</v>
      </c>
      <c r="F428" s="10">
        <v>0</v>
      </c>
      <c r="G428" s="10">
        <v>0</v>
      </c>
      <c r="H428" s="10">
        <v>9041763737</v>
      </c>
      <c r="I428" s="10">
        <v>347810542</v>
      </c>
      <c r="J428" s="10">
        <v>1910000</v>
      </c>
      <c r="K428" s="10">
        <v>8692043195</v>
      </c>
      <c r="L428" s="10">
        <v>8263942408</v>
      </c>
      <c r="M428" s="10">
        <v>777821329</v>
      </c>
      <c r="N428" s="46">
        <v>9.412230756194786</v>
      </c>
      <c r="O428" s="10">
        <v>0</v>
      </c>
      <c r="P428" s="11">
        <v>0</v>
      </c>
      <c r="Q428" s="11">
        <v>0</v>
      </c>
      <c r="R428" s="11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46" t="s">
        <v>595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1">
        <v>0</v>
      </c>
      <c r="AM428" s="10">
        <v>0</v>
      </c>
      <c r="AN428" s="11">
        <v>0</v>
      </c>
      <c r="AO428" s="10">
        <v>0</v>
      </c>
      <c r="AP428" s="12">
        <v>0</v>
      </c>
      <c r="AQ428" s="10">
        <v>0</v>
      </c>
      <c r="AR428" s="10">
        <v>0</v>
      </c>
      <c r="AS428" s="10">
        <v>0</v>
      </c>
      <c r="AT428" s="10">
        <v>0</v>
      </c>
      <c r="AU428" s="11" t="s">
        <v>593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9041763737</v>
      </c>
      <c r="BD428" s="12">
        <v>0</v>
      </c>
      <c r="BE428" s="10">
        <v>9041763737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</row>
    <row r="429" spans="1:67" x14ac:dyDescent="0.25">
      <c r="A429" s="19" t="s">
        <v>602</v>
      </c>
      <c r="B429" s="20" t="s">
        <v>593</v>
      </c>
      <c r="C429" s="20" t="s">
        <v>593</v>
      </c>
      <c r="D429" s="21">
        <v>13074532163955</v>
      </c>
      <c r="E429" s="21">
        <v>722091156198</v>
      </c>
      <c r="F429" s="21">
        <v>23785000000</v>
      </c>
      <c r="G429" s="21">
        <v>1138540800</v>
      </c>
      <c r="H429" s="21">
        <v>13821546860953</v>
      </c>
      <c r="I429" s="21">
        <v>910036664556</v>
      </c>
      <c r="J429" s="21">
        <v>88937769354</v>
      </c>
      <c r="K429" s="21">
        <v>12822572427043</v>
      </c>
      <c r="L429" s="21">
        <v>9890540051659</v>
      </c>
      <c r="M429" s="21">
        <v>3931006809294</v>
      </c>
      <c r="N429" s="47">
        <v>39.745117948687025</v>
      </c>
      <c r="O429" s="21">
        <v>24582741242677</v>
      </c>
      <c r="P429" s="22">
        <v>210.77</v>
      </c>
      <c r="Q429" s="22">
        <v>191.71</v>
      </c>
      <c r="R429" s="22">
        <v>2.1</v>
      </c>
      <c r="S429" s="21">
        <v>25944761078252</v>
      </c>
      <c r="T429" s="21">
        <v>575623737546</v>
      </c>
      <c r="U429" s="21">
        <v>286642884909</v>
      </c>
      <c r="V429" s="21">
        <v>194776058911</v>
      </c>
      <c r="W429" s="21">
        <v>94204793726</v>
      </c>
      <c r="X429" s="21">
        <v>26520384815798</v>
      </c>
      <c r="Y429" s="21">
        <v>37544048369</v>
      </c>
      <c r="Z429" s="21">
        <v>2401767176943</v>
      </c>
      <c r="AA429" s="21">
        <v>210167455431</v>
      </c>
      <c r="AB429" s="21">
        <v>29132319448172</v>
      </c>
      <c r="AC429" s="21">
        <v>19208040624839</v>
      </c>
      <c r="AD429" s="47">
        <v>38.069183285165458</v>
      </c>
      <c r="AE429" s="21">
        <v>23111194277660</v>
      </c>
      <c r="AF429" s="21">
        <v>21383017161253</v>
      </c>
      <c r="AG429" s="21">
        <v>6417612006584</v>
      </c>
      <c r="AH429" s="21">
        <v>35031901646</v>
      </c>
      <c r="AI429" s="21">
        <v>0</v>
      </c>
      <c r="AJ429" s="21">
        <v>0</v>
      </c>
      <c r="AK429" s="21">
        <v>0</v>
      </c>
      <c r="AL429" s="22">
        <v>67</v>
      </c>
      <c r="AM429" s="21">
        <v>6662866432792</v>
      </c>
      <c r="AN429" s="22">
        <v>231</v>
      </c>
      <c r="AO429" s="21">
        <v>9114698499772</v>
      </c>
      <c r="AP429" s="23">
        <v>194</v>
      </c>
      <c r="AQ429" s="21">
        <v>2876847325285</v>
      </c>
      <c r="AR429" s="21">
        <v>575623737546</v>
      </c>
      <c r="AS429" s="21">
        <v>679151840359</v>
      </c>
      <c r="AT429" s="21">
        <v>-103528102813</v>
      </c>
      <c r="AU429" s="24">
        <v>-15.24</v>
      </c>
      <c r="AV429" s="21">
        <v>17334529635727</v>
      </c>
      <c r="AW429" s="21">
        <v>4789440408010</v>
      </c>
      <c r="AX429" s="21">
        <v>4197052769651</v>
      </c>
      <c r="AY429" s="21">
        <v>1861491622995</v>
      </c>
      <c r="AZ429" s="21">
        <v>3309169247609</v>
      </c>
      <c r="BA429" s="21">
        <v>3706818523700</v>
      </c>
      <c r="BB429" s="21">
        <v>2445784663200</v>
      </c>
      <c r="BC429" s="21">
        <v>13821546860953</v>
      </c>
      <c r="BD429" s="23">
        <v>615187</v>
      </c>
      <c r="BE429" s="21">
        <v>6603230830212</v>
      </c>
      <c r="BF429" s="21">
        <v>3332954247609</v>
      </c>
      <c r="BG429" s="21">
        <v>3885361783132</v>
      </c>
      <c r="BH429" s="21">
        <v>21033995614736</v>
      </c>
      <c r="BI429" s="21">
        <v>2077198662924</v>
      </c>
      <c r="BJ429" s="21">
        <v>107179522712</v>
      </c>
      <c r="BK429" s="21">
        <v>84268555303</v>
      </c>
      <c r="BL429" s="21">
        <v>8081771034742</v>
      </c>
      <c r="BM429" s="21">
        <v>13312033556</v>
      </c>
      <c r="BN429" s="21">
        <v>0</v>
      </c>
      <c r="BO429" s="21">
        <v>37346359470</v>
      </c>
    </row>
    <row r="430" spans="1:67" x14ac:dyDescent="0.25">
      <c r="A430" s="25" t="s">
        <v>473</v>
      </c>
      <c r="B430" s="9">
        <v>1800</v>
      </c>
      <c r="C430" s="9" t="s">
        <v>474</v>
      </c>
      <c r="D430" s="10">
        <v>1638989566981</v>
      </c>
      <c r="E430" s="10">
        <v>186724121661</v>
      </c>
      <c r="F430" s="10">
        <v>81858000000</v>
      </c>
      <c r="G430" s="10">
        <v>411636600</v>
      </c>
      <c r="H430" s="10">
        <v>1907983325242</v>
      </c>
      <c r="I430" s="10">
        <v>135404098358</v>
      </c>
      <c r="J430" s="10">
        <v>17962718279</v>
      </c>
      <c r="K430" s="10">
        <v>1754616508605</v>
      </c>
      <c r="L430" s="10">
        <v>1688329992136</v>
      </c>
      <c r="M430" s="10">
        <v>219653333106</v>
      </c>
      <c r="N430" s="46">
        <v>13.010094835080455</v>
      </c>
      <c r="O430" s="10">
        <v>3444697705181</v>
      </c>
      <c r="P430" s="11">
        <v>248.41</v>
      </c>
      <c r="Q430" s="11">
        <v>196.32</v>
      </c>
      <c r="R430" s="11">
        <v>4.25</v>
      </c>
      <c r="S430" s="10">
        <v>4244342533929</v>
      </c>
      <c r="T430" s="10">
        <v>200182985711</v>
      </c>
      <c r="U430" s="10">
        <v>40297818269</v>
      </c>
      <c r="V430" s="10">
        <v>7363140190</v>
      </c>
      <c r="W430" s="10">
        <v>152522027252</v>
      </c>
      <c r="X430" s="10">
        <v>4444525519640</v>
      </c>
      <c r="Y430" s="10">
        <v>1345007010</v>
      </c>
      <c r="Z430" s="10">
        <v>234207825943</v>
      </c>
      <c r="AA430" s="10">
        <v>60901659432</v>
      </c>
      <c r="AB430" s="10">
        <v>4739635005015</v>
      </c>
      <c r="AC430" s="10">
        <v>3693549501226</v>
      </c>
      <c r="AD430" s="46">
        <v>20.332095675575175</v>
      </c>
      <c r="AE430" s="10">
        <v>1996180161526</v>
      </c>
      <c r="AF430" s="10">
        <v>1954351938750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1">
        <v>0</v>
      </c>
      <c r="AM430" s="10">
        <v>0</v>
      </c>
      <c r="AN430" s="11">
        <v>39</v>
      </c>
      <c r="AO430" s="10">
        <v>309275798304</v>
      </c>
      <c r="AP430" s="12">
        <v>39</v>
      </c>
      <c r="AQ430" s="10">
        <v>49956489673</v>
      </c>
      <c r="AR430" s="10">
        <v>200182985711</v>
      </c>
      <c r="AS430" s="10">
        <v>83940156339</v>
      </c>
      <c r="AT430" s="10">
        <v>116242829372</v>
      </c>
      <c r="AU430" s="11">
        <v>138.47999999999999</v>
      </c>
      <c r="AV430" s="10">
        <v>1421358637953</v>
      </c>
      <c r="AW430" s="10">
        <v>220254187520</v>
      </c>
      <c r="AX430" s="10">
        <v>298694433739</v>
      </c>
      <c r="AY430" s="10">
        <v>382977668209</v>
      </c>
      <c r="AZ430" s="10">
        <v>324821365033</v>
      </c>
      <c r="BA430" s="10">
        <v>632496100000</v>
      </c>
      <c r="BB430" s="10">
        <v>220142895237</v>
      </c>
      <c r="BC430" s="10">
        <v>1907983325242</v>
      </c>
      <c r="BD430" s="12">
        <v>81253</v>
      </c>
      <c r="BE430" s="10">
        <v>736649034149</v>
      </c>
      <c r="BF430" s="10">
        <v>406669365033</v>
      </c>
      <c r="BG430" s="10">
        <v>764664926060</v>
      </c>
      <c r="BH430" s="10">
        <v>1112744737124</v>
      </c>
      <c r="BI430" s="10">
        <v>883435424402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</row>
    <row r="431" spans="1:67" x14ac:dyDescent="0.25">
      <c r="A431" s="25" t="s">
        <v>473</v>
      </c>
      <c r="B431" s="9">
        <v>1801</v>
      </c>
      <c r="C431" s="9" t="s">
        <v>475</v>
      </c>
      <c r="D431" s="10">
        <v>662670661536</v>
      </c>
      <c r="E431" s="10">
        <v>71271216139</v>
      </c>
      <c r="F431" s="10">
        <v>0</v>
      </c>
      <c r="G431" s="10">
        <v>0</v>
      </c>
      <c r="H431" s="10">
        <v>733941877675</v>
      </c>
      <c r="I431" s="10">
        <v>63397065712</v>
      </c>
      <c r="J431" s="10">
        <v>317371809</v>
      </c>
      <c r="K431" s="10">
        <v>670227440154</v>
      </c>
      <c r="L431" s="10">
        <v>696044564774</v>
      </c>
      <c r="M431" s="10">
        <v>37897312901</v>
      </c>
      <c r="N431" s="46">
        <v>5.4446676001708241</v>
      </c>
      <c r="O431" s="10">
        <v>1477681990171</v>
      </c>
      <c r="P431" s="11">
        <v>218.07</v>
      </c>
      <c r="Q431" s="11">
        <v>220.47</v>
      </c>
      <c r="R431" s="11">
        <v>4.38</v>
      </c>
      <c r="S431" s="10">
        <v>1385552078384</v>
      </c>
      <c r="T431" s="10">
        <v>66663294126</v>
      </c>
      <c r="U431" s="10">
        <v>29719962357</v>
      </c>
      <c r="V431" s="10">
        <v>36921097357</v>
      </c>
      <c r="W431" s="10">
        <v>22234412</v>
      </c>
      <c r="X431" s="10">
        <v>1452215372510</v>
      </c>
      <c r="Y431" s="10">
        <v>3468424905</v>
      </c>
      <c r="Z431" s="10">
        <v>117593648066</v>
      </c>
      <c r="AA431" s="10">
        <v>30676438227</v>
      </c>
      <c r="AB431" s="10">
        <v>1600485458803</v>
      </c>
      <c r="AC431" s="10">
        <v>1000965338663</v>
      </c>
      <c r="AD431" s="46">
        <v>45.081484484741445</v>
      </c>
      <c r="AE431" s="10">
        <v>1086604715669</v>
      </c>
      <c r="AF431" s="10">
        <v>1076546553478</v>
      </c>
      <c r="AG431" s="10">
        <v>135097792087</v>
      </c>
      <c r="AH431" s="10">
        <v>0</v>
      </c>
      <c r="AI431" s="10">
        <v>33083931858</v>
      </c>
      <c r="AJ431" s="10">
        <v>0</v>
      </c>
      <c r="AK431" s="10">
        <v>0</v>
      </c>
      <c r="AL431" s="11">
        <v>2</v>
      </c>
      <c r="AM431" s="10">
        <v>298943172000</v>
      </c>
      <c r="AN431" s="11">
        <v>97</v>
      </c>
      <c r="AO431" s="10">
        <v>844343810569</v>
      </c>
      <c r="AP431" s="12">
        <v>51</v>
      </c>
      <c r="AQ431" s="10">
        <v>269417579989</v>
      </c>
      <c r="AR431" s="10">
        <v>66663294126</v>
      </c>
      <c r="AS431" s="10">
        <v>48474331911</v>
      </c>
      <c r="AT431" s="10">
        <v>18188962215</v>
      </c>
      <c r="AU431" s="11">
        <v>37.520000000000003</v>
      </c>
      <c r="AV431" s="10">
        <v>603140907286</v>
      </c>
      <c r="AW431" s="10">
        <v>209838688616</v>
      </c>
      <c r="AX431" s="10">
        <v>144256028945</v>
      </c>
      <c r="AY431" s="10">
        <v>91877608780</v>
      </c>
      <c r="AZ431" s="10">
        <v>154462016915</v>
      </c>
      <c r="BA431" s="10">
        <v>272075006896</v>
      </c>
      <c r="BB431" s="10">
        <v>113950084683</v>
      </c>
      <c r="BC431" s="10">
        <v>733941877675</v>
      </c>
      <c r="BD431" s="12">
        <v>7988</v>
      </c>
      <c r="BE431" s="10">
        <v>307404853864</v>
      </c>
      <c r="BF431" s="10">
        <v>154462016915</v>
      </c>
      <c r="BG431" s="10">
        <v>272075006896</v>
      </c>
      <c r="BH431" s="10">
        <v>722562855112</v>
      </c>
      <c r="BI431" s="10">
        <v>364041860557</v>
      </c>
      <c r="BJ431" s="10">
        <v>50556715000</v>
      </c>
      <c r="BK431" s="10">
        <v>0</v>
      </c>
      <c r="BL431" s="10">
        <v>84541077087</v>
      </c>
      <c r="BM431" s="10">
        <v>0</v>
      </c>
      <c r="BN431" s="10">
        <v>0</v>
      </c>
      <c r="BO431" s="10">
        <v>9600000000</v>
      </c>
    </row>
    <row r="432" spans="1:67" x14ac:dyDescent="0.25">
      <c r="A432" s="25" t="s">
        <v>473</v>
      </c>
      <c r="B432" s="9">
        <v>1802</v>
      </c>
      <c r="C432" s="9" t="s">
        <v>476</v>
      </c>
      <c r="D432" s="10">
        <v>1023764890897</v>
      </c>
      <c r="E432" s="10">
        <v>60840751831</v>
      </c>
      <c r="F432" s="10">
        <v>0</v>
      </c>
      <c r="G432" s="10">
        <v>0</v>
      </c>
      <c r="H432" s="10">
        <v>1084605642728</v>
      </c>
      <c r="I432" s="10">
        <v>73409382144</v>
      </c>
      <c r="J432" s="10">
        <v>2266964693</v>
      </c>
      <c r="K432" s="10">
        <v>1008929295891</v>
      </c>
      <c r="L432" s="10">
        <v>906216817345</v>
      </c>
      <c r="M432" s="10">
        <v>178388825383</v>
      </c>
      <c r="N432" s="46">
        <v>19.685004953410253</v>
      </c>
      <c r="O432" s="10">
        <v>2475927743591</v>
      </c>
      <c r="P432" s="11">
        <v>243.98</v>
      </c>
      <c r="Q432" s="11">
        <v>245.4</v>
      </c>
      <c r="R432" s="11">
        <v>8.26</v>
      </c>
      <c r="S432" s="10">
        <v>2223689864263</v>
      </c>
      <c r="T432" s="10">
        <v>216594589784</v>
      </c>
      <c r="U432" s="10">
        <v>41017486535</v>
      </c>
      <c r="V432" s="10">
        <v>168198097651</v>
      </c>
      <c r="W432" s="10">
        <v>7379005598</v>
      </c>
      <c r="X432" s="10">
        <v>2440284454047</v>
      </c>
      <c r="Y432" s="10">
        <v>1900623811</v>
      </c>
      <c r="Z432" s="10">
        <v>164453105606</v>
      </c>
      <c r="AA432" s="10">
        <v>41479618740</v>
      </c>
      <c r="AB432" s="10">
        <v>2646217178393</v>
      </c>
      <c r="AC432" s="10">
        <v>1869973440567</v>
      </c>
      <c r="AD432" s="46">
        <v>30.498348324512797</v>
      </c>
      <c r="AE432" s="10">
        <v>1031743623514</v>
      </c>
      <c r="AF432" s="10">
        <v>1009157623514</v>
      </c>
      <c r="AG432" s="10">
        <v>0</v>
      </c>
      <c r="AH432" s="10">
        <v>5382000000</v>
      </c>
      <c r="AI432" s="10">
        <v>47227055726</v>
      </c>
      <c r="AJ432" s="10">
        <v>0</v>
      </c>
      <c r="AK432" s="10">
        <v>2009139671</v>
      </c>
      <c r="AL432" s="11">
        <v>0</v>
      </c>
      <c r="AM432" s="10">
        <v>0</v>
      </c>
      <c r="AN432" s="11">
        <v>186</v>
      </c>
      <c r="AO432" s="10">
        <v>594365115971</v>
      </c>
      <c r="AP432" s="12">
        <v>114</v>
      </c>
      <c r="AQ432" s="10">
        <v>284354249558</v>
      </c>
      <c r="AR432" s="10">
        <v>216594589784</v>
      </c>
      <c r="AS432" s="10">
        <v>38226015463</v>
      </c>
      <c r="AT432" s="10">
        <v>178368574321</v>
      </c>
      <c r="AU432" s="11">
        <v>466.62</v>
      </c>
      <c r="AV432" s="10">
        <v>436465146844</v>
      </c>
      <c r="AW432" s="10">
        <v>195374183682</v>
      </c>
      <c r="AX432" s="10">
        <v>107896271702</v>
      </c>
      <c r="AY432" s="10">
        <v>395834782382</v>
      </c>
      <c r="AZ432" s="10">
        <v>239740836813</v>
      </c>
      <c r="BA432" s="10">
        <v>280293000000</v>
      </c>
      <c r="BB432" s="10">
        <v>135613494971</v>
      </c>
      <c r="BC432" s="10">
        <v>1084605642728</v>
      </c>
      <c r="BD432" s="12">
        <v>116748</v>
      </c>
      <c r="BE432" s="10">
        <v>564571805915</v>
      </c>
      <c r="BF432" s="10">
        <v>239740836813</v>
      </c>
      <c r="BG432" s="10">
        <v>280293000000</v>
      </c>
      <c r="BH432" s="10">
        <v>931449503514</v>
      </c>
      <c r="BI432" s="10">
        <v>100294120000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5382000000</v>
      </c>
    </row>
    <row r="433" spans="1:67" x14ac:dyDescent="0.25">
      <c r="A433" s="25" t="s">
        <v>473</v>
      </c>
      <c r="B433" s="9">
        <v>1803</v>
      </c>
      <c r="C433" s="9" t="s">
        <v>477</v>
      </c>
      <c r="D433" s="10">
        <v>488796326566</v>
      </c>
      <c r="E433" s="10">
        <v>23483407489</v>
      </c>
      <c r="F433" s="10">
        <v>0</v>
      </c>
      <c r="G433" s="10">
        <v>0</v>
      </c>
      <c r="H433" s="10">
        <v>512279734055</v>
      </c>
      <c r="I433" s="10">
        <v>34499190911</v>
      </c>
      <c r="J433" s="10">
        <v>1031618770</v>
      </c>
      <c r="K433" s="10">
        <v>476748924374</v>
      </c>
      <c r="L433" s="10">
        <v>384797423425</v>
      </c>
      <c r="M433" s="10">
        <v>127482310630</v>
      </c>
      <c r="N433" s="46">
        <v>33.129720437134708</v>
      </c>
      <c r="O433" s="10">
        <v>889173172958</v>
      </c>
      <c r="P433" s="11">
        <v>191.07</v>
      </c>
      <c r="Q433" s="11">
        <v>186.51</v>
      </c>
      <c r="R433" s="11">
        <v>7.31</v>
      </c>
      <c r="S433" s="10">
        <v>806692106721</v>
      </c>
      <c r="T433" s="10">
        <v>69322281369</v>
      </c>
      <c r="U433" s="10">
        <v>54019377582</v>
      </c>
      <c r="V433" s="10">
        <v>7455570532</v>
      </c>
      <c r="W433" s="10">
        <v>7847333255</v>
      </c>
      <c r="X433" s="10">
        <v>876014388090</v>
      </c>
      <c r="Y433" s="10">
        <v>2194128492</v>
      </c>
      <c r="Z433" s="10">
        <v>89524308688</v>
      </c>
      <c r="AA433" s="10">
        <v>13290000000</v>
      </c>
      <c r="AB433" s="10">
        <v>978828696778</v>
      </c>
      <c r="AC433" s="10">
        <v>766229732803</v>
      </c>
      <c r="AD433" s="46">
        <v>14.327903315026536</v>
      </c>
      <c r="AE433" s="10">
        <v>338379920836</v>
      </c>
      <c r="AF433" s="10">
        <v>337719081795</v>
      </c>
      <c r="AG433" s="10">
        <v>0</v>
      </c>
      <c r="AH433" s="10">
        <v>1127250000</v>
      </c>
      <c r="AI433" s="10">
        <v>0</v>
      </c>
      <c r="AJ433" s="10">
        <v>0</v>
      </c>
      <c r="AK433" s="10">
        <v>0</v>
      </c>
      <c r="AL433" s="11">
        <v>0</v>
      </c>
      <c r="AM433" s="10">
        <v>0</v>
      </c>
      <c r="AN433" s="11">
        <v>7</v>
      </c>
      <c r="AO433" s="10">
        <v>140985000000</v>
      </c>
      <c r="AP433" s="12">
        <v>16</v>
      </c>
      <c r="AQ433" s="10">
        <v>35125412000</v>
      </c>
      <c r="AR433" s="10">
        <v>69322281369</v>
      </c>
      <c r="AS433" s="10">
        <v>35303449607</v>
      </c>
      <c r="AT433" s="10">
        <v>34018831762</v>
      </c>
      <c r="AU433" s="11">
        <v>96.36</v>
      </c>
      <c r="AV433" s="10">
        <v>253467591852</v>
      </c>
      <c r="AW433" s="10">
        <v>133534320973</v>
      </c>
      <c r="AX433" s="10">
        <v>94120666966</v>
      </c>
      <c r="AY433" s="10">
        <v>118158152129</v>
      </c>
      <c r="AZ433" s="10">
        <v>117622507471</v>
      </c>
      <c r="BA433" s="10">
        <v>158895000000</v>
      </c>
      <c r="BB433" s="10">
        <v>68881165185</v>
      </c>
      <c r="BC433" s="10">
        <v>512279734055</v>
      </c>
      <c r="BD433" s="12">
        <v>20443</v>
      </c>
      <c r="BE433" s="10">
        <v>235762226584</v>
      </c>
      <c r="BF433" s="10">
        <v>117622507471</v>
      </c>
      <c r="BG433" s="10">
        <v>158895000000</v>
      </c>
      <c r="BH433" s="10">
        <v>199033503559</v>
      </c>
      <c r="BI433" s="10">
        <v>139346417277</v>
      </c>
      <c r="BJ433" s="10">
        <v>0</v>
      </c>
      <c r="BK433" s="10">
        <v>0</v>
      </c>
      <c r="BL433" s="10">
        <v>0</v>
      </c>
      <c r="BM433" s="10">
        <v>0</v>
      </c>
      <c r="BN433" s="10">
        <v>0</v>
      </c>
      <c r="BO433" s="10">
        <v>1127250000</v>
      </c>
    </row>
    <row r="434" spans="1:67" x14ac:dyDescent="0.25">
      <c r="A434" s="25" t="s">
        <v>473</v>
      </c>
      <c r="B434" s="14">
        <v>1804</v>
      </c>
      <c r="C434" s="14" t="s">
        <v>478</v>
      </c>
      <c r="D434" s="15">
        <v>776798492497</v>
      </c>
      <c r="E434" s="15">
        <v>1985270771</v>
      </c>
      <c r="F434" s="15">
        <v>0</v>
      </c>
      <c r="G434" s="15">
        <v>0</v>
      </c>
      <c r="H434" s="15">
        <v>778783763268</v>
      </c>
      <c r="I434" s="15">
        <v>58822493990</v>
      </c>
      <c r="J434" s="15">
        <v>1410192400</v>
      </c>
      <c r="K434" s="15">
        <v>718551076878</v>
      </c>
      <c r="L434" s="15">
        <v>557378474840</v>
      </c>
      <c r="M434" s="15">
        <v>221405288428</v>
      </c>
      <c r="N434" s="48">
        <v>39.722611909538877</v>
      </c>
      <c r="O434" s="15">
        <v>1150762377840</v>
      </c>
      <c r="P434" s="16">
        <v>162.13999999999999</v>
      </c>
      <c r="Q434" s="16">
        <v>160.15</v>
      </c>
      <c r="R434" s="16">
        <v>2.79</v>
      </c>
      <c r="S434" s="15">
        <v>1084812081129</v>
      </c>
      <c r="T434" s="15">
        <v>35078171899</v>
      </c>
      <c r="U434" s="15">
        <v>21736591661</v>
      </c>
      <c r="V434" s="15">
        <v>12615442283</v>
      </c>
      <c r="W434" s="15">
        <v>726137955</v>
      </c>
      <c r="X434" s="15">
        <v>1119890253028</v>
      </c>
      <c r="Y434" s="10">
        <v>102053440</v>
      </c>
      <c r="Z434" s="15">
        <v>89047787061</v>
      </c>
      <c r="AA434" s="15">
        <v>53817861606</v>
      </c>
      <c r="AB434" s="15">
        <v>1262755901695</v>
      </c>
      <c r="AC434" s="15">
        <v>780737819204</v>
      </c>
      <c r="AD434" s="46">
        <v>43.439990414423924</v>
      </c>
      <c r="AE434" s="15">
        <v>601120151445</v>
      </c>
      <c r="AF434" s="15">
        <v>585267389121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6">
        <v>0</v>
      </c>
      <c r="AM434" s="15">
        <v>0</v>
      </c>
      <c r="AN434" s="16">
        <v>6</v>
      </c>
      <c r="AO434" s="15">
        <v>19206000000</v>
      </c>
      <c r="AP434" s="12">
        <v>13</v>
      </c>
      <c r="AQ434" s="10">
        <v>8762600000</v>
      </c>
      <c r="AR434" s="15">
        <v>35078171899</v>
      </c>
      <c r="AS434" s="15">
        <v>17928464683</v>
      </c>
      <c r="AT434" s="15">
        <v>17149707216</v>
      </c>
      <c r="AU434" s="16">
        <v>95.66</v>
      </c>
      <c r="AV434" s="15">
        <v>247565967184</v>
      </c>
      <c r="AW434" s="15">
        <v>95615814975</v>
      </c>
      <c r="AX434" s="15">
        <v>83243448994</v>
      </c>
      <c r="AY434" s="15">
        <v>216618156650</v>
      </c>
      <c r="AZ434" s="15">
        <v>177191886853</v>
      </c>
      <c r="BA434" s="15">
        <v>299745000000</v>
      </c>
      <c r="BB434" s="15">
        <v>115140434445</v>
      </c>
      <c r="BC434" s="15">
        <v>778783763268</v>
      </c>
      <c r="BD434" s="17">
        <v>16844</v>
      </c>
      <c r="BE434" s="15">
        <v>301846876415</v>
      </c>
      <c r="BF434" s="15">
        <v>177191886853</v>
      </c>
      <c r="BG434" s="15">
        <v>299745000000</v>
      </c>
      <c r="BH434" s="15">
        <v>515173677198</v>
      </c>
      <c r="BI434" s="15">
        <v>85946474247</v>
      </c>
      <c r="BJ434" s="15">
        <v>0</v>
      </c>
      <c r="BK434" s="15">
        <v>0</v>
      </c>
      <c r="BL434" s="15">
        <v>0</v>
      </c>
      <c r="BM434" s="15">
        <v>0</v>
      </c>
      <c r="BN434" s="15">
        <v>0</v>
      </c>
      <c r="BO434" s="15">
        <v>0</v>
      </c>
    </row>
    <row r="435" spans="1:67" x14ac:dyDescent="0.25">
      <c r="A435" s="25" t="s">
        <v>473</v>
      </c>
      <c r="B435" s="9">
        <v>1805</v>
      </c>
      <c r="C435" s="9" t="s">
        <v>479</v>
      </c>
      <c r="D435" s="10">
        <v>1029384855491</v>
      </c>
      <c r="E435" s="10">
        <v>52007860733</v>
      </c>
      <c r="F435" s="10">
        <v>0</v>
      </c>
      <c r="G435" s="10">
        <v>0</v>
      </c>
      <c r="H435" s="10">
        <v>1081392716224</v>
      </c>
      <c r="I435" s="10">
        <v>89217819080</v>
      </c>
      <c r="J435" s="10">
        <v>1220834335</v>
      </c>
      <c r="K435" s="10">
        <v>990954062809</v>
      </c>
      <c r="L435" s="10">
        <v>1067297770572</v>
      </c>
      <c r="M435" s="10">
        <v>14094945652</v>
      </c>
      <c r="N435" s="46">
        <v>1.3206197970830629</v>
      </c>
      <c r="O435" s="10">
        <v>1322809917811</v>
      </c>
      <c r="P435" s="11">
        <v>138.26</v>
      </c>
      <c r="Q435" s="11">
        <v>133.49</v>
      </c>
      <c r="R435" s="11">
        <v>10.58</v>
      </c>
      <c r="S435" s="10">
        <v>1187267599471</v>
      </c>
      <c r="T435" s="10">
        <v>157867861525</v>
      </c>
      <c r="U435" s="10">
        <v>66136946591</v>
      </c>
      <c r="V435" s="10">
        <v>90759077199</v>
      </c>
      <c r="W435" s="10">
        <v>971837735</v>
      </c>
      <c r="X435" s="10">
        <v>1345135460996</v>
      </c>
      <c r="Y435" s="10">
        <v>242952592</v>
      </c>
      <c r="Z435" s="10">
        <v>124270070927</v>
      </c>
      <c r="AA435" s="10">
        <v>25728888000</v>
      </c>
      <c r="AB435" s="10">
        <v>1495134419923</v>
      </c>
      <c r="AC435" s="10">
        <v>965794711155</v>
      </c>
      <c r="AD435" s="46">
        <v>39.277575809805789</v>
      </c>
      <c r="AE435" s="10">
        <v>1085756007265</v>
      </c>
      <c r="AF435" s="10">
        <v>1041068809540</v>
      </c>
      <c r="AG435" s="10">
        <v>398730561338</v>
      </c>
      <c r="AH435" s="10">
        <v>3232556888</v>
      </c>
      <c r="AI435" s="10">
        <v>0</v>
      </c>
      <c r="AJ435" s="10">
        <v>0</v>
      </c>
      <c r="AK435" s="10">
        <v>0</v>
      </c>
      <c r="AL435" s="11">
        <v>8</v>
      </c>
      <c r="AM435" s="10">
        <v>584070583930</v>
      </c>
      <c r="AN435" s="11">
        <v>25</v>
      </c>
      <c r="AO435" s="10">
        <v>422118097886</v>
      </c>
      <c r="AP435" s="12">
        <v>44</v>
      </c>
      <c r="AQ435" s="10">
        <v>201894329624</v>
      </c>
      <c r="AR435" s="10">
        <v>157867861525</v>
      </c>
      <c r="AS435" s="10">
        <v>55141897655</v>
      </c>
      <c r="AT435" s="10">
        <v>102725963870</v>
      </c>
      <c r="AU435" s="11">
        <v>186.29</v>
      </c>
      <c r="AV435" s="10">
        <v>704306426762</v>
      </c>
      <c r="AW435" s="10">
        <v>98005339515</v>
      </c>
      <c r="AX435" s="10">
        <v>100839140151</v>
      </c>
      <c r="AY435" s="10">
        <v>102621663466</v>
      </c>
      <c r="AZ435" s="10">
        <v>247286751874</v>
      </c>
      <c r="BA435" s="10">
        <v>578637300000</v>
      </c>
      <c r="BB435" s="10">
        <v>182403569063</v>
      </c>
      <c r="BC435" s="10">
        <v>1081392716224</v>
      </c>
      <c r="BD435" s="12">
        <v>26663</v>
      </c>
      <c r="BE435" s="10">
        <v>255414644100</v>
      </c>
      <c r="BF435" s="10">
        <v>247286751874</v>
      </c>
      <c r="BG435" s="10">
        <v>578691320250</v>
      </c>
      <c r="BH435" s="10">
        <v>526509032125</v>
      </c>
      <c r="BI435" s="10">
        <v>559246975140</v>
      </c>
      <c r="BJ435" s="10">
        <v>0</v>
      </c>
      <c r="BK435" s="10">
        <v>0</v>
      </c>
      <c r="BL435" s="10">
        <v>407688316708</v>
      </c>
      <c r="BM435" s="10">
        <v>0</v>
      </c>
      <c r="BN435" s="10">
        <v>0</v>
      </c>
      <c r="BO435" s="10">
        <v>3232556888</v>
      </c>
    </row>
    <row r="436" spans="1:67" x14ac:dyDescent="0.25">
      <c r="A436" s="25" t="s">
        <v>473</v>
      </c>
      <c r="B436" s="26">
        <v>1806</v>
      </c>
      <c r="C436" s="26" t="s">
        <v>480</v>
      </c>
      <c r="D436" s="27">
        <v>609156052815</v>
      </c>
      <c r="E436" s="27">
        <v>13493888956</v>
      </c>
      <c r="F436" s="27">
        <v>0</v>
      </c>
      <c r="G436" s="27">
        <v>0</v>
      </c>
      <c r="H436" s="27">
        <v>622649941771</v>
      </c>
      <c r="I436" s="27">
        <v>46730930040</v>
      </c>
      <c r="J436" s="27">
        <v>1423993769</v>
      </c>
      <c r="K436" s="27">
        <v>574495017962</v>
      </c>
      <c r="L436" s="27">
        <v>520870792420</v>
      </c>
      <c r="M436" s="10">
        <v>101779149351</v>
      </c>
      <c r="N436" s="46">
        <v>19.54019131656958</v>
      </c>
      <c r="O436" s="27">
        <v>524154562889</v>
      </c>
      <c r="P436" s="28">
        <v>95.2</v>
      </c>
      <c r="Q436" s="28">
        <v>91.24</v>
      </c>
      <c r="R436" s="28">
        <v>1.61</v>
      </c>
      <c r="S436" s="27">
        <v>491646845522</v>
      </c>
      <c r="T436" s="27">
        <v>9570473971</v>
      </c>
      <c r="U436" s="27">
        <v>9570473971</v>
      </c>
      <c r="V436" s="27">
        <v>0</v>
      </c>
      <c r="W436" s="27">
        <v>0</v>
      </c>
      <c r="X436" s="27">
        <v>501217319493</v>
      </c>
      <c r="Y436" s="10">
        <v>0</v>
      </c>
      <c r="Z436" s="27">
        <v>64173481268</v>
      </c>
      <c r="AA436" s="27">
        <v>27373905000</v>
      </c>
      <c r="AB436" s="27">
        <v>592764705761</v>
      </c>
      <c r="AC436" s="27">
        <v>333285232318</v>
      </c>
      <c r="AD436" s="46">
        <v>50.386897135235095</v>
      </c>
      <c r="AE436" s="27">
        <v>343509839275</v>
      </c>
      <c r="AF436" s="27">
        <v>343509839275</v>
      </c>
      <c r="AG436" s="27">
        <v>0</v>
      </c>
      <c r="AH436" s="27">
        <v>900000000</v>
      </c>
      <c r="AI436" s="27">
        <v>0</v>
      </c>
      <c r="AJ436" s="27">
        <v>0</v>
      </c>
      <c r="AK436" s="27">
        <v>0</v>
      </c>
      <c r="AL436" s="28">
        <v>0</v>
      </c>
      <c r="AM436" s="27">
        <v>0</v>
      </c>
      <c r="AN436" s="28">
        <v>21</v>
      </c>
      <c r="AO436" s="27">
        <v>111058756043</v>
      </c>
      <c r="AP436" s="12">
        <v>23</v>
      </c>
      <c r="AQ436" s="10">
        <v>102320930648</v>
      </c>
      <c r="AR436" s="27">
        <v>9570473971</v>
      </c>
      <c r="AS436" s="27">
        <v>15985344277</v>
      </c>
      <c r="AT436" s="27">
        <v>-6414870306</v>
      </c>
      <c r="AU436" s="28">
        <v>-40.130000000000003</v>
      </c>
      <c r="AV436" s="27">
        <v>168243772238</v>
      </c>
      <c r="AW436" s="27">
        <v>65492890057</v>
      </c>
      <c r="AX436" s="27">
        <v>59733038557</v>
      </c>
      <c r="AY436" s="27">
        <v>124917330932</v>
      </c>
      <c r="AZ436" s="27">
        <v>73773683326</v>
      </c>
      <c r="BA436" s="27">
        <v>350732000000</v>
      </c>
      <c r="BB436" s="27">
        <v>48887110841</v>
      </c>
      <c r="BC436" s="27">
        <v>622649941771</v>
      </c>
      <c r="BD436" s="29">
        <v>25020</v>
      </c>
      <c r="BE436" s="27">
        <v>198144258445</v>
      </c>
      <c r="BF436" s="27">
        <v>73773683326</v>
      </c>
      <c r="BG436" s="27">
        <v>350732000000</v>
      </c>
      <c r="BH436" s="27">
        <v>271117327964</v>
      </c>
      <c r="BI436" s="27">
        <v>72392511311</v>
      </c>
      <c r="BJ436" s="27">
        <v>0</v>
      </c>
      <c r="BK436" s="27">
        <v>0</v>
      </c>
      <c r="BL436" s="27">
        <v>0</v>
      </c>
      <c r="BM436" s="27">
        <v>0</v>
      </c>
      <c r="BN436" s="27">
        <v>0</v>
      </c>
      <c r="BO436" s="27">
        <v>900000000</v>
      </c>
    </row>
    <row r="437" spans="1:67" x14ac:dyDescent="0.25">
      <c r="A437" s="25" t="s">
        <v>473</v>
      </c>
      <c r="B437" s="9">
        <v>1807</v>
      </c>
      <c r="C437" s="9" t="s">
        <v>481</v>
      </c>
      <c r="D437" s="10">
        <v>910133162241</v>
      </c>
      <c r="E437" s="10">
        <v>2687199873</v>
      </c>
      <c r="F437" s="10">
        <v>0</v>
      </c>
      <c r="G437" s="10">
        <v>0</v>
      </c>
      <c r="H437" s="10">
        <v>912820362114</v>
      </c>
      <c r="I437" s="10">
        <v>69417825431</v>
      </c>
      <c r="J437" s="10">
        <v>697923187</v>
      </c>
      <c r="K437" s="10">
        <v>842704613496</v>
      </c>
      <c r="L437" s="10">
        <v>376479724271</v>
      </c>
      <c r="M437" s="10">
        <v>536340637843</v>
      </c>
      <c r="N437" s="46">
        <v>142.46202471635044</v>
      </c>
      <c r="O437" s="10">
        <v>926085083872</v>
      </c>
      <c r="P437" s="11">
        <v>115.87</v>
      </c>
      <c r="Q437" s="11">
        <v>109.89</v>
      </c>
      <c r="R437" s="11">
        <v>0</v>
      </c>
      <c r="S437" s="10">
        <v>890453675594</v>
      </c>
      <c r="T437" s="10">
        <v>0</v>
      </c>
      <c r="U437" s="10">
        <v>0</v>
      </c>
      <c r="V437" s="10">
        <v>0</v>
      </c>
      <c r="W437" s="10">
        <v>0</v>
      </c>
      <c r="X437" s="10">
        <v>890453675594</v>
      </c>
      <c r="Y437" s="10">
        <v>0</v>
      </c>
      <c r="Z437" s="10">
        <v>108260779672</v>
      </c>
      <c r="AA437" s="10">
        <v>59012390000</v>
      </c>
      <c r="AB437" s="10">
        <v>1057726845266</v>
      </c>
      <c r="AC437" s="10">
        <v>83983617627</v>
      </c>
      <c r="AD437" s="46">
        <v>960.27068225235257</v>
      </c>
      <c r="AE437" s="10">
        <v>1008130139861</v>
      </c>
      <c r="AF437" s="10">
        <v>1006200139861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1">
        <v>0</v>
      </c>
      <c r="AM437" s="10">
        <v>0</v>
      </c>
      <c r="AN437" s="11">
        <v>21</v>
      </c>
      <c r="AO437" s="10">
        <v>56391340000</v>
      </c>
      <c r="AP437" s="12">
        <v>1</v>
      </c>
      <c r="AQ437" s="10">
        <v>200000000</v>
      </c>
      <c r="AR437" s="10">
        <v>0</v>
      </c>
      <c r="AS437" s="10">
        <v>0</v>
      </c>
      <c r="AT437" s="10">
        <v>0</v>
      </c>
      <c r="AU437" s="11" t="s">
        <v>593</v>
      </c>
      <c r="AV437" s="10">
        <v>192492449057</v>
      </c>
      <c r="AW437" s="10">
        <v>53425148152</v>
      </c>
      <c r="AX437" s="10">
        <v>47600248702</v>
      </c>
      <c r="AY437" s="10">
        <v>127684365679</v>
      </c>
      <c r="AZ437" s="10">
        <v>358315547860</v>
      </c>
      <c r="BA437" s="10">
        <v>376533000000</v>
      </c>
      <c r="BB437" s="10">
        <v>357811608594</v>
      </c>
      <c r="BC437" s="10">
        <v>912820362114</v>
      </c>
      <c r="BD437" s="12">
        <v>11957</v>
      </c>
      <c r="BE437" s="10">
        <v>177971814254</v>
      </c>
      <c r="BF437" s="10">
        <v>358315547860</v>
      </c>
      <c r="BG437" s="10">
        <v>376533000000</v>
      </c>
      <c r="BH437" s="10">
        <v>461074618913</v>
      </c>
      <c r="BI437" s="10">
        <v>547055520948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</row>
    <row r="438" spans="1:67" x14ac:dyDescent="0.25">
      <c r="A438" s="25" t="s">
        <v>473</v>
      </c>
      <c r="B438" s="9">
        <v>1899</v>
      </c>
      <c r="C438" s="9" t="s">
        <v>482</v>
      </c>
      <c r="D438" s="10">
        <v>0</v>
      </c>
      <c r="E438" s="10">
        <v>0</v>
      </c>
      <c r="F438" s="10">
        <v>0</v>
      </c>
      <c r="G438" s="10">
        <v>0</v>
      </c>
      <c r="H438" s="10">
        <v>0</v>
      </c>
      <c r="I438" s="10">
        <v>0</v>
      </c>
      <c r="J438" s="10">
        <v>99850000</v>
      </c>
      <c r="K438" s="10">
        <v>-99850000</v>
      </c>
      <c r="L438" s="10">
        <v>13387800</v>
      </c>
      <c r="M438" s="10">
        <v>-13387800</v>
      </c>
      <c r="N438" s="46">
        <v>-100</v>
      </c>
      <c r="O438" s="10">
        <v>0</v>
      </c>
      <c r="P438" s="11" t="s">
        <v>593</v>
      </c>
      <c r="Q438" s="11">
        <v>0</v>
      </c>
      <c r="R438" s="11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46" t="s">
        <v>595</v>
      </c>
      <c r="AE438" s="10">
        <v>0</v>
      </c>
      <c r="AF438" s="10">
        <v>0</v>
      </c>
      <c r="AG438" s="10">
        <v>0</v>
      </c>
      <c r="AH438" s="10">
        <v>0</v>
      </c>
      <c r="AI438" s="10">
        <v>0</v>
      </c>
      <c r="AJ438" s="10">
        <v>0</v>
      </c>
      <c r="AK438" s="10">
        <v>0</v>
      </c>
      <c r="AL438" s="11">
        <v>0</v>
      </c>
      <c r="AM438" s="10">
        <v>0</v>
      </c>
      <c r="AN438" s="11">
        <v>0</v>
      </c>
      <c r="AO438" s="10">
        <v>0</v>
      </c>
      <c r="AP438" s="12">
        <v>0</v>
      </c>
      <c r="AQ438" s="10">
        <v>0</v>
      </c>
      <c r="AR438" s="10">
        <v>0</v>
      </c>
      <c r="AS438" s="10">
        <v>0</v>
      </c>
      <c r="AT438" s="10">
        <v>0</v>
      </c>
      <c r="AU438" s="11" t="s">
        <v>593</v>
      </c>
      <c r="AV438" s="10">
        <v>0</v>
      </c>
      <c r="AW438" s="10">
        <v>0</v>
      </c>
      <c r="AX438" s="10">
        <v>0</v>
      </c>
      <c r="AY438" s="10">
        <v>0</v>
      </c>
      <c r="AZ438" s="10">
        <v>0</v>
      </c>
      <c r="BA438" s="10">
        <v>0</v>
      </c>
      <c r="BB438" s="10">
        <v>0</v>
      </c>
      <c r="BC438" s="10">
        <v>0</v>
      </c>
      <c r="BD438" s="12">
        <v>663</v>
      </c>
      <c r="BE438" s="10">
        <v>0</v>
      </c>
      <c r="BF438" s="10">
        <v>0</v>
      </c>
      <c r="BG438" s="10">
        <v>0</v>
      </c>
      <c r="BH438" s="10">
        <v>0</v>
      </c>
      <c r="BI438" s="10">
        <v>0</v>
      </c>
      <c r="BJ438" s="10">
        <v>0</v>
      </c>
      <c r="BK438" s="10">
        <v>0</v>
      </c>
      <c r="BL438" s="10">
        <v>0</v>
      </c>
      <c r="BM438" s="10">
        <v>0</v>
      </c>
      <c r="BN438" s="10">
        <v>0</v>
      </c>
      <c r="BO438" s="10">
        <v>0</v>
      </c>
    </row>
    <row r="439" spans="1:67" x14ac:dyDescent="0.25">
      <c r="A439" s="19" t="s">
        <v>601</v>
      </c>
      <c r="B439" s="20" t="s">
        <v>593</v>
      </c>
      <c r="C439" s="20" t="s">
        <v>593</v>
      </c>
      <c r="D439" s="21">
        <v>7139694009024</v>
      </c>
      <c r="E439" s="21">
        <v>412493717453</v>
      </c>
      <c r="F439" s="21">
        <v>81858000000</v>
      </c>
      <c r="G439" s="21">
        <v>411636600</v>
      </c>
      <c r="H439" s="21">
        <v>7634457363077</v>
      </c>
      <c r="I439" s="21">
        <v>570898805666</v>
      </c>
      <c r="J439" s="21">
        <v>26431467242</v>
      </c>
      <c r="K439" s="21">
        <v>7037127090169</v>
      </c>
      <c r="L439" s="21">
        <v>6197428947583</v>
      </c>
      <c r="M439" s="21">
        <v>1437028415494</v>
      </c>
      <c r="N439" s="47">
        <v>23.187493195132824</v>
      </c>
      <c r="O439" s="21">
        <v>12211292554313</v>
      </c>
      <c r="P439" s="22">
        <v>188.27</v>
      </c>
      <c r="Q439" s="22">
        <v>173.53</v>
      </c>
      <c r="R439" s="22">
        <v>5.32</v>
      </c>
      <c r="S439" s="21">
        <v>12314456785013</v>
      </c>
      <c r="T439" s="21">
        <v>755279658385</v>
      </c>
      <c r="U439" s="21">
        <v>262498656966</v>
      </c>
      <c r="V439" s="21">
        <v>323312425212</v>
      </c>
      <c r="W439" s="21">
        <v>169468576207</v>
      </c>
      <c r="X439" s="21">
        <v>13069736443398</v>
      </c>
      <c r="Y439" s="21">
        <v>9253190250</v>
      </c>
      <c r="Z439" s="21">
        <v>991531007231</v>
      </c>
      <c r="AA439" s="21">
        <v>312280761005</v>
      </c>
      <c r="AB439" s="21">
        <v>14373548211634</v>
      </c>
      <c r="AC439" s="21">
        <v>9494519393563</v>
      </c>
      <c r="AD439" s="47">
        <v>37.655587414555072</v>
      </c>
      <c r="AE439" s="21">
        <v>7491424559391</v>
      </c>
      <c r="AF439" s="21">
        <v>7353821375334</v>
      </c>
      <c r="AG439" s="21">
        <v>533828353425</v>
      </c>
      <c r="AH439" s="21">
        <v>10641806888</v>
      </c>
      <c r="AI439" s="21">
        <v>80310987584</v>
      </c>
      <c r="AJ439" s="21">
        <v>0</v>
      </c>
      <c r="AK439" s="21">
        <v>2009139671</v>
      </c>
      <c r="AL439" s="22">
        <v>10</v>
      </c>
      <c r="AM439" s="21">
        <v>883013755930</v>
      </c>
      <c r="AN439" s="22">
        <v>402</v>
      </c>
      <c r="AO439" s="21">
        <v>2497743918773</v>
      </c>
      <c r="AP439" s="23">
        <v>301</v>
      </c>
      <c r="AQ439" s="21">
        <v>952031591492</v>
      </c>
      <c r="AR439" s="21">
        <v>755279658385</v>
      </c>
      <c r="AS439" s="21">
        <v>294999659935</v>
      </c>
      <c r="AT439" s="21">
        <v>460279998450</v>
      </c>
      <c r="AU439" s="24">
        <v>156.03</v>
      </c>
      <c r="AV439" s="21">
        <v>4027040899176</v>
      </c>
      <c r="AW439" s="21">
        <v>1071540573490</v>
      </c>
      <c r="AX439" s="21">
        <v>936383277756</v>
      </c>
      <c r="AY439" s="21">
        <v>1560689728227</v>
      </c>
      <c r="AZ439" s="21">
        <v>1693214596145</v>
      </c>
      <c r="BA439" s="21">
        <v>2949406406896</v>
      </c>
      <c r="BB439" s="21">
        <v>1242830363019</v>
      </c>
      <c r="BC439" s="21">
        <v>7634457363077</v>
      </c>
      <c r="BD439" s="23">
        <v>307579</v>
      </c>
      <c r="BE439" s="21">
        <v>2777765513726</v>
      </c>
      <c r="BF439" s="21">
        <v>1775062596145</v>
      </c>
      <c r="BG439" s="21">
        <v>3081629253206</v>
      </c>
      <c r="BH439" s="21">
        <v>4739665255509</v>
      </c>
      <c r="BI439" s="21">
        <v>2751759303882</v>
      </c>
      <c r="BJ439" s="21">
        <v>50556715000</v>
      </c>
      <c r="BK439" s="21">
        <v>0</v>
      </c>
      <c r="BL439" s="21">
        <v>492229393795</v>
      </c>
      <c r="BM439" s="21">
        <v>0</v>
      </c>
      <c r="BN439" s="21">
        <v>0</v>
      </c>
      <c r="BO439" s="21">
        <v>20241806888</v>
      </c>
    </row>
    <row r="440" spans="1:67" x14ac:dyDescent="0.25">
      <c r="A440" s="25" t="s">
        <v>483</v>
      </c>
      <c r="B440" s="9">
        <v>2700</v>
      </c>
      <c r="C440" s="9" t="s">
        <v>484</v>
      </c>
      <c r="D440" s="10">
        <v>866993152956</v>
      </c>
      <c r="E440" s="10">
        <v>93745730802</v>
      </c>
      <c r="F440" s="10">
        <v>59244600000</v>
      </c>
      <c r="G440" s="10">
        <v>137212200</v>
      </c>
      <c r="H440" s="10">
        <v>1020120695958</v>
      </c>
      <c r="I440" s="10">
        <v>74113671900</v>
      </c>
      <c r="J440" s="10">
        <v>24407939574</v>
      </c>
      <c r="K440" s="10">
        <v>921599084484</v>
      </c>
      <c r="L440" s="10">
        <v>726244990095</v>
      </c>
      <c r="M440" s="10">
        <v>293875705863</v>
      </c>
      <c r="N440" s="46">
        <v>40.465092340885981</v>
      </c>
      <c r="O440" s="10">
        <v>3136023121330</v>
      </c>
      <c r="P440" s="11">
        <v>425.76</v>
      </c>
      <c r="Q440" s="11">
        <v>340.28</v>
      </c>
      <c r="R440" s="11">
        <v>3.78</v>
      </c>
      <c r="S440" s="10">
        <v>4051740350908</v>
      </c>
      <c r="T440" s="10">
        <v>153864289720</v>
      </c>
      <c r="U440" s="10">
        <v>112054069637</v>
      </c>
      <c r="V440" s="10">
        <v>38344108773</v>
      </c>
      <c r="W440" s="10">
        <v>3466111310</v>
      </c>
      <c r="X440" s="10">
        <v>4205604640628</v>
      </c>
      <c r="Y440" s="10">
        <v>10303468959</v>
      </c>
      <c r="Z440" s="10">
        <v>129128409183</v>
      </c>
      <c r="AA440" s="10">
        <v>8508748551</v>
      </c>
      <c r="AB440" s="10">
        <v>4343241798362</v>
      </c>
      <c r="AC440" s="10">
        <v>3232536839535</v>
      </c>
      <c r="AD440" s="46">
        <v>30.102295794190415</v>
      </c>
      <c r="AE440" s="10">
        <v>1970262826747</v>
      </c>
      <c r="AF440" s="10">
        <v>1949801641682</v>
      </c>
      <c r="AG440" s="10">
        <v>0</v>
      </c>
      <c r="AH440" s="10">
        <v>0</v>
      </c>
      <c r="AI440" s="10">
        <v>80020632455</v>
      </c>
      <c r="AJ440" s="10">
        <v>0</v>
      </c>
      <c r="AK440" s="10">
        <v>0</v>
      </c>
      <c r="AL440" s="11">
        <v>1</v>
      </c>
      <c r="AM440" s="10">
        <v>4405302556</v>
      </c>
      <c r="AN440" s="11">
        <v>56</v>
      </c>
      <c r="AO440" s="10">
        <v>492825300927</v>
      </c>
      <c r="AP440" s="12">
        <v>46</v>
      </c>
      <c r="AQ440" s="10">
        <v>127552790271</v>
      </c>
      <c r="AR440" s="10">
        <v>153864289720</v>
      </c>
      <c r="AS440" s="10">
        <v>107311577412</v>
      </c>
      <c r="AT440" s="10">
        <v>46552712308</v>
      </c>
      <c r="AU440" s="11">
        <v>43.38</v>
      </c>
      <c r="AV440" s="10">
        <v>1093092170674</v>
      </c>
      <c r="AW440" s="10">
        <v>115267823785</v>
      </c>
      <c r="AX440" s="10">
        <v>204091987957</v>
      </c>
      <c r="AY440" s="10">
        <v>391708918973</v>
      </c>
      <c r="AZ440" s="10">
        <v>126483246026</v>
      </c>
      <c r="BA440" s="10">
        <v>144709000000</v>
      </c>
      <c r="BB440" s="10">
        <v>62766231460</v>
      </c>
      <c r="BC440" s="10">
        <v>1020120695958</v>
      </c>
      <c r="BD440" s="12">
        <v>80934</v>
      </c>
      <c r="BE440" s="10">
        <v>611530524551</v>
      </c>
      <c r="BF440" s="10">
        <v>185578146026</v>
      </c>
      <c r="BG440" s="10">
        <v>223012025381</v>
      </c>
      <c r="BH440" s="10">
        <v>1449504604854</v>
      </c>
      <c r="BI440" s="10">
        <v>520758221893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</row>
    <row r="441" spans="1:67" x14ac:dyDescent="0.25">
      <c r="A441" s="25" t="s">
        <v>483</v>
      </c>
      <c r="B441" s="9">
        <v>2701</v>
      </c>
      <c r="C441" s="9" t="s">
        <v>485</v>
      </c>
      <c r="D441" s="10">
        <v>1016407572508</v>
      </c>
      <c r="E441" s="10">
        <v>4969165194</v>
      </c>
      <c r="F441" s="10">
        <v>0</v>
      </c>
      <c r="G441" s="10">
        <v>0</v>
      </c>
      <c r="H441" s="10">
        <v>1021376737702</v>
      </c>
      <c r="I441" s="10">
        <v>82920131275</v>
      </c>
      <c r="J441" s="10">
        <v>6770039660</v>
      </c>
      <c r="K441" s="10">
        <v>931686566767</v>
      </c>
      <c r="L441" s="10">
        <v>683031833086</v>
      </c>
      <c r="M441" s="10">
        <v>338344904616</v>
      </c>
      <c r="N441" s="46">
        <v>49.535744635404022</v>
      </c>
      <c r="O441" s="10">
        <v>1894863511807</v>
      </c>
      <c r="P441" s="11">
        <v>213.02</v>
      </c>
      <c r="Q441" s="11">
        <v>203.38</v>
      </c>
      <c r="R441" s="11">
        <v>11.41</v>
      </c>
      <c r="S441" s="10">
        <v>1734983321728</v>
      </c>
      <c r="T441" s="10">
        <v>239592558897</v>
      </c>
      <c r="U441" s="10">
        <v>71448020031</v>
      </c>
      <c r="V441" s="10">
        <v>155531232540</v>
      </c>
      <c r="W441" s="10">
        <v>12613306326</v>
      </c>
      <c r="X441" s="10">
        <v>1974575880625</v>
      </c>
      <c r="Y441" s="10">
        <v>8556119249</v>
      </c>
      <c r="Z441" s="10">
        <v>146660125588</v>
      </c>
      <c r="AA441" s="10">
        <v>54487107320</v>
      </c>
      <c r="AB441" s="10">
        <v>2175723113533</v>
      </c>
      <c r="AC441" s="10">
        <v>1285432414597</v>
      </c>
      <c r="AD441" s="46">
        <v>53.611800838557158</v>
      </c>
      <c r="AE441" s="10">
        <v>1150722058360</v>
      </c>
      <c r="AF441" s="10">
        <v>1105864021469</v>
      </c>
      <c r="AG441" s="10">
        <v>0</v>
      </c>
      <c r="AH441" s="10">
        <v>0</v>
      </c>
      <c r="AI441" s="10">
        <v>0</v>
      </c>
      <c r="AJ441" s="10">
        <v>0</v>
      </c>
      <c r="AK441" s="10">
        <v>0</v>
      </c>
      <c r="AL441" s="11">
        <v>0</v>
      </c>
      <c r="AM441" s="10">
        <v>0</v>
      </c>
      <c r="AN441" s="11">
        <v>3</v>
      </c>
      <c r="AO441" s="10">
        <v>4776000000</v>
      </c>
      <c r="AP441" s="12">
        <v>13</v>
      </c>
      <c r="AQ441" s="10">
        <v>9764865990</v>
      </c>
      <c r="AR441" s="10">
        <v>239592558897</v>
      </c>
      <c r="AS441" s="10">
        <v>96483035243</v>
      </c>
      <c r="AT441" s="10">
        <v>143109523654</v>
      </c>
      <c r="AU441" s="11">
        <v>148.33000000000001</v>
      </c>
      <c r="AV441" s="10">
        <v>468247248677</v>
      </c>
      <c r="AW441" s="10">
        <v>187970612372</v>
      </c>
      <c r="AX441" s="10">
        <v>477591273266</v>
      </c>
      <c r="AY441" s="10">
        <v>233148349902</v>
      </c>
      <c r="AZ441" s="10">
        <v>155861949340</v>
      </c>
      <c r="BA441" s="10">
        <v>149806000000</v>
      </c>
      <c r="BB441" s="10">
        <v>114125568761</v>
      </c>
      <c r="BC441" s="10">
        <v>1021376737702</v>
      </c>
      <c r="BD441" s="12">
        <v>50375</v>
      </c>
      <c r="BE441" s="10">
        <v>715708788362</v>
      </c>
      <c r="BF441" s="10">
        <v>155861949340</v>
      </c>
      <c r="BG441" s="10">
        <v>149806000000</v>
      </c>
      <c r="BH441" s="10">
        <v>1007246384713</v>
      </c>
      <c r="BI441" s="10">
        <v>143475673647</v>
      </c>
      <c r="BJ441" s="10">
        <v>0</v>
      </c>
      <c r="BK441" s="10">
        <v>0</v>
      </c>
      <c r="BL441" s="10">
        <v>0</v>
      </c>
      <c r="BM441" s="10">
        <v>0</v>
      </c>
      <c r="BN441" s="10">
        <v>0</v>
      </c>
      <c r="BO441" s="10">
        <v>0</v>
      </c>
    </row>
    <row r="442" spans="1:67" x14ac:dyDescent="0.25">
      <c r="A442" s="25" t="s">
        <v>483</v>
      </c>
      <c r="B442" s="9">
        <v>2702</v>
      </c>
      <c r="C442" s="9" t="s">
        <v>486</v>
      </c>
      <c r="D442" s="10">
        <v>648548963839</v>
      </c>
      <c r="E442" s="10">
        <v>11333766159</v>
      </c>
      <c r="F442" s="10">
        <v>0</v>
      </c>
      <c r="G442" s="10">
        <v>0</v>
      </c>
      <c r="H442" s="10">
        <v>659882729998</v>
      </c>
      <c r="I442" s="10">
        <v>48770622491</v>
      </c>
      <c r="J442" s="10">
        <v>3149037936</v>
      </c>
      <c r="K442" s="10">
        <v>607963069571</v>
      </c>
      <c r="L442" s="10">
        <v>483876750790</v>
      </c>
      <c r="M442" s="10">
        <v>176005979208</v>
      </c>
      <c r="N442" s="46">
        <v>36.374134306028203</v>
      </c>
      <c r="O442" s="10">
        <v>1602629566536</v>
      </c>
      <c r="P442" s="11">
        <v>302.70999999999998</v>
      </c>
      <c r="Q442" s="11">
        <v>263.61</v>
      </c>
      <c r="R442" s="11">
        <v>2.2000000000000002</v>
      </c>
      <c r="S442" s="10">
        <v>1856761695003</v>
      </c>
      <c r="T442" s="10">
        <v>41941942839</v>
      </c>
      <c r="U442" s="10">
        <v>17531676128</v>
      </c>
      <c r="V442" s="10">
        <v>23039790754</v>
      </c>
      <c r="W442" s="10">
        <v>1370475957</v>
      </c>
      <c r="X442" s="10">
        <v>1898703637842</v>
      </c>
      <c r="Y442" s="10">
        <v>2082433527</v>
      </c>
      <c r="Z442" s="10">
        <v>68700437685</v>
      </c>
      <c r="AA442" s="10">
        <v>30125118105</v>
      </c>
      <c r="AB442" s="10">
        <v>1997529193632</v>
      </c>
      <c r="AC442" s="10">
        <v>1039697347243</v>
      </c>
      <c r="AD442" s="46">
        <v>82.620802378389783</v>
      </c>
      <c r="AE442" s="10">
        <v>1258459992507</v>
      </c>
      <c r="AF442" s="10">
        <v>930038553000</v>
      </c>
      <c r="AG442" s="10">
        <v>0</v>
      </c>
      <c r="AH442" s="10">
        <v>0</v>
      </c>
      <c r="AI442" s="10">
        <v>0</v>
      </c>
      <c r="AJ442" s="10">
        <v>0</v>
      </c>
      <c r="AK442" s="10">
        <v>0</v>
      </c>
      <c r="AL442" s="11">
        <v>0</v>
      </c>
      <c r="AM442" s="10">
        <v>0</v>
      </c>
      <c r="AN442" s="11">
        <v>26</v>
      </c>
      <c r="AO442" s="10">
        <v>75722467468</v>
      </c>
      <c r="AP442" s="12">
        <v>25</v>
      </c>
      <c r="AQ442" s="10">
        <v>43255714041</v>
      </c>
      <c r="AR442" s="10">
        <v>41941942839</v>
      </c>
      <c r="AS442" s="10">
        <v>27401889619</v>
      </c>
      <c r="AT442" s="10">
        <v>14540053220</v>
      </c>
      <c r="AU442" s="11">
        <v>53.06</v>
      </c>
      <c r="AV442" s="10">
        <v>379241716654</v>
      </c>
      <c r="AW442" s="10">
        <v>176294921102</v>
      </c>
      <c r="AX442" s="10">
        <v>158543444649</v>
      </c>
      <c r="AY442" s="10">
        <v>151378605062</v>
      </c>
      <c r="AZ442" s="10">
        <v>181032914128</v>
      </c>
      <c r="BA442" s="10">
        <v>157594000000</v>
      </c>
      <c r="BB442" s="10">
        <v>116698429943</v>
      </c>
      <c r="BC442" s="10">
        <v>659882729998</v>
      </c>
      <c r="BD442" s="12">
        <v>31842</v>
      </c>
      <c r="BE442" s="10">
        <v>321255815870</v>
      </c>
      <c r="BF442" s="10">
        <v>181032914128</v>
      </c>
      <c r="BG442" s="10">
        <v>157594000000</v>
      </c>
      <c r="BH442" s="10">
        <v>1033187706817</v>
      </c>
      <c r="BI442" s="10">
        <v>225272285690</v>
      </c>
      <c r="BJ442" s="10">
        <v>0</v>
      </c>
      <c r="BK442" s="10">
        <v>0</v>
      </c>
      <c r="BL442" s="10">
        <v>0</v>
      </c>
      <c r="BM442" s="10">
        <v>0</v>
      </c>
      <c r="BN442" s="10">
        <v>0</v>
      </c>
      <c r="BO442" s="10">
        <v>0</v>
      </c>
    </row>
    <row r="443" spans="1:67" x14ac:dyDescent="0.25">
      <c r="A443" s="25" t="s">
        <v>483</v>
      </c>
      <c r="B443" s="9">
        <v>2703</v>
      </c>
      <c r="C443" s="9" t="s">
        <v>487</v>
      </c>
      <c r="D443" s="10">
        <v>2089227153375</v>
      </c>
      <c r="E443" s="10">
        <v>8631374775</v>
      </c>
      <c r="F443" s="10">
        <v>0</v>
      </c>
      <c r="G443" s="10">
        <v>0</v>
      </c>
      <c r="H443" s="10">
        <v>2097858528150</v>
      </c>
      <c r="I443" s="10">
        <v>173056155992</v>
      </c>
      <c r="J443" s="10">
        <v>2983634509</v>
      </c>
      <c r="K443" s="10">
        <v>1921818737649</v>
      </c>
      <c r="L443" s="10">
        <v>1093793002191</v>
      </c>
      <c r="M443" s="10">
        <v>1004065525959</v>
      </c>
      <c r="N443" s="46">
        <v>91.796667554805623</v>
      </c>
      <c r="O443" s="10">
        <v>1544833933085</v>
      </c>
      <c r="P443" s="11">
        <v>79.61</v>
      </c>
      <c r="Q443" s="11">
        <v>80.38</v>
      </c>
      <c r="R443" s="11">
        <v>1.48</v>
      </c>
      <c r="S443" s="10">
        <v>1611882913157</v>
      </c>
      <c r="T443" s="10">
        <v>24582081021</v>
      </c>
      <c r="U443" s="10">
        <v>17666342454</v>
      </c>
      <c r="V443" s="10">
        <v>6380961660</v>
      </c>
      <c r="W443" s="10">
        <v>534776907</v>
      </c>
      <c r="X443" s="10">
        <v>1636464994178</v>
      </c>
      <c r="Y443" s="10">
        <v>127672545</v>
      </c>
      <c r="Z443" s="10">
        <v>19234224191</v>
      </c>
      <c r="AA443" s="10">
        <v>14450000000</v>
      </c>
      <c r="AB443" s="10">
        <v>1670149218369</v>
      </c>
      <c r="AC443" s="10">
        <v>1095344782209</v>
      </c>
      <c r="AD443" s="46">
        <v>49.401815826219931</v>
      </c>
      <c r="AE443" s="10">
        <v>975061991597</v>
      </c>
      <c r="AF443" s="10">
        <v>965706449023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1">
        <v>0</v>
      </c>
      <c r="AM443" s="10">
        <v>0</v>
      </c>
      <c r="AN443" s="11">
        <v>9</v>
      </c>
      <c r="AO443" s="10">
        <v>35800000000</v>
      </c>
      <c r="AP443" s="12">
        <v>9</v>
      </c>
      <c r="AQ443" s="10">
        <v>30639200000</v>
      </c>
      <c r="AR443" s="10">
        <v>24582081021</v>
      </c>
      <c r="AS443" s="10">
        <v>5144728695</v>
      </c>
      <c r="AT443" s="10">
        <v>19437352326</v>
      </c>
      <c r="AU443" s="11">
        <v>377.81</v>
      </c>
      <c r="AV443" s="10">
        <v>455425318443</v>
      </c>
      <c r="AW443" s="10">
        <v>75067884299</v>
      </c>
      <c r="AX443" s="10">
        <v>625149950947</v>
      </c>
      <c r="AY443" s="10">
        <v>1079102065147</v>
      </c>
      <c r="AZ443" s="10">
        <v>219523337281</v>
      </c>
      <c r="BA443" s="10">
        <v>165451800000</v>
      </c>
      <c r="BB443" s="10">
        <v>190205667060</v>
      </c>
      <c r="BC443" s="10">
        <v>2097858528150</v>
      </c>
      <c r="BD443" s="12">
        <v>81759</v>
      </c>
      <c r="BE443" s="10">
        <v>1712883390869</v>
      </c>
      <c r="BF443" s="10">
        <v>219523337281</v>
      </c>
      <c r="BG443" s="10">
        <v>165451800000</v>
      </c>
      <c r="BH443" s="10">
        <v>841331991597</v>
      </c>
      <c r="BI443" s="10">
        <v>133730000000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0</v>
      </c>
    </row>
    <row r="444" spans="1:67" x14ac:dyDescent="0.25">
      <c r="A444" s="25" t="s">
        <v>483</v>
      </c>
      <c r="B444" s="9">
        <v>2704</v>
      </c>
      <c r="C444" s="9" t="s">
        <v>488</v>
      </c>
      <c r="D444" s="10">
        <v>794870493179</v>
      </c>
      <c r="E444" s="10">
        <v>2863877577</v>
      </c>
      <c r="F444" s="10">
        <v>0</v>
      </c>
      <c r="G444" s="10">
        <v>0</v>
      </c>
      <c r="H444" s="10">
        <v>797734370756</v>
      </c>
      <c r="I444" s="10">
        <v>60202753306</v>
      </c>
      <c r="J444" s="10">
        <v>3951838832</v>
      </c>
      <c r="K444" s="10">
        <v>733579778618</v>
      </c>
      <c r="L444" s="10">
        <v>547073666574</v>
      </c>
      <c r="M444" s="10">
        <v>250660704182</v>
      </c>
      <c r="N444" s="46">
        <v>45.818455447095502</v>
      </c>
      <c r="O444" s="10">
        <v>1031942082676</v>
      </c>
      <c r="P444" s="11">
        <v>159.56</v>
      </c>
      <c r="Q444" s="11">
        <v>140.66999999999999</v>
      </c>
      <c r="R444" s="11">
        <v>2.19</v>
      </c>
      <c r="S444" s="10">
        <v>1168559639861</v>
      </c>
      <c r="T444" s="10">
        <v>24202835930</v>
      </c>
      <c r="U444" s="10">
        <v>15755183659</v>
      </c>
      <c r="V444" s="10">
        <v>4102942965</v>
      </c>
      <c r="W444" s="10">
        <v>4344709306</v>
      </c>
      <c r="X444" s="10">
        <v>1192762475791</v>
      </c>
      <c r="Y444" s="10">
        <v>3646926766</v>
      </c>
      <c r="Z444" s="10">
        <v>57105163111</v>
      </c>
      <c r="AA444" s="10">
        <v>22999328700</v>
      </c>
      <c r="AB444" s="10">
        <v>1272866967602</v>
      </c>
      <c r="AC444" s="10">
        <v>740910351015</v>
      </c>
      <c r="AD444" s="46">
        <v>60.986072627679086</v>
      </c>
      <c r="AE444" s="10">
        <v>729855742565</v>
      </c>
      <c r="AF444" s="10">
        <v>644919860000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1">
        <v>0</v>
      </c>
      <c r="AM444" s="10">
        <v>0</v>
      </c>
      <c r="AN444" s="11">
        <v>4</v>
      </c>
      <c r="AO444" s="10">
        <v>638000000</v>
      </c>
      <c r="AP444" s="12">
        <v>4</v>
      </c>
      <c r="AQ444" s="10">
        <v>8820633278</v>
      </c>
      <c r="AR444" s="10">
        <v>24202835930</v>
      </c>
      <c r="AS444" s="10">
        <v>17166986711</v>
      </c>
      <c r="AT444" s="10">
        <v>7035849219</v>
      </c>
      <c r="AU444" s="11">
        <v>40.98</v>
      </c>
      <c r="AV444" s="10">
        <v>309691786679</v>
      </c>
      <c r="AW444" s="10">
        <v>103816511955</v>
      </c>
      <c r="AX444" s="10">
        <v>31906833327</v>
      </c>
      <c r="AY444" s="10">
        <v>248667029538</v>
      </c>
      <c r="AZ444" s="10">
        <v>133521630314</v>
      </c>
      <c r="BA444" s="10">
        <v>380775000000</v>
      </c>
      <c r="BB444" s="10">
        <v>98626532985</v>
      </c>
      <c r="BC444" s="10">
        <v>797734370756</v>
      </c>
      <c r="BD444" s="12">
        <v>95073</v>
      </c>
      <c r="BE444" s="10">
        <v>283437740442</v>
      </c>
      <c r="BF444" s="10">
        <v>133431630314</v>
      </c>
      <c r="BG444" s="10">
        <v>380865000000</v>
      </c>
      <c r="BH444" s="10">
        <v>688920862565</v>
      </c>
      <c r="BI444" s="10">
        <v>40934880000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</row>
    <row r="445" spans="1:67" x14ac:dyDescent="0.25">
      <c r="A445" s="25" t="s">
        <v>483</v>
      </c>
      <c r="B445" s="9">
        <v>2705</v>
      </c>
      <c r="C445" s="9" t="s">
        <v>489</v>
      </c>
      <c r="D445" s="10">
        <v>498928439057</v>
      </c>
      <c r="E445" s="10">
        <v>2044492460</v>
      </c>
      <c r="F445" s="10">
        <v>0</v>
      </c>
      <c r="G445" s="10">
        <v>0</v>
      </c>
      <c r="H445" s="10">
        <v>500972931517</v>
      </c>
      <c r="I445" s="10">
        <v>37517570148</v>
      </c>
      <c r="J445" s="10">
        <v>10720222763</v>
      </c>
      <c r="K445" s="10">
        <v>452735138606</v>
      </c>
      <c r="L445" s="10">
        <v>315763748049</v>
      </c>
      <c r="M445" s="10">
        <v>185209183468</v>
      </c>
      <c r="N445" s="46">
        <v>58.654353013082229</v>
      </c>
      <c r="O445" s="10">
        <v>938634524868</v>
      </c>
      <c r="P445" s="11">
        <v>207.68</v>
      </c>
      <c r="Q445" s="11">
        <v>207.33</v>
      </c>
      <c r="R445" s="11">
        <v>7</v>
      </c>
      <c r="S445" s="10">
        <v>912580735209</v>
      </c>
      <c r="T445" s="10">
        <v>62036831584</v>
      </c>
      <c r="U445" s="10">
        <v>18409085510</v>
      </c>
      <c r="V445" s="10">
        <v>29679421857</v>
      </c>
      <c r="W445" s="10">
        <v>13948324217</v>
      </c>
      <c r="X445" s="10">
        <v>974617566793</v>
      </c>
      <c r="Y445" s="10">
        <v>10791128912</v>
      </c>
      <c r="Z445" s="10">
        <v>56828565551</v>
      </c>
      <c r="AA445" s="10">
        <v>8949600000</v>
      </c>
      <c r="AB445" s="10">
        <v>1040395732344</v>
      </c>
      <c r="AC445" s="10">
        <v>724427385433</v>
      </c>
      <c r="AD445" s="46">
        <v>34.536267732404674</v>
      </c>
      <c r="AE445" s="10">
        <v>539714753305</v>
      </c>
      <c r="AF445" s="10">
        <v>537209796770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1">
        <v>0</v>
      </c>
      <c r="AM445" s="10">
        <v>0</v>
      </c>
      <c r="AN445" s="11">
        <v>7</v>
      </c>
      <c r="AO445" s="10">
        <v>5719500000</v>
      </c>
      <c r="AP445" s="12">
        <v>2</v>
      </c>
      <c r="AQ445" s="10">
        <v>200000000</v>
      </c>
      <c r="AR445" s="10">
        <v>62036831584</v>
      </c>
      <c r="AS445" s="10">
        <v>57647574829</v>
      </c>
      <c r="AT445" s="10">
        <v>4389256755</v>
      </c>
      <c r="AU445" s="11">
        <v>7.61</v>
      </c>
      <c r="AV445" s="10">
        <v>291648317697</v>
      </c>
      <c r="AW445" s="10">
        <v>133195957288</v>
      </c>
      <c r="AX445" s="10">
        <v>180659755744</v>
      </c>
      <c r="AY445" s="10">
        <v>140022808846</v>
      </c>
      <c r="AZ445" s="10">
        <v>53209874467</v>
      </c>
      <c r="BA445" s="10">
        <v>125036000000</v>
      </c>
      <c r="BB445" s="10">
        <v>41793393536</v>
      </c>
      <c r="BC445" s="10">
        <v>500972931517</v>
      </c>
      <c r="BD445" s="12">
        <v>52598</v>
      </c>
      <c r="BE445" s="10">
        <v>322727057050</v>
      </c>
      <c r="BF445" s="10">
        <v>53209874467</v>
      </c>
      <c r="BG445" s="10">
        <v>125036000000</v>
      </c>
      <c r="BH445" s="10">
        <v>451664855769</v>
      </c>
      <c r="BI445" s="10">
        <v>88049897536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</row>
    <row r="446" spans="1:67" x14ac:dyDescent="0.25">
      <c r="A446" s="25" t="s">
        <v>483</v>
      </c>
      <c r="B446" s="9">
        <v>2706</v>
      </c>
      <c r="C446" s="9" t="s">
        <v>490</v>
      </c>
      <c r="D446" s="10">
        <v>619604818075</v>
      </c>
      <c r="E446" s="10">
        <v>2864560008</v>
      </c>
      <c r="F446" s="10">
        <v>0</v>
      </c>
      <c r="G446" s="10">
        <v>0</v>
      </c>
      <c r="H446" s="10">
        <v>622469378083</v>
      </c>
      <c r="I446" s="10">
        <v>48179382135</v>
      </c>
      <c r="J446" s="10">
        <v>7719999930</v>
      </c>
      <c r="K446" s="10">
        <v>566569996018</v>
      </c>
      <c r="L446" s="10">
        <v>404572971626</v>
      </c>
      <c r="M446" s="10">
        <v>217896406457</v>
      </c>
      <c r="N446" s="46">
        <v>53.858369623967441</v>
      </c>
      <c r="O446" s="10">
        <v>871001010545</v>
      </c>
      <c r="P446" s="11">
        <v>159.83000000000001</v>
      </c>
      <c r="Q446" s="11">
        <v>153.72999999999999</v>
      </c>
      <c r="R446" s="11">
        <v>1.9</v>
      </c>
      <c r="S446" s="10">
        <v>927329640166</v>
      </c>
      <c r="T446" s="10">
        <v>18298611404</v>
      </c>
      <c r="U446" s="10">
        <v>15709236458</v>
      </c>
      <c r="V446" s="10">
        <v>2116067282</v>
      </c>
      <c r="W446" s="10">
        <v>473307664</v>
      </c>
      <c r="X446" s="10">
        <v>945628251570</v>
      </c>
      <c r="Y446" s="10">
        <v>592587962</v>
      </c>
      <c r="Z446" s="10">
        <v>31154118386</v>
      </c>
      <c r="AA446" s="10">
        <v>18099810000</v>
      </c>
      <c r="AB446" s="10">
        <v>994882179956</v>
      </c>
      <c r="AC446" s="10">
        <v>696729496282</v>
      </c>
      <c r="AD446" s="46">
        <v>35.723872265522502</v>
      </c>
      <c r="AE446" s="10">
        <v>606485106005</v>
      </c>
      <c r="AF446" s="10">
        <v>557349418445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1">
        <v>0</v>
      </c>
      <c r="AM446" s="10">
        <v>0</v>
      </c>
      <c r="AN446" s="11">
        <v>6</v>
      </c>
      <c r="AO446" s="10">
        <v>14892711709</v>
      </c>
      <c r="AP446" s="12">
        <v>3</v>
      </c>
      <c r="AQ446" s="10">
        <v>2550000000</v>
      </c>
      <c r="AR446" s="10">
        <v>18298611404</v>
      </c>
      <c r="AS446" s="10">
        <v>22997702854</v>
      </c>
      <c r="AT446" s="10">
        <v>-4699091450</v>
      </c>
      <c r="AU446" s="11">
        <v>-20.43</v>
      </c>
      <c r="AV446" s="10">
        <v>317207729916</v>
      </c>
      <c r="AW446" s="10">
        <v>134781193982</v>
      </c>
      <c r="AX446" s="10">
        <v>101503695205</v>
      </c>
      <c r="AY446" s="10">
        <v>258825416883</v>
      </c>
      <c r="AZ446" s="10">
        <v>79523505987</v>
      </c>
      <c r="BA446" s="10">
        <v>179752200000</v>
      </c>
      <c r="BB446" s="10">
        <v>59115945861</v>
      </c>
      <c r="BC446" s="10">
        <v>622469378083</v>
      </c>
      <c r="BD446" s="12">
        <v>6091</v>
      </c>
      <c r="BE446" s="10">
        <v>363193672096</v>
      </c>
      <c r="BF446" s="10">
        <v>79523505987</v>
      </c>
      <c r="BG446" s="10">
        <v>179752200000</v>
      </c>
      <c r="BH446" s="10">
        <v>591585106005</v>
      </c>
      <c r="BI446" s="10">
        <v>14900000000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</row>
    <row r="447" spans="1:67" x14ac:dyDescent="0.25">
      <c r="A447" s="25" t="s">
        <v>483</v>
      </c>
      <c r="B447" s="14">
        <v>2707</v>
      </c>
      <c r="C447" s="14" t="s">
        <v>491</v>
      </c>
      <c r="D447" s="15">
        <v>1163652523519</v>
      </c>
      <c r="E447" s="15">
        <v>5276687845</v>
      </c>
      <c r="F447" s="15">
        <v>0</v>
      </c>
      <c r="G447" s="15">
        <v>0</v>
      </c>
      <c r="H447" s="15">
        <v>1168929211364</v>
      </c>
      <c r="I447" s="15">
        <v>84300899716</v>
      </c>
      <c r="J447" s="15">
        <v>1282693171</v>
      </c>
      <c r="K447" s="15">
        <v>1083345618477</v>
      </c>
      <c r="L447" s="15">
        <v>935562864101</v>
      </c>
      <c r="M447" s="15">
        <v>233366347263</v>
      </c>
      <c r="N447" s="48">
        <v>24.943951520269685</v>
      </c>
      <c r="O447" s="15">
        <v>845288028523</v>
      </c>
      <c r="P447" s="16">
        <v>82.08</v>
      </c>
      <c r="Q447" s="16">
        <v>78.03</v>
      </c>
      <c r="R447" s="16">
        <v>1.1399999999999999</v>
      </c>
      <c r="S447" s="15">
        <v>904936229492</v>
      </c>
      <c r="T447" s="15">
        <v>10962097713</v>
      </c>
      <c r="U447" s="15">
        <v>10589058739</v>
      </c>
      <c r="V447" s="15">
        <v>373038974</v>
      </c>
      <c r="W447" s="15">
        <v>0</v>
      </c>
      <c r="X447" s="15">
        <v>915898327205</v>
      </c>
      <c r="Y447" s="10">
        <v>0</v>
      </c>
      <c r="Z447" s="15">
        <v>35349459970</v>
      </c>
      <c r="AA447" s="15">
        <v>8249290000</v>
      </c>
      <c r="AB447" s="15">
        <v>959497077175</v>
      </c>
      <c r="AC447" s="15">
        <v>543428430453</v>
      </c>
      <c r="AD447" s="46">
        <v>68.54074536393145</v>
      </c>
      <c r="AE447" s="15">
        <v>682767441203</v>
      </c>
      <c r="AF447" s="15">
        <v>638360534208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6">
        <v>0</v>
      </c>
      <c r="AM447" s="15">
        <v>0</v>
      </c>
      <c r="AN447" s="16">
        <v>23</v>
      </c>
      <c r="AO447" s="15">
        <v>13104786385</v>
      </c>
      <c r="AP447" s="12">
        <v>19</v>
      </c>
      <c r="AQ447" s="10">
        <v>9000802041</v>
      </c>
      <c r="AR447" s="15">
        <v>10962097713</v>
      </c>
      <c r="AS447" s="15">
        <v>6072383396</v>
      </c>
      <c r="AT447" s="15">
        <v>4889714317</v>
      </c>
      <c r="AU447" s="16">
        <v>80.52</v>
      </c>
      <c r="AV447" s="15">
        <v>309418696082</v>
      </c>
      <c r="AW447" s="15">
        <v>39512880006</v>
      </c>
      <c r="AX447" s="15">
        <v>214205128501</v>
      </c>
      <c r="AY447" s="15">
        <v>472456157374</v>
      </c>
      <c r="AZ447" s="15">
        <v>210443737644</v>
      </c>
      <c r="BA447" s="15">
        <v>266547500000</v>
      </c>
      <c r="BB447" s="15">
        <v>160802436056</v>
      </c>
      <c r="BC447" s="15">
        <v>1168929211364</v>
      </c>
      <c r="BD447" s="17">
        <v>23075</v>
      </c>
      <c r="BE447" s="15">
        <v>691937973720</v>
      </c>
      <c r="BF447" s="15">
        <v>210443737644</v>
      </c>
      <c r="BG447" s="15">
        <v>266547500000</v>
      </c>
      <c r="BH447" s="15">
        <v>665557368474</v>
      </c>
      <c r="BI447" s="15">
        <v>17210072729</v>
      </c>
      <c r="BJ447" s="15">
        <v>0</v>
      </c>
      <c r="BK447" s="15">
        <v>0</v>
      </c>
      <c r="BL447" s="15">
        <v>0</v>
      </c>
      <c r="BM447" s="15">
        <v>0</v>
      </c>
      <c r="BN447" s="15">
        <v>0</v>
      </c>
      <c r="BO447" s="15">
        <v>0</v>
      </c>
    </row>
    <row r="448" spans="1:67" x14ac:dyDescent="0.25">
      <c r="A448" s="25" t="s">
        <v>483</v>
      </c>
      <c r="B448" s="9">
        <v>2708</v>
      </c>
      <c r="C448" s="9" t="s">
        <v>492</v>
      </c>
      <c r="D448" s="10">
        <v>720619221769</v>
      </c>
      <c r="E448" s="10">
        <v>42316197848</v>
      </c>
      <c r="F448" s="10">
        <v>0</v>
      </c>
      <c r="G448" s="10">
        <v>0</v>
      </c>
      <c r="H448" s="10">
        <v>762935419617</v>
      </c>
      <c r="I448" s="10">
        <v>64319683671</v>
      </c>
      <c r="J448" s="10">
        <v>13286693945</v>
      </c>
      <c r="K448" s="10">
        <v>685329042001</v>
      </c>
      <c r="L448" s="10">
        <v>520326121257</v>
      </c>
      <c r="M448" s="10">
        <v>242609298360</v>
      </c>
      <c r="N448" s="46">
        <v>46.626392266047731</v>
      </c>
      <c r="O448" s="10">
        <v>997882063751</v>
      </c>
      <c r="P448" s="11">
        <v>148.31</v>
      </c>
      <c r="Q448" s="11">
        <v>145.61000000000001</v>
      </c>
      <c r="R448" s="11">
        <v>5.45</v>
      </c>
      <c r="S448" s="10">
        <v>998011423389</v>
      </c>
      <c r="T448" s="10">
        <v>61295190694</v>
      </c>
      <c r="U448" s="10">
        <v>28407866067</v>
      </c>
      <c r="V448" s="10">
        <v>29559273566</v>
      </c>
      <c r="W448" s="10">
        <v>3328051061</v>
      </c>
      <c r="X448" s="10">
        <v>1059306614083</v>
      </c>
      <c r="Y448" s="10">
        <v>356628624</v>
      </c>
      <c r="Z448" s="10">
        <v>56266379138</v>
      </c>
      <c r="AA448" s="10">
        <v>15900000000</v>
      </c>
      <c r="AB448" s="10">
        <v>1131472993221</v>
      </c>
      <c r="AC448" s="10">
        <v>665503455288</v>
      </c>
      <c r="AD448" s="46">
        <v>59.173721137868426</v>
      </c>
      <c r="AE448" s="10">
        <v>640303675908</v>
      </c>
      <c r="AF448" s="10">
        <v>623731236769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1">
        <v>0</v>
      </c>
      <c r="AM448" s="10">
        <v>0</v>
      </c>
      <c r="AN448" s="11">
        <v>26</v>
      </c>
      <c r="AO448" s="10">
        <v>123296434471</v>
      </c>
      <c r="AP448" s="12">
        <v>21</v>
      </c>
      <c r="AQ448" s="10">
        <v>31870477194</v>
      </c>
      <c r="AR448" s="10">
        <v>61295190694</v>
      </c>
      <c r="AS448" s="10">
        <v>29816956879</v>
      </c>
      <c r="AT448" s="10">
        <v>31478233815</v>
      </c>
      <c r="AU448" s="11">
        <v>105.57</v>
      </c>
      <c r="AV448" s="10">
        <v>260431345034</v>
      </c>
      <c r="AW448" s="10">
        <v>67115195247</v>
      </c>
      <c r="AX448" s="10">
        <v>261772164409</v>
      </c>
      <c r="AY448" s="10">
        <v>162974808699</v>
      </c>
      <c r="AZ448" s="10">
        <v>104248248661</v>
      </c>
      <c r="BA448" s="10">
        <v>191624000000</v>
      </c>
      <c r="BB448" s="10">
        <v>70981907845</v>
      </c>
      <c r="BC448" s="10">
        <v>762935419617</v>
      </c>
      <c r="BD448" s="12">
        <v>48679</v>
      </c>
      <c r="BE448" s="10">
        <v>430731594189</v>
      </c>
      <c r="BF448" s="10">
        <v>104248248661</v>
      </c>
      <c r="BG448" s="10">
        <v>227955576767</v>
      </c>
      <c r="BH448" s="10">
        <v>534982275908</v>
      </c>
      <c r="BI448" s="10">
        <v>105321400000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</row>
    <row r="449" spans="1:67" x14ac:dyDescent="0.25">
      <c r="A449" s="25" t="s">
        <v>483</v>
      </c>
      <c r="B449" s="26">
        <v>2709</v>
      </c>
      <c r="C449" s="26" t="s">
        <v>493</v>
      </c>
      <c r="D449" s="27">
        <v>306658297771</v>
      </c>
      <c r="E449" s="27">
        <v>41909460</v>
      </c>
      <c r="F449" s="27">
        <v>0</v>
      </c>
      <c r="G449" s="27">
        <v>0</v>
      </c>
      <c r="H449" s="27">
        <v>306700207231</v>
      </c>
      <c r="I449" s="27">
        <v>21959602786</v>
      </c>
      <c r="J449" s="27">
        <v>2986135200</v>
      </c>
      <c r="K449" s="27">
        <v>281754469245</v>
      </c>
      <c r="L449" s="27">
        <v>139716055979</v>
      </c>
      <c r="M449" s="10">
        <v>166984151252</v>
      </c>
      <c r="N449" s="46">
        <v>119.51679431682392</v>
      </c>
      <c r="O449" s="27">
        <v>292012995326</v>
      </c>
      <c r="P449" s="28">
        <v>107.93</v>
      </c>
      <c r="Q449" s="28">
        <v>103.64</v>
      </c>
      <c r="R449" s="28">
        <v>4.5599999999999996</v>
      </c>
      <c r="S449" s="27">
        <v>284743694402</v>
      </c>
      <c r="T449" s="27">
        <v>15103288489</v>
      </c>
      <c r="U449" s="27">
        <v>14165735960</v>
      </c>
      <c r="V449" s="27">
        <v>937552529</v>
      </c>
      <c r="W449" s="27">
        <v>0</v>
      </c>
      <c r="X449" s="27">
        <v>299846982891</v>
      </c>
      <c r="Y449" s="10">
        <v>0</v>
      </c>
      <c r="Z449" s="27">
        <v>18743382712</v>
      </c>
      <c r="AA449" s="27">
        <v>12432980000</v>
      </c>
      <c r="AB449" s="27">
        <v>331023345603</v>
      </c>
      <c r="AC449" s="27">
        <v>55241546474</v>
      </c>
      <c r="AD449" s="46">
        <v>442.79252126318738</v>
      </c>
      <c r="AE449" s="27">
        <v>295943605326</v>
      </c>
      <c r="AF449" s="27">
        <v>288245126971</v>
      </c>
      <c r="AG449" s="27">
        <v>0</v>
      </c>
      <c r="AH449" s="27">
        <v>0</v>
      </c>
      <c r="AI449" s="27">
        <v>0</v>
      </c>
      <c r="AJ449" s="27">
        <v>0</v>
      </c>
      <c r="AK449" s="27">
        <v>0</v>
      </c>
      <c r="AL449" s="28">
        <v>0</v>
      </c>
      <c r="AM449" s="27">
        <v>0</v>
      </c>
      <c r="AN449" s="28">
        <v>0</v>
      </c>
      <c r="AO449" s="27">
        <v>0</v>
      </c>
      <c r="AP449" s="12">
        <v>0</v>
      </c>
      <c r="AQ449" s="10">
        <v>0</v>
      </c>
      <c r="AR449" s="27">
        <v>15103288489</v>
      </c>
      <c r="AS449" s="27">
        <v>0</v>
      </c>
      <c r="AT449" s="27">
        <v>15103288489</v>
      </c>
      <c r="AU449" s="28" t="s">
        <v>593</v>
      </c>
      <c r="AV449" s="27">
        <v>59194762321</v>
      </c>
      <c r="AW449" s="27">
        <v>27487941135</v>
      </c>
      <c r="AX449" s="27">
        <v>39787462514</v>
      </c>
      <c r="AY449" s="27">
        <v>112354340377</v>
      </c>
      <c r="AZ449" s="27">
        <v>136643494880</v>
      </c>
      <c r="BA449" s="27">
        <v>17873000000</v>
      </c>
      <c r="BB449" s="27">
        <v>136634888376</v>
      </c>
      <c r="BC449" s="27">
        <v>306700207231</v>
      </c>
      <c r="BD449" s="29">
        <v>0</v>
      </c>
      <c r="BE449" s="27">
        <v>152183712351</v>
      </c>
      <c r="BF449" s="27">
        <v>136643494880</v>
      </c>
      <c r="BG449" s="27">
        <v>17873000000</v>
      </c>
      <c r="BH449" s="27">
        <v>116281861762</v>
      </c>
      <c r="BI449" s="27">
        <v>179661743564</v>
      </c>
      <c r="BJ449" s="27">
        <v>0</v>
      </c>
      <c r="BK449" s="27">
        <v>0</v>
      </c>
      <c r="BL449" s="27">
        <v>0</v>
      </c>
      <c r="BM449" s="27">
        <v>0</v>
      </c>
      <c r="BN449" s="27">
        <v>0</v>
      </c>
      <c r="BO449" s="27">
        <v>0</v>
      </c>
    </row>
    <row r="450" spans="1:67" x14ac:dyDescent="0.25">
      <c r="A450" s="25" t="s">
        <v>483</v>
      </c>
      <c r="B450" s="9">
        <v>2710</v>
      </c>
      <c r="C450" s="9" t="s">
        <v>494</v>
      </c>
      <c r="D450" s="10">
        <v>106304371525</v>
      </c>
      <c r="E450" s="10">
        <v>80565072</v>
      </c>
      <c r="F450" s="10">
        <v>0</v>
      </c>
      <c r="G450" s="10">
        <v>0</v>
      </c>
      <c r="H450" s="10">
        <v>106384936597</v>
      </c>
      <c r="I450" s="10">
        <v>8988163966</v>
      </c>
      <c r="J450" s="10">
        <v>1355046246</v>
      </c>
      <c r="K450" s="10">
        <v>96041726385</v>
      </c>
      <c r="L450" s="10">
        <v>63112245537</v>
      </c>
      <c r="M450" s="10">
        <v>43272691060</v>
      </c>
      <c r="N450" s="46">
        <v>68.564651268240922</v>
      </c>
      <c r="O450" s="10">
        <v>91170317477</v>
      </c>
      <c r="P450" s="11">
        <v>89.45</v>
      </c>
      <c r="Q450" s="11">
        <v>94.93</v>
      </c>
      <c r="R450" s="11">
        <v>0.33</v>
      </c>
      <c r="S450" s="10">
        <v>93815362959</v>
      </c>
      <c r="T450" s="10">
        <v>315672536</v>
      </c>
      <c r="U450" s="10">
        <v>315672536</v>
      </c>
      <c r="V450" s="10">
        <v>0</v>
      </c>
      <c r="W450" s="10">
        <v>0</v>
      </c>
      <c r="X450" s="10">
        <v>94131035495</v>
      </c>
      <c r="Y450" s="10">
        <v>0</v>
      </c>
      <c r="Z450" s="10">
        <v>1035524490</v>
      </c>
      <c r="AA450" s="10">
        <v>0</v>
      </c>
      <c r="AB450" s="10">
        <v>95166559985</v>
      </c>
      <c r="AC450" s="10">
        <v>31634744879</v>
      </c>
      <c r="AD450" s="46">
        <v>197.5558546624687</v>
      </c>
      <c r="AE450" s="10">
        <v>71595000000</v>
      </c>
      <c r="AF450" s="10">
        <v>71595000000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1">
        <v>0</v>
      </c>
      <c r="AM450" s="10">
        <v>0</v>
      </c>
      <c r="AN450" s="11">
        <v>0</v>
      </c>
      <c r="AO450" s="10">
        <v>0</v>
      </c>
      <c r="AP450" s="12">
        <v>0</v>
      </c>
      <c r="AQ450" s="10">
        <v>0</v>
      </c>
      <c r="AR450" s="10">
        <v>315672536</v>
      </c>
      <c r="AS450" s="10">
        <v>0</v>
      </c>
      <c r="AT450" s="10">
        <v>315672536</v>
      </c>
      <c r="AU450" s="11" t="s">
        <v>593</v>
      </c>
      <c r="AV450" s="10">
        <v>9311477721</v>
      </c>
      <c r="AW450" s="10">
        <v>635824826</v>
      </c>
      <c r="AX450" s="10">
        <v>1320028127</v>
      </c>
      <c r="AY450" s="10">
        <v>14621251073</v>
      </c>
      <c r="AZ450" s="10">
        <v>39768082325</v>
      </c>
      <c r="BA450" s="10">
        <v>50595010000</v>
      </c>
      <c r="BB450" s="10">
        <v>39768082325</v>
      </c>
      <c r="BC450" s="10">
        <v>106384936597</v>
      </c>
      <c r="BD450" s="12">
        <v>338</v>
      </c>
      <c r="BE450" s="10">
        <v>16021844272</v>
      </c>
      <c r="BF450" s="10">
        <v>39768082325</v>
      </c>
      <c r="BG450" s="10">
        <v>50595010000</v>
      </c>
      <c r="BH450" s="10">
        <v>59705000000</v>
      </c>
      <c r="BI450" s="10">
        <v>11890000000</v>
      </c>
      <c r="BJ450" s="10">
        <v>0</v>
      </c>
      <c r="BK450" s="10">
        <v>0</v>
      </c>
      <c r="BL450" s="10">
        <v>0</v>
      </c>
      <c r="BM450" s="10">
        <v>0</v>
      </c>
      <c r="BN450" s="10">
        <v>0</v>
      </c>
      <c r="BO450" s="10">
        <v>0</v>
      </c>
    </row>
    <row r="451" spans="1:67" x14ac:dyDescent="0.25">
      <c r="A451" s="25" t="s">
        <v>483</v>
      </c>
      <c r="B451" s="9">
        <v>2799</v>
      </c>
      <c r="C451" s="9" t="s">
        <v>495</v>
      </c>
      <c r="D451" s="10">
        <v>28996295</v>
      </c>
      <c r="E451" s="10">
        <v>26634371786</v>
      </c>
      <c r="F451" s="10">
        <v>0</v>
      </c>
      <c r="G451" s="10">
        <v>0</v>
      </c>
      <c r="H451" s="10">
        <v>26663368081</v>
      </c>
      <c r="I451" s="10">
        <v>3199969657</v>
      </c>
      <c r="J451" s="10">
        <v>214455600</v>
      </c>
      <c r="K451" s="10">
        <v>23248942824</v>
      </c>
      <c r="L451" s="10">
        <v>21241834513</v>
      </c>
      <c r="M451" s="10">
        <v>5421533568</v>
      </c>
      <c r="N451" s="46">
        <v>25.522906529951651</v>
      </c>
      <c r="O451" s="10">
        <v>0</v>
      </c>
      <c r="P451" s="11">
        <v>0</v>
      </c>
      <c r="Q451" s="11">
        <v>0</v>
      </c>
      <c r="R451" s="11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46" t="s">
        <v>595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1">
        <v>0</v>
      </c>
      <c r="AM451" s="10">
        <v>0</v>
      </c>
      <c r="AN451" s="11">
        <v>0</v>
      </c>
      <c r="AO451" s="10">
        <v>0</v>
      </c>
      <c r="AP451" s="12">
        <v>0</v>
      </c>
      <c r="AQ451" s="10">
        <v>0</v>
      </c>
      <c r="AR451" s="10">
        <v>0</v>
      </c>
      <c r="AS451" s="10">
        <v>0</v>
      </c>
      <c r="AT451" s="10">
        <v>0</v>
      </c>
      <c r="AU451" s="11" t="s">
        <v>593</v>
      </c>
      <c r="AV451" s="10">
        <v>0</v>
      </c>
      <c r="AW451" s="10">
        <v>0</v>
      </c>
      <c r="AX451" s="10">
        <v>28996295</v>
      </c>
      <c r="AY451" s="10">
        <v>0</v>
      </c>
      <c r="AZ451" s="10">
        <v>0</v>
      </c>
      <c r="BA451" s="10">
        <v>0</v>
      </c>
      <c r="BB451" s="10">
        <v>0</v>
      </c>
      <c r="BC451" s="10">
        <v>26663368081</v>
      </c>
      <c r="BD451" s="12">
        <v>0</v>
      </c>
      <c r="BE451" s="10">
        <v>26663368081</v>
      </c>
      <c r="BF451" s="10">
        <v>0</v>
      </c>
      <c r="BG451" s="10">
        <v>0</v>
      </c>
      <c r="BH451" s="10">
        <v>0</v>
      </c>
      <c r="BI451" s="10">
        <v>0</v>
      </c>
      <c r="BJ451" s="10">
        <v>0</v>
      </c>
      <c r="BK451" s="10">
        <v>0</v>
      </c>
      <c r="BL451" s="10">
        <v>0</v>
      </c>
      <c r="BM451" s="10">
        <v>0</v>
      </c>
      <c r="BN451" s="10">
        <v>0</v>
      </c>
      <c r="BO451" s="10">
        <v>0</v>
      </c>
    </row>
    <row r="452" spans="1:67" x14ac:dyDescent="0.25">
      <c r="A452" s="19" t="s">
        <v>600</v>
      </c>
      <c r="B452" s="20" t="s">
        <v>593</v>
      </c>
      <c r="C452" s="20" t="s">
        <v>593</v>
      </c>
      <c r="D452" s="21">
        <v>8831844003868</v>
      </c>
      <c r="E452" s="21">
        <v>200802698986</v>
      </c>
      <c r="F452" s="21">
        <v>59244600000</v>
      </c>
      <c r="G452" s="21">
        <v>137212200</v>
      </c>
      <c r="H452" s="21">
        <v>9092028515054</v>
      </c>
      <c r="I452" s="21">
        <v>707528607043</v>
      </c>
      <c r="J452" s="21">
        <v>78827737366</v>
      </c>
      <c r="K452" s="21">
        <v>8305672170645</v>
      </c>
      <c r="L452" s="21">
        <v>5934316083798</v>
      </c>
      <c r="M452" s="21">
        <v>3157712431256</v>
      </c>
      <c r="N452" s="47">
        <v>53.211058977415369</v>
      </c>
      <c r="O452" s="21">
        <v>13246281155924</v>
      </c>
      <c r="P452" s="22">
        <v>176.11</v>
      </c>
      <c r="Q452" s="22">
        <v>159.47999999999999</v>
      </c>
      <c r="R452" s="22">
        <v>4.3</v>
      </c>
      <c r="S452" s="21">
        <v>14545345006274</v>
      </c>
      <c r="T452" s="21">
        <v>652195400827</v>
      </c>
      <c r="U452" s="21">
        <v>322051947179</v>
      </c>
      <c r="V452" s="21">
        <v>290064390900</v>
      </c>
      <c r="W452" s="21">
        <v>40079062748</v>
      </c>
      <c r="X452" s="21">
        <v>15197540407101</v>
      </c>
      <c r="Y452" s="21">
        <v>36456966544</v>
      </c>
      <c r="Z452" s="21">
        <v>620205790005</v>
      </c>
      <c r="AA452" s="21">
        <v>194201982676</v>
      </c>
      <c r="AB452" s="21">
        <v>16011948179782</v>
      </c>
      <c r="AC452" s="21">
        <v>10110886793408</v>
      </c>
      <c r="AD452" s="47">
        <v>50.308679323848708</v>
      </c>
      <c r="AE452" s="21">
        <v>8921172193523</v>
      </c>
      <c r="AF452" s="21">
        <v>8312821638337</v>
      </c>
      <c r="AG452" s="21">
        <v>0</v>
      </c>
      <c r="AH452" s="21">
        <v>0</v>
      </c>
      <c r="AI452" s="21">
        <v>80020632455</v>
      </c>
      <c r="AJ452" s="21">
        <v>0</v>
      </c>
      <c r="AK452" s="21">
        <v>0</v>
      </c>
      <c r="AL452" s="22">
        <v>1</v>
      </c>
      <c r="AM452" s="21">
        <v>4405302556</v>
      </c>
      <c r="AN452" s="22">
        <v>160</v>
      </c>
      <c r="AO452" s="21">
        <v>766775200960</v>
      </c>
      <c r="AP452" s="23">
        <v>142</v>
      </c>
      <c r="AQ452" s="21">
        <v>263654482815</v>
      </c>
      <c r="AR452" s="21">
        <v>652195400827</v>
      </c>
      <c r="AS452" s="21">
        <v>370042835638</v>
      </c>
      <c r="AT452" s="21">
        <v>282152565189</v>
      </c>
      <c r="AU452" s="24">
        <v>76.25</v>
      </c>
      <c r="AV452" s="21">
        <v>3952910569898</v>
      </c>
      <c r="AW452" s="21">
        <v>1061146745997</v>
      </c>
      <c r="AX452" s="21">
        <v>2296560720941</v>
      </c>
      <c r="AY452" s="21">
        <v>3265259751874</v>
      </c>
      <c r="AZ452" s="21">
        <v>1440260021053</v>
      </c>
      <c r="BA452" s="21">
        <v>1829763510000</v>
      </c>
      <c r="BB452" s="21">
        <v>1091519084208</v>
      </c>
      <c r="BC452" s="21">
        <v>9092028515054</v>
      </c>
      <c r="BD452" s="23">
        <v>470764</v>
      </c>
      <c r="BE452" s="21">
        <v>5648275481853</v>
      </c>
      <c r="BF452" s="21">
        <v>1499264921053</v>
      </c>
      <c r="BG452" s="21">
        <v>1944488112148</v>
      </c>
      <c r="BH452" s="21">
        <v>7439968018464</v>
      </c>
      <c r="BI452" s="21">
        <v>1481204175059</v>
      </c>
      <c r="BJ452" s="21">
        <v>0</v>
      </c>
      <c r="BK452" s="21">
        <v>0</v>
      </c>
      <c r="BL452" s="21">
        <v>0</v>
      </c>
      <c r="BM452" s="21">
        <v>0</v>
      </c>
      <c r="BN452" s="21">
        <v>0</v>
      </c>
      <c r="BO452" s="21">
        <v>0</v>
      </c>
    </row>
    <row r="453" spans="1:67" x14ac:dyDescent="0.25">
      <c r="A453" s="25" t="s">
        <v>496</v>
      </c>
      <c r="B453" s="9">
        <v>2800</v>
      </c>
      <c r="C453" s="9" t="s">
        <v>496</v>
      </c>
      <c r="D453" s="10">
        <v>2149280528916</v>
      </c>
      <c r="E453" s="10">
        <v>453422653487</v>
      </c>
      <c r="F453" s="10">
        <v>0</v>
      </c>
      <c r="G453" s="10">
        <v>3279194951</v>
      </c>
      <c r="H453" s="10">
        <v>2605982377354</v>
      </c>
      <c r="I453" s="10">
        <v>190713695288</v>
      </c>
      <c r="J453" s="10">
        <v>15418464487</v>
      </c>
      <c r="K453" s="10">
        <v>2399850217579</v>
      </c>
      <c r="L453" s="10">
        <v>2428190090827</v>
      </c>
      <c r="M453" s="10">
        <v>177792286527</v>
      </c>
      <c r="N453" s="46">
        <v>7.3220085692074877</v>
      </c>
      <c r="O453" s="10">
        <v>6363201405793</v>
      </c>
      <c r="P453" s="11">
        <v>344.1</v>
      </c>
      <c r="Q453" s="11">
        <v>265.14999999999998</v>
      </c>
      <c r="R453" s="11">
        <v>0.9</v>
      </c>
      <c r="S453" s="10">
        <v>8612076237698</v>
      </c>
      <c r="T453" s="10">
        <v>57223948826</v>
      </c>
      <c r="U453" s="10">
        <v>44754647866</v>
      </c>
      <c r="V453" s="10">
        <v>3148175154</v>
      </c>
      <c r="W453" s="10">
        <v>9321125806</v>
      </c>
      <c r="X453" s="10">
        <v>8669300186524</v>
      </c>
      <c r="Y453" s="10">
        <v>23241300679</v>
      </c>
      <c r="Z453" s="10">
        <v>273508899287</v>
      </c>
      <c r="AA453" s="10">
        <v>24381192941</v>
      </c>
      <c r="AB453" s="10">
        <v>8967190278752</v>
      </c>
      <c r="AC453" s="10">
        <v>6382879853205</v>
      </c>
      <c r="AD453" s="46">
        <v>35.821140079441292</v>
      </c>
      <c r="AE453" s="10">
        <v>5438335355743</v>
      </c>
      <c r="AF453" s="10">
        <v>5353799355743</v>
      </c>
      <c r="AG453" s="10">
        <v>317561481127</v>
      </c>
      <c r="AH453" s="10">
        <v>267741800182</v>
      </c>
      <c r="AI453" s="10">
        <v>13820127123</v>
      </c>
      <c r="AJ453" s="10">
        <v>33330000000</v>
      </c>
      <c r="AK453" s="10">
        <v>0</v>
      </c>
      <c r="AL453" s="11">
        <v>5</v>
      </c>
      <c r="AM453" s="10">
        <v>550676500000</v>
      </c>
      <c r="AN453" s="11">
        <v>350</v>
      </c>
      <c r="AO453" s="10">
        <v>3808823620685</v>
      </c>
      <c r="AP453" s="12">
        <v>347</v>
      </c>
      <c r="AQ453" s="10">
        <v>4197661399213</v>
      </c>
      <c r="AR453" s="10">
        <v>57223948826</v>
      </c>
      <c r="AS453" s="10">
        <v>15140534517</v>
      </c>
      <c r="AT453" s="10">
        <v>42083414309</v>
      </c>
      <c r="AU453" s="11">
        <v>277.95</v>
      </c>
      <c r="AV453" s="10">
        <v>3623236158073</v>
      </c>
      <c r="AW453" s="10">
        <v>399166228936</v>
      </c>
      <c r="AX453" s="10">
        <v>770126552528</v>
      </c>
      <c r="AY453" s="10">
        <v>458238951712</v>
      </c>
      <c r="AZ453" s="10">
        <v>530572724676</v>
      </c>
      <c r="BA453" s="10">
        <v>390342300000</v>
      </c>
      <c r="BB453" s="10">
        <v>225817922086</v>
      </c>
      <c r="BC453" s="10">
        <v>2605982377354</v>
      </c>
      <c r="BD453" s="12">
        <v>94628</v>
      </c>
      <c r="BE453" s="10">
        <v>1572853747995</v>
      </c>
      <c r="BF453" s="10">
        <v>530296724676</v>
      </c>
      <c r="BG453" s="10">
        <v>502831904683</v>
      </c>
      <c r="BH453" s="10">
        <v>4392111472552</v>
      </c>
      <c r="BI453" s="10">
        <v>1046223883191</v>
      </c>
      <c r="BJ453" s="10">
        <v>0</v>
      </c>
      <c r="BK453" s="10">
        <v>0</v>
      </c>
      <c r="BL453" s="10">
        <v>317561481127</v>
      </c>
      <c r="BM453" s="10">
        <v>431118480</v>
      </c>
      <c r="BN453" s="10">
        <v>0</v>
      </c>
      <c r="BO453" s="10">
        <v>267237895943</v>
      </c>
    </row>
    <row r="454" spans="1:67" x14ac:dyDescent="0.25">
      <c r="A454" s="25" t="s">
        <v>496</v>
      </c>
      <c r="B454" s="9">
        <v>2801</v>
      </c>
      <c r="C454" s="9" t="s">
        <v>497</v>
      </c>
      <c r="D454" s="10">
        <v>2132241251744</v>
      </c>
      <c r="E454" s="10">
        <v>116732801699</v>
      </c>
      <c r="F454" s="10">
        <v>0</v>
      </c>
      <c r="G454" s="10">
        <v>0</v>
      </c>
      <c r="H454" s="10">
        <v>2248974053443</v>
      </c>
      <c r="I454" s="10">
        <v>144858046709</v>
      </c>
      <c r="J454" s="10">
        <v>4063997164</v>
      </c>
      <c r="K454" s="10">
        <v>2100052009570</v>
      </c>
      <c r="L454" s="10">
        <v>1826403290982</v>
      </c>
      <c r="M454" s="10">
        <v>422570762461</v>
      </c>
      <c r="N454" s="46">
        <v>23.136771848116684</v>
      </c>
      <c r="O454" s="10">
        <v>1478972834136</v>
      </c>
      <c r="P454" s="11">
        <v>71.52</v>
      </c>
      <c r="Q454" s="11">
        <v>70.430000000000007</v>
      </c>
      <c r="R454" s="11">
        <v>0.99</v>
      </c>
      <c r="S454" s="10">
        <v>1455442045350</v>
      </c>
      <c r="T454" s="10">
        <v>14879219770</v>
      </c>
      <c r="U454" s="10">
        <v>12332096766</v>
      </c>
      <c r="V454" s="10">
        <v>2547123004</v>
      </c>
      <c r="W454" s="10">
        <v>0</v>
      </c>
      <c r="X454" s="10">
        <v>1470321265120</v>
      </c>
      <c r="Y454" s="10">
        <v>1013461218</v>
      </c>
      <c r="Z454" s="10">
        <v>126307555125</v>
      </c>
      <c r="AA454" s="10">
        <v>11769856700</v>
      </c>
      <c r="AB454" s="10">
        <v>1608398676945</v>
      </c>
      <c r="AC454" s="10">
        <v>1390817017912</v>
      </c>
      <c r="AD454" s="46">
        <v>5.7163700317211967</v>
      </c>
      <c r="AE454" s="10">
        <v>799538479998</v>
      </c>
      <c r="AF454" s="10">
        <v>799538479998</v>
      </c>
      <c r="AG454" s="10">
        <v>0</v>
      </c>
      <c r="AH454" s="10">
        <v>1209600000</v>
      </c>
      <c r="AI454" s="10">
        <v>9726168566</v>
      </c>
      <c r="AJ454" s="10">
        <v>100000000000</v>
      </c>
      <c r="AK454" s="10">
        <v>3009992739</v>
      </c>
      <c r="AL454" s="11">
        <v>0</v>
      </c>
      <c r="AM454" s="10">
        <v>0</v>
      </c>
      <c r="AN454" s="11">
        <v>62</v>
      </c>
      <c r="AO454" s="10">
        <v>459018182916</v>
      </c>
      <c r="AP454" s="12">
        <v>77</v>
      </c>
      <c r="AQ454" s="10">
        <v>552310350342</v>
      </c>
      <c r="AR454" s="10">
        <v>14879219770</v>
      </c>
      <c r="AS454" s="10">
        <v>29537983303</v>
      </c>
      <c r="AT454" s="10">
        <v>-14658763533</v>
      </c>
      <c r="AU454" s="11">
        <v>-49.63</v>
      </c>
      <c r="AV454" s="10">
        <v>681294988106</v>
      </c>
      <c r="AW454" s="10">
        <v>192769134068</v>
      </c>
      <c r="AX454" s="10">
        <v>675172198751</v>
      </c>
      <c r="AY454" s="10">
        <v>482663333576</v>
      </c>
      <c r="AZ454" s="10">
        <v>482372219417</v>
      </c>
      <c r="BA454" s="10">
        <v>492033500000</v>
      </c>
      <c r="BB454" s="10">
        <v>295324368563</v>
      </c>
      <c r="BC454" s="10">
        <v>2248974053443</v>
      </c>
      <c r="BD454" s="12">
        <v>64810</v>
      </c>
      <c r="BE454" s="10">
        <v>1274261872142</v>
      </c>
      <c r="BF454" s="10">
        <v>482372219417</v>
      </c>
      <c r="BG454" s="10">
        <v>492339961884</v>
      </c>
      <c r="BH454" s="10">
        <v>535108479998</v>
      </c>
      <c r="BI454" s="10">
        <v>264430000000</v>
      </c>
      <c r="BJ454" s="10">
        <v>0</v>
      </c>
      <c r="BK454" s="10">
        <v>0</v>
      </c>
      <c r="BL454" s="10">
        <v>0</v>
      </c>
      <c r="BM454" s="10">
        <v>0</v>
      </c>
      <c r="BN454" s="10">
        <v>0</v>
      </c>
      <c r="BO454" s="10">
        <v>1209600000</v>
      </c>
    </row>
    <row r="455" spans="1:67" x14ac:dyDescent="0.25">
      <c r="A455" s="25" t="s">
        <v>496</v>
      </c>
      <c r="B455" s="9">
        <v>2802</v>
      </c>
      <c r="C455" s="9" t="s">
        <v>498</v>
      </c>
      <c r="D455" s="10">
        <v>2166364775194</v>
      </c>
      <c r="E455" s="10">
        <v>96394915812</v>
      </c>
      <c r="F455" s="10">
        <v>0</v>
      </c>
      <c r="G455" s="10">
        <v>0</v>
      </c>
      <c r="H455" s="10">
        <v>2262759691006</v>
      </c>
      <c r="I455" s="10">
        <v>170284551224</v>
      </c>
      <c r="J455" s="10">
        <v>18437642927</v>
      </c>
      <c r="K455" s="10">
        <v>2074037496855</v>
      </c>
      <c r="L455" s="10">
        <v>1467217368404</v>
      </c>
      <c r="M455" s="10">
        <v>795542322602</v>
      </c>
      <c r="N455" s="46">
        <v>54.221163116912244</v>
      </c>
      <c r="O455" s="10">
        <v>963944402950</v>
      </c>
      <c r="P455" s="11">
        <v>47.9</v>
      </c>
      <c r="Q455" s="11">
        <v>46.48</v>
      </c>
      <c r="R455" s="11">
        <v>1.18</v>
      </c>
      <c r="S455" s="10">
        <v>1013031911701</v>
      </c>
      <c r="T455" s="10">
        <v>6863992362</v>
      </c>
      <c r="U455" s="10">
        <v>4344190526</v>
      </c>
      <c r="V455" s="10">
        <v>1135089856</v>
      </c>
      <c r="W455" s="10">
        <v>1384711980</v>
      </c>
      <c r="X455" s="10">
        <v>1019895904063</v>
      </c>
      <c r="Y455" s="10">
        <v>5967881912</v>
      </c>
      <c r="Z455" s="10">
        <v>58000386465</v>
      </c>
      <c r="AA455" s="10">
        <v>6000000000</v>
      </c>
      <c r="AB455" s="10">
        <v>1083896290528</v>
      </c>
      <c r="AC455" s="10">
        <v>724247731852</v>
      </c>
      <c r="AD455" s="46">
        <v>40.821414994975186</v>
      </c>
      <c r="AE455" s="10">
        <v>664009257800</v>
      </c>
      <c r="AF455" s="10">
        <v>660679257800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1">
        <v>0</v>
      </c>
      <c r="AM455" s="10">
        <v>0</v>
      </c>
      <c r="AN455" s="11">
        <v>107</v>
      </c>
      <c r="AO455" s="10">
        <v>1023279600535</v>
      </c>
      <c r="AP455" s="12">
        <v>35</v>
      </c>
      <c r="AQ455" s="10">
        <v>150421184419</v>
      </c>
      <c r="AR455" s="10">
        <v>6863992362</v>
      </c>
      <c r="AS455" s="10">
        <v>32727846365</v>
      </c>
      <c r="AT455" s="10">
        <v>-25863854003</v>
      </c>
      <c r="AU455" s="11">
        <v>-79.03</v>
      </c>
      <c r="AV455" s="10">
        <v>347206546743</v>
      </c>
      <c r="AW455" s="10">
        <v>108594049446</v>
      </c>
      <c r="AX455" s="10">
        <v>98481967136</v>
      </c>
      <c r="AY455" s="10">
        <v>326671169563</v>
      </c>
      <c r="AZ455" s="10">
        <v>259790138495</v>
      </c>
      <c r="BA455" s="10">
        <v>1481421500000</v>
      </c>
      <c r="BB455" s="10">
        <v>151016342182</v>
      </c>
      <c r="BC455" s="10">
        <v>2262759691006</v>
      </c>
      <c r="BD455" s="12">
        <v>112737</v>
      </c>
      <c r="BE455" s="10">
        <v>521548052511</v>
      </c>
      <c r="BF455" s="10">
        <v>259790138495</v>
      </c>
      <c r="BG455" s="10">
        <v>1481421500000</v>
      </c>
      <c r="BH455" s="10">
        <v>601559532800</v>
      </c>
      <c r="BI455" s="10">
        <v>62449725000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</row>
    <row r="456" spans="1:67" x14ac:dyDescent="0.25">
      <c r="A456" s="25" t="s">
        <v>496</v>
      </c>
      <c r="B456" s="9">
        <v>2803</v>
      </c>
      <c r="C456" s="9" t="s">
        <v>499</v>
      </c>
      <c r="D456" s="10">
        <v>631592603956</v>
      </c>
      <c r="E456" s="10">
        <v>14401782996</v>
      </c>
      <c r="F456" s="10">
        <v>0</v>
      </c>
      <c r="G456" s="10">
        <v>0</v>
      </c>
      <c r="H456" s="10">
        <v>645994386952</v>
      </c>
      <c r="I456" s="10">
        <v>56719138639</v>
      </c>
      <c r="J456" s="10">
        <v>2012824103</v>
      </c>
      <c r="K456" s="10">
        <v>587262424210</v>
      </c>
      <c r="L456" s="10">
        <v>559875746034</v>
      </c>
      <c r="M456" s="10">
        <v>86118640918</v>
      </c>
      <c r="N456" s="46">
        <v>15.381741668225471</v>
      </c>
      <c r="O456" s="10">
        <v>446014101733</v>
      </c>
      <c r="P456" s="11">
        <v>76.44</v>
      </c>
      <c r="Q456" s="11">
        <v>75.95</v>
      </c>
      <c r="R456" s="11">
        <v>2.5299999999999998</v>
      </c>
      <c r="S456" s="10">
        <v>464220325340</v>
      </c>
      <c r="T456" s="10">
        <v>12169270812</v>
      </c>
      <c r="U456" s="10">
        <v>6758046675</v>
      </c>
      <c r="V456" s="10">
        <v>2025477602</v>
      </c>
      <c r="W456" s="10">
        <v>3385746535</v>
      </c>
      <c r="X456" s="10">
        <v>476389596152</v>
      </c>
      <c r="Y456" s="10">
        <v>305989494</v>
      </c>
      <c r="Z456" s="10">
        <v>15181966284</v>
      </c>
      <c r="AA456" s="10">
        <v>2250000000</v>
      </c>
      <c r="AB456" s="10">
        <v>493821562436</v>
      </c>
      <c r="AC456" s="10">
        <v>453076872936</v>
      </c>
      <c r="AD456" s="46">
        <v>5.1454233505520532</v>
      </c>
      <c r="AE456" s="10">
        <v>200258161644</v>
      </c>
      <c r="AF456" s="10">
        <v>184214161644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1">
        <v>0</v>
      </c>
      <c r="AM456" s="10">
        <v>0</v>
      </c>
      <c r="AN456" s="11">
        <v>25</v>
      </c>
      <c r="AO456" s="10">
        <v>99773496421</v>
      </c>
      <c r="AP456" s="12">
        <v>11</v>
      </c>
      <c r="AQ456" s="10">
        <v>34934948466</v>
      </c>
      <c r="AR456" s="10">
        <v>12169270812</v>
      </c>
      <c r="AS456" s="10">
        <v>10569218775</v>
      </c>
      <c r="AT456" s="10">
        <v>1600052037</v>
      </c>
      <c r="AU456" s="13">
        <v>15.14</v>
      </c>
      <c r="AV456" s="10">
        <v>159969279303</v>
      </c>
      <c r="AW456" s="10">
        <v>41829046531</v>
      </c>
      <c r="AX456" s="10">
        <v>86352355509</v>
      </c>
      <c r="AY456" s="10">
        <v>227197991390</v>
      </c>
      <c r="AZ456" s="10">
        <v>126906257057</v>
      </c>
      <c r="BA456" s="10">
        <v>191136000000</v>
      </c>
      <c r="BB456" s="10">
        <v>69930925094</v>
      </c>
      <c r="BC456" s="10">
        <v>645994386952</v>
      </c>
      <c r="BD456" s="12">
        <v>153514</v>
      </c>
      <c r="BE456" s="10">
        <v>327952129895</v>
      </c>
      <c r="BF456" s="10">
        <v>126906257057</v>
      </c>
      <c r="BG456" s="10">
        <v>191136000000</v>
      </c>
      <c r="BH456" s="10">
        <v>192358161644</v>
      </c>
      <c r="BI456" s="10">
        <v>7900000000</v>
      </c>
      <c r="BJ456" s="10">
        <v>0</v>
      </c>
      <c r="BK456" s="10">
        <v>0</v>
      </c>
      <c r="BL456" s="10">
        <v>0</v>
      </c>
      <c r="BM456" s="10">
        <v>0</v>
      </c>
      <c r="BN456" s="10">
        <v>0</v>
      </c>
      <c r="BO456" s="10">
        <v>0</v>
      </c>
    </row>
    <row r="457" spans="1:67" x14ac:dyDescent="0.25">
      <c r="A457" s="25" t="s">
        <v>496</v>
      </c>
      <c r="B457" s="9">
        <v>2804</v>
      </c>
      <c r="C457" s="9" t="s">
        <v>500</v>
      </c>
      <c r="D457" s="10">
        <v>1624222136676</v>
      </c>
      <c r="E457" s="10">
        <v>253932735956</v>
      </c>
      <c r="F457" s="10">
        <v>0</v>
      </c>
      <c r="G457" s="10">
        <v>0</v>
      </c>
      <c r="H457" s="10">
        <v>1878154872632</v>
      </c>
      <c r="I457" s="10">
        <v>114099879478</v>
      </c>
      <c r="J457" s="10">
        <v>15685349600</v>
      </c>
      <c r="K457" s="10">
        <v>1748369643554</v>
      </c>
      <c r="L457" s="10">
        <v>1570975044307</v>
      </c>
      <c r="M457" s="10">
        <v>307179828325</v>
      </c>
      <c r="N457" s="46">
        <v>19.55345054258996</v>
      </c>
      <c r="O457" s="10">
        <v>2582353210033</v>
      </c>
      <c r="P457" s="11">
        <v>156.54</v>
      </c>
      <c r="Q457" s="11">
        <v>147.69999999999999</v>
      </c>
      <c r="R457" s="11">
        <v>2.7</v>
      </c>
      <c r="S457" s="10">
        <v>2707452442492</v>
      </c>
      <c r="T457" s="10">
        <v>76158296850</v>
      </c>
      <c r="U457" s="10">
        <v>51913851448</v>
      </c>
      <c r="V457" s="10">
        <v>14287381040</v>
      </c>
      <c r="W457" s="10">
        <v>9957064362</v>
      </c>
      <c r="X457" s="10">
        <v>2783610739342</v>
      </c>
      <c r="Y457" s="10">
        <v>3212776431</v>
      </c>
      <c r="Z457" s="10">
        <v>147055717007</v>
      </c>
      <c r="AA457" s="10">
        <v>9486603516</v>
      </c>
      <c r="AB457" s="10">
        <v>2940153059865</v>
      </c>
      <c r="AC457" s="10">
        <v>1487103130027</v>
      </c>
      <c r="AD457" s="46">
        <v>87.183436248396603</v>
      </c>
      <c r="AE457" s="10">
        <v>2556843158463</v>
      </c>
      <c r="AF457" s="10">
        <v>2441759129698</v>
      </c>
      <c r="AG457" s="10">
        <v>0</v>
      </c>
      <c r="AH457" s="10">
        <v>4483874215</v>
      </c>
      <c r="AI457" s="10">
        <v>186033342205</v>
      </c>
      <c r="AJ457" s="10">
        <v>0</v>
      </c>
      <c r="AK457" s="10">
        <v>0</v>
      </c>
      <c r="AL457" s="11">
        <v>0</v>
      </c>
      <c r="AM457" s="10">
        <v>0</v>
      </c>
      <c r="AN457" s="11">
        <v>662</v>
      </c>
      <c r="AO457" s="10">
        <v>3799104955453</v>
      </c>
      <c r="AP457" s="12">
        <v>623</v>
      </c>
      <c r="AQ457" s="10">
        <v>2050649194002</v>
      </c>
      <c r="AR457" s="10">
        <v>76158296850</v>
      </c>
      <c r="AS457" s="10">
        <v>57588792853</v>
      </c>
      <c r="AT457" s="10">
        <v>18569503997</v>
      </c>
      <c r="AU457" s="11">
        <v>32.24</v>
      </c>
      <c r="AV457" s="10">
        <v>1194591200150</v>
      </c>
      <c r="AW457" s="10">
        <v>616455569709</v>
      </c>
      <c r="AX457" s="10">
        <v>431720301912</v>
      </c>
      <c r="AY457" s="10">
        <v>420125787552</v>
      </c>
      <c r="AZ457" s="10">
        <v>527648497212</v>
      </c>
      <c r="BA457" s="10">
        <v>244727550000</v>
      </c>
      <c r="BB457" s="10">
        <v>472403708709</v>
      </c>
      <c r="BC457" s="10">
        <v>1878154872632</v>
      </c>
      <c r="BD457" s="12">
        <v>114135</v>
      </c>
      <c r="BE457" s="10">
        <v>1099766283410</v>
      </c>
      <c r="BF457" s="10">
        <v>527648497212</v>
      </c>
      <c r="BG457" s="10">
        <v>250740092010</v>
      </c>
      <c r="BH457" s="10">
        <v>1996933314007</v>
      </c>
      <c r="BI457" s="10">
        <v>559909844456</v>
      </c>
      <c r="BJ457" s="10">
        <v>0</v>
      </c>
      <c r="BK457" s="10">
        <v>0</v>
      </c>
      <c r="BL457" s="10">
        <v>0</v>
      </c>
      <c r="BM457" s="10">
        <v>0</v>
      </c>
      <c r="BN457" s="10">
        <v>922500000</v>
      </c>
      <c r="BO457" s="10">
        <v>4483874215</v>
      </c>
    </row>
    <row r="458" spans="1:67" x14ac:dyDescent="0.25">
      <c r="A458" s="25" t="s">
        <v>496</v>
      </c>
      <c r="B458" s="9">
        <v>2805</v>
      </c>
      <c r="C458" s="9" t="s">
        <v>501</v>
      </c>
      <c r="D458" s="10">
        <v>2002304834787</v>
      </c>
      <c r="E458" s="10">
        <v>148599715262</v>
      </c>
      <c r="F458" s="10">
        <v>0</v>
      </c>
      <c r="G458" s="10">
        <v>0</v>
      </c>
      <c r="H458" s="10">
        <v>2150904550049</v>
      </c>
      <c r="I458" s="10">
        <v>141930656673</v>
      </c>
      <c r="J458" s="10">
        <v>20201838117</v>
      </c>
      <c r="K458" s="10">
        <v>1988772055259</v>
      </c>
      <c r="L458" s="10">
        <v>1644607076613</v>
      </c>
      <c r="M458" s="10">
        <v>506297473436</v>
      </c>
      <c r="N458" s="46">
        <v>30.785315266835568</v>
      </c>
      <c r="O458" s="10">
        <v>1087773067192</v>
      </c>
      <c r="P458" s="11">
        <v>54.94</v>
      </c>
      <c r="Q458" s="11">
        <v>54.7</v>
      </c>
      <c r="R458" s="11">
        <v>1.49</v>
      </c>
      <c r="S458" s="10">
        <v>1115987387452</v>
      </c>
      <c r="T458" s="10">
        <v>14827933755</v>
      </c>
      <c r="U458" s="10">
        <v>12340672730</v>
      </c>
      <c r="V458" s="10">
        <v>2326987834</v>
      </c>
      <c r="W458" s="10">
        <v>160273191</v>
      </c>
      <c r="X458" s="10">
        <v>1130815321207</v>
      </c>
      <c r="Y458" s="10">
        <v>2746542580</v>
      </c>
      <c r="Z458" s="10">
        <v>43360195324</v>
      </c>
      <c r="AA458" s="10">
        <v>7460413432</v>
      </c>
      <c r="AB458" s="10">
        <v>1181635929963</v>
      </c>
      <c r="AC458" s="10">
        <v>917012702573</v>
      </c>
      <c r="AD458" s="46">
        <v>23.31512072123995</v>
      </c>
      <c r="AE458" s="10">
        <v>649226267692</v>
      </c>
      <c r="AF458" s="10">
        <v>636058267692</v>
      </c>
      <c r="AG458" s="10">
        <v>30314196000</v>
      </c>
      <c r="AH458" s="10">
        <v>206425800</v>
      </c>
      <c r="AI458" s="10">
        <v>15876222146</v>
      </c>
      <c r="AJ458" s="10">
        <v>0</v>
      </c>
      <c r="AK458" s="10">
        <v>0</v>
      </c>
      <c r="AL458" s="11">
        <v>3</v>
      </c>
      <c r="AM458" s="10">
        <v>121995764282</v>
      </c>
      <c r="AN458" s="11">
        <v>139</v>
      </c>
      <c r="AO458" s="10">
        <v>1380653289627</v>
      </c>
      <c r="AP458" s="12">
        <v>57</v>
      </c>
      <c r="AQ458" s="10">
        <v>465122309023</v>
      </c>
      <c r="AR458" s="10">
        <v>14827933755</v>
      </c>
      <c r="AS458" s="10">
        <v>10267790936</v>
      </c>
      <c r="AT458" s="10">
        <v>4560142819</v>
      </c>
      <c r="AU458" s="13">
        <v>44.41</v>
      </c>
      <c r="AV458" s="10">
        <v>415178089498</v>
      </c>
      <c r="AW458" s="10">
        <v>105872661120</v>
      </c>
      <c r="AX458" s="10">
        <v>366804983444</v>
      </c>
      <c r="AY458" s="10">
        <v>439907291739</v>
      </c>
      <c r="AZ458" s="10">
        <v>399374057550</v>
      </c>
      <c r="BA458" s="10">
        <v>796218502054</v>
      </c>
      <c r="BB458" s="10">
        <v>302133834278</v>
      </c>
      <c r="BC458" s="10">
        <v>2150904550049</v>
      </c>
      <c r="BD458" s="12">
        <v>81204</v>
      </c>
      <c r="BE458" s="10">
        <v>955311990445</v>
      </c>
      <c r="BF458" s="10">
        <v>399374057550</v>
      </c>
      <c r="BG458" s="10">
        <v>796218502054</v>
      </c>
      <c r="BH458" s="10">
        <v>534609695892</v>
      </c>
      <c r="BI458" s="10">
        <v>114616571800</v>
      </c>
      <c r="BJ458" s="10">
        <v>0</v>
      </c>
      <c r="BK458" s="10">
        <v>0</v>
      </c>
      <c r="BL458" s="10">
        <v>30314196000</v>
      </c>
      <c r="BM458" s="10">
        <v>0</v>
      </c>
      <c r="BN458" s="10">
        <v>0</v>
      </c>
      <c r="BO458" s="10">
        <v>206425800</v>
      </c>
    </row>
    <row r="459" spans="1:67" x14ac:dyDescent="0.25">
      <c r="A459" s="25" t="s">
        <v>496</v>
      </c>
      <c r="B459" s="9">
        <v>2806</v>
      </c>
      <c r="C459" s="9" t="s">
        <v>502</v>
      </c>
      <c r="D459" s="10">
        <v>4160586319774</v>
      </c>
      <c r="E459" s="10">
        <v>118917780880</v>
      </c>
      <c r="F459" s="10">
        <v>0</v>
      </c>
      <c r="G459" s="10">
        <v>0</v>
      </c>
      <c r="H459" s="10">
        <v>4279504100654</v>
      </c>
      <c r="I459" s="10">
        <v>336645837569</v>
      </c>
      <c r="J459" s="10">
        <v>3746539712</v>
      </c>
      <c r="K459" s="10">
        <v>3939111723373</v>
      </c>
      <c r="L459" s="10">
        <v>3598015145122</v>
      </c>
      <c r="M459" s="10">
        <v>681488955532</v>
      </c>
      <c r="N459" s="46">
        <v>18.940691688191666</v>
      </c>
      <c r="O459" s="10">
        <v>1274464748456</v>
      </c>
      <c r="P459" s="11">
        <v>36.07</v>
      </c>
      <c r="Q459" s="11">
        <v>32.35</v>
      </c>
      <c r="R459" s="11">
        <v>0.05</v>
      </c>
      <c r="S459" s="10">
        <v>1431966875508</v>
      </c>
      <c r="T459" s="10">
        <v>632110407</v>
      </c>
      <c r="U459" s="10">
        <v>632110407</v>
      </c>
      <c r="V459" s="10">
        <v>0</v>
      </c>
      <c r="W459" s="10">
        <v>0</v>
      </c>
      <c r="X459" s="10">
        <v>1432598985915</v>
      </c>
      <c r="Y459" s="10">
        <v>78117093</v>
      </c>
      <c r="Z459" s="10">
        <v>93294112245</v>
      </c>
      <c r="AA459" s="10">
        <v>17868090743</v>
      </c>
      <c r="AB459" s="10">
        <v>1543761188903</v>
      </c>
      <c r="AC459" s="10">
        <v>794676257385</v>
      </c>
      <c r="AD459" s="46">
        <v>80.274542318551113</v>
      </c>
      <c r="AE459" s="10">
        <v>972431446134</v>
      </c>
      <c r="AF459" s="10">
        <v>966781446134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1">
        <v>1</v>
      </c>
      <c r="AM459" s="10">
        <v>75625000000</v>
      </c>
      <c r="AN459" s="11">
        <v>332</v>
      </c>
      <c r="AO459" s="10">
        <v>2189740848425</v>
      </c>
      <c r="AP459" s="12">
        <v>61</v>
      </c>
      <c r="AQ459" s="10">
        <v>601713029418</v>
      </c>
      <c r="AR459" s="10">
        <v>632110407</v>
      </c>
      <c r="AS459" s="10">
        <v>2078299755</v>
      </c>
      <c r="AT459" s="10">
        <v>-1446189348</v>
      </c>
      <c r="AU459" s="11">
        <v>-69.59</v>
      </c>
      <c r="AV459" s="10">
        <v>374522584113</v>
      </c>
      <c r="AW459" s="10">
        <v>28400112226</v>
      </c>
      <c r="AX459" s="10">
        <v>448848474702</v>
      </c>
      <c r="AY459" s="10">
        <v>632921550967</v>
      </c>
      <c r="AZ459" s="10">
        <v>347872594105</v>
      </c>
      <c r="BA459" s="10">
        <v>2730943700000</v>
      </c>
      <c r="BB459" s="10">
        <v>269806501571</v>
      </c>
      <c r="BC459" s="10">
        <v>4279504100654</v>
      </c>
      <c r="BD459" s="12">
        <v>55474</v>
      </c>
      <c r="BE459" s="10">
        <v>1200687806549</v>
      </c>
      <c r="BF459" s="10">
        <v>347872594105</v>
      </c>
      <c r="BG459" s="10">
        <v>2730943700000</v>
      </c>
      <c r="BH459" s="10">
        <v>867304244134</v>
      </c>
      <c r="BI459" s="10">
        <v>105127202000</v>
      </c>
      <c r="BJ459" s="10">
        <v>0</v>
      </c>
      <c r="BK459" s="10">
        <v>0</v>
      </c>
      <c r="BL459" s="10">
        <v>0</v>
      </c>
      <c r="BM459" s="10">
        <v>0</v>
      </c>
      <c r="BN459" s="10">
        <v>0</v>
      </c>
      <c r="BO459" s="10">
        <v>0</v>
      </c>
    </row>
    <row r="460" spans="1:67" x14ac:dyDescent="0.25">
      <c r="A460" s="25" t="s">
        <v>496</v>
      </c>
      <c r="B460" s="9">
        <v>2807</v>
      </c>
      <c r="C460" s="9" t="s">
        <v>503</v>
      </c>
      <c r="D460" s="10">
        <v>2157084010668</v>
      </c>
      <c r="E460" s="10">
        <v>60391687786</v>
      </c>
      <c r="F460" s="10">
        <v>0</v>
      </c>
      <c r="G460" s="10">
        <v>0</v>
      </c>
      <c r="H460" s="10">
        <v>2217475698454</v>
      </c>
      <c r="I460" s="10">
        <v>118486445338</v>
      </c>
      <c r="J460" s="10">
        <v>3197566315</v>
      </c>
      <c r="K460" s="10">
        <v>2095791686801</v>
      </c>
      <c r="L460" s="10">
        <v>951131401428</v>
      </c>
      <c r="M460" s="10">
        <v>1266344297026</v>
      </c>
      <c r="N460" s="46">
        <v>133.1408357588393</v>
      </c>
      <c r="O460" s="10">
        <v>1739542303344</v>
      </c>
      <c r="P460" s="11">
        <v>88.71</v>
      </c>
      <c r="Q460" s="11">
        <v>83</v>
      </c>
      <c r="R460" s="11">
        <v>0.88</v>
      </c>
      <c r="S460" s="10">
        <v>1878025415595</v>
      </c>
      <c r="T460" s="10">
        <v>12923453934</v>
      </c>
      <c r="U460" s="10">
        <v>8545769342</v>
      </c>
      <c r="V460" s="10">
        <v>2285103569</v>
      </c>
      <c r="W460" s="10">
        <v>2092581023</v>
      </c>
      <c r="X460" s="10">
        <v>1890948869529</v>
      </c>
      <c r="Y460" s="10">
        <v>4427841150</v>
      </c>
      <c r="Z460" s="10">
        <v>69253056121</v>
      </c>
      <c r="AA460" s="10">
        <v>6999980000</v>
      </c>
      <c r="AB460" s="10">
        <v>1967201905650</v>
      </c>
      <c r="AC460" s="10">
        <v>1758744782884</v>
      </c>
      <c r="AD460" s="46">
        <v>7.5169568621668317</v>
      </c>
      <c r="AE460" s="10">
        <v>1030012106436</v>
      </c>
      <c r="AF460" s="10">
        <v>973432106436</v>
      </c>
      <c r="AG460" s="10">
        <v>0</v>
      </c>
      <c r="AH460" s="10">
        <v>43410900</v>
      </c>
      <c r="AI460" s="10">
        <v>51655848189</v>
      </c>
      <c r="AJ460" s="10">
        <v>0</v>
      </c>
      <c r="AK460" s="10">
        <v>0</v>
      </c>
      <c r="AL460" s="11">
        <v>0</v>
      </c>
      <c r="AM460" s="10">
        <v>0</v>
      </c>
      <c r="AN460" s="11">
        <v>107</v>
      </c>
      <c r="AO460" s="10">
        <v>746672815198</v>
      </c>
      <c r="AP460" s="12">
        <v>86</v>
      </c>
      <c r="AQ460" s="10">
        <v>348479827893</v>
      </c>
      <c r="AR460" s="10">
        <v>12923453934</v>
      </c>
      <c r="AS460" s="10">
        <v>34823419582</v>
      </c>
      <c r="AT460" s="10">
        <v>-21899965648</v>
      </c>
      <c r="AU460" s="13">
        <v>-62.89</v>
      </c>
      <c r="AV460" s="10">
        <v>761879892183</v>
      </c>
      <c r="AW460" s="10">
        <v>127807872562</v>
      </c>
      <c r="AX460" s="10">
        <v>199972372862</v>
      </c>
      <c r="AY460" s="10">
        <v>765898658508</v>
      </c>
      <c r="AZ460" s="10">
        <v>873416279298</v>
      </c>
      <c r="BA460" s="10">
        <v>317796700000</v>
      </c>
      <c r="BB460" s="10">
        <v>813146452250</v>
      </c>
      <c r="BC460" s="10">
        <v>2217475698454</v>
      </c>
      <c r="BD460" s="12">
        <v>64560</v>
      </c>
      <c r="BE460" s="10">
        <v>1026262719156</v>
      </c>
      <c r="BF460" s="10">
        <v>873416279298</v>
      </c>
      <c r="BG460" s="10">
        <v>317796700000</v>
      </c>
      <c r="BH460" s="10">
        <v>756919655536</v>
      </c>
      <c r="BI460" s="10">
        <v>273092450900</v>
      </c>
      <c r="BJ460" s="10">
        <v>0</v>
      </c>
      <c r="BK460" s="10">
        <v>0</v>
      </c>
      <c r="BL460" s="10">
        <v>0</v>
      </c>
      <c r="BM460" s="10">
        <v>0</v>
      </c>
      <c r="BN460" s="10">
        <v>0</v>
      </c>
      <c r="BO460" s="10">
        <v>43410900</v>
      </c>
    </row>
    <row r="461" spans="1:67" x14ac:dyDescent="0.25">
      <c r="A461" s="25" t="s">
        <v>496</v>
      </c>
      <c r="B461" s="9">
        <v>2808</v>
      </c>
      <c r="C461" s="9" t="s">
        <v>504</v>
      </c>
      <c r="D461" s="10">
        <v>1056928657045</v>
      </c>
      <c r="E461" s="10">
        <v>182386549287</v>
      </c>
      <c r="F461" s="10">
        <v>0</v>
      </c>
      <c r="G461" s="10">
        <v>0</v>
      </c>
      <c r="H461" s="10">
        <v>1239315206332</v>
      </c>
      <c r="I461" s="10">
        <v>67215408699</v>
      </c>
      <c r="J461" s="10">
        <v>5154392470</v>
      </c>
      <c r="K461" s="10">
        <v>1166945405163</v>
      </c>
      <c r="L461" s="10">
        <v>937724567135</v>
      </c>
      <c r="M461" s="10">
        <v>301590639197</v>
      </c>
      <c r="N461" s="46">
        <v>32.161964159522903</v>
      </c>
      <c r="O461" s="10">
        <v>902617342361</v>
      </c>
      <c r="P461" s="11">
        <v>83.85</v>
      </c>
      <c r="Q461" s="11">
        <v>77.349999999999994</v>
      </c>
      <c r="R461" s="11">
        <v>1.89</v>
      </c>
      <c r="S461" s="10">
        <v>927597102197</v>
      </c>
      <c r="T461" s="10">
        <v>19354997814</v>
      </c>
      <c r="U461" s="10">
        <v>11163063022</v>
      </c>
      <c r="V461" s="10">
        <v>6159123739</v>
      </c>
      <c r="W461" s="10">
        <v>2032811053</v>
      </c>
      <c r="X461" s="10">
        <v>946952100011</v>
      </c>
      <c r="Y461" s="10">
        <v>233638551</v>
      </c>
      <c r="Z461" s="10">
        <v>69759734392</v>
      </c>
      <c r="AA461" s="10">
        <v>22439192393</v>
      </c>
      <c r="AB461" s="10">
        <v>1039151026796</v>
      </c>
      <c r="AC461" s="10">
        <v>902346962995</v>
      </c>
      <c r="AD461" s="46">
        <v>4.9432356782085343</v>
      </c>
      <c r="AE461" s="10">
        <v>1075121978762</v>
      </c>
      <c r="AF461" s="10">
        <v>1071791978762</v>
      </c>
      <c r="AG461" s="10">
        <v>405928193790</v>
      </c>
      <c r="AH461" s="10">
        <v>0</v>
      </c>
      <c r="AI461" s="10">
        <v>40692247861</v>
      </c>
      <c r="AJ461" s="10">
        <v>0</v>
      </c>
      <c r="AK461" s="10">
        <v>0</v>
      </c>
      <c r="AL461" s="11">
        <v>6</v>
      </c>
      <c r="AM461" s="10">
        <v>778364060868</v>
      </c>
      <c r="AN461" s="11">
        <v>212</v>
      </c>
      <c r="AO461" s="10">
        <v>2325302463454</v>
      </c>
      <c r="AP461" s="12">
        <v>149</v>
      </c>
      <c r="AQ461" s="10">
        <v>7583283331806</v>
      </c>
      <c r="AR461" s="10">
        <v>19354997814</v>
      </c>
      <c r="AS461" s="10">
        <v>6686169993</v>
      </c>
      <c r="AT461" s="10">
        <v>12668827821</v>
      </c>
      <c r="AU461" s="11">
        <v>189.48</v>
      </c>
      <c r="AV461" s="10">
        <v>1029383489788</v>
      </c>
      <c r="AW461" s="10">
        <v>585108177493</v>
      </c>
      <c r="AX461" s="10">
        <v>341322301989</v>
      </c>
      <c r="AY461" s="10">
        <v>142067873553</v>
      </c>
      <c r="AZ461" s="10">
        <v>345617181503</v>
      </c>
      <c r="BA461" s="10">
        <v>227921300000</v>
      </c>
      <c r="BB461" s="10">
        <v>325017161190</v>
      </c>
      <c r="BC461" s="10">
        <v>1239315206332</v>
      </c>
      <c r="BD461" s="12">
        <v>40053</v>
      </c>
      <c r="BE461" s="10">
        <v>665776724829</v>
      </c>
      <c r="BF461" s="10">
        <v>345617181503</v>
      </c>
      <c r="BG461" s="10">
        <v>227921300000</v>
      </c>
      <c r="BH461" s="10">
        <v>674541507148</v>
      </c>
      <c r="BI461" s="10">
        <v>400580471614</v>
      </c>
      <c r="BJ461" s="10">
        <v>0</v>
      </c>
      <c r="BK461" s="10">
        <v>0</v>
      </c>
      <c r="BL461" s="10">
        <v>405928193790</v>
      </c>
      <c r="BM461" s="10">
        <v>0</v>
      </c>
      <c r="BN461" s="10">
        <v>0</v>
      </c>
      <c r="BO461" s="10">
        <v>0</v>
      </c>
    </row>
    <row r="462" spans="1:67" x14ac:dyDescent="0.25">
      <c r="A462" s="25" t="s">
        <v>496</v>
      </c>
      <c r="B462" s="9">
        <v>2809</v>
      </c>
      <c r="C462" s="9" t="s">
        <v>505</v>
      </c>
      <c r="D462" s="10">
        <v>677687829280</v>
      </c>
      <c r="E462" s="10">
        <v>20856966367</v>
      </c>
      <c r="F462" s="10">
        <v>0</v>
      </c>
      <c r="G462" s="10">
        <v>0</v>
      </c>
      <c r="H462" s="10">
        <v>698544795647</v>
      </c>
      <c r="I462" s="10">
        <v>47848617933</v>
      </c>
      <c r="J462" s="10">
        <v>2185614139</v>
      </c>
      <c r="K462" s="10">
        <v>648510563575</v>
      </c>
      <c r="L462" s="10">
        <v>713367917411</v>
      </c>
      <c r="M462" s="10">
        <v>-14823121764</v>
      </c>
      <c r="N462" s="46">
        <v>-2.077906982107776</v>
      </c>
      <c r="O462" s="10">
        <v>1104961946623</v>
      </c>
      <c r="P462" s="11">
        <v>167.15</v>
      </c>
      <c r="Q462" s="11">
        <v>170.38</v>
      </c>
      <c r="R462" s="11">
        <v>4.71</v>
      </c>
      <c r="S462" s="10">
        <v>1075943582031</v>
      </c>
      <c r="T462" s="10">
        <v>50863081120</v>
      </c>
      <c r="U462" s="10">
        <v>19986421312</v>
      </c>
      <c r="V462" s="10">
        <v>22880202537</v>
      </c>
      <c r="W462" s="10">
        <v>7996457271</v>
      </c>
      <c r="X462" s="10">
        <v>1126806663151</v>
      </c>
      <c r="Y462" s="10">
        <v>4135334073</v>
      </c>
      <c r="Z462" s="10">
        <v>36673013893</v>
      </c>
      <c r="AA462" s="10">
        <v>4168810000</v>
      </c>
      <c r="AB462" s="10">
        <v>1167648487044</v>
      </c>
      <c r="AC462" s="10">
        <v>623570655267</v>
      </c>
      <c r="AD462" s="46">
        <v>80.70232356725073</v>
      </c>
      <c r="AE462" s="10">
        <v>706682983120</v>
      </c>
      <c r="AF462" s="10">
        <v>703228679106</v>
      </c>
      <c r="AG462" s="10">
        <v>0</v>
      </c>
      <c r="AH462" s="10">
        <v>4500000000</v>
      </c>
      <c r="AI462" s="10">
        <v>51807840019</v>
      </c>
      <c r="AJ462" s="10">
        <v>0</v>
      </c>
      <c r="AK462" s="10">
        <v>0</v>
      </c>
      <c r="AL462" s="11">
        <v>0</v>
      </c>
      <c r="AM462" s="10">
        <v>0</v>
      </c>
      <c r="AN462" s="11">
        <v>112</v>
      </c>
      <c r="AO462" s="10">
        <v>357779077141</v>
      </c>
      <c r="AP462" s="12">
        <v>13</v>
      </c>
      <c r="AQ462" s="10">
        <v>65488157243</v>
      </c>
      <c r="AR462" s="10">
        <v>50863081120</v>
      </c>
      <c r="AS462" s="10">
        <v>18912568855</v>
      </c>
      <c r="AT462" s="10">
        <v>31950512265</v>
      </c>
      <c r="AU462" s="11">
        <v>168.94</v>
      </c>
      <c r="AV462" s="10">
        <v>216073237806</v>
      </c>
      <c r="AW462" s="10">
        <v>120357925128</v>
      </c>
      <c r="AX462" s="10">
        <v>64723084016</v>
      </c>
      <c r="AY462" s="10">
        <v>311200538911</v>
      </c>
      <c r="AZ462" s="10">
        <v>161156803614</v>
      </c>
      <c r="BA462" s="10">
        <v>140607402739</v>
      </c>
      <c r="BB462" s="10">
        <v>99388867242</v>
      </c>
      <c r="BC462" s="10">
        <v>698544795647</v>
      </c>
      <c r="BD462" s="12">
        <v>24094</v>
      </c>
      <c r="BE462" s="10">
        <v>396780589294</v>
      </c>
      <c r="BF462" s="10">
        <v>161156803614</v>
      </c>
      <c r="BG462" s="10">
        <v>140607402739</v>
      </c>
      <c r="BH462" s="10">
        <v>608764005586</v>
      </c>
      <c r="BI462" s="10">
        <v>97918977534</v>
      </c>
      <c r="BJ462" s="10">
        <v>0</v>
      </c>
      <c r="BK462" s="10">
        <v>0</v>
      </c>
      <c r="BL462" s="10">
        <v>0</v>
      </c>
      <c r="BM462" s="10">
        <v>0</v>
      </c>
      <c r="BN462" s="10">
        <v>0</v>
      </c>
      <c r="BO462" s="10">
        <v>4500000000</v>
      </c>
    </row>
    <row r="463" spans="1:67" x14ac:dyDescent="0.25">
      <c r="A463" s="25" t="s">
        <v>496</v>
      </c>
      <c r="B463" s="9">
        <v>2810</v>
      </c>
      <c r="C463" s="9" t="s">
        <v>506</v>
      </c>
      <c r="D463" s="10">
        <v>764523353967</v>
      </c>
      <c r="E463" s="10">
        <v>6627896556</v>
      </c>
      <c r="F463" s="10">
        <v>0</v>
      </c>
      <c r="G463" s="10">
        <v>0</v>
      </c>
      <c r="H463" s="10">
        <v>771151250523</v>
      </c>
      <c r="I463" s="10">
        <v>51328411862</v>
      </c>
      <c r="J463" s="10">
        <v>3067111973</v>
      </c>
      <c r="K463" s="10">
        <v>716755726688</v>
      </c>
      <c r="L463" s="10">
        <v>570604366346</v>
      </c>
      <c r="M463" s="10">
        <v>200546884177</v>
      </c>
      <c r="N463" s="46">
        <v>35.146398451391001</v>
      </c>
      <c r="O463" s="10">
        <v>640806922226</v>
      </c>
      <c r="P463" s="11">
        <v>95.27</v>
      </c>
      <c r="Q463" s="11">
        <v>89.4</v>
      </c>
      <c r="R463" s="11">
        <v>1.75</v>
      </c>
      <c r="S463" s="10">
        <v>680964269152</v>
      </c>
      <c r="T463" s="10">
        <v>11535944010</v>
      </c>
      <c r="U463" s="10">
        <v>11535944010</v>
      </c>
      <c r="V463" s="10">
        <v>0</v>
      </c>
      <c r="W463" s="10">
        <v>0</v>
      </c>
      <c r="X463" s="10">
        <v>692500213162</v>
      </c>
      <c r="Y463" s="10">
        <v>1293668314</v>
      </c>
      <c r="Z463" s="10">
        <v>29759554985</v>
      </c>
      <c r="AA463" s="10">
        <v>12401209496</v>
      </c>
      <c r="AB463" s="10">
        <v>734660977643</v>
      </c>
      <c r="AC463" s="10">
        <v>571267576916</v>
      </c>
      <c r="AD463" s="46">
        <v>21.221690350514365</v>
      </c>
      <c r="AE463" s="10">
        <v>350343400858</v>
      </c>
      <c r="AF463" s="10">
        <v>350343400858</v>
      </c>
      <c r="AG463" s="10">
        <v>0</v>
      </c>
      <c r="AH463" s="10">
        <v>44606156</v>
      </c>
      <c r="AI463" s="10">
        <v>6526655863</v>
      </c>
      <c r="AJ463" s="10">
        <v>0</v>
      </c>
      <c r="AK463" s="10">
        <v>0</v>
      </c>
      <c r="AL463" s="11">
        <v>0</v>
      </c>
      <c r="AM463" s="10">
        <v>0</v>
      </c>
      <c r="AN463" s="11">
        <v>13</v>
      </c>
      <c r="AO463" s="10">
        <v>126489245400</v>
      </c>
      <c r="AP463" s="12">
        <v>13</v>
      </c>
      <c r="AQ463" s="10">
        <v>7582702308</v>
      </c>
      <c r="AR463" s="10">
        <v>11535944010</v>
      </c>
      <c r="AS463" s="10">
        <v>3683100874</v>
      </c>
      <c r="AT463" s="10">
        <v>7852843136</v>
      </c>
      <c r="AU463" s="11">
        <v>213.21</v>
      </c>
      <c r="AV463" s="10">
        <v>231576532313</v>
      </c>
      <c r="AW463" s="10">
        <v>42980614022</v>
      </c>
      <c r="AX463" s="10">
        <v>69815477836</v>
      </c>
      <c r="AY463" s="10">
        <v>132045841956</v>
      </c>
      <c r="AZ463" s="10">
        <v>142679334175</v>
      </c>
      <c r="BA463" s="10">
        <v>419982700000</v>
      </c>
      <c r="BB463" s="10">
        <v>103924644051</v>
      </c>
      <c r="BC463" s="10">
        <v>771151250523</v>
      </c>
      <c r="BD463" s="12">
        <v>97637</v>
      </c>
      <c r="BE463" s="10">
        <v>208489216348</v>
      </c>
      <c r="BF463" s="10">
        <v>142679334175</v>
      </c>
      <c r="BG463" s="10">
        <v>419982700000</v>
      </c>
      <c r="BH463" s="10">
        <v>341973400858</v>
      </c>
      <c r="BI463" s="10">
        <v>8370000000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44606156</v>
      </c>
    </row>
    <row r="464" spans="1:67" x14ac:dyDescent="0.25">
      <c r="A464" s="25" t="s">
        <v>496</v>
      </c>
      <c r="B464" s="9">
        <v>2811</v>
      </c>
      <c r="C464" s="9" t="s">
        <v>507</v>
      </c>
      <c r="D464" s="10">
        <v>7978328152825</v>
      </c>
      <c r="E464" s="10">
        <v>164305003988</v>
      </c>
      <c r="F464" s="10">
        <v>16860000000</v>
      </c>
      <c r="G464" s="10">
        <v>0</v>
      </c>
      <c r="H464" s="10">
        <v>8159493156813</v>
      </c>
      <c r="I464" s="10">
        <v>604934762000</v>
      </c>
      <c r="J464" s="10">
        <v>45089363855</v>
      </c>
      <c r="K464" s="10">
        <v>7509469030958</v>
      </c>
      <c r="L464" s="10">
        <v>6940495234814</v>
      </c>
      <c r="M464" s="10">
        <v>1218997921999</v>
      </c>
      <c r="N464" s="46">
        <v>17.563558229741631</v>
      </c>
      <c r="O464" s="10">
        <v>2648510632825</v>
      </c>
      <c r="P464" s="11">
        <v>39.19</v>
      </c>
      <c r="Q464" s="11">
        <v>35.270000000000003</v>
      </c>
      <c r="R464" s="11">
        <v>2.13</v>
      </c>
      <c r="S464" s="10">
        <v>2894296325479</v>
      </c>
      <c r="T464" s="10">
        <v>33612362771</v>
      </c>
      <c r="U464" s="10">
        <v>13404008571</v>
      </c>
      <c r="V464" s="10">
        <v>3023637934</v>
      </c>
      <c r="W464" s="10">
        <v>17184716266</v>
      </c>
      <c r="X464" s="10">
        <v>2927908688250</v>
      </c>
      <c r="Y464" s="10">
        <v>34564526608</v>
      </c>
      <c r="Z464" s="10">
        <v>224181360206</v>
      </c>
      <c r="AA464" s="10">
        <v>45968096425</v>
      </c>
      <c r="AB464" s="10">
        <v>3198058144881</v>
      </c>
      <c r="AC464" s="10">
        <v>1271676144059</v>
      </c>
      <c r="AD464" s="46">
        <v>130.24012064145148</v>
      </c>
      <c r="AE464" s="10">
        <v>2473151037784</v>
      </c>
      <c r="AF464" s="10">
        <v>2235082133677</v>
      </c>
      <c r="AG464" s="10">
        <v>0</v>
      </c>
      <c r="AH464" s="10">
        <v>29432252542</v>
      </c>
      <c r="AI464" s="10">
        <v>0</v>
      </c>
      <c r="AJ464" s="10">
        <v>30000000000</v>
      </c>
      <c r="AK464" s="10">
        <v>0</v>
      </c>
      <c r="AL464" s="11">
        <v>0</v>
      </c>
      <c r="AM464" s="10">
        <v>0</v>
      </c>
      <c r="AN464" s="11">
        <v>221</v>
      </c>
      <c r="AO464" s="10">
        <v>1854041402391</v>
      </c>
      <c r="AP464" s="12">
        <v>245</v>
      </c>
      <c r="AQ464" s="10">
        <v>1110425214186</v>
      </c>
      <c r="AR464" s="10">
        <v>33612362771</v>
      </c>
      <c r="AS464" s="10">
        <v>29667044754</v>
      </c>
      <c r="AT464" s="10">
        <v>3945318017</v>
      </c>
      <c r="AU464" s="11">
        <v>13.3</v>
      </c>
      <c r="AV464" s="10">
        <v>849921696848</v>
      </c>
      <c r="AW464" s="10">
        <v>286556744966</v>
      </c>
      <c r="AX464" s="10">
        <v>232058296935</v>
      </c>
      <c r="AY464" s="10">
        <v>434577828539</v>
      </c>
      <c r="AZ464" s="10">
        <v>3540262537351</v>
      </c>
      <c r="BA464" s="10">
        <v>3771429490000</v>
      </c>
      <c r="BB464" s="10">
        <v>2161511588181</v>
      </c>
      <c r="BC464" s="10">
        <v>8159493156813</v>
      </c>
      <c r="BD464" s="12">
        <v>98569</v>
      </c>
      <c r="BE464" s="10">
        <v>830941129462</v>
      </c>
      <c r="BF464" s="10">
        <v>3557122537351</v>
      </c>
      <c r="BG464" s="10">
        <v>3771429490000</v>
      </c>
      <c r="BH464" s="10">
        <v>1958013582369</v>
      </c>
      <c r="BI464" s="10">
        <v>515137455415</v>
      </c>
      <c r="BJ464" s="10">
        <v>0</v>
      </c>
      <c r="BK464" s="10">
        <v>0</v>
      </c>
      <c r="BL464" s="10">
        <v>0</v>
      </c>
      <c r="BM464" s="10">
        <v>0</v>
      </c>
      <c r="BN464" s="10">
        <v>0</v>
      </c>
      <c r="BO464" s="10">
        <v>29432252542</v>
      </c>
    </row>
    <row r="465" spans="1:67" x14ac:dyDescent="0.25">
      <c r="A465" s="25" t="s">
        <v>496</v>
      </c>
      <c r="B465" s="9">
        <v>2812</v>
      </c>
      <c r="C465" s="9" t="s">
        <v>508</v>
      </c>
      <c r="D465" s="10">
        <v>2134534819884</v>
      </c>
      <c r="E465" s="10">
        <v>86530393005</v>
      </c>
      <c r="F465" s="10">
        <v>0</v>
      </c>
      <c r="G465" s="10">
        <v>0</v>
      </c>
      <c r="H465" s="10">
        <v>2221065212889</v>
      </c>
      <c r="I465" s="10">
        <v>172037263474</v>
      </c>
      <c r="J465" s="10">
        <v>11724513373</v>
      </c>
      <c r="K465" s="10">
        <v>2037303436042</v>
      </c>
      <c r="L465" s="10">
        <v>1336378736984</v>
      </c>
      <c r="M465" s="10">
        <v>884686475905</v>
      </c>
      <c r="N465" s="46">
        <v>66.200280760347965</v>
      </c>
      <c r="O465" s="10">
        <v>1127511187025</v>
      </c>
      <c r="P465" s="11">
        <v>59.14</v>
      </c>
      <c r="Q465" s="11">
        <v>55.34</v>
      </c>
      <c r="R465" s="11">
        <v>1.02</v>
      </c>
      <c r="S465" s="10">
        <v>1207811857747</v>
      </c>
      <c r="T465" s="10">
        <v>12279092844</v>
      </c>
      <c r="U465" s="10">
        <v>11456605952</v>
      </c>
      <c r="V465" s="10">
        <v>822486892</v>
      </c>
      <c r="W465" s="10">
        <v>0</v>
      </c>
      <c r="X465" s="10">
        <v>1220090950591</v>
      </c>
      <c r="Y465" s="10">
        <v>1059860067</v>
      </c>
      <c r="Z465" s="10">
        <v>66933511104</v>
      </c>
      <c r="AA465" s="10">
        <v>26466052208</v>
      </c>
      <c r="AB465" s="10">
        <v>1313490513903</v>
      </c>
      <c r="AC465" s="10">
        <v>1140382003380</v>
      </c>
      <c r="AD465" s="46">
        <v>6.9896707396950433</v>
      </c>
      <c r="AE465" s="10">
        <v>870737591953</v>
      </c>
      <c r="AF465" s="10">
        <v>860283893324</v>
      </c>
      <c r="AG465" s="10">
        <v>0</v>
      </c>
      <c r="AH465" s="10">
        <v>0</v>
      </c>
      <c r="AI465" s="10">
        <v>20698775031</v>
      </c>
      <c r="AJ465" s="10">
        <v>0</v>
      </c>
      <c r="AK465" s="10">
        <v>0</v>
      </c>
      <c r="AL465" s="11">
        <v>0</v>
      </c>
      <c r="AM465" s="10">
        <v>0</v>
      </c>
      <c r="AN465" s="11">
        <v>180</v>
      </c>
      <c r="AO465" s="10">
        <v>1510229752285</v>
      </c>
      <c r="AP465" s="12">
        <v>99</v>
      </c>
      <c r="AQ465" s="10">
        <v>603388083853</v>
      </c>
      <c r="AR465" s="10">
        <v>12279092844</v>
      </c>
      <c r="AS465" s="10">
        <v>20412970083</v>
      </c>
      <c r="AT465" s="10">
        <v>-8133877239</v>
      </c>
      <c r="AU465" s="13">
        <v>-39.85</v>
      </c>
      <c r="AV465" s="10">
        <v>721902663582</v>
      </c>
      <c r="AW465" s="10">
        <v>148861906908</v>
      </c>
      <c r="AX465" s="10">
        <v>224893198437</v>
      </c>
      <c r="AY465" s="10">
        <v>165612607717</v>
      </c>
      <c r="AZ465" s="10">
        <v>195521988130</v>
      </c>
      <c r="BA465" s="10">
        <v>1548507025600</v>
      </c>
      <c r="BB465" s="10">
        <v>95972782888</v>
      </c>
      <c r="BC465" s="10">
        <v>2221065212889</v>
      </c>
      <c r="BD465" s="12">
        <v>64328</v>
      </c>
      <c r="BE465" s="10">
        <v>477036199159</v>
      </c>
      <c r="BF465" s="10">
        <v>191021988130</v>
      </c>
      <c r="BG465" s="10">
        <v>1553007025600</v>
      </c>
      <c r="BH465" s="10">
        <v>355474477934</v>
      </c>
      <c r="BI465" s="10">
        <v>515263114019</v>
      </c>
      <c r="BJ465" s="10">
        <v>0</v>
      </c>
      <c r="BK465" s="10">
        <v>0</v>
      </c>
      <c r="BL465" s="10">
        <v>0</v>
      </c>
      <c r="BM465" s="10">
        <v>0</v>
      </c>
      <c r="BN465" s="10">
        <v>0</v>
      </c>
      <c r="BO465" s="10">
        <v>0</v>
      </c>
    </row>
    <row r="466" spans="1:67" x14ac:dyDescent="0.25">
      <c r="A466" s="25" t="s">
        <v>496</v>
      </c>
      <c r="B466" s="9">
        <v>2813</v>
      </c>
      <c r="C466" s="9" t="s">
        <v>509</v>
      </c>
      <c r="D466" s="10">
        <v>1192143061966</v>
      </c>
      <c r="E466" s="10">
        <v>14922894603</v>
      </c>
      <c r="F466" s="10">
        <v>0</v>
      </c>
      <c r="G466" s="10">
        <v>0</v>
      </c>
      <c r="H466" s="10">
        <v>1207065956569</v>
      </c>
      <c r="I466" s="10">
        <v>88112226138</v>
      </c>
      <c r="J466" s="10">
        <v>55899294363</v>
      </c>
      <c r="K466" s="10">
        <v>1063054436068</v>
      </c>
      <c r="L466" s="10">
        <v>984257164625</v>
      </c>
      <c r="M466" s="10">
        <v>222808791944</v>
      </c>
      <c r="N466" s="46">
        <v>22.637253753584787</v>
      </c>
      <c r="O466" s="10">
        <v>962130994188</v>
      </c>
      <c r="P466" s="11">
        <v>88.37</v>
      </c>
      <c r="Q466" s="11">
        <v>90.51</v>
      </c>
      <c r="R466" s="11">
        <v>4.83</v>
      </c>
      <c r="S466" s="10">
        <v>953237953775</v>
      </c>
      <c r="T466" s="10">
        <v>40567358065</v>
      </c>
      <c r="U466" s="10">
        <v>2405411452</v>
      </c>
      <c r="V466" s="10">
        <v>31239026000</v>
      </c>
      <c r="W466" s="10">
        <v>6922920613</v>
      </c>
      <c r="X466" s="10">
        <v>993805311840</v>
      </c>
      <c r="Y466" s="10">
        <v>10921047235</v>
      </c>
      <c r="Z466" s="10">
        <v>58006147620</v>
      </c>
      <c r="AA466" s="10">
        <v>14906200000</v>
      </c>
      <c r="AB466" s="10">
        <v>1066717659460</v>
      </c>
      <c r="AC466" s="10">
        <v>855776339693</v>
      </c>
      <c r="AD466" s="46">
        <v>16.129094220636706</v>
      </c>
      <c r="AE466" s="10">
        <v>583006014210</v>
      </c>
      <c r="AF466" s="10">
        <v>583006014210</v>
      </c>
      <c r="AG466" s="10">
        <v>0</v>
      </c>
      <c r="AH466" s="10">
        <v>2708063729</v>
      </c>
      <c r="AI466" s="10">
        <v>59615561191</v>
      </c>
      <c r="AJ466" s="10">
        <v>0</v>
      </c>
      <c r="AK466" s="10">
        <v>0</v>
      </c>
      <c r="AL466" s="11">
        <v>0</v>
      </c>
      <c r="AM466" s="10">
        <v>0</v>
      </c>
      <c r="AN466" s="11">
        <v>29</v>
      </c>
      <c r="AO466" s="10">
        <v>85614827664</v>
      </c>
      <c r="AP466" s="12">
        <v>24</v>
      </c>
      <c r="AQ466" s="10">
        <v>141896208582</v>
      </c>
      <c r="AR466" s="10">
        <v>40567358065</v>
      </c>
      <c r="AS466" s="10">
        <v>17641725460</v>
      </c>
      <c r="AT466" s="10">
        <v>22925632605</v>
      </c>
      <c r="AU466" s="11">
        <v>129.94999999999999</v>
      </c>
      <c r="AV466" s="10">
        <v>415668764887</v>
      </c>
      <c r="AW466" s="10">
        <v>114773184090</v>
      </c>
      <c r="AX466" s="10">
        <v>84215848440</v>
      </c>
      <c r="AY466" s="10">
        <v>388597453988</v>
      </c>
      <c r="AZ466" s="10">
        <v>414004959538</v>
      </c>
      <c r="BA466" s="10">
        <v>305324800000</v>
      </c>
      <c r="BB466" s="10">
        <v>367509952436</v>
      </c>
      <c r="BC466" s="10">
        <v>1207065956569</v>
      </c>
      <c r="BD466" s="12">
        <v>58877</v>
      </c>
      <c r="BE466" s="10">
        <v>487736197031</v>
      </c>
      <c r="BF466" s="10">
        <v>413564959538</v>
      </c>
      <c r="BG466" s="10">
        <v>305764800000</v>
      </c>
      <c r="BH466" s="10">
        <v>446933347619</v>
      </c>
      <c r="BI466" s="10">
        <v>136072666591</v>
      </c>
      <c r="BJ466" s="10">
        <v>0</v>
      </c>
      <c r="BK466" s="10">
        <v>0</v>
      </c>
      <c r="BL466" s="10">
        <v>0</v>
      </c>
      <c r="BM466" s="10">
        <v>0</v>
      </c>
      <c r="BN466" s="10">
        <v>2140686506</v>
      </c>
      <c r="BO466" s="10">
        <v>567377223</v>
      </c>
    </row>
    <row r="467" spans="1:67" x14ac:dyDescent="0.25">
      <c r="A467" s="25" t="s">
        <v>496</v>
      </c>
      <c r="B467" s="9">
        <v>2814</v>
      </c>
      <c r="C467" s="9" t="s">
        <v>510</v>
      </c>
      <c r="D467" s="10">
        <v>1435000922745</v>
      </c>
      <c r="E467" s="10">
        <v>26088083933</v>
      </c>
      <c r="F467" s="10">
        <v>0</v>
      </c>
      <c r="G467" s="10">
        <v>0</v>
      </c>
      <c r="H467" s="10">
        <v>1461089006678</v>
      </c>
      <c r="I467" s="10">
        <v>117836011264</v>
      </c>
      <c r="J467" s="10">
        <v>2197883510</v>
      </c>
      <c r="K467" s="10">
        <v>1341055111904</v>
      </c>
      <c r="L467" s="10">
        <v>1449569817980</v>
      </c>
      <c r="M467" s="10">
        <v>11519188698</v>
      </c>
      <c r="N467" s="46">
        <v>0.79466256506721311</v>
      </c>
      <c r="O467" s="10">
        <v>633485419356</v>
      </c>
      <c r="P467" s="11">
        <v>52.74</v>
      </c>
      <c r="Q467" s="11">
        <v>47.24</v>
      </c>
      <c r="R467" s="11">
        <v>0.1</v>
      </c>
      <c r="S467" s="10">
        <v>720371345452</v>
      </c>
      <c r="T467" s="10">
        <v>750267472</v>
      </c>
      <c r="U467" s="10">
        <v>750267472</v>
      </c>
      <c r="V467" s="10">
        <v>0</v>
      </c>
      <c r="W467" s="10">
        <v>0</v>
      </c>
      <c r="X467" s="10">
        <v>721121612924</v>
      </c>
      <c r="Y467" s="10">
        <v>0</v>
      </c>
      <c r="Z467" s="10">
        <v>42421193773</v>
      </c>
      <c r="AA467" s="10">
        <v>7001500000</v>
      </c>
      <c r="AB467" s="10">
        <v>770544306697</v>
      </c>
      <c r="AC467" s="10">
        <v>501386451468</v>
      </c>
      <c r="AD467" s="46">
        <v>43.825508410257505</v>
      </c>
      <c r="AE467" s="10">
        <v>446560356979</v>
      </c>
      <c r="AF467" s="10">
        <v>446560356979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1">
        <v>0</v>
      </c>
      <c r="AM467" s="10">
        <v>0</v>
      </c>
      <c r="AN467" s="11">
        <v>4</v>
      </c>
      <c r="AO467" s="10">
        <v>372754908060</v>
      </c>
      <c r="AP467" s="12">
        <v>5</v>
      </c>
      <c r="AQ467" s="10">
        <v>144056922318</v>
      </c>
      <c r="AR467" s="10">
        <v>750267472</v>
      </c>
      <c r="AS467" s="10">
        <v>334948354</v>
      </c>
      <c r="AT467" s="10">
        <v>415319118</v>
      </c>
      <c r="AU467" s="11">
        <v>123.99</v>
      </c>
      <c r="AV467" s="10">
        <v>209627252363</v>
      </c>
      <c r="AW467" s="10">
        <v>8743032367</v>
      </c>
      <c r="AX467" s="10">
        <v>121907220761</v>
      </c>
      <c r="AY467" s="10">
        <v>202044749717</v>
      </c>
      <c r="AZ467" s="10">
        <v>169197152267</v>
      </c>
      <c r="BA467" s="10">
        <v>941851800000</v>
      </c>
      <c r="BB467" s="10">
        <v>122743947782</v>
      </c>
      <c r="BC467" s="10">
        <v>1461089006678</v>
      </c>
      <c r="BD467" s="12">
        <v>37613</v>
      </c>
      <c r="BE467" s="10">
        <v>350040054411</v>
      </c>
      <c r="BF467" s="10">
        <v>169197152267</v>
      </c>
      <c r="BG467" s="10">
        <v>941851800000</v>
      </c>
      <c r="BH467" s="10">
        <v>300314104294</v>
      </c>
      <c r="BI467" s="10">
        <v>146246252685</v>
      </c>
      <c r="BJ467" s="10">
        <v>0</v>
      </c>
      <c r="BK467" s="10">
        <v>0</v>
      </c>
      <c r="BL467" s="10">
        <v>0</v>
      </c>
      <c r="BM467" s="10">
        <v>0</v>
      </c>
      <c r="BN467" s="10">
        <v>0</v>
      </c>
      <c r="BO467" s="10">
        <v>0</v>
      </c>
    </row>
    <row r="468" spans="1:67" x14ac:dyDescent="0.25">
      <c r="A468" s="25" t="s">
        <v>496</v>
      </c>
      <c r="B468" s="9">
        <v>2815</v>
      </c>
      <c r="C468" s="9" t="s">
        <v>511</v>
      </c>
      <c r="D468" s="10">
        <v>2001345681319</v>
      </c>
      <c r="E468" s="10">
        <v>97669901028</v>
      </c>
      <c r="F468" s="10">
        <v>0</v>
      </c>
      <c r="G468" s="10">
        <v>0</v>
      </c>
      <c r="H468" s="10">
        <v>2099015582347</v>
      </c>
      <c r="I468" s="10">
        <v>151295322003</v>
      </c>
      <c r="J468" s="10">
        <v>1955857200</v>
      </c>
      <c r="K468" s="10">
        <v>1945764403144</v>
      </c>
      <c r="L468" s="10">
        <v>1630905709481</v>
      </c>
      <c r="M468" s="10">
        <v>468109872866</v>
      </c>
      <c r="N468" s="46">
        <v>28.702448593117364</v>
      </c>
      <c r="O468" s="10">
        <v>705096458915</v>
      </c>
      <c r="P468" s="11">
        <v>38.479999999999997</v>
      </c>
      <c r="Q468" s="11">
        <v>36.24</v>
      </c>
      <c r="R468" s="11">
        <v>0.42</v>
      </c>
      <c r="S468" s="10">
        <v>759454594698</v>
      </c>
      <c r="T468" s="10">
        <v>596194111</v>
      </c>
      <c r="U468" s="10">
        <v>596194111</v>
      </c>
      <c r="V468" s="10">
        <v>0</v>
      </c>
      <c r="W468" s="10">
        <v>0</v>
      </c>
      <c r="X468" s="10">
        <v>760050788809</v>
      </c>
      <c r="Y468" s="10">
        <v>2756115897</v>
      </c>
      <c r="Z468" s="10">
        <v>30451486554</v>
      </c>
      <c r="AA468" s="10">
        <v>17234930000</v>
      </c>
      <c r="AB468" s="10">
        <v>807737205363</v>
      </c>
      <c r="AC468" s="10">
        <v>676381878771</v>
      </c>
      <c r="AD468" s="46">
        <v>12.370069728956688</v>
      </c>
      <c r="AE468" s="10">
        <v>486541581638</v>
      </c>
      <c r="AF468" s="10">
        <v>477871581638</v>
      </c>
      <c r="AG468" s="10">
        <v>16518954345</v>
      </c>
      <c r="AH468" s="10">
        <v>0</v>
      </c>
      <c r="AI468" s="10">
        <v>62810919613</v>
      </c>
      <c r="AJ468" s="10">
        <v>0</v>
      </c>
      <c r="AK468" s="10">
        <v>0</v>
      </c>
      <c r="AL468" s="11">
        <v>6</v>
      </c>
      <c r="AM468" s="10">
        <v>94165404492</v>
      </c>
      <c r="AN468" s="11">
        <v>237</v>
      </c>
      <c r="AO468" s="10">
        <v>1482516809386</v>
      </c>
      <c r="AP468" s="12">
        <v>99</v>
      </c>
      <c r="AQ468" s="10">
        <v>995671784997</v>
      </c>
      <c r="AR468" s="10">
        <v>596194111</v>
      </c>
      <c r="AS468" s="10">
        <v>1988584319</v>
      </c>
      <c r="AT468" s="10">
        <v>-1392390208</v>
      </c>
      <c r="AU468" s="11">
        <v>-70.02</v>
      </c>
      <c r="AV468" s="10">
        <v>364848184981</v>
      </c>
      <c r="AW468" s="10">
        <v>80979506082</v>
      </c>
      <c r="AX468" s="10">
        <v>223451176790</v>
      </c>
      <c r="AY468" s="10">
        <v>314359338532</v>
      </c>
      <c r="AZ468" s="10">
        <v>445692665997</v>
      </c>
      <c r="BA468" s="10">
        <v>1017842500000</v>
      </c>
      <c r="BB468" s="10">
        <v>300032558414</v>
      </c>
      <c r="BC468" s="10">
        <v>2099015582347</v>
      </c>
      <c r="BD468" s="12">
        <v>86485</v>
      </c>
      <c r="BE468" s="10">
        <v>635481416350</v>
      </c>
      <c r="BF468" s="10">
        <v>444612665997</v>
      </c>
      <c r="BG468" s="10">
        <v>1018921500000</v>
      </c>
      <c r="BH468" s="10">
        <v>381496791638</v>
      </c>
      <c r="BI468" s="10">
        <v>105044790000</v>
      </c>
      <c r="BJ468" s="10">
        <v>0</v>
      </c>
      <c r="BK468" s="10">
        <v>0</v>
      </c>
      <c r="BL468" s="10">
        <v>16518954345</v>
      </c>
      <c r="BM468" s="10">
        <v>0</v>
      </c>
      <c r="BN468" s="10">
        <v>0</v>
      </c>
      <c r="BO468" s="10">
        <v>0</v>
      </c>
    </row>
    <row r="469" spans="1:67" x14ac:dyDescent="0.25">
      <c r="A469" s="25" t="s">
        <v>496</v>
      </c>
      <c r="B469" s="9">
        <v>2816</v>
      </c>
      <c r="C469" s="9" t="s">
        <v>512</v>
      </c>
      <c r="D469" s="10">
        <v>822759613601</v>
      </c>
      <c r="E469" s="10">
        <v>1706179866</v>
      </c>
      <c r="F469" s="10">
        <v>0</v>
      </c>
      <c r="G469" s="10">
        <v>0</v>
      </c>
      <c r="H469" s="10">
        <v>824465793467</v>
      </c>
      <c r="I469" s="10">
        <v>71308697045</v>
      </c>
      <c r="J469" s="10">
        <v>1447616212</v>
      </c>
      <c r="K469" s="10">
        <v>751709480210</v>
      </c>
      <c r="L469" s="10">
        <v>508738431000</v>
      </c>
      <c r="M469" s="10">
        <v>315727362467</v>
      </c>
      <c r="N469" s="46">
        <v>62.060843692581194</v>
      </c>
      <c r="O469" s="10">
        <v>393020966313</v>
      </c>
      <c r="P469" s="11">
        <v>55.51</v>
      </c>
      <c r="Q469" s="11">
        <v>52.28</v>
      </c>
      <c r="R469" s="11">
        <v>0.71</v>
      </c>
      <c r="S469" s="10">
        <v>423650512000</v>
      </c>
      <c r="T469" s="10">
        <v>3253335122</v>
      </c>
      <c r="U469" s="10">
        <v>2760177603</v>
      </c>
      <c r="V469" s="10">
        <v>493157519</v>
      </c>
      <c r="W469" s="10">
        <v>0</v>
      </c>
      <c r="X469" s="10">
        <v>426903847122</v>
      </c>
      <c r="Y469" s="10">
        <v>0</v>
      </c>
      <c r="Z469" s="10">
        <v>27160361869</v>
      </c>
      <c r="AA469" s="10">
        <v>3600000000</v>
      </c>
      <c r="AB469" s="10">
        <v>457664208991</v>
      </c>
      <c r="AC469" s="10">
        <v>335594282340</v>
      </c>
      <c r="AD469" s="46">
        <v>27.208319565317179</v>
      </c>
      <c r="AE469" s="10">
        <v>281746563014</v>
      </c>
      <c r="AF469" s="10">
        <v>281746563014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1">
        <v>0</v>
      </c>
      <c r="AM469" s="10">
        <v>0</v>
      </c>
      <c r="AN469" s="11">
        <v>6</v>
      </c>
      <c r="AO469" s="10">
        <v>12546334952</v>
      </c>
      <c r="AP469" s="12">
        <v>12</v>
      </c>
      <c r="AQ469" s="10">
        <v>16839119685</v>
      </c>
      <c r="AR469" s="10">
        <v>3253335122</v>
      </c>
      <c r="AS469" s="10">
        <v>3687632563</v>
      </c>
      <c r="AT469" s="10">
        <v>-434297441</v>
      </c>
      <c r="AU469" s="11">
        <v>-11.78</v>
      </c>
      <c r="AV469" s="10">
        <v>187797076185</v>
      </c>
      <c r="AW469" s="10">
        <v>56851234221</v>
      </c>
      <c r="AX469" s="10">
        <v>55072461202</v>
      </c>
      <c r="AY469" s="10">
        <v>248619647536</v>
      </c>
      <c r="AZ469" s="10">
        <v>55225504863</v>
      </c>
      <c r="BA469" s="10">
        <v>463842000000</v>
      </c>
      <c r="BB469" s="10">
        <v>27703896208</v>
      </c>
      <c r="BC469" s="10">
        <v>824465793467</v>
      </c>
      <c r="BD469" s="12">
        <v>21554</v>
      </c>
      <c r="BE469" s="10">
        <v>305398288604</v>
      </c>
      <c r="BF469" s="10">
        <v>55225504863</v>
      </c>
      <c r="BG469" s="10">
        <v>463842000000</v>
      </c>
      <c r="BH469" s="10">
        <v>125560000000</v>
      </c>
      <c r="BI469" s="10">
        <v>156186563014</v>
      </c>
      <c r="BJ469" s="10">
        <v>0</v>
      </c>
      <c r="BK469" s="10">
        <v>0</v>
      </c>
      <c r="BL469" s="10">
        <v>0</v>
      </c>
      <c r="BM469" s="10">
        <v>0</v>
      </c>
      <c r="BN469" s="10">
        <v>0</v>
      </c>
      <c r="BO469" s="10">
        <v>0</v>
      </c>
    </row>
    <row r="470" spans="1:67" x14ac:dyDescent="0.25">
      <c r="A470" s="25" t="s">
        <v>496</v>
      </c>
      <c r="B470" s="9">
        <v>2817</v>
      </c>
      <c r="C470" s="9" t="s">
        <v>513</v>
      </c>
      <c r="D470" s="10">
        <v>1716644878451</v>
      </c>
      <c r="E470" s="10">
        <v>12999237601</v>
      </c>
      <c r="F470" s="10">
        <v>0</v>
      </c>
      <c r="G470" s="10">
        <v>0</v>
      </c>
      <c r="H470" s="10">
        <v>1729644116052</v>
      </c>
      <c r="I470" s="10">
        <v>130215549614</v>
      </c>
      <c r="J470" s="10">
        <v>6809473775</v>
      </c>
      <c r="K470" s="10">
        <v>1592619092663</v>
      </c>
      <c r="L470" s="10">
        <v>1282188888917</v>
      </c>
      <c r="M470" s="10">
        <v>447455227135</v>
      </c>
      <c r="N470" s="46">
        <v>34.897762022641047</v>
      </c>
      <c r="O470" s="10">
        <v>580372866725</v>
      </c>
      <c r="P470" s="11">
        <v>35.4</v>
      </c>
      <c r="Q470" s="11">
        <v>36.44</v>
      </c>
      <c r="R470" s="11">
        <v>1.36</v>
      </c>
      <c r="S470" s="10">
        <v>575269338366</v>
      </c>
      <c r="T470" s="10">
        <v>8318446864</v>
      </c>
      <c r="U470" s="10">
        <v>8318446864</v>
      </c>
      <c r="V470" s="10">
        <v>0</v>
      </c>
      <c r="W470" s="10">
        <v>0</v>
      </c>
      <c r="X470" s="10">
        <v>583587785230</v>
      </c>
      <c r="Y470" s="10">
        <v>0</v>
      </c>
      <c r="Z470" s="10">
        <v>22236802594</v>
      </c>
      <c r="AA470" s="10">
        <v>6400000000</v>
      </c>
      <c r="AB470" s="10">
        <v>612224587824</v>
      </c>
      <c r="AC470" s="10">
        <v>359323518266</v>
      </c>
      <c r="AD470" s="46">
        <v>62.412910807018662</v>
      </c>
      <c r="AE470" s="10">
        <v>493513893602</v>
      </c>
      <c r="AF470" s="10">
        <v>493513893602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1">
        <v>0</v>
      </c>
      <c r="AM470" s="10">
        <v>0</v>
      </c>
      <c r="AN470" s="11">
        <v>13</v>
      </c>
      <c r="AO470" s="10">
        <v>69866785566</v>
      </c>
      <c r="AP470" s="12">
        <v>14</v>
      </c>
      <c r="AQ470" s="10">
        <v>137515613023</v>
      </c>
      <c r="AR470" s="10">
        <v>8318446864</v>
      </c>
      <c r="AS470" s="10">
        <v>4643871507</v>
      </c>
      <c r="AT470" s="10">
        <v>3674575357</v>
      </c>
      <c r="AU470" s="11">
        <v>79.13</v>
      </c>
      <c r="AV470" s="10">
        <v>256405068801</v>
      </c>
      <c r="AW470" s="10">
        <v>36966999973</v>
      </c>
      <c r="AX470" s="10">
        <v>148406820423</v>
      </c>
      <c r="AY470" s="10">
        <v>500941962437</v>
      </c>
      <c r="AZ470" s="10">
        <v>488133095591</v>
      </c>
      <c r="BA470" s="10">
        <v>579163000000</v>
      </c>
      <c r="BB470" s="10">
        <v>325714499873</v>
      </c>
      <c r="BC470" s="10">
        <v>1729644116052</v>
      </c>
      <c r="BD470" s="12">
        <v>46295</v>
      </c>
      <c r="BE470" s="10">
        <v>662348020461</v>
      </c>
      <c r="BF470" s="10">
        <v>487573095591</v>
      </c>
      <c r="BG470" s="10">
        <v>579723000000</v>
      </c>
      <c r="BH470" s="10">
        <v>391443051000</v>
      </c>
      <c r="BI470" s="10">
        <v>102070842602</v>
      </c>
      <c r="BJ470" s="10">
        <v>0</v>
      </c>
      <c r="BK470" s="10">
        <v>0</v>
      </c>
      <c r="BL470" s="10">
        <v>0</v>
      </c>
      <c r="BM470" s="10">
        <v>0</v>
      </c>
      <c r="BN470" s="10">
        <v>0</v>
      </c>
      <c r="BO470" s="10">
        <v>0</v>
      </c>
    </row>
    <row r="471" spans="1:67" x14ac:dyDescent="0.25">
      <c r="A471" s="25" t="s">
        <v>496</v>
      </c>
      <c r="B471" s="9">
        <v>2818</v>
      </c>
      <c r="C471" s="9" t="s">
        <v>514</v>
      </c>
      <c r="D471" s="10">
        <v>1125031192789</v>
      </c>
      <c r="E471" s="10">
        <v>183949014854</v>
      </c>
      <c r="F471" s="10">
        <v>0</v>
      </c>
      <c r="G471" s="10">
        <v>0</v>
      </c>
      <c r="H471" s="10">
        <v>1308980207643</v>
      </c>
      <c r="I471" s="10">
        <v>56486422974</v>
      </c>
      <c r="J471" s="10">
        <v>1969308481</v>
      </c>
      <c r="K471" s="10">
        <v>1250524476188</v>
      </c>
      <c r="L471" s="10">
        <v>1106982438714</v>
      </c>
      <c r="M471" s="10">
        <v>201997768929</v>
      </c>
      <c r="N471" s="46">
        <v>18.247603743711075</v>
      </c>
      <c r="O471" s="10">
        <v>621473810083</v>
      </c>
      <c r="P471" s="11">
        <v>55.53</v>
      </c>
      <c r="Q471" s="11">
        <v>49.7</v>
      </c>
      <c r="R471" s="11">
        <v>1.05</v>
      </c>
      <c r="S471" s="10">
        <v>693834987732</v>
      </c>
      <c r="T471" s="10">
        <v>0</v>
      </c>
      <c r="U471" s="10">
        <v>0</v>
      </c>
      <c r="V471" s="10">
        <v>0</v>
      </c>
      <c r="W471" s="10">
        <v>0</v>
      </c>
      <c r="X471" s="10">
        <v>693834987732</v>
      </c>
      <c r="Y471" s="10">
        <v>7643924000</v>
      </c>
      <c r="Z471" s="10">
        <v>28569524614</v>
      </c>
      <c r="AA471" s="10">
        <v>4495027000</v>
      </c>
      <c r="AB471" s="10">
        <v>726899539346</v>
      </c>
      <c r="AC471" s="10">
        <v>679769786541</v>
      </c>
      <c r="AD471" s="46">
        <v>2.0691124362220625</v>
      </c>
      <c r="AE471" s="10">
        <v>430087420062</v>
      </c>
      <c r="AF471" s="10">
        <v>413831462771</v>
      </c>
      <c r="AG471" s="10">
        <v>0</v>
      </c>
      <c r="AH471" s="10">
        <v>11310935878</v>
      </c>
      <c r="AI471" s="10">
        <v>124753705517</v>
      </c>
      <c r="AJ471" s="10">
        <v>0</v>
      </c>
      <c r="AK471" s="10">
        <v>0</v>
      </c>
      <c r="AL471" s="11">
        <v>0</v>
      </c>
      <c r="AM471" s="10">
        <v>0</v>
      </c>
      <c r="AN471" s="11">
        <v>292</v>
      </c>
      <c r="AO471" s="10">
        <v>3234516639264</v>
      </c>
      <c r="AP471" s="12">
        <v>125</v>
      </c>
      <c r="AQ471" s="10">
        <v>1020079730382</v>
      </c>
      <c r="AR471" s="10">
        <v>0</v>
      </c>
      <c r="AS471" s="10">
        <v>2631224390</v>
      </c>
      <c r="AT471" s="10">
        <v>-2631224390</v>
      </c>
      <c r="AU471" s="11">
        <v>-100</v>
      </c>
      <c r="AV471" s="10">
        <v>370813034802</v>
      </c>
      <c r="AW471" s="10">
        <v>101239979518</v>
      </c>
      <c r="AX471" s="10">
        <v>237259999509</v>
      </c>
      <c r="AY471" s="10">
        <v>669990349442</v>
      </c>
      <c r="AZ471" s="10">
        <v>133588843838</v>
      </c>
      <c r="BA471" s="10">
        <v>84192000000</v>
      </c>
      <c r="BB471" s="10">
        <v>71308668087</v>
      </c>
      <c r="BC471" s="10">
        <v>1308980207643</v>
      </c>
      <c r="BD471" s="12">
        <v>39157</v>
      </c>
      <c r="BE471" s="10">
        <v>1091199363805</v>
      </c>
      <c r="BF471" s="10">
        <v>133588843838</v>
      </c>
      <c r="BG471" s="10">
        <v>84192000000</v>
      </c>
      <c r="BH471" s="10">
        <v>244339617179</v>
      </c>
      <c r="BI471" s="10">
        <v>185747802883</v>
      </c>
      <c r="BJ471" s="10">
        <v>0</v>
      </c>
      <c r="BK471" s="10">
        <v>0</v>
      </c>
      <c r="BL471" s="10">
        <v>0</v>
      </c>
      <c r="BM471" s="10">
        <v>0</v>
      </c>
      <c r="BN471" s="10">
        <v>0</v>
      </c>
      <c r="BO471" s="10">
        <v>11552135878</v>
      </c>
    </row>
    <row r="472" spans="1:67" x14ac:dyDescent="0.25">
      <c r="A472" s="25" t="s">
        <v>496</v>
      </c>
      <c r="B472" s="14">
        <v>2819</v>
      </c>
      <c r="C472" s="14" t="s">
        <v>515</v>
      </c>
      <c r="D472" s="15">
        <v>742110390574</v>
      </c>
      <c r="E472" s="15">
        <v>9683131836</v>
      </c>
      <c r="F472" s="15">
        <v>0</v>
      </c>
      <c r="G472" s="15">
        <v>0</v>
      </c>
      <c r="H472" s="15">
        <v>751793522410</v>
      </c>
      <c r="I472" s="15">
        <v>53710824470</v>
      </c>
      <c r="J472" s="15">
        <v>16310892958</v>
      </c>
      <c r="K472" s="15">
        <v>681771804982</v>
      </c>
      <c r="L472" s="15">
        <v>779722835773</v>
      </c>
      <c r="M472" s="15">
        <v>-27929313363</v>
      </c>
      <c r="N472" s="48">
        <v>-3.581954007453366</v>
      </c>
      <c r="O472" s="15">
        <v>828915593623</v>
      </c>
      <c r="P472" s="16">
        <v>124.07</v>
      </c>
      <c r="Q472" s="16">
        <v>121.58</v>
      </c>
      <c r="R472" s="16">
        <v>1.1499999999999999</v>
      </c>
      <c r="S472" s="15">
        <v>870651784564</v>
      </c>
      <c r="T472" s="15">
        <v>10711954584</v>
      </c>
      <c r="U472" s="15">
        <v>10711954584</v>
      </c>
      <c r="V472" s="15">
        <v>0</v>
      </c>
      <c r="W472" s="15">
        <v>0</v>
      </c>
      <c r="X472" s="15">
        <v>881363739148</v>
      </c>
      <c r="Y472" s="10">
        <v>0</v>
      </c>
      <c r="Z472" s="15">
        <v>41208651095</v>
      </c>
      <c r="AA472" s="15">
        <v>10188100000</v>
      </c>
      <c r="AB472" s="15">
        <v>932760490243</v>
      </c>
      <c r="AC472" s="15">
        <v>726496046296</v>
      </c>
      <c r="AD472" s="46">
        <v>21.317073044180265</v>
      </c>
      <c r="AE472" s="15">
        <v>470069249807</v>
      </c>
      <c r="AF472" s="15">
        <v>470069249807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6">
        <v>0</v>
      </c>
      <c r="AM472" s="15">
        <v>0</v>
      </c>
      <c r="AN472" s="17">
        <v>17</v>
      </c>
      <c r="AO472" s="15">
        <v>39925800000</v>
      </c>
      <c r="AP472" s="12">
        <v>29</v>
      </c>
      <c r="AQ472" s="10">
        <v>322899072422</v>
      </c>
      <c r="AR472" s="15">
        <v>10711954584</v>
      </c>
      <c r="AS472" s="15">
        <v>4361165555</v>
      </c>
      <c r="AT472" s="15">
        <v>6350789029</v>
      </c>
      <c r="AU472" s="16">
        <v>145.62</v>
      </c>
      <c r="AV472" s="15">
        <v>297089774948</v>
      </c>
      <c r="AW472" s="15">
        <v>58907796807</v>
      </c>
      <c r="AX472" s="15">
        <v>35837579875</v>
      </c>
      <c r="AY472" s="15">
        <v>207704157436</v>
      </c>
      <c r="AZ472" s="15">
        <v>185230153263</v>
      </c>
      <c r="BA472" s="15">
        <v>313338500000</v>
      </c>
      <c r="BB472" s="15">
        <v>174891662258</v>
      </c>
      <c r="BC472" s="15">
        <v>751793522410</v>
      </c>
      <c r="BD472" s="17">
        <v>497</v>
      </c>
      <c r="BE472" s="15">
        <v>253224869147</v>
      </c>
      <c r="BF472" s="15">
        <v>185230153263</v>
      </c>
      <c r="BG472" s="15">
        <v>313338500000</v>
      </c>
      <c r="BH472" s="15">
        <v>434969249807</v>
      </c>
      <c r="BI472" s="15">
        <v>35100000000</v>
      </c>
      <c r="BJ472" s="15">
        <v>0</v>
      </c>
      <c r="BK472" s="15">
        <v>0</v>
      </c>
      <c r="BL472" s="15">
        <v>0</v>
      </c>
      <c r="BM472" s="15">
        <v>0</v>
      </c>
      <c r="BN472" s="15">
        <v>0</v>
      </c>
      <c r="BO472" s="15">
        <v>0</v>
      </c>
    </row>
    <row r="473" spans="1:67" x14ac:dyDescent="0.25">
      <c r="A473" s="25" t="s">
        <v>496</v>
      </c>
      <c r="B473" s="9">
        <v>2820</v>
      </c>
      <c r="C473" s="9" t="s">
        <v>516</v>
      </c>
      <c r="D473" s="10">
        <v>232142740440</v>
      </c>
      <c r="E473" s="10">
        <v>2162513985</v>
      </c>
      <c r="F473" s="10">
        <v>0</v>
      </c>
      <c r="G473" s="10">
        <v>0</v>
      </c>
      <c r="H473" s="10">
        <v>234305254425</v>
      </c>
      <c r="I473" s="10">
        <v>15732126936</v>
      </c>
      <c r="J473" s="10">
        <v>4980139400</v>
      </c>
      <c r="K473" s="10">
        <v>213592988089</v>
      </c>
      <c r="L473" s="10">
        <v>145049440185</v>
      </c>
      <c r="M473" s="10">
        <v>89255814240</v>
      </c>
      <c r="N473" s="46">
        <v>61.534752651344746</v>
      </c>
      <c r="O473" s="10">
        <v>116731066819</v>
      </c>
      <c r="P473" s="11">
        <v>61.62</v>
      </c>
      <c r="Q473" s="11">
        <v>54.65</v>
      </c>
      <c r="R473" s="11">
        <v>0</v>
      </c>
      <c r="S473" s="10">
        <v>127528438244</v>
      </c>
      <c r="T473" s="10">
        <v>0</v>
      </c>
      <c r="U473" s="10">
        <v>0</v>
      </c>
      <c r="V473" s="10">
        <v>0</v>
      </c>
      <c r="W473" s="10">
        <v>0</v>
      </c>
      <c r="X473" s="10">
        <v>127528438244</v>
      </c>
      <c r="Y473" s="10">
        <v>0</v>
      </c>
      <c r="Z473" s="10">
        <v>12837405061</v>
      </c>
      <c r="AA473" s="10">
        <v>4008240000</v>
      </c>
      <c r="AB473" s="10">
        <v>144374083305</v>
      </c>
      <c r="AC473" s="10">
        <v>23610495038</v>
      </c>
      <c r="AD473" s="46">
        <v>440.13453779240496</v>
      </c>
      <c r="AE473" s="10">
        <v>110602176837</v>
      </c>
      <c r="AF473" s="10">
        <v>110602176837</v>
      </c>
      <c r="AG473" s="10">
        <v>0</v>
      </c>
      <c r="AH473" s="10">
        <v>0</v>
      </c>
      <c r="AI473" s="10">
        <v>0</v>
      </c>
      <c r="AJ473" s="10">
        <v>0</v>
      </c>
      <c r="AK473" s="10">
        <v>0</v>
      </c>
      <c r="AL473" s="11">
        <v>0</v>
      </c>
      <c r="AM473" s="10">
        <v>0</v>
      </c>
      <c r="AN473" s="11">
        <v>9</v>
      </c>
      <c r="AO473" s="10">
        <v>29571211489</v>
      </c>
      <c r="AP473" s="12">
        <v>2</v>
      </c>
      <c r="AQ473" s="10">
        <v>250000000</v>
      </c>
      <c r="AR473" s="10">
        <v>0</v>
      </c>
      <c r="AS473" s="10">
        <v>0</v>
      </c>
      <c r="AT473" s="10">
        <v>0</v>
      </c>
      <c r="AU473" s="13" t="s">
        <v>593</v>
      </c>
      <c r="AV473" s="10">
        <v>18323206113</v>
      </c>
      <c r="AW473" s="10">
        <v>221755900</v>
      </c>
      <c r="AX473" s="10">
        <v>11782719224</v>
      </c>
      <c r="AY473" s="10">
        <v>23764530613</v>
      </c>
      <c r="AZ473" s="10">
        <v>41236490603</v>
      </c>
      <c r="BA473" s="10">
        <v>155359000000</v>
      </c>
      <c r="BB473" s="10">
        <v>40459033729</v>
      </c>
      <c r="BC473" s="10">
        <v>234305254425</v>
      </c>
      <c r="BD473" s="12">
        <v>3059</v>
      </c>
      <c r="BE473" s="10">
        <v>37709763822</v>
      </c>
      <c r="BF473" s="10">
        <v>41236490603</v>
      </c>
      <c r="BG473" s="10">
        <v>155359000000</v>
      </c>
      <c r="BH473" s="10">
        <v>75840696891</v>
      </c>
      <c r="BI473" s="10">
        <v>34761479946</v>
      </c>
      <c r="BJ473" s="10">
        <v>0</v>
      </c>
      <c r="BK473" s="10">
        <v>0</v>
      </c>
      <c r="BL473" s="10">
        <v>0</v>
      </c>
      <c r="BM473" s="10">
        <v>0</v>
      </c>
      <c r="BN473" s="10">
        <v>0</v>
      </c>
      <c r="BO473" s="10">
        <v>0</v>
      </c>
    </row>
    <row r="474" spans="1:67" x14ac:dyDescent="0.25">
      <c r="A474" s="25" t="s">
        <v>496</v>
      </c>
      <c r="B474" s="26">
        <v>2821</v>
      </c>
      <c r="C474" s="26" t="s">
        <v>517</v>
      </c>
      <c r="D474" s="27">
        <v>298770350962</v>
      </c>
      <c r="E474" s="27">
        <v>6677207799</v>
      </c>
      <c r="F474" s="27">
        <v>0</v>
      </c>
      <c r="G474" s="27">
        <v>0</v>
      </c>
      <c r="H474" s="27">
        <v>305447558761</v>
      </c>
      <c r="I474" s="27">
        <v>14448141815</v>
      </c>
      <c r="J474" s="27">
        <v>5335337400</v>
      </c>
      <c r="K474" s="27">
        <v>285664079546</v>
      </c>
      <c r="L474" s="27">
        <v>0</v>
      </c>
      <c r="M474" s="10">
        <v>305447558761</v>
      </c>
      <c r="N474" s="46" t="s">
        <v>595</v>
      </c>
      <c r="O474" s="27">
        <v>68552371085</v>
      </c>
      <c r="P474" s="28">
        <v>25.92</v>
      </c>
      <c r="Q474" s="28">
        <v>24</v>
      </c>
      <c r="R474" s="28">
        <v>0</v>
      </c>
      <c r="S474" s="27">
        <v>56673696204</v>
      </c>
      <c r="T474" s="27">
        <v>0</v>
      </c>
      <c r="U474" s="27">
        <v>0</v>
      </c>
      <c r="V474" s="27">
        <v>0</v>
      </c>
      <c r="W474" s="27">
        <v>0</v>
      </c>
      <c r="X474" s="27">
        <v>56673696204</v>
      </c>
      <c r="Y474" s="10">
        <v>0</v>
      </c>
      <c r="Z474" s="27">
        <v>5591109770</v>
      </c>
      <c r="AA474" s="27">
        <v>16900292312</v>
      </c>
      <c r="AB474" s="27">
        <v>79165098286</v>
      </c>
      <c r="AC474" s="27">
        <v>0</v>
      </c>
      <c r="AD474" s="46" t="s">
        <v>595</v>
      </c>
      <c r="AE474" s="27">
        <v>55487728955</v>
      </c>
      <c r="AF474" s="27">
        <v>55487728955</v>
      </c>
      <c r="AG474" s="27">
        <v>0</v>
      </c>
      <c r="AH474" s="27">
        <v>0</v>
      </c>
      <c r="AI474" s="27">
        <v>0</v>
      </c>
      <c r="AJ474" s="27">
        <v>0</v>
      </c>
      <c r="AK474" s="27">
        <v>0</v>
      </c>
      <c r="AL474" s="28">
        <v>0</v>
      </c>
      <c r="AM474" s="27">
        <v>0</v>
      </c>
      <c r="AN474" s="29">
        <v>10</v>
      </c>
      <c r="AO474" s="27">
        <v>81947160721</v>
      </c>
      <c r="AP474" s="12">
        <v>1</v>
      </c>
      <c r="AQ474" s="10">
        <v>45045000000</v>
      </c>
      <c r="AR474" s="27">
        <v>0</v>
      </c>
      <c r="AS474" s="27">
        <v>0</v>
      </c>
      <c r="AT474" s="27">
        <v>0</v>
      </c>
      <c r="AU474" s="28" t="s">
        <v>593</v>
      </c>
      <c r="AV474" s="27">
        <v>5464798533</v>
      </c>
      <c r="AW474" s="27">
        <v>0</v>
      </c>
      <c r="AX474" s="27">
        <v>15410089119</v>
      </c>
      <c r="AY474" s="27">
        <v>100598251219</v>
      </c>
      <c r="AZ474" s="27">
        <v>81572010624</v>
      </c>
      <c r="BA474" s="27">
        <v>101190000000</v>
      </c>
      <c r="BB474" s="27">
        <v>80460722344</v>
      </c>
      <c r="BC474" s="27">
        <v>305447558761</v>
      </c>
      <c r="BD474" s="29">
        <v>18</v>
      </c>
      <c r="BE474" s="27">
        <v>122685548137</v>
      </c>
      <c r="BF474" s="27">
        <v>81572010624</v>
      </c>
      <c r="BG474" s="27">
        <v>101190000000</v>
      </c>
      <c r="BH474" s="27">
        <v>52487852325</v>
      </c>
      <c r="BI474" s="27">
        <v>2999876630</v>
      </c>
      <c r="BJ474" s="27">
        <v>0</v>
      </c>
      <c r="BK474" s="27">
        <v>0</v>
      </c>
      <c r="BL474" s="27">
        <v>0</v>
      </c>
      <c r="BM474" s="27">
        <v>0</v>
      </c>
      <c r="BN474" s="27">
        <v>0</v>
      </c>
      <c r="BO474" s="27">
        <v>0</v>
      </c>
    </row>
    <row r="475" spans="1:67" x14ac:dyDescent="0.25">
      <c r="A475" s="25" t="s">
        <v>496</v>
      </c>
      <c r="B475" s="9">
        <v>2822</v>
      </c>
      <c r="C475" s="9" t="s">
        <v>518</v>
      </c>
      <c r="D475" s="10">
        <v>402886486042</v>
      </c>
      <c r="E475" s="10">
        <v>2942274861</v>
      </c>
      <c r="F475" s="10">
        <v>0</v>
      </c>
      <c r="G475" s="10">
        <v>0</v>
      </c>
      <c r="H475" s="10">
        <v>405828760903</v>
      </c>
      <c r="I475" s="10">
        <v>29057088196</v>
      </c>
      <c r="J475" s="10">
        <v>1758962000</v>
      </c>
      <c r="K475" s="10">
        <v>375012710707</v>
      </c>
      <c r="L475" s="10">
        <v>342436938844</v>
      </c>
      <c r="M475" s="10">
        <v>63391822059</v>
      </c>
      <c r="N475" s="46">
        <v>18.511969611981222</v>
      </c>
      <c r="O475" s="10">
        <v>257942790881</v>
      </c>
      <c r="P475" s="11">
        <v>74.22</v>
      </c>
      <c r="Q475" s="11">
        <v>68.78</v>
      </c>
      <c r="R475" s="11">
        <v>0.28999999999999998</v>
      </c>
      <c r="S475" s="10">
        <v>274797998964</v>
      </c>
      <c r="T475" s="10">
        <v>880645636</v>
      </c>
      <c r="U475" s="10">
        <v>880645636</v>
      </c>
      <c r="V475" s="10">
        <v>0</v>
      </c>
      <c r="W475" s="10">
        <v>0</v>
      </c>
      <c r="X475" s="10">
        <v>275678644600</v>
      </c>
      <c r="Y475" s="10">
        <v>0</v>
      </c>
      <c r="Z475" s="10">
        <v>16022028032</v>
      </c>
      <c r="AA475" s="10">
        <v>9492089224</v>
      </c>
      <c r="AB475" s="10">
        <v>301192761856</v>
      </c>
      <c r="AC475" s="10">
        <v>107030198691</v>
      </c>
      <c r="AD475" s="46">
        <v>157.57089865440136</v>
      </c>
      <c r="AE475" s="10">
        <v>236157810030</v>
      </c>
      <c r="AF475" s="10">
        <v>236157810030</v>
      </c>
      <c r="AG475" s="10">
        <v>0</v>
      </c>
      <c r="AH475" s="10">
        <v>11307644</v>
      </c>
      <c r="AI475" s="10">
        <v>4743584639</v>
      </c>
      <c r="AJ475" s="10">
        <v>0</v>
      </c>
      <c r="AK475" s="10">
        <v>0</v>
      </c>
      <c r="AL475" s="11">
        <v>0</v>
      </c>
      <c r="AM475" s="10">
        <v>0</v>
      </c>
      <c r="AN475" s="11">
        <v>23</v>
      </c>
      <c r="AO475" s="10">
        <v>56487902055</v>
      </c>
      <c r="AP475" s="12">
        <v>5</v>
      </c>
      <c r="AQ475" s="10">
        <v>8326655615</v>
      </c>
      <c r="AR475" s="10">
        <v>880645636</v>
      </c>
      <c r="AS475" s="10">
        <v>0</v>
      </c>
      <c r="AT475" s="10">
        <v>880645636</v>
      </c>
      <c r="AU475" s="13" t="s">
        <v>593</v>
      </c>
      <c r="AV475" s="10">
        <v>78549142545</v>
      </c>
      <c r="AW475" s="10">
        <v>2196891612</v>
      </c>
      <c r="AX475" s="10">
        <v>10364748456</v>
      </c>
      <c r="AY475" s="10">
        <v>110262548183</v>
      </c>
      <c r="AZ475" s="10">
        <v>105290189403</v>
      </c>
      <c r="BA475" s="10">
        <v>176969000000</v>
      </c>
      <c r="BB475" s="10">
        <v>94623996053</v>
      </c>
      <c r="BC475" s="10">
        <v>405828760903</v>
      </c>
      <c r="BD475" s="12">
        <v>74356</v>
      </c>
      <c r="BE475" s="10">
        <v>123569571500</v>
      </c>
      <c r="BF475" s="10">
        <v>105290189403</v>
      </c>
      <c r="BG475" s="10">
        <v>176969000000</v>
      </c>
      <c r="BH475" s="10">
        <v>221457810030</v>
      </c>
      <c r="BI475" s="10">
        <v>14700000000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11307644</v>
      </c>
    </row>
    <row r="476" spans="1:67" x14ac:dyDescent="0.25">
      <c r="A476" s="25" t="s">
        <v>496</v>
      </c>
      <c r="B476" s="9">
        <v>2899</v>
      </c>
      <c r="C476" s="9" t="s">
        <v>519</v>
      </c>
      <c r="D476" s="10">
        <v>0</v>
      </c>
      <c r="E476" s="10">
        <v>692660000</v>
      </c>
      <c r="F476" s="10">
        <v>0</v>
      </c>
      <c r="G476" s="10">
        <v>0</v>
      </c>
      <c r="H476" s="10">
        <v>692660000</v>
      </c>
      <c r="I476" s="10">
        <v>53602840</v>
      </c>
      <c r="J476" s="10">
        <v>269100000</v>
      </c>
      <c r="K476" s="10">
        <v>369957160</v>
      </c>
      <c r="L476" s="10">
        <v>389035628</v>
      </c>
      <c r="M476" s="10">
        <v>303624372</v>
      </c>
      <c r="N476" s="46">
        <v>78.045389714280873</v>
      </c>
      <c r="O476" s="10">
        <v>0</v>
      </c>
      <c r="P476" s="11">
        <v>0</v>
      </c>
      <c r="Q476" s="11">
        <v>0</v>
      </c>
      <c r="R476" s="11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46" t="s">
        <v>595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1">
        <v>0</v>
      </c>
      <c r="AM476" s="10">
        <v>0</v>
      </c>
      <c r="AN476" s="11">
        <v>0</v>
      </c>
      <c r="AO476" s="10">
        <v>0</v>
      </c>
      <c r="AP476" s="12">
        <v>0</v>
      </c>
      <c r="AQ476" s="10">
        <v>0</v>
      </c>
      <c r="AR476" s="10">
        <v>0</v>
      </c>
      <c r="AS476" s="10">
        <v>0</v>
      </c>
      <c r="AT476" s="10">
        <v>0</v>
      </c>
      <c r="AU476" s="11" t="s">
        <v>593</v>
      </c>
      <c r="AV476" s="10">
        <v>0</v>
      </c>
      <c r="AW476" s="10">
        <v>0</v>
      </c>
      <c r="AX476" s="10">
        <v>0</v>
      </c>
      <c r="AY476" s="10">
        <v>0</v>
      </c>
      <c r="AZ476" s="10">
        <v>0</v>
      </c>
      <c r="BA476" s="10">
        <v>0</v>
      </c>
      <c r="BB476" s="10">
        <v>0</v>
      </c>
      <c r="BC476" s="10">
        <v>692660000</v>
      </c>
      <c r="BD476" s="12">
        <v>0</v>
      </c>
      <c r="BE476" s="10">
        <v>692660000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</row>
    <row r="477" spans="1:67" x14ac:dyDescent="0.25">
      <c r="A477" s="19" t="s">
        <v>599</v>
      </c>
      <c r="B477" s="20" t="s">
        <v>593</v>
      </c>
      <c r="C477" s="20" t="s">
        <v>593</v>
      </c>
      <c r="D477" s="21">
        <v>39604514593605</v>
      </c>
      <c r="E477" s="21">
        <v>2082993983447</v>
      </c>
      <c r="F477" s="21">
        <v>16860000000</v>
      </c>
      <c r="G477" s="21">
        <v>3279194951</v>
      </c>
      <c r="H477" s="21">
        <v>41707647772003</v>
      </c>
      <c r="I477" s="21">
        <v>2945358728181</v>
      </c>
      <c r="J477" s="21">
        <v>248919083534</v>
      </c>
      <c r="K477" s="21">
        <v>38513369960288</v>
      </c>
      <c r="L477" s="21">
        <v>32775226687554</v>
      </c>
      <c r="M477" s="21">
        <v>8932421084449</v>
      </c>
      <c r="N477" s="47">
        <v>27.253575298202225</v>
      </c>
      <c r="O477" s="21">
        <v>27528396442685</v>
      </c>
      <c r="P477" s="22">
        <v>79.45</v>
      </c>
      <c r="Q477" s="22">
        <v>71.48</v>
      </c>
      <c r="R477" s="22">
        <v>1.48</v>
      </c>
      <c r="S477" s="21">
        <v>30920286427741</v>
      </c>
      <c r="T477" s="21">
        <v>388401907129</v>
      </c>
      <c r="U477" s="21">
        <v>235590526349</v>
      </c>
      <c r="V477" s="21">
        <v>92372972680</v>
      </c>
      <c r="W477" s="21">
        <v>60438408100</v>
      </c>
      <c r="X477" s="21">
        <v>31308688334870</v>
      </c>
      <c r="Y477" s="21">
        <v>103602025302</v>
      </c>
      <c r="Z477" s="21">
        <v>1537773773420</v>
      </c>
      <c r="AA477" s="21">
        <v>291885876390</v>
      </c>
      <c r="AB477" s="21">
        <v>33138347984680</v>
      </c>
      <c r="AC477" s="21">
        <v>22683170688495</v>
      </c>
      <c r="AD477" s="47">
        <v>38.026066835311958</v>
      </c>
      <c r="AE477" s="21">
        <v>21380464021521</v>
      </c>
      <c r="AF477" s="21">
        <v>20805839128715</v>
      </c>
      <c r="AG477" s="21">
        <v>770322825262</v>
      </c>
      <c r="AH477" s="21">
        <v>321692277046</v>
      </c>
      <c r="AI477" s="21">
        <v>648760997963</v>
      </c>
      <c r="AJ477" s="21">
        <v>163330000000</v>
      </c>
      <c r="AK477" s="21">
        <v>3009992739</v>
      </c>
      <c r="AL477" s="22">
        <v>21</v>
      </c>
      <c r="AM477" s="21">
        <v>1620826729642</v>
      </c>
      <c r="AN477" s="23">
        <v>3162</v>
      </c>
      <c r="AO477" s="21">
        <v>25146657129088</v>
      </c>
      <c r="AP477" s="23">
        <v>2132</v>
      </c>
      <c r="AQ477" s="21">
        <v>20604039839196</v>
      </c>
      <c r="AR477" s="21">
        <v>388401907129</v>
      </c>
      <c r="AS477" s="21">
        <v>307384892793</v>
      </c>
      <c r="AT477" s="21">
        <v>81017014336</v>
      </c>
      <c r="AU477" s="24">
        <v>26.36</v>
      </c>
      <c r="AV477" s="21">
        <v>12811322662664</v>
      </c>
      <c r="AW477" s="21">
        <v>3265640423685</v>
      </c>
      <c r="AX477" s="21">
        <v>4954000229856</v>
      </c>
      <c r="AY477" s="21">
        <v>7706012414786</v>
      </c>
      <c r="AZ477" s="21">
        <v>10052361678570</v>
      </c>
      <c r="BA477" s="21">
        <v>16892140270393</v>
      </c>
      <c r="BB477" s="21">
        <v>6990844035469</v>
      </c>
      <c r="BC477" s="21">
        <v>41707647772003</v>
      </c>
      <c r="BD477" s="23">
        <v>1433654</v>
      </c>
      <c r="BE477" s="21">
        <v>14627754214463</v>
      </c>
      <c r="BF477" s="21">
        <v>10062365678570</v>
      </c>
      <c r="BG477" s="21">
        <v>17017527878970</v>
      </c>
      <c r="BH477" s="21">
        <v>16490514051241</v>
      </c>
      <c r="BI477" s="21">
        <v>4889949970280</v>
      </c>
      <c r="BJ477" s="21">
        <v>0</v>
      </c>
      <c r="BK477" s="21">
        <v>0</v>
      </c>
      <c r="BL477" s="21">
        <v>770322825262</v>
      </c>
      <c r="BM477" s="21">
        <v>431118480</v>
      </c>
      <c r="BN477" s="21">
        <v>3063186506</v>
      </c>
      <c r="BO477" s="21">
        <v>319288886301</v>
      </c>
    </row>
    <row r="478" spans="1:67" x14ac:dyDescent="0.25">
      <c r="A478" s="25" t="s">
        <v>520</v>
      </c>
      <c r="B478" s="9">
        <v>2900</v>
      </c>
      <c r="C478" s="9" t="s">
        <v>520</v>
      </c>
      <c r="D478" s="10">
        <v>2134007561890</v>
      </c>
      <c r="E478" s="10">
        <v>276069752217</v>
      </c>
      <c r="F478" s="10">
        <v>23016000000</v>
      </c>
      <c r="G478" s="10">
        <v>0</v>
      </c>
      <c r="H478" s="10">
        <v>2433093314107</v>
      </c>
      <c r="I478" s="10">
        <v>145784907553</v>
      </c>
      <c r="J478" s="10">
        <v>26089683615</v>
      </c>
      <c r="K478" s="10">
        <v>2261218722939</v>
      </c>
      <c r="L478" s="10">
        <v>2319440479530</v>
      </c>
      <c r="M478" s="10">
        <v>113652834577</v>
      </c>
      <c r="N478" s="46">
        <v>4.9000108250257854</v>
      </c>
      <c r="O478" s="10">
        <v>6555507977442</v>
      </c>
      <c r="P478" s="11">
        <v>351.89</v>
      </c>
      <c r="Q478" s="11">
        <v>289.91000000000003</v>
      </c>
      <c r="R478" s="11">
        <v>12.29</v>
      </c>
      <c r="S478" s="10">
        <v>6985326536878</v>
      </c>
      <c r="T478" s="10">
        <v>1030978781250</v>
      </c>
      <c r="U478" s="10">
        <v>23408659067</v>
      </c>
      <c r="V478" s="10">
        <v>990926720850</v>
      </c>
      <c r="W478" s="10">
        <v>16643401333</v>
      </c>
      <c r="X478" s="10">
        <v>8016305318128</v>
      </c>
      <c r="Y478" s="10">
        <v>21312969826</v>
      </c>
      <c r="Z478" s="10">
        <v>511031232282</v>
      </c>
      <c r="AA478" s="10">
        <v>34380256501</v>
      </c>
      <c r="AB478" s="10">
        <v>8561716806911</v>
      </c>
      <c r="AC478" s="10">
        <v>5643657085443</v>
      </c>
      <c r="AD478" s="46">
        <v>42.040970894650989</v>
      </c>
      <c r="AE478" s="10">
        <v>3494548101098</v>
      </c>
      <c r="AF478" s="10">
        <v>3388090228224</v>
      </c>
      <c r="AG478" s="10">
        <v>5594837040</v>
      </c>
      <c r="AH478" s="10">
        <v>5227200000</v>
      </c>
      <c r="AI478" s="10">
        <v>0</v>
      </c>
      <c r="AJ478" s="10">
        <v>0</v>
      </c>
      <c r="AK478" s="10">
        <v>0</v>
      </c>
      <c r="AL478" s="11">
        <v>1</v>
      </c>
      <c r="AM478" s="10">
        <v>6993546300</v>
      </c>
      <c r="AN478" s="11">
        <v>170</v>
      </c>
      <c r="AO478" s="10">
        <v>2096470647164</v>
      </c>
      <c r="AP478" s="12">
        <v>28</v>
      </c>
      <c r="AQ478" s="10">
        <v>202646588077</v>
      </c>
      <c r="AR478" s="10">
        <v>1030978781250</v>
      </c>
      <c r="AS478" s="10">
        <v>40265877642</v>
      </c>
      <c r="AT478" s="10">
        <v>990712903608</v>
      </c>
      <c r="AU478" s="13">
        <v>2460.4299999999998</v>
      </c>
      <c r="AV478" s="10">
        <v>1576010730536</v>
      </c>
      <c r="AW478" s="10">
        <v>248677144617</v>
      </c>
      <c r="AX478" s="10">
        <v>349586569437</v>
      </c>
      <c r="AY478" s="10">
        <v>1015810882551</v>
      </c>
      <c r="AZ478" s="10">
        <v>449436152861</v>
      </c>
      <c r="BA478" s="10">
        <v>319173957041</v>
      </c>
      <c r="BB478" s="10">
        <v>223305455020</v>
      </c>
      <c r="BC478" s="10">
        <v>2433093314107</v>
      </c>
      <c r="BD478" s="12">
        <v>166161</v>
      </c>
      <c r="BE478" s="10">
        <v>1507246376191</v>
      </c>
      <c r="BF478" s="10">
        <v>472452152861</v>
      </c>
      <c r="BG478" s="10">
        <v>453394785055</v>
      </c>
      <c r="BH478" s="10">
        <v>2782321761676</v>
      </c>
      <c r="BI478" s="10">
        <v>712226339422</v>
      </c>
      <c r="BJ478" s="10">
        <v>0</v>
      </c>
      <c r="BK478" s="10">
        <v>0</v>
      </c>
      <c r="BL478" s="10">
        <v>5594837040</v>
      </c>
      <c r="BM478" s="10">
        <v>0</v>
      </c>
      <c r="BN478" s="10">
        <v>0</v>
      </c>
      <c r="BO478" s="10">
        <v>5227200000</v>
      </c>
    </row>
    <row r="479" spans="1:67" x14ac:dyDescent="0.25">
      <c r="A479" s="25" t="s">
        <v>520</v>
      </c>
      <c r="B479" s="9">
        <v>2901</v>
      </c>
      <c r="C479" s="9" t="s">
        <v>521</v>
      </c>
      <c r="D479" s="10">
        <v>1183897579541</v>
      </c>
      <c r="E479" s="10">
        <v>5435696061</v>
      </c>
      <c r="F479" s="10">
        <v>0</v>
      </c>
      <c r="G479" s="10">
        <v>0</v>
      </c>
      <c r="H479" s="10">
        <v>1189333275602</v>
      </c>
      <c r="I479" s="10">
        <v>89837205763</v>
      </c>
      <c r="J479" s="10">
        <v>2031397196</v>
      </c>
      <c r="K479" s="10">
        <v>1097464672643</v>
      </c>
      <c r="L479" s="10">
        <v>1073490174237</v>
      </c>
      <c r="M479" s="10">
        <v>115843101365</v>
      </c>
      <c r="N479" s="46">
        <v>10.79125865752216</v>
      </c>
      <c r="O479" s="10">
        <v>1508979865924</v>
      </c>
      <c r="P479" s="11">
        <v>143.52000000000001</v>
      </c>
      <c r="Q479" s="11">
        <v>137.5</v>
      </c>
      <c r="R479" s="11">
        <v>1.18</v>
      </c>
      <c r="S479" s="10">
        <v>1589124883380</v>
      </c>
      <c r="T479" s="10">
        <v>19931918497</v>
      </c>
      <c r="U479" s="10">
        <v>19495385368</v>
      </c>
      <c r="V479" s="10">
        <v>0</v>
      </c>
      <c r="W479" s="10">
        <v>436533129</v>
      </c>
      <c r="X479" s="10">
        <v>1609056801877</v>
      </c>
      <c r="Y479" s="10">
        <v>252641067</v>
      </c>
      <c r="Z479" s="10">
        <v>85278051769</v>
      </c>
      <c r="AA479" s="10">
        <v>12646400000</v>
      </c>
      <c r="AB479" s="10">
        <v>1706981253646</v>
      </c>
      <c r="AC479" s="10">
        <v>1050148980555</v>
      </c>
      <c r="AD479" s="46">
        <v>53.221764880123892</v>
      </c>
      <c r="AE479" s="10">
        <v>1092407209267</v>
      </c>
      <c r="AF479" s="10">
        <v>1055207209267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1">
        <v>0</v>
      </c>
      <c r="AM479" s="10">
        <v>0</v>
      </c>
      <c r="AN479" s="11">
        <v>0</v>
      </c>
      <c r="AO479" s="10">
        <v>0</v>
      </c>
      <c r="AP479" s="12">
        <v>2</v>
      </c>
      <c r="AQ479" s="10">
        <v>5350000000</v>
      </c>
      <c r="AR479" s="10">
        <v>19931918497</v>
      </c>
      <c r="AS479" s="10">
        <v>6814029650</v>
      </c>
      <c r="AT479" s="10">
        <v>13117888847</v>
      </c>
      <c r="AU479" s="11">
        <v>192.51</v>
      </c>
      <c r="AV479" s="10">
        <v>387379234507</v>
      </c>
      <c r="AW479" s="10">
        <v>56721838902</v>
      </c>
      <c r="AX479" s="10">
        <v>88942915779</v>
      </c>
      <c r="AY479" s="10">
        <v>221801056551</v>
      </c>
      <c r="AZ479" s="10">
        <v>225257607211</v>
      </c>
      <c r="BA479" s="10">
        <v>647896000000</v>
      </c>
      <c r="BB479" s="10">
        <v>117264686762</v>
      </c>
      <c r="BC479" s="10">
        <v>1189333275602</v>
      </c>
      <c r="BD479" s="12">
        <v>93654</v>
      </c>
      <c r="BE479" s="10">
        <v>316179668391</v>
      </c>
      <c r="BF479" s="10">
        <v>225257607211</v>
      </c>
      <c r="BG479" s="10">
        <v>647896000000</v>
      </c>
      <c r="BH479" s="10">
        <v>667907209267</v>
      </c>
      <c r="BI479" s="10">
        <v>424500000000</v>
      </c>
      <c r="BJ479" s="10">
        <v>0</v>
      </c>
      <c r="BK479" s="10">
        <v>0</v>
      </c>
      <c r="BL479" s="10">
        <v>0</v>
      </c>
      <c r="BM479" s="10">
        <v>0</v>
      </c>
      <c r="BN479" s="10">
        <v>0</v>
      </c>
      <c r="BO479" s="10">
        <v>0</v>
      </c>
    </row>
    <row r="480" spans="1:67" x14ac:dyDescent="0.25">
      <c r="A480" s="25" t="s">
        <v>520</v>
      </c>
      <c r="B480" s="9">
        <v>2902</v>
      </c>
      <c r="C480" s="9" t="s">
        <v>522</v>
      </c>
      <c r="D480" s="10">
        <v>592761495490</v>
      </c>
      <c r="E480" s="10">
        <v>2187121886</v>
      </c>
      <c r="F480" s="10">
        <v>0</v>
      </c>
      <c r="G480" s="10">
        <v>0</v>
      </c>
      <c r="H480" s="10">
        <v>594948617376</v>
      </c>
      <c r="I480" s="10">
        <v>42375879172</v>
      </c>
      <c r="J480" s="10">
        <v>4247548917</v>
      </c>
      <c r="K480" s="10">
        <v>548325189287</v>
      </c>
      <c r="L480" s="10">
        <v>452758273739</v>
      </c>
      <c r="M480" s="10">
        <v>142190343637</v>
      </c>
      <c r="N480" s="46">
        <v>31.405355105441537</v>
      </c>
      <c r="O480" s="10">
        <v>907921914676</v>
      </c>
      <c r="P480" s="11">
        <v>178.56</v>
      </c>
      <c r="Q480" s="11">
        <v>165.58</v>
      </c>
      <c r="R480" s="11">
        <v>3.58</v>
      </c>
      <c r="S480" s="10">
        <v>985529048803</v>
      </c>
      <c r="T480" s="10">
        <v>36284542903</v>
      </c>
      <c r="U480" s="10">
        <v>15218871424</v>
      </c>
      <c r="V480" s="10">
        <v>13770572161</v>
      </c>
      <c r="W480" s="10">
        <v>7295099318</v>
      </c>
      <c r="X480" s="10">
        <v>1021813591706</v>
      </c>
      <c r="Y480" s="10">
        <v>1751418236</v>
      </c>
      <c r="Z480" s="10">
        <v>29073586737</v>
      </c>
      <c r="AA480" s="10">
        <v>11477750000</v>
      </c>
      <c r="AB480" s="10">
        <v>1062364928443</v>
      </c>
      <c r="AC480" s="10">
        <v>776034096910</v>
      </c>
      <c r="AD480" s="46">
        <v>31.671223696824768</v>
      </c>
      <c r="AE480" s="10">
        <v>444767022255</v>
      </c>
      <c r="AF480" s="10">
        <v>420575476684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1">
        <v>0</v>
      </c>
      <c r="AM480" s="10">
        <v>0</v>
      </c>
      <c r="AN480" s="11">
        <v>5</v>
      </c>
      <c r="AO480" s="10">
        <v>10000000000</v>
      </c>
      <c r="AP480" s="12">
        <v>1</v>
      </c>
      <c r="AQ480" s="10">
        <v>600000000</v>
      </c>
      <c r="AR480" s="10">
        <v>36284542903</v>
      </c>
      <c r="AS480" s="10">
        <v>24263691134</v>
      </c>
      <c r="AT480" s="10">
        <v>12020851769</v>
      </c>
      <c r="AU480" s="13">
        <v>49.54</v>
      </c>
      <c r="AV480" s="10">
        <v>218285660292</v>
      </c>
      <c r="AW480" s="10">
        <v>50555590936</v>
      </c>
      <c r="AX480" s="10">
        <v>128324398749</v>
      </c>
      <c r="AY480" s="10">
        <v>152243583273</v>
      </c>
      <c r="AZ480" s="10">
        <v>63703513468</v>
      </c>
      <c r="BA480" s="10">
        <v>248490000000</v>
      </c>
      <c r="BB480" s="10">
        <v>46916391760</v>
      </c>
      <c r="BC480" s="10">
        <v>594948617376</v>
      </c>
      <c r="BD480" s="12">
        <v>36160</v>
      </c>
      <c r="BE480" s="10">
        <v>282755103908</v>
      </c>
      <c r="BF480" s="10">
        <v>63703513468</v>
      </c>
      <c r="BG480" s="10">
        <v>248490000000</v>
      </c>
      <c r="BH480" s="10">
        <v>382905093488</v>
      </c>
      <c r="BI480" s="10">
        <v>61861928767</v>
      </c>
      <c r="BJ480" s="10">
        <v>0</v>
      </c>
      <c r="BK480" s="10">
        <v>0</v>
      </c>
      <c r="BL480" s="10">
        <v>0</v>
      </c>
      <c r="BM480" s="10">
        <v>0</v>
      </c>
      <c r="BN480" s="10">
        <v>0</v>
      </c>
      <c r="BO480" s="10">
        <v>0</v>
      </c>
    </row>
    <row r="481" spans="1:67" x14ac:dyDescent="0.25">
      <c r="A481" s="25" t="s">
        <v>520</v>
      </c>
      <c r="B481" s="9">
        <v>2903</v>
      </c>
      <c r="C481" s="9" t="s">
        <v>523</v>
      </c>
      <c r="D481" s="10">
        <v>793407937116</v>
      </c>
      <c r="E481" s="10">
        <v>966463558</v>
      </c>
      <c r="F481" s="10">
        <v>0</v>
      </c>
      <c r="G481" s="10">
        <v>0</v>
      </c>
      <c r="H481" s="10">
        <v>794374400674</v>
      </c>
      <c r="I481" s="10">
        <v>61819576197</v>
      </c>
      <c r="J481" s="10">
        <v>93339899</v>
      </c>
      <c r="K481" s="10">
        <v>732461484578</v>
      </c>
      <c r="L481" s="10">
        <v>594906770323</v>
      </c>
      <c r="M481" s="10">
        <v>199467630351</v>
      </c>
      <c r="N481" s="46">
        <v>33.529225132654076</v>
      </c>
      <c r="O481" s="10">
        <v>687680730152</v>
      </c>
      <c r="P481" s="11">
        <v>102.37</v>
      </c>
      <c r="Q481" s="11">
        <v>93.89</v>
      </c>
      <c r="R481" s="11">
        <v>1.3</v>
      </c>
      <c r="S481" s="10">
        <v>738327327657</v>
      </c>
      <c r="T481" s="10">
        <v>10515957580</v>
      </c>
      <c r="U481" s="10">
        <v>7998080240</v>
      </c>
      <c r="V481" s="10">
        <v>2517877340</v>
      </c>
      <c r="W481" s="10">
        <v>0</v>
      </c>
      <c r="X481" s="10">
        <v>748843285237</v>
      </c>
      <c r="Y481" s="10">
        <v>35690365</v>
      </c>
      <c r="Z481" s="10">
        <v>57850852815</v>
      </c>
      <c r="AA481" s="10">
        <v>6484699500</v>
      </c>
      <c r="AB481" s="10">
        <v>813178837552</v>
      </c>
      <c r="AC481" s="10">
        <v>530796792345</v>
      </c>
      <c r="AD481" s="46">
        <v>41.079090159662677</v>
      </c>
      <c r="AE481" s="10">
        <v>403673149710</v>
      </c>
      <c r="AF481" s="10">
        <v>403673149710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1">
        <v>0</v>
      </c>
      <c r="AM481" s="10">
        <v>0</v>
      </c>
      <c r="AN481" s="11">
        <v>20</v>
      </c>
      <c r="AO481" s="10">
        <v>5246520518</v>
      </c>
      <c r="AP481" s="12">
        <v>3</v>
      </c>
      <c r="AQ481" s="10">
        <v>691500000</v>
      </c>
      <c r="AR481" s="10">
        <v>10515957580</v>
      </c>
      <c r="AS481" s="10">
        <v>5345616382</v>
      </c>
      <c r="AT481" s="10">
        <v>5170341198</v>
      </c>
      <c r="AU481" s="11">
        <v>96.72</v>
      </c>
      <c r="AV481" s="10">
        <v>209915044357</v>
      </c>
      <c r="AW481" s="10">
        <v>39967938847</v>
      </c>
      <c r="AX481" s="10">
        <v>70842634156</v>
      </c>
      <c r="AY481" s="10">
        <v>206441512029</v>
      </c>
      <c r="AZ481" s="10">
        <v>131113282631</v>
      </c>
      <c r="BA481" s="10">
        <v>385010508300</v>
      </c>
      <c r="BB481" s="10">
        <v>89184419955</v>
      </c>
      <c r="BC481" s="10">
        <v>794374400674</v>
      </c>
      <c r="BD481" s="12">
        <v>63355</v>
      </c>
      <c r="BE481" s="10">
        <v>278250609743</v>
      </c>
      <c r="BF481" s="10">
        <v>131113282631</v>
      </c>
      <c r="BG481" s="10">
        <v>385010508300</v>
      </c>
      <c r="BH481" s="10">
        <v>281780680176</v>
      </c>
      <c r="BI481" s="10">
        <v>121892469534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</row>
    <row r="482" spans="1:67" x14ac:dyDescent="0.25">
      <c r="A482" s="25" t="s">
        <v>520</v>
      </c>
      <c r="B482" s="9">
        <v>2904</v>
      </c>
      <c r="C482" s="9" t="s">
        <v>524</v>
      </c>
      <c r="D482" s="10">
        <v>1645465936142</v>
      </c>
      <c r="E482" s="10">
        <v>5293939481</v>
      </c>
      <c r="F482" s="10">
        <v>0</v>
      </c>
      <c r="G482" s="10">
        <v>0</v>
      </c>
      <c r="H482" s="10">
        <v>1650759875623</v>
      </c>
      <c r="I482" s="10">
        <v>131605016858</v>
      </c>
      <c r="J482" s="10">
        <v>2052174361</v>
      </c>
      <c r="K482" s="10">
        <v>1517102684404</v>
      </c>
      <c r="L482" s="10">
        <v>1384387177724</v>
      </c>
      <c r="M482" s="10">
        <v>266372697899</v>
      </c>
      <c r="N482" s="46">
        <v>19.241199440818985</v>
      </c>
      <c r="O482" s="10">
        <v>1690492427676</v>
      </c>
      <c r="P482" s="11">
        <v>113.47</v>
      </c>
      <c r="Q482" s="11">
        <v>111.43</v>
      </c>
      <c r="R482" s="11">
        <v>0.65</v>
      </c>
      <c r="S482" s="10">
        <v>1780603007125</v>
      </c>
      <c r="T482" s="10">
        <v>10825644629</v>
      </c>
      <c r="U482" s="10">
        <v>7810310085</v>
      </c>
      <c r="V482" s="10">
        <v>103924712</v>
      </c>
      <c r="W482" s="10">
        <v>2911409832</v>
      </c>
      <c r="X482" s="10">
        <v>1791428651754</v>
      </c>
      <c r="Y482" s="10">
        <v>1303029580</v>
      </c>
      <c r="Z482" s="10">
        <v>62628390071</v>
      </c>
      <c r="AA482" s="10">
        <v>19133335000</v>
      </c>
      <c r="AB482" s="10">
        <v>1873190376825</v>
      </c>
      <c r="AC482" s="10">
        <v>1326856810234</v>
      </c>
      <c r="AD482" s="46">
        <v>35.012959796171955</v>
      </c>
      <c r="AE482" s="10">
        <v>1030310088853</v>
      </c>
      <c r="AF482" s="10">
        <v>1030310088853</v>
      </c>
      <c r="AG482" s="10">
        <v>0</v>
      </c>
      <c r="AH482" s="10">
        <v>0</v>
      </c>
      <c r="AI482" s="10">
        <v>0</v>
      </c>
      <c r="AJ482" s="10">
        <v>0</v>
      </c>
      <c r="AK482" s="10">
        <v>0</v>
      </c>
      <c r="AL482" s="11">
        <v>0</v>
      </c>
      <c r="AM482" s="10">
        <v>0</v>
      </c>
      <c r="AN482" s="11">
        <v>36</v>
      </c>
      <c r="AO482" s="10">
        <v>86041792701</v>
      </c>
      <c r="AP482" s="12">
        <v>6</v>
      </c>
      <c r="AQ482" s="10">
        <v>3488477494</v>
      </c>
      <c r="AR482" s="10">
        <v>10825644629</v>
      </c>
      <c r="AS482" s="10">
        <v>20441403162</v>
      </c>
      <c r="AT482" s="10">
        <v>-9615758533</v>
      </c>
      <c r="AU482" s="13">
        <v>-47.04</v>
      </c>
      <c r="AV482" s="10">
        <v>567720248366</v>
      </c>
      <c r="AW482" s="10">
        <v>111422194970</v>
      </c>
      <c r="AX482" s="10">
        <v>119225829010</v>
      </c>
      <c r="AY482" s="10">
        <v>386859266984</v>
      </c>
      <c r="AZ482" s="10">
        <v>268772840148</v>
      </c>
      <c r="BA482" s="10">
        <v>870608000000</v>
      </c>
      <c r="BB482" s="10">
        <v>196360919737</v>
      </c>
      <c r="BC482" s="10">
        <v>1650759875623</v>
      </c>
      <c r="BD482" s="12">
        <v>23834</v>
      </c>
      <c r="BE482" s="10">
        <v>511379035475</v>
      </c>
      <c r="BF482" s="10">
        <v>268772840148</v>
      </c>
      <c r="BG482" s="10">
        <v>870608000000</v>
      </c>
      <c r="BH482" s="10">
        <v>886241732382</v>
      </c>
      <c r="BI482" s="10">
        <v>144068356471</v>
      </c>
      <c r="BJ482" s="10">
        <v>0</v>
      </c>
      <c r="BK482" s="10">
        <v>0</v>
      </c>
      <c r="BL482" s="10">
        <v>0</v>
      </c>
      <c r="BM482" s="10">
        <v>0</v>
      </c>
      <c r="BN482" s="10">
        <v>0</v>
      </c>
      <c r="BO482" s="10">
        <v>0</v>
      </c>
    </row>
    <row r="483" spans="1:67" x14ac:dyDescent="0.25">
      <c r="A483" s="25" t="s">
        <v>520</v>
      </c>
      <c r="B483" s="9">
        <v>2905</v>
      </c>
      <c r="C483" s="9" t="s">
        <v>525</v>
      </c>
      <c r="D483" s="10">
        <v>919071340187</v>
      </c>
      <c r="E483" s="10">
        <v>1094343045</v>
      </c>
      <c r="F483" s="10">
        <v>0</v>
      </c>
      <c r="G483" s="10">
        <v>0</v>
      </c>
      <c r="H483" s="10">
        <v>920165683232</v>
      </c>
      <c r="I483" s="10">
        <v>84958012624</v>
      </c>
      <c r="J483" s="10">
        <v>1458953094</v>
      </c>
      <c r="K483" s="10">
        <v>833748717514</v>
      </c>
      <c r="L483" s="10">
        <v>819103181404</v>
      </c>
      <c r="M483" s="10">
        <v>101062501828</v>
      </c>
      <c r="N483" s="46">
        <v>12.338189390837407</v>
      </c>
      <c r="O483" s="10">
        <v>1427375642060</v>
      </c>
      <c r="P483" s="11">
        <v>179.82</v>
      </c>
      <c r="Q483" s="11">
        <v>171.2</v>
      </c>
      <c r="R483" s="11">
        <v>4</v>
      </c>
      <c r="S483" s="10">
        <v>1491121092907</v>
      </c>
      <c r="T483" s="10">
        <v>60693242625</v>
      </c>
      <c r="U483" s="10">
        <v>20276796369</v>
      </c>
      <c r="V483" s="10">
        <v>31998095657</v>
      </c>
      <c r="W483" s="10">
        <v>8418350599</v>
      </c>
      <c r="X483" s="10">
        <v>1551814335532</v>
      </c>
      <c r="Y483" s="10">
        <v>5415901628</v>
      </c>
      <c r="Z483" s="10">
        <v>82658497339</v>
      </c>
      <c r="AA483" s="10">
        <v>20134120000</v>
      </c>
      <c r="AB483" s="10">
        <v>1654606952871</v>
      </c>
      <c r="AC483" s="10">
        <v>1287566692027</v>
      </c>
      <c r="AD483" s="46">
        <v>20.523025730729199</v>
      </c>
      <c r="AE483" s="10">
        <v>759308684143</v>
      </c>
      <c r="AF483" s="10">
        <v>719908245788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1">
        <v>0</v>
      </c>
      <c r="AM483" s="10">
        <v>0</v>
      </c>
      <c r="AN483" s="11">
        <v>8</v>
      </c>
      <c r="AO483" s="10">
        <v>2871750000</v>
      </c>
      <c r="AP483" s="12">
        <v>1</v>
      </c>
      <c r="AQ483" s="10">
        <v>96960000</v>
      </c>
      <c r="AR483" s="10">
        <v>60693242625</v>
      </c>
      <c r="AS483" s="10">
        <v>37124477321</v>
      </c>
      <c r="AT483" s="10">
        <v>23568765304</v>
      </c>
      <c r="AU483" s="11">
        <v>63.49</v>
      </c>
      <c r="AV483" s="10">
        <v>495418891567</v>
      </c>
      <c r="AW483" s="10">
        <v>85997172725</v>
      </c>
      <c r="AX483" s="10">
        <v>24261053782</v>
      </c>
      <c r="AY483" s="10">
        <v>165051602593</v>
      </c>
      <c r="AZ483" s="10">
        <v>114305585182</v>
      </c>
      <c r="BA483" s="10">
        <v>615453098630</v>
      </c>
      <c r="BB483" s="10">
        <v>85458645099</v>
      </c>
      <c r="BC483" s="10">
        <v>920165683232</v>
      </c>
      <c r="BD483" s="12">
        <v>91589</v>
      </c>
      <c r="BE483" s="10">
        <v>190407425500</v>
      </c>
      <c r="BF483" s="10">
        <v>114305585182</v>
      </c>
      <c r="BG483" s="10">
        <v>615452672550</v>
      </c>
      <c r="BH483" s="10">
        <v>636264684143</v>
      </c>
      <c r="BI483" s="10">
        <v>123044000000</v>
      </c>
      <c r="BJ483" s="10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</row>
    <row r="484" spans="1:67" x14ac:dyDescent="0.25">
      <c r="A484" s="25" t="s">
        <v>520</v>
      </c>
      <c r="B484" s="9">
        <v>2906</v>
      </c>
      <c r="C484" s="9" t="s">
        <v>526</v>
      </c>
      <c r="D484" s="10">
        <v>1257109434247</v>
      </c>
      <c r="E484" s="10">
        <v>2487297925</v>
      </c>
      <c r="F484" s="10">
        <v>0</v>
      </c>
      <c r="G484" s="10">
        <v>0</v>
      </c>
      <c r="H484" s="10">
        <v>1259596732172</v>
      </c>
      <c r="I484" s="10">
        <v>93716985308</v>
      </c>
      <c r="J484" s="10">
        <v>7755566161</v>
      </c>
      <c r="K484" s="10">
        <v>1158124180703</v>
      </c>
      <c r="L484" s="10">
        <v>937344013010</v>
      </c>
      <c r="M484" s="10">
        <v>322252719162</v>
      </c>
      <c r="N484" s="46">
        <v>34.379343622965251</v>
      </c>
      <c r="O484" s="10">
        <v>1212215400608</v>
      </c>
      <c r="P484" s="11">
        <v>110.14</v>
      </c>
      <c r="Q484" s="11">
        <v>104.67</v>
      </c>
      <c r="R484" s="11">
        <v>2.2400000000000002</v>
      </c>
      <c r="S484" s="10">
        <v>1283687362099</v>
      </c>
      <c r="T484" s="10">
        <v>30441742408</v>
      </c>
      <c r="U484" s="10">
        <v>17267369301</v>
      </c>
      <c r="V484" s="10">
        <v>10861975373</v>
      </c>
      <c r="W484" s="10">
        <v>2312397734</v>
      </c>
      <c r="X484" s="10">
        <v>1314129104507</v>
      </c>
      <c r="Y484" s="10">
        <v>639278229</v>
      </c>
      <c r="Z484" s="10">
        <v>62985667277</v>
      </c>
      <c r="AA484" s="10">
        <v>10200000000</v>
      </c>
      <c r="AB484" s="10">
        <v>1387314771784</v>
      </c>
      <c r="AC484" s="10">
        <v>1103769328787</v>
      </c>
      <c r="AD484" s="46">
        <v>19.05830957915612</v>
      </c>
      <c r="AE484" s="10">
        <v>607466933952</v>
      </c>
      <c r="AF484" s="10">
        <v>607466933952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1">
        <v>0</v>
      </c>
      <c r="AM484" s="10">
        <v>0</v>
      </c>
      <c r="AN484" s="11">
        <v>2</v>
      </c>
      <c r="AO484" s="10">
        <v>18864000000</v>
      </c>
      <c r="AP484" s="12">
        <v>0</v>
      </c>
      <c r="AQ484" s="10">
        <v>0</v>
      </c>
      <c r="AR484" s="10">
        <v>30441742408</v>
      </c>
      <c r="AS484" s="10">
        <v>28398300983</v>
      </c>
      <c r="AT484" s="10">
        <v>2043441425</v>
      </c>
      <c r="AU484" s="13">
        <v>7.2</v>
      </c>
      <c r="AV484" s="10">
        <v>463150484308</v>
      </c>
      <c r="AW484" s="10">
        <v>173234571805</v>
      </c>
      <c r="AX484" s="10">
        <v>39652521812</v>
      </c>
      <c r="AY484" s="10">
        <v>208415735429</v>
      </c>
      <c r="AZ484" s="10">
        <v>161599177006</v>
      </c>
      <c r="BA484" s="10">
        <v>847442000000</v>
      </c>
      <c r="BB484" s="10">
        <v>107347944148</v>
      </c>
      <c r="BC484" s="10">
        <v>1259596732172</v>
      </c>
      <c r="BD484" s="12">
        <v>81518</v>
      </c>
      <c r="BE484" s="10">
        <v>250555555166</v>
      </c>
      <c r="BF484" s="10">
        <v>161599177006</v>
      </c>
      <c r="BG484" s="10">
        <v>847442000000</v>
      </c>
      <c r="BH484" s="10">
        <v>463184591486</v>
      </c>
      <c r="BI484" s="10">
        <v>144282342466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</row>
    <row r="485" spans="1:67" x14ac:dyDescent="0.25">
      <c r="A485" s="25" t="s">
        <v>520</v>
      </c>
      <c r="B485" s="9">
        <v>2907</v>
      </c>
      <c r="C485" s="9" t="s">
        <v>527</v>
      </c>
      <c r="D485" s="10">
        <v>920911873681</v>
      </c>
      <c r="E485" s="10">
        <v>5929995879</v>
      </c>
      <c r="F485" s="10">
        <v>0</v>
      </c>
      <c r="G485" s="10">
        <v>0</v>
      </c>
      <c r="H485" s="10">
        <v>926841869560</v>
      </c>
      <c r="I485" s="10">
        <v>70881849578</v>
      </c>
      <c r="J485" s="10">
        <v>2922243448</v>
      </c>
      <c r="K485" s="10">
        <v>853037776534</v>
      </c>
      <c r="L485" s="10">
        <v>722645084142</v>
      </c>
      <c r="M485" s="10">
        <v>204196785418</v>
      </c>
      <c r="N485" s="46">
        <v>28.256856636677163</v>
      </c>
      <c r="O485" s="10">
        <v>1144035375345</v>
      </c>
      <c r="P485" s="11">
        <v>140.15</v>
      </c>
      <c r="Q485" s="11">
        <v>134.11000000000001</v>
      </c>
      <c r="R485" s="11">
        <v>8.14</v>
      </c>
      <c r="S485" s="10">
        <v>1120819664232</v>
      </c>
      <c r="T485" s="10">
        <v>105512192580</v>
      </c>
      <c r="U485" s="10">
        <v>6623502111</v>
      </c>
      <c r="V485" s="10">
        <v>95769888357</v>
      </c>
      <c r="W485" s="10">
        <v>3118802112</v>
      </c>
      <c r="X485" s="10">
        <v>1226331856812</v>
      </c>
      <c r="Y485" s="10">
        <v>239128418</v>
      </c>
      <c r="Z485" s="10">
        <v>63219037996</v>
      </c>
      <c r="AA485" s="10">
        <v>9440000000</v>
      </c>
      <c r="AB485" s="10">
        <v>1298990894808</v>
      </c>
      <c r="AC485" s="10">
        <v>964408964835</v>
      </c>
      <c r="AD485" s="46">
        <v>27.158902657215776</v>
      </c>
      <c r="AE485" s="10">
        <v>712647361571</v>
      </c>
      <c r="AF485" s="10">
        <v>570890532473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1">
        <v>0</v>
      </c>
      <c r="AM485" s="10">
        <v>0</v>
      </c>
      <c r="AN485" s="11">
        <v>2</v>
      </c>
      <c r="AO485" s="10">
        <v>5558543683</v>
      </c>
      <c r="AP485" s="12">
        <v>0</v>
      </c>
      <c r="AQ485" s="10">
        <v>0</v>
      </c>
      <c r="AR485" s="10">
        <v>105512192580</v>
      </c>
      <c r="AS485" s="10">
        <v>7218231353</v>
      </c>
      <c r="AT485" s="10">
        <v>98293961227</v>
      </c>
      <c r="AU485" s="13">
        <v>1361.75</v>
      </c>
      <c r="AV485" s="10">
        <v>337999948238</v>
      </c>
      <c r="AW485" s="10">
        <v>62352923946</v>
      </c>
      <c r="AX485" s="10">
        <v>48543976239</v>
      </c>
      <c r="AY485" s="10">
        <v>208961363447</v>
      </c>
      <c r="AZ485" s="10">
        <v>210113533995</v>
      </c>
      <c r="BA485" s="10">
        <v>453293000000</v>
      </c>
      <c r="BB485" s="10">
        <v>167656600822</v>
      </c>
      <c r="BC485" s="10">
        <v>926841869560</v>
      </c>
      <c r="BD485" s="12">
        <v>51104</v>
      </c>
      <c r="BE485" s="10">
        <v>263435335565</v>
      </c>
      <c r="BF485" s="10">
        <v>210113533995</v>
      </c>
      <c r="BG485" s="10">
        <v>453293000000</v>
      </c>
      <c r="BH485" s="10">
        <v>438372160098</v>
      </c>
      <c r="BI485" s="10">
        <v>274275201473</v>
      </c>
      <c r="BJ485" s="10">
        <v>0</v>
      </c>
      <c r="BK485" s="10">
        <v>0</v>
      </c>
      <c r="BL485" s="10">
        <v>0</v>
      </c>
      <c r="BM485" s="10">
        <v>0</v>
      </c>
      <c r="BN485" s="10">
        <v>0</v>
      </c>
      <c r="BO485" s="10">
        <v>0</v>
      </c>
    </row>
    <row r="486" spans="1:67" x14ac:dyDescent="0.25">
      <c r="A486" s="25" t="s">
        <v>520</v>
      </c>
      <c r="B486" s="9">
        <v>2908</v>
      </c>
      <c r="C486" s="9" t="s">
        <v>528</v>
      </c>
      <c r="D486" s="10">
        <v>1434829769251</v>
      </c>
      <c r="E486" s="10">
        <v>889121562</v>
      </c>
      <c r="F486" s="10">
        <v>0</v>
      </c>
      <c r="G486" s="10">
        <v>0</v>
      </c>
      <c r="H486" s="10">
        <v>1435718890813</v>
      </c>
      <c r="I486" s="10">
        <v>111011741383</v>
      </c>
      <c r="J486" s="10">
        <v>1882175947</v>
      </c>
      <c r="K486" s="10">
        <v>1322824973483</v>
      </c>
      <c r="L486" s="10">
        <v>1210319240909</v>
      </c>
      <c r="M486" s="10">
        <v>225399649904</v>
      </c>
      <c r="N486" s="46">
        <v>18.623156790824503</v>
      </c>
      <c r="O486" s="10">
        <v>1074063493842</v>
      </c>
      <c r="P486" s="11">
        <v>85.24</v>
      </c>
      <c r="Q486" s="11">
        <v>81.19</v>
      </c>
      <c r="R486" s="11">
        <v>1.65</v>
      </c>
      <c r="S486" s="10">
        <v>1144212261689</v>
      </c>
      <c r="T486" s="10">
        <v>19860675238</v>
      </c>
      <c r="U486" s="10">
        <v>18739275358</v>
      </c>
      <c r="V486" s="10">
        <v>322079883</v>
      </c>
      <c r="W486" s="10">
        <v>799319997</v>
      </c>
      <c r="X486" s="10">
        <v>1164072936927</v>
      </c>
      <c r="Y486" s="10">
        <v>384830472</v>
      </c>
      <c r="Z486" s="10">
        <v>50213342862</v>
      </c>
      <c r="AA486" s="10">
        <v>9499920000</v>
      </c>
      <c r="AB486" s="10">
        <v>1223786199789</v>
      </c>
      <c r="AC486" s="10">
        <v>901209776124</v>
      </c>
      <c r="AD486" s="46">
        <v>29.167810621578511</v>
      </c>
      <c r="AE486" s="10">
        <v>711008643236</v>
      </c>
      <c r="AF486" s="10">
        <v>711008643236</v>
      </c>
      <c r="AG486" s="10">
        <v>0</v>
      </c>
      <c r="AH486" s="10">
        <v>0</v>
      </c>
      <c r="AI486" s="10">
        <v>0</v>
      </c>
      <c r="AJ486" s="10">
        <v>0</v>
      </c>
      <c r="AK486" s="10">
        <v>5286656767</v>
      </c>
      <c r="AL486" s="11">
        <v>0</v>
      </c>
      <c r="AM486" s="10">
        <v>0</v>
      </c>
      <c r="AN486" s="11">
        <v>5</v>
      </c>
      <c r="AO486" s="10">
        <v>1860974440</v>
      </c>
      <c r="AP486" s="12">
        <v>1</v>
      </c>
      <c r="AQ486" s="10">
        <v>260974440</v>
      </c>
      <c r="AR486" s="10">
        <v>19860675238</v>
      </c>
      <c r="AS486" s="10">
        <v>23915184125</v>
      </c>
      <c r="AT486" s="10">
        <v>-4054508887</v>
      </c>
      <c r="AU486" s="11">
        <v>-16.95</v>
      </c>
      <c r="AV486" s="10">
        <v>435942472829</v>
      </c>
      <c r="AW486" s="10">
        <v>90845309245</v>
      </c>
      <c r="AX486" s="10">
        <v>56311014167</v>
      </c>
      <c r="AY486" s="10">
        <v>258613938612</v>
      </c>
      <c r="AZ486" s="10">
        <v>139199416472</v>
      </c>
      <c r="BA486" s="10">
        <v>980705400000</v>
      </c>
      <c r="BB486" s="10">
        <v>91700220990</v>
      </c>
      <c r="BC486" s="10">
        <v>1435718890813</v>
      </c>
      <c r="BD486" s="12">
        <v>65245</v>
      </c>
      <c r="BE486" s="10">
        <v>315814074341</v>
      </c>
      <c r="BF486" s="10">
        <v>139199416472</v>
      </c>
      <c r="BG486" s="10">
        <v>980705400000</v>
      </c>
      <c r="BH486" s="10">
        <v>355247558934</v>
      </c>
      <c r="BI486" s="10">
        <v>355761084302</v>
      </c>
      <c r="BJ486" s="10">
        <v>0</v>
      </c>
      <c r="BK486" s="10">
        <v>0</v>
      </c>
      <c r="BL486" s="10">
        <v>0</v>
      </c>
      <c r="BM486" s="10">
        <v>0</v>
      </c>
      <c r="BN486" s="10">
        <v>0</v>
      </c>
      <c r="BO486" s="10">
        <v>0</v>
      </c>
    </row>
    <row r="487" spans="1:67" x14ac:dyDescent="0.25">
      <c r="A487" s="25" t="s">
        <v>520</v>
      </c>
      <c r="B487" s="9">
        <v>2909</v>
      </c>
      <c r="C487" s="9" t="s">
        <v>529</v>
      </c>
      <c r="D487" s="10">
        <v>754268959118</v>
      </c>
      <c r="E487" s="10">
        <v>610584363</v>
      </c>
      <c r="F487" s="10">
        <v>0</v>
      </c>
      <c r="G487" s="10">
        <v>0</v>
      </c>
      <c r="H487" s="10">
        <v>754879543481</v>
      </c>
      <c r="I487" s="10">
        <v>64754056592</v>
      </c>
      <c r="J487" s="10">
        <v>1735625632</v>
      </c>
      <c r="K487" s="10">
        <v>688389861257</v>
      </c>
      <c r="L487" s="10">
        <v>681818282973</v>
      </c>
      <c r="M487" s="10">
        <v>73061260508</v>
      </c>
      <c r="N487" s="46">
        <v>10.715649951395219</v>
      </c>
      <c r="O487" s="10">
        <v>621231570473</v>
      </c>
      <c r="P487" s="11">
        <v>95.71</v>
      </c>
      <c r="Q487" s="11">
        <v>90.24</v>
      </c>
      <c r="R487" s="11">
        <v>2.48</v>
      </c>
      <c r="S487" s="10">
        <v>661380386142</v>
      </c>
      <c r="T487" s="10">
        <v>17857530858</v>
      </c>
      <c r="U487" s="10">
        <v>15094643112</v>
      </c>
      <c r="V487" s="10">
        <v>2693508279</v>
      </c>
      <c r="W487" s="10">
        <v>69379467</v>
      </c>
      <c r="X487" s="10">
        <v>679237917000</v>
      </c>
      <c r="Y487" s="10">
        <v>39651454</v>
      </c>
      <c r="Z487" s="10">
        <v>29840586316</v>
      </c>
      <c r="AA487" s="10">
        <v>13399100000</v>
      </c>
      <c r="AB487" s="10">
        <v>722477603316</v>
      </c>
      <c r="AC487" s="10">
        <v>605856913620</v>
      </c>
      <c r="AD487" s="46">
        <v>12.111936288974224</v>
      </c>
      <c r="AE487" s="10">
        <v>339846465588</v>
      </c>
      <c r="AF487" s="10">
        <v>317965315809</v>
      </c>
      <c r="AG487" s="10">
        <v>0</v>
      </c>
      <c r="AH487" s="10">
        <v>0</v>
      </c>
      <c r="AI487" s="10">
        <v>20075000000</v>
      </c>
      <c r="AJ487" s="10">
        <v>0</v>
      </c>
      <c r="AK487" s="10">
        <v>0</v>
      </c>
      <c r="AL487" s="11">
        <v>0</v>
      </c>
      <c r="AM487" s="10">
        <v>0</v>
      </c>
      <c r="AN487" s="11">
        <v>7</v>
      </c>
      <c r="AO487" s="10">
        <v>30532000000</v>
      </c>
      <c r="AP487" s="12">
        <v>1</v>
      </c>
      <c r="AQ487" s="10">
        <v>50000000</v>
      </c>
      <c r="AR487" s="10">
        <v>17857530858</v>
      </c>
      <c r="AS487" s="10">
        <v>7923440520</v>
      </c>
      <c r="AT487" s="10">
        <v>9934090338</v>
      </c>
      <c r="AU487" s="11">
        <v>125.38</v>
      </c>
      <c r="AV487" s="10">
        <v>269469401866</v>
      </c>
      <c r="AW487" s="10">
        <v>102866337811</v>
      </c>
      <c r="AX487" s="10">
        <v>21075206305</v>
      </c>
      <c r="AY487" s="10">
        <v>76193518704</v>
      </c>
      <c r="AZ487" s="10">
        <v>71706234109</v>
      </c>
      <c r="BA487" s="10">
        <v>585294000000</v>
      </c>
      <c r="BB487" s="10">
        <v>45274618620</v>
      </c>
      <c r="BC487" s="10">
        <v>754879543481</v>
      </c>
      <c r="BD487" s="12">
        <v>22014</v>
      </c>
      <c r="BE487" s="10">
        <v>97879309372</v>
      </c>
      <c r="BF487" s="10">
        <v>71706234109</v>
      </c>
      <c r="BG487" s="10">
        <v>585294000000</v>
      </c>
      <c r="BH487" s="10">
        <v>328216465588</v>
      </c>
      <c r="BI487" s="10">
        <v>11630000000</v>
      </c>
      <c r="BJ487" s="10">
        <v>0</v>
      </c>
      <c r="BK487" s="10">
        <v>0</v>
      </c>
      <c r="BL487" s="10">
        <v>0</v>
      </c>
      <c r="BM487" s="10">
        <v>0</v>
      </c>
      <c r="BN487" s="10">
        <v>0</v>
      </c>
      <c r="BO487" s="10">
        <v>0</v>
      </c>
    </row>
    <row r="488" spans="1:67" x14ac:dyDescent="0.25">
      <c r="A488" s="25" t="s">
        <v>520</v>
      </c>
      <c r="B488" s="9">
        <v>2910</v>
      </c>
      <c r="C488" s="9" t="s">
        <v>530</v>
      </c>
      <c r="D488" s="10">
        <v>1639148710091</v>
      </c>
      <c r="E488" s="10">
        <v>5111340878</v>
      </c>
      <c r="F488" s="10">
        <v>0</v>
      </c>
      <c r="G488" s="10">
        <v>0</v>
      </c>
      <c r="H488" s="10">
        <v>1644260050969</v>
      </c>
      <c r="I488" s="10">
        <v>131205930503</v>
      </c>
      <c r="J488" s="10">
        <v>2900501589</v>
      </c>
      <c r="K488" s="10">
        <v>1510153618877</v>
      </c>
      <c r="L488" s="10">
        <v>1411101280438</v>
      </c>
      <c r="M488" s="10">
        <v>233158770531</v>
      </c>
      <c r="N488" s="46">
        <v>16.523177589253443</v>
      </c>
      <c r="O488" s="10">
        <v>927042852407</v>
      </c>
      <c r="P488" s="11">
        <v>67.09</v>
      </c>
      <c r="Q488" s="11">
        <v>61.39</v>
      </c>
      <c r="R488" s="11">
        <v>0.73</v>
      </c>
      <c r="S488" s="10">
        <v>1032486326101</v>
      </c>
      <c r="T488" s="10">
        <v>7888819260</v>
      </c>
      <c r="U488" s="10">
        <v>7696211425</v>
      </c>
      <c r="V488" s="10">
        <v>54114430</v>
      </c>
      <c r="W488" s="10">
        <v>138493405</v>
      </c>
      <c r="X488" s="10">
        <v>1040375145361</v>
      </c>
      <c r="Y488" s="10">
        <v>201277270</v>
      </c>
      <c r="Z488" s="10">
        <v>53296340742</v>
      </c>
      <c r="AA488" s="10">
        <v>9400000000</v>
      </c>
      <c r="AB488" s="10">
        <v>1103071486103</v>
      </c>
      <c r="AC488" s="10">
        <v>777223368887</v>
      </c>
      <c r="AD488" s="46">
        <v>33.857934154867067</v>
      </c>
      <c r="AE488" s="10">
        <v>516238139917</v>
      </c>
      <c r="AF488" s="10">
        <v>516238139917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1">
        <v>0</v>
      </c>
      <c r="AM488" s="10">
        <v>0</v>
      </c>
      <c r="AN488" s="11">
        <v>9</v>
      </c>
      <c r="AO488" s="10">
        <v>50860000000</v>
      </c>
      <c r="AP488" s="12">
        <v>1</v>
      </c>
      <c r="AQ488" s="10">
        <v>300000000</v>
      </c>
      <c r="AR488" s="10">
        <v>7888819260</v>
      </c>
      <c r="AS488" s="10">
        <v>10320633000</v>
      </c>
      <c r="AT488" s="10">
        <v>-2431813740</v>
      </c>
      <c r="AU488" s="11">
        <v>-23.56</v>
      </c>
      <c r="AV488" s="10">
        <v>291226478945</v>
      </c>
      <c r="AW488" s="10">
        <v>71761860018</v>
      </c>
      <c r="AX488" s="10">
        <v>24983145499</v>
      </c>
      <c r="AY488" s="10">
        <v>142653308316</v>
      </c>
      <c r="AZ488" s="10">
        <v>237061956276</v>
      </c>
      <c r="BA488" s="10">
        <v>1234450300000</v>
      </c>
      <c r="BB488" s="10">
        <v>129947923080</v>
      </c>
      <c r="BC488" s="10">
        <v>1644260050969</v>
      </c>
      <c r="BD488" s="12">
        <v>309954</v>
      </c>
      <c r="BE488" s="10">
        <v>172747794693</v>
      </c>
      <c r="BF488" s="10">
        <v>237061956276</v>
      </c>
      <c r="BG488" s="10">
        <v>1234450300000</v>
      </c>
      <c r="BH488" s="10">
        <v>486258139917</v>
      </c>
      <c r="BI488" s="10">
        <v>29980000000</v>
      </c>
      <c r="BJ488" s="10">
        <v>0</v>
      </c>
      <c r="BK488" s="10">
        <v>0</v>
      </c>
      <c r="BL488" s="10">
        <v>0</v>
      </c>
      <c r="BM488" s="10">
        <v>0</v>
      </c>
      <c r="BN488" s="10">
        <v>0</v>
      </c>
      <c r="BO488" s="10">
        <v>0</v>
      </c>
    </row>
    <row r="489" spans="1:67" x14ac:dyDescent="0.25">
      <c r="A489" s="25" t="s">
        <v>520</v>
      </c>
      <c r="B489" s="14">
        <v>2911</v>
      </c>
      <c r="C489" s="14" t="s">
        <v>531</v>
      </c>
      <c r="D489" s="15">
        <v>1006339234503</v>
      </c>
      <c r="E489" s="15">
        <v>35558988515</v>
      </c>
      <c r="F489" s="15">
        <v>0</v>
      </c>
      <c r="G489" s="15">
        <v>0</v>
      </c>
      <c r="H489" s="15">
        <v>1041898223018</v>
      </c>
      <c r="I489" s="15">
        <v>99508427845</v>
      </c>
      <c r="J489" s="15">
        <v>7111895040</v>
      </c>
      <c r="K489" s="15">
        <v>935277900133</v>
      </c>
      <c r="L489" s="15">
        <v>799924607944</v>
      </c>
      <c r="M489" s="15">
        <v>241973615074</v>
      </c>
      <c r="N489" s="48">
        <v>30.249552604204887</v>
      </c>
      <c r="O489" s="15">
        <v>1484191502006</v>
      </c>
      <c r="P489" s="16">
        <v>185.35</v>
      </c>
      <c r="Q489" s="16">
        <v>158.69</v>
      </c>
      <c r="R489" s="16">
        <v>4.84</v>
      </c>
      <c r="S489" s="15">
        <v>1746964865049</v>
      </c>
      <c r="T489" s="15">
        <v>91626881852</v>
      </c>
      <c r="U489" s="15">
        <v>87865670855</v>
      </c>
      <c r="V489" s="15">
        <v>86701780</v>
      </c>
      <c r="W489" s="15">
        <v>3674509217</v>
      </c>
      <c r="X489" s="15">
        <v>1838591746901</v>
      </c>
      <c r="Y489" s="10">
        <v>1903290157</v>
      </c>
      <c r="Z489" s="15">
        <v>77941208121</v>
      </c>
      <c r="AA489" s="15">
        <v>14630654000</v>
      </c>
      <c r="AB489" s="15">
        <v>1931163609022</v>
      </c>
      <c r="AC489" s="15">
        <v>1029717450791</v>
      </c>
      <c r="AD489" s="46">
        <v>78.553033697607574</v>
      </c>
      <c r="AE489" s="15">
        <v>1079665837418</v>
      </c>
      <c r="AF489" s="15">
        <v>627499905459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6">
        <v>0</v>
      </c>
      <c r="AM489" s="15">
        <v>0</v>
      </c>
      <c r="AN489" s="16">
        <v>26</v>
      </c>
      <c r="AO489" s="15">
        <v>125710441938</v>
      </c>
      <c r="AP489" s="12">
        <v>17</v>
      </c>
      <c r="AQ489" s="10">
        <v>36290757865</v>
      </c>
      <c r="AR489" s="15">
        <v>91626881852</v>
      </c>
      <c r="AS489" s="15">
        <v>8673289267</v>
      </c>
      <c r="AT489" s="15">
        <v>82953592585</v>
      </c>
      <c r="AU489" s="16">
        <v>956.43</v>
      </c>
      <c r="AV489" s="15">
        <v>228738663336</v>
      </c>
      <c r="AW489" s="15">
        <v>32366195653</v>
      </c>
      <c r="AX489" s="15">
        <v>66372671873</v>
      </c>
      <c r="AY489" s="15">
        <v>109814109290</v>
      </c>
      <c r="AZ489" s="15">
        <v>211639303340</v>
      </c>
      <c r="BA489" s="15">
        <v>618513150000</v>
      </c>
      <c r="BB489" s="15">
        <v>162569663595</v>
      </c>
      <c r="BC489" s="15">
        <v>1041898223018</v>
      </c>
      <c r="BD489" s="17">
        <v>66964</v>
      </c>
      <c r="BE489" s="15">
        <v>191834881836</v>
      </c>
      <c r="BF489" s="15">
        <v>211359303340</v>
      </c>
      <c r="BG489" s="15">
        <v>638704037842</v>
      </c>
      <c r="BH489" s="15">
        <v>928366019070</v>
      </c>
      <c r="BI489" s="15">
        <v>151299818348</v>
      </c>
      <c r="BJ489" s="15">
        <v>0</v>
      </c>
      <c r="BK489" s="15">
        <v>0</v>
      </c>
      <c r="BL489" s="15">
        <v>0</v>
      </c>
      <c r="BM489" s="15">
        <v>0</v>
      </c>
      <c r="BN489" s="15">
        <v>0</v>
      </c>
      <c r="BO489" s="15">
        <v>0</v>
      </c>
    </row>
    <row r="490" spans="1:67" x14ac:dyDescent="0.25">
      <c r="A490" s="25" t="s">
        <v>520</v>
      </c>
      <c r="B490" s="9">
        <v>2912</v>
      </c>
      <c r="C490" s="9" t="s">
        <v>532</v>
      </c>
      <c r="D490" s="10">
        <v>850166571240</v>
      </c>
      <c r="E490" s="10">
        <v>27469250622</v>
      </c>
      <c r="F490" s="10">
        <v>0</v>
      </c>
      <c r="G490" s="10">
        <v>0</v>
      </c>
      <c r="H490" s="10">
        <v>877635821862</v>
      </c>
      <c r="I490" s="10">
        <v>56837586466</v>
      </c>
      <c r="J490" s="10">
        <v>1353892150</v>
      </c>
      <c r="K490" s="10">
        <v>819444343246</v>
      </c>
      <c r="L490" s="10">
        <v>719801766023</v>
      </c>
      <c r="M490" s="10">
        <v>157834055839</v>
      </c>
      <c r="N490" s="46">
        <v>21.927433814320025</v>
      </c>
      <c r="O490" s="10">
        <v>2022731998774</v>
      </c>
      <c r="P490" s="11">
        <v>248.38</v>
      </c>
      <c r="Q490" s="11">
        <v>246.84</v>
      </c>
      <c r="R490" s="11">
        <v>0.88</v>
      </c>
      <c r="S490" s="10">
        <v>1937046515729</v>
      </c>
      <c r="T490" s="10">
        <v>18611878735</v>
      </c>
      <c r="U490" s="10">
        <v>12294962725</v>
      </c>
      <c r="V490" s="10">
        <v>4227094351</v>
      </c>
      <c r="W490" s="10">
        <v>2089821659</v>
      </c>
      <c r="X490" s="10">
        <v>1955658394464</v>
      </c>
      <c r="Y490" s="10">
        <v>578676909</v>
      </c>
      <c r="Z490" s="10">
        <v>209956869489</v>
      </c>
      <c r="AA490" s="10">
        <v>14227693752</v>
      </c>
      <c r="AB490" s="10">
        <v>2179842957705</v>
      </c>
      <c r="AC490" s="10">
        <v>1508628048708</v>
      </c>
      <c r="AD490" s="46">
        <v>29.631581232951358</v>
      </c>
      <c r="AE490" s="10">
        <v>656107425068</v>
      </c>
      <c r="AF490" s="10">
        <v>656107425068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1">
        <v>0</v>
      </c>
      <c r="AM490" s="10">
        <v>0</v>
      </c>
      <c r="AN490" s="11">
        <v>18</v>
      </c>
      <c r="AO490" s="10">
        <v>110306344187</v>
      </c>
      <c r="AP490" s="12">
        <v>60</v>
      </c>
      <c r="AQ490" s="10">
        <v>756313131412</v>
      </c>
      <c r="AR490" s="10">
        <v>18611878735</v>
      </c>
      <c r="AS490" s="10">
        <v>14166484727</v>
      </c>
      <c r="AT490" s="10">
        <v>4445394008</v>
      </c>
      <c r="AU490" s="11">
        <v>31.38</v>
      </c>
      <c r="AV490" s="10">
        <v>440443154847</v>
      </c>
      <c r="AW490" s="10">
        <v>105919663066</v>
      </c>
      <c r="AX490" s="10">
        <v>54460288954</v>
      </c>
      <c r="AY490" s="10">
        <v>150221080328</v>
      </c>
      <c r="AZ490" s="10">
        <v>369096101958</v>
      </c>
      <c r="BA490" s="10">
        <v>276389100000</v>
      </c>
      <c r="BB490" s="10">
        <v>325599895677</v>
      </c>
      <c r="BC490" s="10">
        <v>877635821862</v>
      </c>
      <c r="BD490" s="12">
        <v>28142</v>
      </c>
      <c r="BE490" s="10">
        <v>232150619904</v>
      </c>
      <c r="BF490" s="10">
        <v>369096101958</v>
      </c>
      <c r="BG490" s="10">
        <v>276389100000</v>
      </c>
      <c r="BH490" s="10">
        <v>405098840000</v>
      </c>
      <c r="BI490" s="10">
        <v>251008585068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</row>
    <row r="491" spans="1:67" x14ac:dyDescent="0.25">
      <c r="A491" s="25" t="s">
        <v>520</v>
      </c>
      <c r="B491" s="26">
        <v>2913</v>
      </c>
      <c r="C491" s="26" t="s">
        <v>533</v>
      </c>
      <c r="D491" s="27">
        <v>317414011352</v>
      </c>
      <c r="E491" s="27">
        <v>556551718</v>
      </c>
      <c r="F491" s="27">
        <v>0</v>
      </c>
      <c r="G491" s="27">
        <v>0</v>
      </c>
      <c r="H491" s="27">
        <v>317970563070</v>
      </c>
      <c r="I491" s="27">
        <v>26658234410</v>
      </c>
      <c r="J491" s="27">
        <v>1565721182</v>
      </c>
      <c r="K491" s="27">
        <v>289746607478</v>
      </c>
      <c r="L491" s="27">
        <v>212467085146</v>
      </c>
      <c r="M491" s="10">
        <v>105503477924</v>
      </c>
      <c r="N491" s="46">
        <v>49.656386941771089</v>
      </c>
      <c r="O491" s="27">
        <v>213627223182</v>
      </c>
      <c r="P491" s="28">
        <v>78.459999999999994</v>
      </c>
      <c r="Q491" s="28">
        <v>73.73</v>
      </c>
      <c r="R491" s="28">
        <v>0.16</v>
      </c>
      <c r="S491" s="27">
        <v>222239153569</v>
      </c>
      <c r="T491" s="27">
        <v>391161910</v>
      </c>
      <c r="U491" s="27">
        <v>391161910</v>
      </c>
      <c r="V491" s="27">
        <v>0</v>
      </c>
      <c r="W491" s="27">
        <v>0</v>
      </c>
      <c r="X491" s="27">
        <v>222630315479</v>
      </c>
      <c r="Y491" s="10">
        <v>0</v>
      </c>
      <c r="Z491" s="27">
        <v>14183409743</v>
      </c>
      <c r="AA491" s="27">
        <v>12679400000</v>
      </c>
      <c r="AB491" s="27">
        <v>249493125222</v>
      </c>
      <c r="AC491" s="27">
        <v>58897380961</v>
      </c>
      <c r="AD491" s="46">
        <v>277.99697006292831</v>
      </c>
      <c r="AE491" s="27">
        <v>173855437813</v>
      </c>
      <c r="AF491" s="27">
        <v>173855437813</v>
      </c>
      <c r="AG491" s="27">
        <v>0</v>
      </c>
      <c r="AH491" s="27">
        <v>0</v>
      </c>
      <c r="AI491" s="27">
        <v>0</v>
      </c>
      <c r="AJ491" s="27">
        <v>0</v>
      </c>
      <c r="AK491" s="27">
        <v>0</v>
      </c>
      <c r="AL491" s="28">
        <v>0</v>
      </c>
      <c r="AM491" s="27">
        <v>0</v>
      </c>
      <c r="AN491" s="28">
        <v>0</v>
      </c>
      <c r="AO491" s="27">
        <v>0</v>
      </c>
      <c r="AP491" s="12">
        <v>1</v>
      </c>
      <c r="AQ491" s="10">
        <v>3000000000</v>
      </c>
      <c r="AR491" s="27">
        <v>391161910</v>
      </c>
      <c r="AS491" s="27">
        <v>0</v>
      </c>
      <c r="AT491" s="27">
        <v>391161910</v>
      </c>
      <c r="AU491" s="28" t="s">
        <v>593</v>
      </c>
      <c r="AV491" s="27">
        <v>30239743297</v>
      </c>
      <c r="AW491" s="27">
        <v>387252186</v>
      </c>
      <c r="AX491" s="27">
        <v>10571441371</v>
      </c>
      <c r="AY491" s="27">
        <v>50288285735</v>
      </c>
      <c r="AZ491" s="27">
        <v>42319284246</v>
      </c>
      <c r="BA491" s="27">
        <v>214235000000</v>
      </c>
      <c r="BB491" s="27">
        <v>41723135825</v>
      </c>
      <c r="BC491" s="27">
        <v>317970563070</v>
      </c>
      <c r="BD491" s="29">
        <v>9340</v>
      </c>
      <c r="BE491" s="27">
        <v>61416278824</v>
      </c>
      <c r="BF491" s="27">
        <v>42319284246</v>
      </c>
      <c r="BG491" s="27">
        <v>214235000000</v>
      </c>
      <c r="BH491" s="27">
        <v>131805937813</v>
      </c>
      <c r="BI491" s="27">
        <v>42049500000</v>
      </c>
      <c r="BJ491" s="27">
        <v>0</v>
      </c>
      <c r="BK491" s="27">
        <v>0</v>
      </c>
      <c r="BL491" s="27">
        <v>0</v>
      </c>
      <c r="BM491" s="27">
        <v>0</v>
      </c>
      <c r="BN491" s="27">
        <v>0</v>
      </c>
      <c r="BO491" s="27">
        <v>0</v>
      </c>
    </row>
    <row r="492" spans="1:67" x14ac:dyDescent="0.25">
      <c r="A492" s="25" t="s">
        <v>520</v>
      </c>
      <c r="B492" s="9">
        <v>2914</v>
      </c>
      <c r="C492" s="9" t="s">
        <v>534</v>
      </c>
      <c r="D492" s="10">
        <v>357118386632</v>
      </c>
      <c r="E492" s="10">
        <v>215507035</v>
      </c>
      <c r="F492" s="10">
        <v>0</v>
      </c>
      <c r="G492" s="10">
        <v>0</v>
      </c>
      <c r="H492" s="10">
        <v>357333893667</v>
      </c>
      <c r="I492" s="10">
        <v>24706815245</v>
      </c>
      <c r="J492" s="10">
        <v>2042472588</v>
      </c>
      <c r="K492" s="10">
        <v>330584605834</v>
      </c>
      <c r="L492" s="10">
        <v>173958458914</v>
      </c>
      <c r="M492" s="10">
        <v>183375434753</v>
      </c>
      <c r="N492" s="46">
        <v>105.41334747260291</v>
      </c>
      <c r="O492" s="10">
        <v>362972143334</v>
      </c>
      <c r="P492" s="11">
        <v>112.05</v>
      </c>
      <c r="Q492" s="11">
        <v>109.8</v>
      </c>
      <c r="R492" s="11">
        <v>0.9</v>
      </c>
      <c r="S492" s="10">
        <v>367527335316</v>
      </c>
      <c r="T492" s="10">
        <v>3590408601</v>
      </c>
      <c r="U492" s="10">
        <v>3590408601</v>
      </c>
      <c r="V492" s="10">
        <v>0</v>
      </c>
      <c r="W492" s="10">
        <v>0</v>
      </c>
      <c r="X492" s="10">
        <v>371117743917</v>
      </c>
      <c r="Y492" s="10">
        <v>0</v>
      </c>
      <c r="Z492" s="10">
        <v>19799472219</v>
      </c>
      <c r="AA492" s="10">
        <v>9485000000</v>
      </c>
      <c r="AB492" s="10">
        <v>400402216136</v>
      </c>
      <c r="AC492" s="10">
        <v>50343572850</v>
      </c>
      <c r="AD492" s="46">
        <v>637.17005549597184</v>
      </c>
      <c r="AE492" s="10">
        <v>369564805843</v>
      </c>
      <c r="AF492" s="10">
        <v>369564805843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1">
        <v>0</v>
      </c>
      <c r="AM492" s="10">
        <v>0</v>
      </c>
      <c r="AN492" s="11">
        <v>3</v>
      </c>
      <c r="AO492" s="10">
        <v>1550000000</v>
      </c>
      <c r="AP492" s="12">
        <v>0</v>
      </c>
      <c r="AQ492" s="10">
        <v>0</v>
      </c>
      <c r="AR492" s="10">
        <v>3590408601</v>
      </c>
      <c r="AS492" s="10">
        <v>0</v>
      </c>
      <c r="AT492" s="10">
        <v>3590408601</v>
      </c>
      <c r="AU492" s="11" t="s">
        <v>593</v>
      </c>
      <c r="AV492" s="10">
        <v>63066228286</v>
      </c>
      <c r="AW492" s="10">
        <v>19480472770</v>
      </c>
      <c r="AX492" s="10">
        <v>15380312315</v>
      </c>
      <c r="AY492" s="10">
        <v>79502061707</v>
      </c>
      <c r="AZ492" s="10">
        <v>206303012610</v>
      </c>
      <c r="BA492" s="10">
        <v>55933000000</v>
      </c>
      <c r="BB492" s="10">
        <v>206128885992</v>
      </c>
      <c r="BC492" s="10">
        <v>357333893667</v>
      </c>
      <c r="BD492" s="12">
        <v>4991</v>
      </c>
      <c r="BE492" s="10">
        <v>95097881057</v>
      </c>
      <c r="BF492" s="10">
        <v>206303012610</v>
      </c>
      <c r="BG492" s="10">
        <v>55933000000</v>
      </c>
      <c r="BH492" s="10">
        <v>320224805843</v>
      </c>
      <c r="BI492" s="10">
        <v>49340000000</v>
      </c>
      <c r="BJ492" s="10">
        <v>0</v>
      </c>
      <c r="BK492" s="10">
        <v>0</v>
      </c>
      <c r="BL492" s="10">
        <v>0</v>
      </c>
      <c r="BM492" s="10">
        <v>0</v>
      </c>
      <c r="BN492" s="10">
        <v>0</v>
      </c>
      <c r="BO492" s="10">
        <v>0</v>
      </c>
    </row>
    <row r="493" spans="1:67" x14ac:dyDescent="0.25">
      <c r="A493" s="25" t="s">
        <v>520</v>
      </c>
      <c r="B493" s="9">
        <v>2999</v>
      </c>
      <c r="C493" s="9" t="s">
        <v>535</v>
      </c>
      <c r="D493" s="10">
        <v>0</v>
      </c>
      <c r="E493" s="10">
        <v>11107682004</v>
      </c>
      <c r="F493" s="10">
        <v>0</v>
      </c>
      <c r="G493" s="10">
        <v>0</v>
      </c>
      <c r="H493" s="10">
        <v>11107682004</v>
      </c>
      <c r="I493" s="10">
        <v>770595680</v>
      </c>
      <c r="J493" s="10">
        <v>305200000</v>
      </c>
      <c r="K493" s="10">
        <v>10031886324</v>
      </c>
      <c r="L493" s="10">
        <v>8883892265</v>
      </c>
      <c r="M493" s="10">
        <v>2223789739</v>
      </c>
      <c r="N493" s="46">
        <v>25.031705390677651</v>
      </c>
      <c r="O493" s="10">
        <v>0</v>
      </c>
      <c r="P493" s="11">
        <v>0</v>
      </c>
      <c r="Q493" s="11">
        <v>0</v>
      </c>
      <c r="R493" s="11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46" t="s">
        <v>595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1">
        <v>0</v>
      </c>
      <c r="AM493" s="10">
        <v>0</v>
      </c>
      <c r="AN493" s="11">
        <v>0</v>
      </c>
      <c r="AO493" s="10">
        <v>0</v>
      </c>
      <c r="AP493" s="12">
        <v>0</v>
      </c>
      <c r="AQ493" s="10">
        <v>0</v>
      </c>
      <c r="AR493" s="10">
        <v>0</v>
      </c>
      <c r="AS493" s="10">
        <v>0</v>
      </c>
      <c r="AT493" s="10">
        <v>0</v>
      </c>
      <c r="AU493" s="11" t="s">
        <v>593</v>
      </c>
      <c r="AV493" s="10">
        <v>0</v>
      </c>
      <c r="AW493" s="10">
        <v>0</v>
      </c>
      <c r="AX493" s="10">
        <v>0</v>
      </c>
      <c r="AY493" s="10">
        <v>0</v>
      </c>
      <c r="AZ493" s="10">
        <v>0</v>
      </c>
      <c r="BA493" s="10">
        <v>0</v>
      </c>
      <c r="BB493" s="10">
        <v>0</v>
      </c>
      <c r="BC493" s="10">
        <v>11107682004</v>
      </c>
      <c r="BD493" s="12">
        <v>0</v>
      </c>
      <c r="BE493" s="10">
        <v>11107682004</v>
      </c>
      <c r="BF493" s="10">
        <v>0</v>
      </c>
      <c r="BG493" s="10">
        <v>0</v>
      </c>
      <c r="BH493" s="10">
        <v>0</v>
      </c>
      <c r="BI493" s="10">
        <v>0</v>
      </c>
      <c r="BJ493" s="10">
        <v>0</v>
      </c>
      <c r="BK493" s="10">
        <v>0</v>
      </c>
      <c r="BL493" s="10">
        <v>0</v>
      </c>
      <c r="BM493" s="10">
        <v>0</v>
      </c>
      <c r="BN493" s="10">
        <v>0</v>
      </c>
      <c r="BO493" s="10">
        <v>0</v>
      </c>
    </row>
    <row r="494" spans="1:67" x14ac:dyDescent="0.25">
      <c r="A494" s="19" t="s">
        <v>598</v>
      </c>
      <c r="B494" s="20" t="s">
        <v>593</v>
      </c>
      <c r="C494" s="20" t="s">
        <v>593</v>
      </c>
      <c r="D494" s="21">
        <v>15805918800481</v>
      </c>
      <c r="E494" s="21">
        <v>380983636749</v>
      </c>
      <c r="F494" s="21">
        <v>23016000000</v>
      </c>
      <c r="G494" s="21">
        <v>0</v>
      </c>
      <c r="H494" s="21">
        <v>16209918437230</v>
      </c>
      <c r="I494" s="21">
        <v>1236432821177</v>
      </c>
      <c r="J494" s="21">
        <v>65548390819</v>
      </c>
      <c r="K494" s="21">
        <v>14907937225234</v>
      </c>
      <c r="L494" s="21">
        <v>13522349768721</v>
      </c>
      <c r="M494" s="21">
        <v>2687568668509</v>
      </c>
      <c r="N494" s="47">
        <v>19.875012216631944</v>
      </c>
      <c r="O494" s="21">
        <v>21840070117901</v>
      </c>
      <c r="P494" s="22">
        <v>161.44</v>
      </c>
      <c r="Q494" s="22">
        <v>146.5</v>
      </c>
      <c r="R494" s="22">
        <v>5.73</v>
      </c>
      <c r="S494" s="21">
        <v>23086395766676</v>
      </c>
      <c r="T494" s="21">
        <v>1465011378926</v>
      </c>
      <c r="U494" s="21">
        <v>263771307951</v>
      </c>
      <c r="V494" s="21">
        <v>1153332553173</v>
      </c>
      <c r="W494" s="21">
        <v>47907517802</v>
      </c>
      <c r="X494" s="21">
        <v>24551407145602</v>
      </c>
      <c r="Y494" s="21">
        <v>34057783611</v>
      </c>
      <c r="Z494" s="21">
        <v>1409956545778</v>
      </c>
      <c r="AA494" s="21">
        <v>207218328753</v>
      </c>
      <c r="AB494" s="21">
        <v>26168582020133</v>
      </c>
      <c r="AC494" s="21">
        <v>17615115263077</v>
      </c>
      <c r="AD494" s="47">
        <v>39.376931566630986</v>
      </c>
      <c r="AE494" s="21">
        <v>12391415305732</v>
      </c>
      <c r="AF494" s="21">
        <v>11568361538096</v>
      </c>
      <c r="AG494" s="21">
        <v>5594837040</v>
      </c>
      <c r="AH494" s="21">
        <v>5227200000</v>
      </c>
      <c r="AI494" s="21">
        <v>20075000000</v>
      </c>
      <c r="AJ494" s="21">
        <v>0</v>
      </c>
      <c r="AK494" s="21">
        <v>5286656767</v>
      </c>
      <c r="AL494" s="22">
        <v>1</v>
      </c>
      <c r="AM494" s="21">
        <v>6993546300</v>
      </c>
      <c r="AN494" s="22">
        <v>311</v>
      </c>
      <c r="AO494" s="21">
        <v>2545873014631</v>
      </c>
      <c r="AP494" s="23">
        <v>122</v>
      </c>
      <c r="AQ494" s="21">
        <v>1009088389288</v>
      </c>
      <c r="AR494" s="21">
        <v>1465011378926</v>
      </c>
      <c r="AS494" s="21">
        <v>234870659266</v>
      </c>
      <c r="AT494" s="21">
        <v>1230140719660</v>
      </c>
      <c r="AU494" s="24">
        <v>523.75</v>
      </c>
      <c r="AV494" s="21">
        <v>6015006385577</v>
      </c>
      <c r="AW494" s="21">
        <v>1252556467497</v>
      </c>
      <c r="AX494" s="21">
        <v>1118533979448</v>
      </c>
      <c r="AY494" s="21">
        <v>3432871305549</v>
      </c>
      <c r="AZ494" s="21">
        <v>2901627001513</v>
      </c>
      <c r="BA494" s="21">
        <v>8352886513971</v>
      </c>
      <c r="BB494" s="21">
        <v>2036439407082</v>
      </c>
      <c r="BC494" s="21">
        <v>16209918437230</v>
      </c>
      <c r="BD494" s="23">
        <v>1114025</v>
      </c>
      <c r="BE494" s="21">
        <v>4778257631970</v>
      </c>
      <c r="BF494" s="21">
        <v>2924363001513</v>
      </c>
      <c r="BG494" s="21">
        <v>8507297803747</v>
      </c>
      <c r="BH494" s="21">
        <v>9494195679881</v>
      </c>
      <c r="BI494" s="21">
        <v>2897219625851</v>
      </c>
      <c r="BJ494" s="21">
        <v>0</v>
      </c>
      <c r="BK494" s="21">
        <v>0</v>
      </c>
      <c r="BL494" s="21">
        <v>5594837040</v>
      </c>
      <c r="BM494" s="21">
        <v>0</v>
      </c>
      <c r="BN494" s="21">
        <v>0</v>
      </c>
      <c r="BO494" s="21">
        <v>5227200000</v>
      </c>
    </row>
    <row r="495" spans="1:67" x14ac:dyDescent="0.25">
      <c r="A495" s="25" t="s">
        <v>536</v>
      </c>
      <c r="B495" s="9">
        <v>3000</v>
      </c>
      <c r="C495" s="9" t="s">
        <v>537</v>
      </c>
      <c r="D495" s="10">
        <v>1290387957819</v>
      </c>
      <c r="E495" s="10">
        <v>379320560624</v>
      </c>
      <c r="F495" s="10">
        <v>0</v>
      </c>
      <c r="G495" s="10">
        <v>274424400</v>
      </c>
      <c r="H495" s="10">
        <v>1669982942843</v>
      </c>
      <c r="I495" s="10">
        <v>109607326445</v>
      </c>
      <c r="J495" s="10">
        <v>20942942824</v>
      </c>
      <c r="K495" s="10">
        <v>1539432673574</v>
      </c>
      <c r="L495" s="10">
        <v>1138658711017</v>
      </c>
      <c r="M495" s="10">
        <v>531324231826</v>
      </c>
      <c r="N495" s="46">
        <v>46.66229017397535</v>
      </c>
      <c r="O495" s="10">
        <v>3408183781433</v>
      </c>
      <c r="P495" s="11">
        <v>279.95999999999998</v>
      </c>
      <c r="Q495" s="11">
        <v>221.39</v>
      </c>
      <c r="R495" s="11">
        <v>7.67</v>
      </c>
      <c r="S495" s="10">
        <v>4023011141908</v>
      </c>
      <c r="T495" s="10">
        <v>314407493948</v>
      </c>
      <c r="U495" s="10">
        <v>26527015247</v>
      </c>
      <c r="V495" s="10">
        <v>48159946207</v>
      </c>
      <c r="W495" s="10">
        <v>239720532494</v>
      </c>
      <c r="X495" s="10">
        <v>4337418635856</v>
      </c>
      <c r="Y495" s="10">
        <v>43998373180</v>
      </c>
      <c r="Z495" s="10">
        <v>303656763304</v>
      </c>
      <c r="AA495" s="10">
        <v>34188661452</v>
      </c>
      <c r="AB495" s="10">
        <v>4675264060612</v>
      </c>
      <c r="AC495" s="10">
        <v>3018410368159</v>
      </c>
      <c r="AD495" s="46">
        <v>43.698772095773528</v>
      </c>
      <c r="AE495" s="10">
        <v>1885930755897</v>
      </c>
      <c r="AF495" s="10">
        <v>1867230755897</v>
      </c>
      <c r="AG495" s="10">
        <v>0</v>
      </c>
      <c r="AH495" s="10">
        <v>65118967744</v>
      </c>
      <c r="AI495" s="10">
        <v>41978830796</v>
      </c>
      <c r="AJ495" s="10">
        <v>0</v>
      </c>
      <c r="AK495" s="10">
        <v>0</v>
      </c>
      <c r="AL495" s="11">
        <v>0</v>
      </c>
      <c r="AM495" s="10">
        <v>0</v>
      </c>
      <c r="AN495" s="11">
        <v>986</v>
      </c>
      <c r="AO495" s="10">
        <v>5996102541598</v>
      </c>
      <c r="AP495" s="12">
        <v>566</v>
      </c>
      <c r="AQ495" s="10">
        <v>1865791881377</v>
      </c>
      <c r="AR495" s="10">
        <v>314407493948</v>
      </c>
      <c r="AS495" s="10">
        <v>270847565767</v>
      </c>
      <c r="AT495" s="10">
        <v>43559928181</v>
      </c>
      <c r="AU495" s="11">
        <v>16.079999999999998</v>
      </c>
      <c r="AV495" s="10">
        <v>820044530714</v>
      </c>
      <c r="AW495" s="10">
        <v>160086177881</v>
      </c>
      <c r="AX495" s="10">
        <v>267014225967</v>
      </c>
      <c r="AY495" s="10">
        <v>454452209366</v>
      </c>
      <c r="AZ495" s="10">
        <v>282418822486</v>
      </c>
      <c r="BA495" s="10">
        <v>286502700000</v>
      </c>
      <c r="BB495" s="10">
        <v>108007864211</v>
      </c>
      <c r="BC495" s="10">
        <v>1669982942843</v>
      </c>
      <c r="BD495" s="12">
        <v>33023</v>
      </c>
      <c r="BE495" s="10">
        <v>1069319012389</v>
      </c>
      <c r="BF495" s="10">
        <v>282418822486</v>
      </c>
      <c r="BG495" s="10">
        <v>318245107968</v>
      </c>
      <c r="BH495" s="10">
        <v>1264588522281</v>
      </c>
      <c r="BI495" s="10">
        <v>621342233616</v>
      </c>
      <c r="BJ495" s="10">
        <v>0</v>
      </c>
      <c r="BK495" s="10">
        <v>0</v>
      </c>
      <c r="BL495" s="10">
        <v>0</v>
      </c>
      <c r="BM495" s="10">
        <v>39363859947</v>
      </c>
      <c r="BN495" s="10">
        <v>60432818960</v>
      </c>
      <c r="BO495" s="10">
        <v>3799015597</v>
      </c>
    </row>
    <row r="496" spans="1:67" x14ac:dyDescent="0.25">
      <c r="A496" s="25" t="s">
        <v>536</v>
      </c>
      <c r="B496" s="9">
        <v>3001</v>
      </c>
      <c r="C496" s="9" t="s">
        <v>538</v>
      </c>
      <c r="D496" s="10">
        <v>1307642653921</v>
      </c>
      <c r="E496" s="10">
        <v>59343502987</v>
      </c>
      <c r="F496" s="10">
        <v>0</v>
      </c>
      <c r="G496" s="10">
        <v>0</v>
      </c>
      <c r="H496" s="10">
        <v>1366986156908</v>
      </c>
      <c r="I496" s="10">
        <v>92941723281</v>
      </c>
      <c r="J496" s="10">
        <v>67323987242</v>
      </c>
      <c r="K496" s="10">
        <v>1206720446385</v>
      </c>
      <c r="L496" s="10">
        <v>1052952878849</v>
      </c>
      <c r="M496" s="10">
        <v>314033278059</v>
      </c>
      <c r="N496" s="46">
        <v>29.824058072026443</v>
      </c>
      <c r="O496" s="10">
        <v>1403331086004</v>
      </c>
      <c r="P496" s="11">
        <v>120.69</v>
      </c>
      <c r="Q496" s="11">
        <v>116.29</v>
      </c>
      <c r="R496" s="11">
        <v>5.34</v>
      </c>
      <c r="S496" s="10">
        <v>1423963211634</v>
      </c>
      <c r="T496" s="10">
        <v>85513037945</v>
      </c>
      <c r="U496" s="10">
        <v>40602683158</v>
      </c>
      <c r="V496" s="10">
        <v>40169114892</v>
      </c>
      <c r="W496" s="10">
        <v>4741239895</v>
      </c>
      <c r="X496" s="10">
        <v>1509476249579</v>
      </c>
      <c r="Y496" s="10">
        <v>2597353802</v>
      </c>
      <c r="Z496" s="10">
        <v>111506223944</v>
      </c>
      <c r="AA496" s="10">
        <v>28776168017</v>
      </c>
      <c r="AB496" s="10">
        <v>1649758641540</v>
      </c>
      <c r="AC496" s="10">
        <v>971368153789</v>
      </c>
      <c r="AD496" s="46">
        <v>55.396925840219339</v>
      </c>
      <c r="AE496" s="10">
        <v>993863154818</v>
      </c>
      <c r="AF496" s="10">
        <v>945091433727</v>
      </c>
      <c r="AG496" s="10">
        <v>93296380764</v>
      </c>
      <c r="AH496" s="10">
        <v>57561040</v>
      </c>
      <c r="AI496" s="10">
        <v>0</v>
      </c>
      <c r="AJ496" s="10">
        <v>0</v>
      </c>
      <c r="AK496" s="10">
        <v>0</v>
      </c>
      <c r="AL496" s="11">
        <v>7</v>
      </c>
      <c r="AM496" s="10">
        <v>175010218037</v>
      </c>
      <c r="AN496" s="11">
        <v>295</v>
      </c>
      <c r="AO496" s="10">
        <v>1776965109806</v>
      </c>
      <c r="AP496" s="12">
        <v>122</v>
      </c>
      <c r="AQ496" s="10">
        <v>347394914521</v>
      </c>
      <c r="AR496" s="10">
        <v>85513037945</v>
      </c>
      <c r="AS496" s="10">
        <v>64115867161</v>
      </c>
      <c r="AT496" s="10">
        <v>21397170784</v>
      </c>
      <c r="AU496" s="11">
        <v>33.369999999999997</v>
      </c>
      <c r="AV496" s="10">
        <v>403113331461</v>
      </c>
      <c r="AW496" s="10">
        <v>97524703942</v>
      </c>
      <c r="AX496" s="10">
        <v>117659067820</v>
      </c>
      <c r="AY496" s="10">
        <v>263464152011</v>
      </c>
      <c r="AZ496" s="10">
        <v>278209671668</v>
      </c>
      <c r="BA496" s="10">
        <v>648309762422</v>
      </c>
      <c r="BB496" s="10">
        <v>157419549235</v>
      </c>
      <c r="BC496" s="10">
        <v>1366986156908</v>
      </c>
      <c r="BD496" s="12">
        <v>50566</v>
      </c>
      <c r="BE496" s="10">
        <v>440466722818</v>
      </c>
      <c r="BF496" s="10">
        <v>278209671668</v>
      </c>
      <c r="BG496" s="10">
        <v>648309762422</v>
      </c>
      <c r="BH496" s="10">
        <v>211476169486</v>
      </c>
      <c r="BI496" s="10">
        <v>782386985332</v>
      </c>
      <c r="BJ496" s="10">
        <v>18573775939</v>
      </c>
      <c r="BK496" s="10">
        <v>0</v>
      </c>
      <c r="BL496" s="10">
        <v>74722604825</v>
      </c>
      <c r="BM496" s="10">
        <v>0</v>
      </c>
      <c r="BN496" s="10">
        <v>0</v>
      </c>
      <c r="BO496" s="10">
        <v>57561040</v>
      </c>
    </row>
    <row r="497" spans="1:67" x14ac:dyDescent="0.25">
      <c r="A497" s="25" t="s">
        <v>536</v>
      </c>
      <c r="B497" s="9">
        <v>3002</v>
      </c>
      <c r="C497" s="9" t="s">
        <v>539</v>
      </c>
      <c r="D497" s="10">
        <v>554250184153</v>
      </c>
      <c r="E497" s="10">
        <v>12299080603</v>
      </c>
      <c r="F497" s="10">
        <v>0</v>
      </c>
      <c r="G497" s="10">
        <v>0</v>
      </c>
      <c r="H497" s="10">
        <v>566549264756</v>
      </c>
      <c r="I497" s="10">
        <v>35011075701</v>
      </c>
      <c r="J497" s="10">
        <v>1127597215</v>
      </c>
      <c r="K497" s="10">
        <v>530410591840</v>
      </c>
      <c r="L497" s="10">
        <v>371741269002</v>
      </c>
      <c r="M497" s="10">
        <v>194807995754</v>
      </c>
      <c r="N497" s="46">
        <v>52.404188611340842</v>
      </c>
      <c r="O497" s="10">
        <v>1735845315257</v>
      </c>
      <c r="P497" s="11">
        <v>357.36</v>
      </c>
      <c r="Q497" s="11">
        <v>327.26</v>
      </c>
      <c r="R497" s="11">
        <v>3.66</v>
      </c>
      <c r="S497" s="10">
        <v>1808963984864</v>
      </c>
      <c r="T497" s="10">
        <v>69236052672</v>
      </c>
      <c r="U497" s="10">
        <v>38434432311</v>
      </c>
      <c r="V497" s="10">
        <v>18063641131</v>
      </c>
      <c r="W497" s="10">
        <v>12737979230</v>
      </c>
      <c r="X497" s="10">
        <v>1878200037536</v>
      </c>
      <c r="Y497" s="10">
        <v>4865662721</v>
      </c>
      <c r="Z497" s="10">
        <v>113280391072</v>
      </c>
      <c r="AA497" s="10">
        <v>33134627000</v>
      </c>
      <c r="AB497" s="10">
        <v>2024615055608</v>
      </c>
      <c r="AC497" s="10">
        <v>1193190891358</v>
      </c>
      <c r="AD497" s="46">
        <v>57.409853791154418</v>
      </c>
      <c r="AE497" s="10">
        <v>969940261158</v>
      </c>
      <c r="AF497" s="10">
        <v>965303198145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1">
        <v>0</v>
      </c>
      <c r="AM497" s="10">
        <v>0</v>
      </c>
      <c r="AN497" s="11">
        <v>124</v>
      </c>
      <c r="AO497" s="10">
        <v>603256249232</v>
      </c>
      <c r="AP497" s="12">
        <v>27</v>
      </c>
      <c r="AQ497" s="10">
        <v>50225471645</v>
      </c>
      <c r="AR497" s="10">
        <v>69236052672</v>
      </c>
      <c r="AS497" s="10">
        <v>42299946486</v>
      </c>
      <c r="AT497" s="10">
        <v>26936106186</v>
      </c>
      <c r="AU497" s="11">
        <v>63.68</v>
      </c>
      <c r="AV497" s="10">
        <v>326781932918</v>
      </c>
      <c r="AW497" s="10">
        <v>90327593487</v>
      </c>
      <c r="AX497" s="10">
        <v>62340420892</v>
      </c>
      <c r="AY497" s="10">
        <v>250364303947</v>
      </c>
      <c r="AZ497" s="10">
        <v>190334598527</v>
      </c>
      <c r="BA497" s="10">
        <v>51210860787</v>
      </c>
      <c r="BB497" s="10">
        <v>163209163108</v>
      </c>
      <c r="BC497" s="10">
        <v>566549264756</v>
      </c>
      <c r="BD497" s="12">
        <v>11277</v>
      </c>
      <c r="BE497" s="10">
        <v>325003805442</v>
      </c>
      <c r="BF497" s="10">
        <v>190334598527</v>
      </c>
      <c r="BG497" s="10">
        <v>51210860787</v>
      </c>
      <c r="BH497" s="10">
        <v>528377073578</v>
      </c>
      <c r="BI497" s="10">
        <v>441563187580</v>
      </c>
      <c r="BJ497" s="10">
        <v>0</v>
      </c>
      <c r="BK497" s="10">
        <v>0</v>
      </c>
      <c r="BL497" s="10">
        <v>0</v>
      </c>
      <c r="BM497" s="10">
        <v>0</v>
      </c>
      <c r="BN497" s="10">
        <v>0</v>
      </c>
      <c r="BO497" s="10">
        <v>0</v>
      </c>
    </row>
    <row r="498" spans="1:67" x14ac:dyDescent="0.25">
      <c r="A498" s="25" t="s">
        <v>536</v>
      </c>
      <c r="B498" s="9">
        <v>3003</v>
      </c>
      <c r="C498" s="9" t="s">
        <v>540</v>
      </c>
      <c r="D498" s="10">
        <v>1120739889712</v>
      </c>
      <c r="E498" s="10">
        <v>127713998457</v>
      </c>
      <c r="F498" s="10">
        <v>0</v>
      </c>
      <c r="G498" s="10">
        <v>0</v>
      </c>
      <c r="H498" s="10">
        <v>1248453888169</v>
      </c>
      <c r="I498" s="10">
        <v>79731142835</v>
      </c>
      <c r="J498" s="10">
        <v>6004744680</v>
      </c>
      <c r="K498" s="10">
        <v>1162718000654</v>
      </c>
      <c r="L498" s="10">
        <v>1168355179214</v>
      </c>
      <c r="M498" s="10">
        <v>80098708955</v>
      </c>
      <c r="N498" s="46">
        <v>6.8556814211998152</v>
      </c>
      <c r="O498" s="10">
        <v>2162408006606</v>
      </c>
      <c r="P498" s="11">
        <v>207.31</v>
      </c>
      <c r="Q498" s="11">
        <v>185.98</v>
      </c>
      <c r="R498" s="11">
        <v>5.74</v>
      </c>
      <c r="S498" s="10">
        <v>2194945269932</v>
      </c>
      <c r="T498" s="10">
        <v>146539412174</v>
      </c>
      <c r="U498" s="10">
        <v>88385387500</v>
      </c>
      <c r="V498" s="10">
        <v>44322168520</v>
      </c>
      <c r="W498" s="10">
        <v>13831856154</v>
      </c>
      <c r="X498" s="10">
        <v>2341484682106</v>
      </c>
      <c r="Y498" s="10">
        <v>2047322425</v>
      </c>
      <c r="Z498" s="10">
        <v>192030206024</v>
      </c>
      <c r="AA498" s="10">
        <v>54695485384</v>
      </c>
      <c r="AB498" s="10">
        <v>2588210373514</v>
      </c>
      <c r="AC498" s="10">
        <v>1517637933704</v>
      </c>
      <c r="AD498" s="46">
        <v>54.284802066807259</v>
      </c>
      <c r="AE498" s="10">
        <v>1418443878253</v>
      </c>
      <c r="AF498" s="10">
        <v>1297672392876</v>
      </c>
      <c r="AG498" s="10">
        <v>258993616853</v>
      </c>
      <c r="AH498" s="10">
        <v>4578499800</v>
      </c>
      <c r="AI498" s="10">
        <v>4600000000</v>
      </c>
      <c r="AJ498" s="10">
        <v>0</v>
      </c>
      <c r="AK498" s="10">
        <v>0</v>
      </c>
      <c r="AL498" s="11">
        <v>4</v>
      </c>
      <c r="AM498" s="10">
        <v>188624929000</v>
      </c>
      <c r="AN498" s="11">
        <v>431</v>
      </c>
      <c r="AO498" s="10">
        <v>1684724073960</v>
      </c>
      <c r="AP498" s="12">
        <v>232</v>
      </c>
      <c r="AQ498" s="10">
        <v>609412921298</v>
      </c>
      <c r="AR498" s="10">
        <v>146539412174</v>
      </c>
      <c r="AS498" s="10">
        <v>70138726717</v>
      </c>
      <c r="AT498" s="10">
        <v>76400685457</v>
      </c>
      <c r="AU498" s="11">
        <v>108.93</v>
      </c>
      <c r="AV498" s="10">
        <v>641644663901</v>
      </c>
      <c r="AW498" s="10">
        <v>206605875477</v>
      </c>
      <c r="AX498" s="10">
        <v>142602031126</v>
      </c>
      <c r="AY498" s="10">
        <v>252441982140</v>
      </c>
      <c r="AZ498" s="10">
        <v>470620876446</v>
      </c>
      <c r="BA498" s="10">
        <v>255075000000</v>
      </c>
      <c r="BB498" s="10">
        <v>420000443917</v>
      </c>
      <c r="BC498" s="10">
        <v>1248453888169</v>
      </c>
      <c r="BD498" s="12">
        <v>34145</v>
      </c>
      <c r="BE498" s="10">
        <v>522758011723</v>
      </c>
      <c r="BF498" s="10">
        <v>470620876446</v>
      </c>
      <c r="BG498" s="10">
        <v>255075000000</v>
      </c>
      <c r="BH498" s="10">
        <v>1266488806965</v>
      </c>
      <c r="BI498" s="10">
        <v>151955071288</v>
      </c>
      <c r="BJ498" s="10">
        <v>85156228240</v>
      </c>
      <c r="BK498" s="10">
        <v>0</v>
      </c>
      <c r="BL498" s="10">
        <v>169084578349</v>
      </c>
      <c r="BM498" s="10">
        <v>0</v>
      </c>
      <c r="BN498" s="10">
        <v>7028563384</v>
      </c>
      <c r="BO498" s="10">
        <v>5279497124</v>
      </c>
    </row>
    <row r="499" spans="1:67" x14ac:dyDescent="0.25">
      <c r="A499" s="25" t="s">
        <v>536</v>
      </c>
      <c r="B499" s="26">
        <v>3004</v>
      </c>
      <c r="C499" s="26" t="s">
        <v>541</v>
      </c>
      <c r="D499" s="27">
        <v>704974045483</v>
      </c>
      <c r="E499" s="27">
        <v>43593975024</v>
      </c>
      <c r="F499" s="27">
        <v>0</v>
      </c>
      <c r="G499" s="27">
        <v>0</v>
      </c>
      <c r="H499" s="27">
        <v>748568020507</v>
      </c>
      <c r="I499" s="27">
        <v>55715451872</v>
      </c>
      <c r="J499" s="27">
        <v>991543161</v>
      </c>
      <c r="K499" s="27">
        <v>691861025474</v>
      </c>
      <c r="L499" s="27">
        <v>605277560847</v>
      </c>
      <c r="M499" s="10">
        <v>143290459660</v>
      </c>
      <c r="N499" s="46">
        <v>23.673512604611567</v>
      </c>
      <c r="O499" s="27">
        <v>1549412551535</v>
      </c>
      <c r="P499" s="28">
        <v>232.75</v>
      </c>
      <c r="Q499" s="28">
        <v>223.95</v>
      </c>
      <c r="R499" s="28">
        <v>3.48</v>
      </c>
      <c r="S499" s="27">
        <v>1590801360307</v>
      </c>
      <c r="T499" s="27">
        <v>60351671484</v>
      </c>
      <c r="U499" s="27">
        <v>30031338023</v>
      </c>
      <c r="V499" s="27">
        <v>27405703236</v>
      </c>
      <c r="W499" s="27">
        <v>2914630225</v>
      </c>
      <c r="X499" s="27">
        <v>1651153031791</v>
      </c>
      <c r="Y499" s="10">
        <v>243084206</v>
      </c>
      <c r="Z499" s="27">
        <v>65325411270</v>
      </c>
      <c r="AA499" s="27">
        <v>25850000000</v>
      </c>
      <c r="AB499" s="27">
        <v>1742328443061</v>
      </c>
      <c r="AC499" s="27">
        <v>1202403348872</v>
      </c>
      <c r="AD499" s="46">
        <v>37.321060635765988</v>
      </c>
      <c r="AE499" s="27">
        <v>749544616806</v>
      </c>
      <c r="AF499" s="27">
        <v>749544616806</v>
      </c>
      <c r="AG499" s="27">
        <v>0</v>
      </c>
      <c r="AH499" s="27">
        <v>0</v>
      </c>
      <c r="AI499" s="27">
        <v>0</v>
      </c>
      <c r="AJ499" s="27">
        <v>0</v>
      </c>
      <c r="AK499" s="27">
        <v>0</v>
      </c>
      <c r="AL499" s="28">
        <v>0</v>
      </c>
      <c r="AM499" s="27">
        <v>0</v>
      </c>
      <c r="AN499" s="29">
        <v>146</v>
      </c>
      <c r="AO499" s="27">
        <v>899487968904</v>
      </c>
      <c r="AP499" s="12">
        <v>23</v>
      </c>
      <c r="AQ499" s="10">
        <v>51824592409</v>
      </c>
      <c r="AR499" s="27">
        <v>60351671484</v>
      </c>
      <c r="AS499" s="27">
        <v>36986674424</v>
      </c>
      <c r="AT499" s="27">
        <v>23364997060</v>
      </c>
      <c r="AU499" s="28">
        <v>63.17</v>
      </c>
      <c r="AV499" s="27">
        <v>339731156594</v>
      </c>
      <c r="AW499" s="27">
        <v>112130472679</v>
      </c>
      <c r="AX499" s="27">
        <v>109229412704</v>
      </c>
      <c r="AY499" s="27">
        <v>169497645390</v>
      </c>
      <c r="AZ499" s="27">
        <v>216671539549</v>
      </c>
      <c r="BA499" s="27">
        <v>209575447840</v>
      </c>
      <c r="BB499" s="27">
        <v>131196119229</v>
      </c>
      <c r="BC499" s="27">
        <v>748568020507</v>
      </c>
      <c r="BD499" s="29">
        <v>55748</v>
      </c>
      <c r="BE499" s="27">
        <v>322321033118</v>
      </c>
      <c r="BF499" s="27">
        <v>216671539549</v>
      </c>
      <c r="BG499" s="27">
        <v>209575447840</v>
      </c>
      <c r="BH499" s="27">
        <v>528792350406</v>
      </c>
      <c r="BI499" s="27">
        <v>220752266400</v>
      </c>
      <c r="BJ499" s="27">
        <v>0</v>
      </c>
      <c r="BK499" s="27">
        <v>0</v>
      </c>
      <c r="BL499" s="27">
        <v>0</v>
      </c>
      <c r="BM499" s="27">
        <v>0</v>
      </c>
      <c r="BN499" s="27">
        <v>0</v>
      </c>
      <c r="BO499" s="27">
        <v>0</v>
      </c>
    </row>
    <row r="500" spans="1:67" x14ac:dyDescent="0.25">
      <c r="A500" s="25" t="s">
        <v>536</v>
      </c>
      <c r="B500" s="9">
        <v>3005</v>
      </c>
      <c r="C500" s="9" t="s">
        <v>542</v>
      </c>
      <c r="D500" s="10">
        <v>928459732758</v>
      </c>
      <c r="E500" s="10">
        <v>149299035779</v>
      </c>
      <c r="F500" s="10">
        <v>0</v>
      </c>
      <c r="G500" s="10">
        <v>0</v>
      </c>
      <c r="H500" s="10">
        <v>1077758768537</v>
      </c>
      <c r="I500" s="10">
        <v>71542973227</v>
      </c>
      <c r="J500" s="10">
        <v>9612064421</v>
      </c>
      <c r="K500" s="10">
        <v>996603730889</v>
      </c>
      <c r="L500" s="10">
        <v>723024484918</v>
      </c>
      <c r="M500" s="10">
        <v>354734283619</v>
      </c>
      <c r="N500" s="46">
        <v>49.06255472928158</v>
      </c>
      <c r="O500" s="10">
        <v>1611491901640</v>
      </c>
      <c r="P500" s="11">
        <v>177.94</v>
      </c>
      <c r="Q500" s="11">
        <v>161.69999999999999</v>
      </c>
      <c r="R500" s="11">
        <v>6.62</v>
      </c>
      <c r="S500" s="10">
        <v>1666995835779</v>
      </c>
      <c r="T500" s="10">
        <v>117649293596</v>
      </c>
      <c r="U500" s="10">
        <v>63886044972</v>
      </c>
      <c r="V500" s="10">
        <v>29738921583</v>
      </c>
      <c r="W500" s="10">
        <v>24024327041</v>
      </c>
      <c r="X500" s="10">
        <v>1784645129375</v>
      </c>
      <c r="Y500" s="10">
        <v>9335742547</v>
      </c>
      <c r="Z500" s="10">
        <v>109257526285</v>
      </c>
      <c r="AA500" s="10">
        <v>23855572003</v>
      </c>
      <c r="AB500" s="10">
        <v>1917758227663</v>
      </c>
      <c r="AC500" s="10">
        <v>1347184446113</v>
      </c>
      <c r="AD500" s="46">
        <v>32.472218969287773</v>
      </c>
      <c r="AE500" s="10">
        <v>904777860270</v>
      </c>
      <c r="AF500" s="10">
        <v>808160860270</v>
      </c>
      <c r="AG500" s="10">
        <v>0</v>
      </c>
      <c r="AH500" s="10">
        <v>531900000</v>
      </c>
      <c r="AI500" s="10">
        <v>9460000000</v>
      </c>
      <c r="AJ500" s="10">
        <v>0</v>
      </c>
      <c r="AK500" s="10">
        <v>0</v>
      </c>
      <c r="AL500" s="11">
        <v>0</v>
      </c>
      <c r="AM500" s="10">
        <v>0</v>
      </c>
      <c r="AN500" s="11">
        <v>146</v>
      </c>
      <c r="AO500" s="10">
        <v>935610933165</v>
      </c>
      <c r="AP500" s="12">
        <v>150</v>
      </c>
      <c r="AQ500" s="10">
        <v>744343148631</v>
      </c>
      <c r="AR500" s="10">
        <v>117649293596</v>
      </c>
      <c r="AS500" s="10">
        <v>115450708630</v>
      </c>
      <c r="AT500" s="10">
        <v>2198584966</v>
      </c>
      <c r="AU500" s="11">
        <v>1.9</v>
      </c>
      <c r="AV500" s="10">
        <v>404864596591</v>
      </c>
      <c r="AW500" s="10">
        <v>165309063358</v>
      </c>
      <c r="AX500" s="10">
        <v>127580098110</v>
      </c>
      <c r="AY500" s="10">
        <v>174875554677</v>
      </c>
      <c r="AZ500" s="10">
        <v>439326066590</v>
      </c>
      <c r="BA500" s="10">
        <v>186678013381</v>
      </c>
      <c r="BB500" s="10">
        <v>175391571241</v>
      </c>
      <c r="BC500" s="10">
        <v>1077758768537</v>
      </c>
      <c r="BD500" s="12">
        <v>83817</v>
      </c>
      <c r="BE500" s="10">
        <v>451754688566</v>
      </c>
      <c r="BF500" s="10">
        <v>439326066590</v>
      </c>
      <c r="BG500" s="10">
        <v>186678013381</v>
      </c>
      <c r="BH500" s="10">
        <v>770111470980</v>
      </c>
      <c r="BI500" s="10">
        <v>134666389290</v>
      </c>
      <c r="BJ500" s="10">
        <v>0</v>
      </c>
      <c r="BK500" s="10">
        <v>0</v>
      </c>
      <c r="BL500" s="10">
        <v>0</v>
      </c>
      <c r="BM500" s="10">
        <v>0</v>
      </c>
      <c r="BN500" s="10">
        <v>8479260001</v>
      </c>
      <c r="BO500" s="10">
        <v>531900000</v>
      </c>
    </row>
    <row r="501" spans="1:67" x14ac:dyDescent="0.25">
      <c r="A501" s="25" t="s">
        <v>536</v>
      </c>
      <c r="B501" s="9">
        <v>3099</v>
      </c>
      <c r="C501" s="9" t="s">
        <v>543</v>
      </c>
      <c r="D501" s="10">
        <v>125707672</v>
      </c>
      <c r="E501" s="10">
        <v>316403440</v>
      </c>
      <c r="F501" s="10">
        <v>0</v>
      </c>
      <c r="G501" s="10">
        <v>0</v>
      </c>
      <c r="H501" s="10">
        <v>442111112</v>
      </c>
      <c r="I501" s="10">
        <v>34758492</v>
      </c>
      <c r="J501" s="10">
        <v>925400</v>
      </c>
      <c r="K501" s="10">
        <v>406427220</v>
      </c>
      <c r="L501" s="10">
        <v>258945410</v>
      </c>
      <c r="M501" s="10">
        <v>183165702</v>
      </c>
      <c r="N501" s="46">
        <v>70.735257288399126</v>
      </c>
      <c r="O501" s="10">
        <v>0</v>
      </c>
      <c r="P501" s="11">
        <v>0</v>
      </c>
      <c r="Q501" s="11">
        <v>0</v>
      </c>
      <c r="R501" s="11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46" t="s">
        <v>595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1">
        <v>0</v>
      </c>
      <c r="AM501" s="10">
        <v>0</v>
      </c>
      <c r="AN501" s="11">
        <v>0</v>
      </c>
      <c r="AO501" s="10">
        <v>0</v>
      </c>
      <c r="AP501" s="12">
        <v>0</v>
      </c>
      <c r="AQ501" s="10">
        <v>0</v>
      </c>
      <c r="AR501" s="10">
        <v>0</v>
      </c>
      <c r="AS501" s="10">
        <v>0</v>
      </c>
      <c r="AT501" s="10">
        <v>0</v>
      </c>
      <c r="AU501" s="11" t="s">
        <v>593</v>
      </c>
      <c r="AV501" s="10">
        <v>0</v>
      </c>
      <c r="AW501" s="10">
        <v>0</v>
      </c>
      <c r="AX501" s="10">
        <v>0</v>
      </c>
      <c r="AY501" s="10">
        <v>125707672</v>
      </c>
      <c r="AZ501" s="10">
        <v>0</v>
      </c>
      <c r="BA501" s="10">
        <v>0</v>
      </c>
      <c r="BB501" s="10">
        <v>0</v>
      </c>
      <c r="BC501" s="10">
        <v>442111112</v>
      </c>
      <c r="BD501" s="12">
        <v>0</v>
      </c>
      <c r="BE501" s="10">
        <v>442111112</v>
      </c>
      <c r="BF501" s="10">
        <v>0</v>
      </c>
      <c r="BG501" s="10">
        <v>0</v>
      </c>
      <c r="BH501" s="10">
        <v>0</v>
      </c>
      <c r="BI501" s="10">
        <v>0</v>
      </c>
      <c r="BJ501" s="10">
        <v>0</v>
      </c>
      <c r="BK501" s="10">
        <v>0</v>
      </c>
      <c r="BL501" s="10">
        <v>0</v>
      </c>
      <c r="BM501" s="10">
        <v>0</v>
      </c>
      <c r="BN501" s="10">
        <v>0</v>
      </c>
      <c r="BO501" s="10">
        <v>0</v>
      </c>
    </row>
    <row r="502" spans="1:67" x14ac:dyDescent="0.25">
      <c r="A502" s="19" t="s">
        <v>597</v>
      </c>
      <c r="B502" s="20" t="s">
        <v>593</v>
      </c>
      <c r="C502" s="20" t="s">
        <v>593</v>
      </c>
      <c r="D502" s="21">
        <v>5906580171518</v>
      </c>
      <c r="E502" s="21">
        <v>771886556914</v>
      </c>
      <c r="F502" s="21">
        <v>0</v>
      </c>
      <c r="G502" s="21">
        <v>274424400</v>
      </c>
      <c r="H502" s="21">
        <v>6678741152832</v>
      </c>
      <c r="I502" s="21">
        <v>444584451853</v>
      </c>
      <c r="J502" s="21">
        <v>106003804943</v>
      </c>
      <c r="K502" s="21">
        <v>6128152896036</v>
      </c>
      <c r="L502" s="21">
        <v>5060269029257</v>
      </c>
      <c r="M502" s="21">
        <v>1618472123575</v>
      </c>
      <c r="N502" s="47">
        <v>31.983914574847034</v>
      </c>
      <c r="O502" s="21">
        <v>11870672642475</v>
      </c>
      <c r="P502" s="22">
        <v>218.57</v>
      </c>
      <c r="Q502" s="22">
        <v>193.71</v>
      </c>
      <c r="R502" s="22">
        <v>5.87</v>
      </c>
      <c r="S502" s="21">
        <v>12708680804424</v>
      </c>
      <c r="T502" s="21">
        <v>793696961819</v>
      </c>
      <c r="U502" s="21">
        <v>287866901211</v>
      </c>
      <c r="V502" s="21">
        <v>207859495569</v>
      </c>
      <c r="W502" s="21">
        <v>297970565039</v>
      </c>
      <c r="X502" s="21">
        <v>13502377766243</v>
      </c>
      <c r="Y502" s="21">
        <v>63087538881</v>
      </c>
      <c r="Z502" s="21">
        <v>895056521899</v>
      </c>
      <c r="AA502" s="21">
        <v>200500513856</v>
      </c>
      <c r="AB502" s="21">
        <v>14597934801998</v>
      </c>
      <c r="AC502" s="21">
        <v>9250195141995</v>
      </c>
      <c r="AD502" s="47">
        <v>45.968572110911452</v>
      </c>
      <c r="AE502" s="21">
        <v>6922500527202</v>
      </c>
      <c r="AF502" s="21">
        <v>6633003257721</v>
      </c>
      <c r="AG502" s="21">
        <v>352289997617</v>
      </c>
      <c r="AH502" s="21">
        <v>70286928584</v>
      </c>
      <c r="AI502" s="21">
        <v>56038830796</v>
      </c>
      <c r="AJ502" s="21">
        <v>0</v>
      </c>
      <c r="AK502" s="21">
        <v>0</v>
      </c>
      <c r="AL502" s="22">
        <v>11</v>
      </c>
      <c r="AM502" s="21">
        <v>363635147037</v>
      </c>
      <c r="AN502" s="23">
        <v>2128</v>
      </c>
      <c r="AO502" s="21">
        <v>11896146876665</v>
      </c>
      <c r="AP502" s="23">
        <v>1120</v>
      </c>
      <c r="AQ502" s="21">
        <v>3668992929881</v>
      </c>
      <c r="AR502" s="21">
        <v>793696961819</v>
      </c>
      <c r="AS502" s="21">
        <v>599839489185</v>
      </c>
      <c r="AT502" s="21">
        <v>193857472634</v>
      </c>
      <c r="AU502" s="24">
        <v>32.32</v>
      </c>
      <c r="AV502" s="21">
        <v>2936180212179</v>
      </c>
      <c r="AW502" s="21">
        <v>831983886824</v>
      </c>
      <c r="AX502" s="21">
        <v>826425256619</v>
      </c>
      <c r="AY502" s="21">
        <v>1565221555203</v>
      </c>
      <c r="AZ502" s="21">
        <v>1877581575266</v>
      </c>
      <c r="BA502" s="21">
        <v>1637351784430</v>
      </c>
      <c r="BB502" s="21">
        <v>1155224710941</v>
      </c>
      <c r="BC502" s="21">
        <v>6678741152832</v>
      </c>
      <c r="BD502" s="23">
        <v>268576</v>
      </c>
      <c r="BE502" s="21">
        <v>3132065385168</v>
      </c>
      <c r="BF502" s="21">
        <v>1877581575266</v>
      </c>
      <c r="BG502" s="21">
        <v>1669094192398</v>
      </c>
      <c r="BH502" s="21">
        <v>4569834393696</v>
      </c>
      <c r="BI502" s="21">
        <v>2352666133506</v>
      </c>
      <c r="BJ502" s="21">
        <v>103730004179</v>
      </c>
      <c r="BK502" s="21">
        <v>0</v>
      </c>
      <c r="BL502" s="21">
        <v>243807183174</v>
      </c>
      <c r="BM502" s="21">
        <v>39363859947</v>
      </c>
      <c r="BN502" s="21">
        <v>75940642345</v>
      </c>
      <c r="BO502" s="21">
        <v>9667973761</v>
      </c>
    </row>
    <row r="503" spans="1:67" x14ac:dyDescent="0.25">
      <c r="A503" s="25" t="s">
        <v>544</v>
      </c>
      <c r="B503" s="9">
        <v>3100</v>
      </c>
      <c r="C503" s="9" t="s">
        <v>545</v>
      </c>
      <c r="D503" s="10">
        <v>4346673183844</v>
      </c>
      <c r="E503" s="10">
        <v>300197069821</v>
      </c>
      <c r="F503" s="10">
        <v>0</v>
      </c>
      <c r="G503" s="10">
        <v>919926579</v>
      </c>
      <c r="H503" s="10">
        <v>4647790180244</v>
      </c>
      <c r="I503" s="10">
        <v>373617047638</v>
      </c>
      <c r="J503" s="10">
        <v>43729757666</v>
      </c>
      <c r="K503" s="10">
        <v>4230443374940</v>
      </c>
      <c r="L503" s="10">
        <v>2921040894032</v>
      </c>
      <c r="M503" s="10">
        <v>1726749286212</v>
      </c>
      <c r="N503" s="46">
        <v>59.114177064071036</v>
      </c>
      <c r="O503" s="10">
        <v>7568945590880</v>
      </c>
      <c r="P503" s="11">
        <v>223.76</v>
      </c>
      <c r="Q503" s="11">
        <v>178.92</v>
      </c>
      <c r="R503" s="11">
        <v>1.1299999999999999</v>
      </c>
      <c r="S503" s="10">
        <v>9967011127790</v>
      </c>
      <c r="T503" s="10">
        <v>108429731902</v>
      </c>
      <c r="U503" s="10">
        <v>34274474564</v>
      </c>
      <c r="V503" s="10">
        <v>44072243086</v>
      </c>
      <c r="W503" s="10">
        <v>30083014252</v>
      </c>
      <c r="X503" s="10">
        <v>10075440859692</v>
      </c>
      <c r="Y503" s="10">
        <v>9088611844</v>
      </c>
      <c r="Z503" s="10">
        <v>274729940981</v>
      </c>
      <c r="AA503" s="10">
        <v>49782348000</v>
      </c>
      <c r="AB503" s="10">
        <v>10399953148673</v>
      </c>
      <c r="AC503" s="10">
        <v>6872680768843</v>
      </c>
      <c r="AD503" s="46">
        <v>46.601321937846642</v>
      </c>
      <c r="AE503" s="10">
        <v>5725304257084</v>
      </c>
      <c r="AF503" s="10">
        <v>5634054257084</v>
      </c>
      <c r="AG503" s="10">
        <v>109842985104</v>
      </c>
      <c r="AH503" s="10">
        <v>9006607479</v>
      </c>
      <c r="AI503" s="10">
        <v>102971294756</v>
      </c>
      <c r="AJ503" s="10">
        <v>0</v>
      </c>
      <c r="AK503" s="10">
        <v>0</v>
      </c>
      <c r="AL503" s="11">
        <v>0</v>
      </c>
      <c r="AM503" s="10">
        <v>0</v>
      </c>
      <c r="AN503" s="11">
        <v>249</v>
      </c>
      <c r="AO503" s="10">
        <v>2605400731730</v>
      </c>
      <c r="AP503" s="12">
        <v>239</v>
      </c>
      <c r="AQ503" s="10">
        <v>2202960801405</v>
      </c>
      <c r="AR503" s="10">
        <v>108429731902</v>
      </c>
      <c r="AS503" s="10">
        <v>142335079606</v>
      </c>
      <c r="AT503" s="10">
        <v>-33905347704</v>
      </c>
      <c r="AU503" s="11">
        <v>-23.82</v>
      </c>
      <c r="AV503" s="10">
        <v>3248255593353</v>
      </c>
      <c r="AW503" s="10">
        <v>356509436819</v>
      </c>
      <c r="AX503" s="10">
        <v>641931951219</v>
      </c>
      <c r="AY503" s="10">
        <v>245047228257</v>
      </c>
      <c r="AZ503" s="10">
        <v>1052717504368</v>
      </c>
      <c r="BA503" s="10">
        <v>2406976500000</v>
      </c>
      <c r="BB503" s="10">
        <v>656697361269</v>
      </c>
      <c r="BC503" s="10">
        <v>4647790180244</v>
      </c>
      <c r="BD503" s="12">
        <v>162343</v>
      </c>
      <c r="BE503" s="10">
        <v>1123694518756</v>
      </c>
      <c r="BF503" s="10">
        <v>1052717504368</v>
      </c>
      <c r="BG503" s="10">
        <v>2471378157120</v>
      </c>
      <c r="BH503" s="10">
        <v>3067879126135</v>
      </c>
      <c r="BI503" s="10">
        <v>2657425130949</v>
      </c>
      <c r="BJ503" s="10">
        <v>0</v>
      </c>
      <c r="BK503" s="10">
        <v>0</v>
      </c>
      <c r="BL503" s="10">
        <v>109917385968</v>
      </c>
      <c r="BM503" s="10">
        <v>0</v>
      </c>
      <c r="BN503" s="10">
        <v>0</v>
      </c>
      <c r="BO503" s="10">
        <v>9006607479</v>
      </c>
    </row>
    <row r="504" spans="1:67" x14ac:dyDescent="0.25">
      <c r="A504" s="25" t="s">
        <v>544</v>
      </c>
      <c r="B504" s="9">
        <v>3101</v>
      </c>
      <c r="C504" s="9" t="s">
        <v>546</v>
      </c>
      <c r="D504" s="10">
        <v>1951240630346</v>
      </c>
      <c r="E504" s="10">
        <v>91233244772</v>
      </c>
      <c r="F504" s="10">
        <v>0</v>
      </c>
      <c r="G504" s="10">
        <v>0</v>
      </c>
      <c r="H504" s="10">
        <v>2042473875118</v>
      </c>
      <c r="I504" s="10">
        <v>147027762340</v>
      </c>
      <c r="J504" s="10">
        <v>3223458846</v>
      </c>
      <c r="K504" s="10">
        <v>1892222653932</v>
      </c>
      <c r="L504" s="10">
        <v>1565190217750</v>
      </c>
      <c r="M504" s="10">
        <v>477283657368</v>
      </c>
      <c r="N504" s="46">
        <v>30.493651950758238</v>
      </c>
      <c r="O504" s="10">
        <v>1984031541623</v>
      </c>
      <c r="P504" s="11">
        <v>109.47</v>
      </c>
      <c r="Q504" s="11">
        <v>104.85</v>
      </c>
      <c r="R504" s="11">
        <v>2.4700000000000002</v>
      </c>
      <c r="S504" s="10">
        <v>2034622886437</v>
      </c>
      <c r="T504" s="10">
        <v>50543422672</v>
      </c>
      <c r="U504" s="10">
        <v>22105787843</v>
      </c>
      <c r="V504" s="10">
        <v>2249527169</v>
      </c>
      <c r="W504" s="10">
        <v>26188107660</v>
      </c>
      <c r="X504" s="10">
        <v>2085166309109</v>
      </c>
      <c r="Y504" s="10">
        <v>4705104810</v>
      </c>
      <c r="Z504" s="10">
        <v>113896291906</v>
      </c>
      <c r="AA504" s="10">
        <v>36778744735</v>
      </c>
      <c r="AB504" s="10">
        <v>2235841345750</v>
      </c>
      <c r="AC504" s="10">
        <v>1609569825106</v>
      </c>
      <c r="AD504" s="46">
        <v>29.548049210706289</v>
      </c>
      <c r="AE504" s="10">
        <v>1970806473858</v>
      </c>
      <c r="AF504" s="10">
        <v>1970806473858</v>
      </c>
      <c r="AG504" s="10">
        <v>53753346420</v>
      </c>
      <c r="AH504" s="10">
        <v>0</v>
      </c>
      <c r="AI504" s="10">
        <v>43307077777</v>
      </c>
      <c r="AJ504" s="10">
        <v>0</v>
      </c>
      <c r="AK504" s="10">
        <v>0</v>
      </c>
      <c r="AL504" s="11">
        <v>3</v>
      </c>
      <c r="AM504" s="10">
        <v>96182502915</v>
      </c>
      <c r="AN504" s="11">
        <v>112</v>
      </c>
      <c r="AO504" s="10">
        <v>958433608121</v>
      </c>
      <c r="AP504" s="12">
        <v>59</v>
      </c>
      <c r="AQ504" s="10">
        <v>441786547293</v>
      </c>
      <c r="AR504" s="10">
        <v>50543422672</v>
      </c>
      <c r="AS504" s="10">
        <v>33159202466</v>
      </c>
      <c r="AT504" s="10">
        <v>17384220206</v>
      </c>
      <c r="AU504" s="11">
        <v>52.43</v>
      </c>
      <c r="AV504" s="10">
        <v>1468286929629</v>
      </c>
      <c r="AW504" s="10">
        <v>220311071650</v>
      </c>
      <c r="AX504" s="10">
        <v>319836493340</v>
      </c>
      <c r="AY504" s="10">
        <v>302527771799</v>
      </c>
      <c r="AZ504" s="10">
        <v>636079918083</v>
      </c>
      <c r="BA504" s="10">
        <v>692796447124</v>
      </c>
      <c r="BB504" s="10">
        <v>489272117443</v>
      </c>
      <c r="BC504" s="10">
        <v>2042473875118</v>
      </c>
      <c r="BD504" s="12">
        <v>66014</v>
      </c>
      <c r="BE504" s="10">
        <v>713597509911</v>
      </c>
      <c r="BF504" s="10">
        <v>636079918083</v>
      </c>
      <c r="BG504" s="10">
        <v>692796447124</v>
      </c>
      <c r="BH504" s="10">
        <v>1608875621848</v>
      </c>
      <c r="BI504" s="10">
        <v>361930852010</v>
      </c>
      <c r="BJ504" s="10">
        <v>0</v>
      </c>
      <c r="BK504" s="10">
        <v>10180308367</v>
      </c>
      <c r="BL504" s="10">
        <v>15729340000</v>
      </c>
      <c r="BM504" s="10">
        <v>0</v>
      </c>
      <c r="BN504" s="10">
        <v>0</v>
      </c>
      <c r="BO504" s="10">
        <v>0</v>
      </c>
    </row>
    <row r="505" spans="1:67" x14ac:dyDescent="0.25">
      <c r="A505" s="25" t="s">
        <v>544</v>
      </c>
      <c r="B505" s="9">
        <v>3102</v>
      </c>
      <c r="C505" s="9" t="s">
        <v>547</v>
      </c>
      <c r="D505" s="10">
        <v>824256966467</v>
      </c>
      <c r="E505" s="10">
        <v>19288767057</v>
      </c>
      <c r="F505" s="10">
        <v>0</v>
      </c>
      <c r="G505" s="10">
        <v>0</v>
      </c>
      <c r="H505" s="10">
        <v>843545733524</v>
      </c>
      <c r="I505" s="10">
        <v>55823987861</v>
      </c>
      <c r="J505" s="10">
        <v>2704509864</v>
      </c>
      <c r="K505" s="10">
        <v>785017235799</v>
      </c>
      <c r="L505" s="10">
        <v>637212191755</v>
      </c>
      <c r="M505" s="10">
        <v>206333541769</v>
      </c>
      <c r="N505" s="46">
        <v>32.380664469196567</v>
      </c>
      <c r="O505" s="10">
        <v>1873743420694</v>
      </c>
      <c r="P505" s="11">
        <v>289.2</v>
      </c>
      <c r="Q505" s="11">
        <v>238.69</v>
      </c>
      <c r="R505" s="11">
        <v>1.68</v>
      </c>
      <c r="S505" s="10">
        <v>2336622464251</v>
      </c>
      <c r="T505" s="10">
        <v>40418571858</v>
      </c>
      <c r="U505" s="10">
        <v>31635968152</v>
      </c>
      <c r="V505" s="10">
        <v>7077288714</v>
      </c>
      <c r="W505" s="10">
        <v>1705314992</v>
      </c>
      <c r="X505" s="10">
        <v>2377041036109</v>
      </c>
      <c r="Y505" s="10">
        <v>493582994</v>
      </c>
      <c r="Z505" s="10">
        <v>43696444321</v>
      </c>
      <c r="AA505" s="10">
        <v>18803259000</v>
      </c>
      <c r="AB505" s="10">
        <v>2439540739430</v>
      </c>
      <c r="AC505" s="10">
        <v>1144416941103</v>
      </c>
      <c r="AD505" s="46">
        <v>107.70760644437726</v>
      </c>
      <c r="AE505" s="10">
        <v>1653053966158</v>
      </c>
      <c r="AF505" s="10">
        <v>1224921351497</v>
      </c>
      <c r="AG505" s="10">
        <v>0</v>
      </c>
      <c r="AH505" s="10">
        <v>0</v>
      </c>
      <c r="AI505" s="10">
        <v>13885265848</v>
      </c>
      <c r="AJ505" s="10">
        <v>37485500000</v>
      </c>
      <c r="AK505" s="10">
        <v>0</v>
      </c>
      <c r="AL505" s="11">
        <v>0</v>
      </c>
      <c r="AM505" s="10">
        <v>0</v>
      </c>
      <c r="AN505" s="11">
        <v>7</v>
      </c>
      <c r="AO505" s="10">
        <v>152195000000</v>
      </c>
      <c r="AP505" s="12">
        <v>11</v>
      </c>
      <c r="AQ505" s="10">
        <v>22562405536</v>
      </c>
      <c r="AR505" s="10">
        <v>40418571858</v>
      </c>
      <c r="AS505" s="10">
        <v>20569328993</v>
      </c>
      <c r="AT505" s="10">
        <v>19849242865</v>
      </c>
      <c r="AU505" s="11">
        <v>96.5</v>
      </c>
      <c r="AV505" s="10">
        <v>572606963306</v>
      </c>
      <c r="AW505" s="10">
        <v>96095971724</v>
      </c>
      <c r="AX505" s="10">
        <v>204172423919</v>
      </c>
      <c r="AY505" s="10">
        <v>172866612759</v>
      </c>
      <c r="AZ505" s="10">
        <v>138409929789</v>
      </c>
      <c r="BA505" s="10">
        <v>308808000000</v>
      </c>
      <c r="BB505" s="10">
        <v>112783609118</v>
      </c>
      <c r="BC505" s="10">
        <v>843545733524</v>
      </c>
      <c r="BD505" s="12">
        <v>65977</v>
      </c>
      <c r="BE505" s="10">
        <v>396324804869</v>
      </c>
      <c r="BF505" s="10">
        <v>138409929789</v>
      </c>
      <c r="BG505" s="10">
        <v>308810998866</v>
      </c>
      <c r="BH505" s="10">
        <v>1310257386442</v>
      </c>
      <c r="BI505" s="10">
        <v>342796579716</v>
      </c>
      <c r="BJ505" s="10">
        <v>0</v>
      </c>
      <c r="BK505" s="10">
        <v>0</v>
      </c>
      <c r="BL505" s="10">
        <v>0</v>
      </c>
      <c r="BM505" s="10">
        <v>0</v>
      </c>
      <c r="BN505" s="10">
        <v>0</v>
      </c>
      <c r="BO505" s="10">
        <v>0</v>
      </c>
    </row>
    <row r="506" spans="1:67" x14ac:dyDescent="0.25">
      <c r="A506" s="25" t="s">
        <v>544</v>
      </c>
      <c r="B506" s="9">
        <v>3103</v>
      </c>
      <c r="C506" s="9" t="s">
        <v>548</v>
      </c>
      <c r="D506" s="10">
        <v>1708839786057</v>
      </c>
      <c r="E506" s="10">
        <v>91645918526</v>
      </c>
      <c r="F506" s="10">
        <v>0</v>
      </c>
      <c r="G506" s="10">
        <v>0</v>
      </c>
      <c r="H506" s="10">
        <v>1800485704583</v>
      </c>
      <c r="I506" s="10">
        <v>132037718942</v>
      </c>
      <c r="J506" s="10">
        <v>2674361017</v>
      </c>
      <c r="K506" s="10">
        <v>1665773624624</v>
      </c>
      <c r="L506" s="10">
        <v>1093202968104</v>
      </c>
      <c r="M506" s="10">
        <v>707282736479</v>
      </c>
      <c r="N506" s="46">
        <v>64.698208577468279</v>
      </c>
      <c r="O506" s="10">
        <v>1339418539948</v>
      </c>
      <c r="P506" s="11">
        <v>88.47</v>
      </c>
      <c r="Q506" s="11">
        <v>80.41</v>
      </c>
      <c r="R506" s="11">
        <v>0.61</v>
      </c>
      <c r="S506" s="10">
        <v>1502396607605</v>
      </c>
      <c r="T506" s="10">
        <v>5817335568</v>
      </c>
      <c r="U506" s="10">
        <v>3694587023</v>
      </c>
      <c r="V506" s="10">
        <v>640902811</v>
      </c>
      <c r="W506" s="10">
        <v>1481845734</v>
      </c>
      <c r="X506" s="10">
        <v>1508213943173</v>
      </c>
      <c r="Y506" s="10">
        <v>3876116625</v>
      </c>
      <c r="Z506" s="10">
        <v>61342696228</v>
      </c>
      <c r="AA506" s="10">
        <v>23397970000</v>
      </c>
      <c r="AB506" s="10">
        <v>1592954609401</v>
      </c>
      <c r="AC506" s="10">
        <v>1016084512793</v>
      </c>
      <c r="AD506" s="46">
        <v>48.43390723742467</v>
      </c>
      <c r="AE506" s="10">
        <v>1043129726307</v>
      </c>
      <c r="AF506" s="10">
        <v>989149726307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1">
        <v>0</v>
      </c>
      <c r="AM506" s="10">
        <v>0</v>
      </c>
      <c r="AN506" s="11">
        <v>150</v>
      </c>
      <c r="AO506" s="10">
        <v>529549025429</v>
      </c>
      <c r="AP506" s="12">
        <v>308</v>
      </c>
      <c r="AQ506" s="10">
        <v>1077571046592</v>
      </c>
      <c r="AR506" s="10">
        <v>5817335568</v>
      </c>
      <c r="AS506" s="10">
        <v>6739777904</v>
      </c>
      <c r="AT506" s="10">
        <v>-922442336</v>
      </c>
      <c r="AU506" s="11">
        <v>-13.69</v>
      </c>
      <c r="AV506" s="10">
        <v>609762439376</v>
      </c>
      <c r="AW506" s="10">
        <v>84892443468</v>
      </c>
      <c r="AX506" s="10">
        <v>197228893510</v>
      </c>
      <c r="AY506" s="10">
        <v>180109448283</v>
      </c>
      <c r="AZ506" s="10">
        <v>442523444264</v>
      </c>
      <c r="BA506" s="10">
        <v>888978000000</v>
      </c>
      <c r="BB506" s="10">
        <v>374540507576</v>
      </c>
      <c r="BC506" s="10">
        <v>1800485704583</v>
      </c>
      <c r="BD506" s="12">
        <v>45559</v>
      </c>
      <c r="BE506" s="10">
        <v>468984260319</v>
      </c>
      <c r="BF506" s="10">
        <v>442523444264</v>
      </c>
      <c r="BG506" s="10">
        <v>888978000000</v>
      </c>
      <c r="BH506" s="10">
        <v>859412576200</v>
      </c>
      <c r="BI506" s="10">
        <v>183717150107</v>
      </c>
      <c r="BJ506" s="10">
        <v>0</v>
      </c>
      <c r="BK506" s="10">
        <v>0</v>
      </c>
      <c r="BL506" s="10">
        <v>0</v>
      </c>
      <c r="BM506" s="10">
        <v>0</v>
      </c>
      <c r="BN506" s="10">
        <v>0</v>
      </c>
      <c r="BO506" s="10">
        <v>0</v>
      </c>
    </row>
    <row r="507" spans="1:67" x14ac:dyDescent="0.25">
      <c r="A507" s="25" t="s">
        <v>544</v>
      </c>
      <c r="B507" s="9">
        <v>3104</v>
      </c>
      <c r="C507" s="9" t="s">
        <v>549</v>
      </c>
      <c r="D507" s="10">
        <v>1022835765721</v>
      </c>
      <c r="E507" s="10">
        <v>108361768767</v>
      </c>
      <c r="F507" s="10">
        <v>0</v>
      </c>
      <c r="G507" s="10">
        <v>0</v>
      </c>
      <c r="H507" s="10">
        <v>1131197534488</v>
      </c>
      <c r="I507" s="10">
        <v>84331208223</v>
      </c>
      <c r="J507" s="10">
        <v>2178674514</v>
      </c>
      <c r="K507" s="10">
        <v>1044687651751</v>
      </c>
      <c r="L507" s="10">
        <v>964101636804</v>
      </c>
      <c r="M507" s="10">
        <v>167095897684</v>
      </c>
      <c r="N507" s="46">
        <v>17.33177201502566</v>
      </c>
      <c r="O507" s="10">
        <v>1539532119299</v>
      </c>
      <c r="P507" s="11">
        <v>152.88</v>
      </c>
      <c r="Q507" s="11">
        <v>147.37</v>
      </c>
      <c r="R507" s="11">
        <v>2.5</v>
      </c>
      <c r="S507" s="10">
        <v>1583170491790</v>
      </c>
      <c r="T507" s="10">
        <v>40069299388</v>
      </c>
      <c r="U507" s="10">
        <v>23254901212</v>
      </c>
      <c r="V507" s="10">
        <v>11669223144</v>
      </c>
      <c r="W507" s="10">
        <v>5145175032</v>
      </c>
      <c r="X507" s="10">
        <v>1623239791178</v>
      </c>
      <c r="Y507" s="10">
        <v>3243265878</v>
      </c>
      <c r="Z507" s="10">
        <v>77475510996</v>
      </c>
      <c r="AA507" s="10">
        <v>28604650915</v>
      </c>
      <c r="AB507" s="10">
        <v>1729319953089</v>
      </c>
      <c r="AC507" s="10">
        <v>992043345391</v>
      </c>
      <c r="AD507" s="46">
        <v>63.625893840175173</v>
      </c>
      <c r="AE507" s="10">
        <v>2070921972081</v>
      </c>
      <c r="AF507" s="10">
        <v>2063478617561</v>
      </c>
      <c r="AG507" s="10">
        <v>837987677673</v>
      </c>
      <c r="AH507" s="10">
        <v>0</v>
      </c>
      <c r="AI507" s="10">
        <v>91668216153</v>
      </c>
      <c r="AJ507" s="10">
        <v>0</v>
      </c>
      <c r="AK507" s="10">
        <v>0</v>
      </c>
      <c r="AL507" s="11">
        <v>3</v>
      </c>
      <c r="AM507" s="10">
        <v>717091500000</v>
      </c>
      <c r="AN507" s="11">
        <v>57</v>
      </c>
      <c r="AO507" s="10">
        <v>1193918847348</v>
      </c>
      <c r="AP507" s="12">
        <v>80</v>
      </c>
      <c r="AQ507" s="10">
        <v>745216992639</v>
      </c>
      <c r="AR507" s="10">
        <v>40069299388</v>
      </c>
      <c r="AS507" s="10">
        <v>72442262913</v>
      </c>
      <c r="AT507" s="10">
        <v>-32372963525</v>
      </c>
      <c r="AU507" s="11">
        <v>-44.69</v>
      </c>
      <c r="AV507" s="10">
        <v>1510269041274</v>
      </c>
      <c r="AW507" s="10">
        <v>380018496839</v>
      </c>
      <c r="AX507" s="10">
        <v>177323752988</v>
      </c>
      <c r="AY507" s="10">
        <v>157541141536</v>
      </c>
      <c r="AZ507" s="10">
        <v>261910371197</v>
      </c>
      <c r="BA507" s="10">
        <v>426060500000</v>
      </c>
      <c r="BB507" s="10">
        <v>190011774651</v>
      </c>
      <c r="BC507" s="10">
        <v>1131197534488</v>
      </c>
      <c r="BD507" s="12">
        <v>37553</v>
      </c>
      <c r="BE507" s="10">
        <v>443226663291</v>
      </c>
      <c r="BF507" s="10">
        <v>261910371197</v>
      </c>
      <c r="BG507" s="10">
        <v>426060500000</v>
      </c>
      <c r="BH507" s="10">
        <v>1813959573269</v>
      </c>
      <c r="BI507" s="10">
        <v>256962398812</v>
      </c>
      <c r="BJ507" s="10">
        <v>0</v>
      </c>
      <c r="BK507" s="10">
        <v>0</v>
      </c>
      <c r="BL507" s="10">
        <v>837987677673</v>
      </c>
      <c r="BM507" s="10">
        <v>0</v>
      </c>
      <c r="BN507" s="10">
        <v>0</v>
      </c>
      <c r="BO507" s="10">
        <v>0</v>
      </c>
    </row>
    <row r="508" spans="1:67" x14ac:dyDescent="0.25">
      <c r="A508" s="25" t="s">
        <v>544</v>
      </c>
      <c r="B508" s="9">
        <v>3105</v>
      </c>
      <c r="C508" s="9" t="s">
        <v>550</v>
      </c>
      <c r="D508" s="10">
        <v>884071195246</v>
      </c>
      <c r="E508" s="10">
        <v>43018145974</v>
      </c>
      <c r="F508" s="10">
        <v>0</v>
      </c>
      <c r="G508" s="10">
        <v>0</v>
      </c>
      <c r="H508" s="10">
        <v>927089341220</v>
      </c>
      <c r="I508" s="10">
        <v>60878230275</v>
      </c>
      <c r="J508" s="10">
        <v>964074451</v>
      </c>
      <c r="K508" s="10">
        <v>865247036494</v>
      </c>
      <c r="L508" s="10">
        <v>659661037955</v>
      </c>
      <c r="M508" s="10">
        <v>267428303265</v>
      </c>
      <c r="N508" s="46">
        <v>40.540260509253109</v>
      </c>
      <c r="O508" s="10">
        <v>1069892816944</v>
      </c>
      <c r="P508" s="11">
        <v>126.12</v>
      </c>
      <c r="Q508" s="11">
        <v>123.65</v>
      </c>
      <c r="R508" s="11">
        <v>4.54</v>
      </c>
      <c r="S508" s="10">
        <v>1065133890369</v>
      </c>
      <c r="T508" s="10">
        <v>51329797875</v>
      </c>
      <c r="U508" s="10">
        <v>3804083032</v>
      </c>
      <c r="V508" s="10">
        <v>47525714843</v>
      </c>
      <c r="W508" s="10">
        <v>0</v>
      </c>
      <c r="X508" s="10">
        <v>1116463688244</v>
      </c>
      <c r="Y508" s="10">
        <v>1733294337</v>
      </c>
      <c r="Z508" s="10">
        <v>44367475178</v>
      </c>
      <c r="AA508" s="10">
        <v>8393826317</v>
      </c>
      <c r="AB508" s="10">
        <v>1169224989739</v>
      </c>
      <c r="AC508" s="10">
        <v>890204442031</v>
      </c>
      <c r="AD508" s="46">
        <v>25.416548775783447</v>
      </c>
      <c r="AE508" s="10">
        <v>952393110594</v>
      </c>
      <c r="AF508" s="10">
        <v>952393110594</v>
      </c>
      <c r="AG508" s="10">
        <v>0</v>
      </c>
      <c r="AH508" s="10">
        <v>0</v>
      </c>
      <c r="AI508" s="10">
        <v>6058438356</v>
      </c>
      <c r="AJ508" s="10">
        <v>0</v>
      </c>
      <c r="AK508" s="10">
        <v>0</v>
      </c>
      <c r="AL508" s="11">
        <v>0</v>
      </c>
      <c r="AM508" s="10">
        <v>0</v>
      </c>
      <c r="AN508" s="11">
        <v>20</v>
      </c>
      <c r="AO508" s="10">
        <v>213847199200</v>
      </c>
      <c r="AP508" s="12">
        <v>7</v>
      </c>
      <c r="AQ508" s="10">
        <v>2845414956</v>
      </c>
      <c r="AR508" s="10">
        <v>51329797875</v>
      </c>
      <c r="AS508" s="10">
        <v>18760748877</v>
      </c>
      <c r="AT508" s="10">
        <v>32569048998</v>
      </c>
      <c r="AU508" s="11">
        <v>173.6</v>
      </c>
      <c r="AV508" s="10">
        <v>737318986788</v>
      </c>
      <c r="AW508" s="10">
        <v>90171670916</v>
      </c>
      <c r="AX508" s="10">
        <v>190726640686</v>
      </c>
      <c r="AY508" s="10">
        <v>238814080206</v>
      </c>
      <c r="AZ508" s="10">
        <v>312165874354</v>
      </c>
      <c r="BA508" s="10">
        <v>142364600000</v>
      </c>
      <c r="BB508" s="10">
        <v>250114917274</v>
      </c>
      <c r="BC508" s="10">
        <v>927089341220</v>
      </c>
      <c r="BD508" s="12">
        <v>54617</v>
      </c>
      <c r="BE508" s="10">
        <v>472558866866</v>
      </c>
      <c r="BF508" s="10">
        <v>312165874354</v>
      </c>
      <c r="BG508" s="10">
        <v>142364600000</v>
      </c>
      <c r="BH508" s="10">
        <v>802413880594</v>
      </c>
      <c r="BI508" s="10">
        <v>149979230000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</row>
    <row r="509" spans="1:67" x14ac:dyDescent="0.25">
      <c r="A509" s="25" t="s">
        <v>544</v>
      </c>
      <c r="B509" s="9">
        <v>3106</v>
      </c>
      <c r="C509" s="9" t="s">
        <v>551</v>
      </c>
      <c r="D509" s="10">
        <v>1286547268751</v>
      </c>
      <c r="E509" s="10">
        <v>104734444645</v>
      </c>
      <c r="F509" s="10">
        <v>0</v>
      </c>
      <c r="G509" s="10">
        <v>0</v>
      </c>
      <c r="H509" s="10">
        <v>1391281713396</v>
      </c>
      <c r="I509" s="10">
        <v>98816868717</v>
      </c>
      <c r="J509" s="10">
        <v>3522731498</v>
      </c>
      <c r="K509" s="10">
        <v>1288942113181</v>
      </c>
      <c r="L509" s="10">
        <v>715615465280</v>
      </c>
      <c r="M509" s="10">
        <v>675666248116</v>
      </c>
      <c r="N509" s="46">
        <v>94.417502261725289</v>
      </c>
      <c r="O509" s="10">
        <v>1124920533490</v>
      </c>
      <c r="P509" s="11">
        <v>94.52</v>
      </c>
      <c r="Q509" s="11">
        <v>87.27</v>
      </c>
      <c r="R509" s="11">
        <v>2.15</v>
      </c>
      <c r="S509" s="10">
        <v>1205111013188</v>
      </c>
      <c r="T509" s="10">
        <v>28162558540</v>
      </c>
      <c r="U509" s="10">
        <v>25385503600</v>
      </c>
      <c r="V509" s="10">
        <v>2500801202</v>
      </c>
      <c r="W509" s="10">
        <v>276253738</v>
      </c>
      <c r="X509" s="10">
        <v>1233273571728</v>
      </c>
      <c r="Y509" s="10">
        <v>107652971</v>
      </c>
      <c r="Z509" s="10">
        <v>50383908259</v>
      </c>
      <c r="AA509" s="10">
        <v>31408427000</v>
      </c>
      <c r="AB509" s="10">
        <v>1315065906987</v>
      </c>
      <c r="AC509" s="10">
        <v>806139854511</v>
      </c>
      <c r="AD509" s="46">
        <v>52.985063922450152</v>
      </c>
      <c r="AE509" s="10">
        <v>700659193493</v>
      </c>
      <c r="AF509" s="10">
        <v>700659193493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1">
        <v>0</v>
      </c>
      <c r="AM509" s="10">
        <v>0</v>
      </c>
      <c r="AN509" s="11">
        <v>128</v>
      </c>
      <c r="AO509" s="10">
        <v>1077048108035</v>
      </c>
      <c r="AP509" s="12">
        <v>183</v>
      </c>
      <c r="AQ509" s="10">
        <v>1265507644872</v>
      </c>
      <c r="AR509" s="10">
        <v>28162558540</v>
      </c>
      <c r="AS509" s="10">
        <v>21303931644</v>
      </c>
      <c r="AT509" s="10">
        <v>6858626896</v>
      </c>
      <c r="AU509" s="11">
        <v>32.19</v>
      </c>
      <c r="AV509" s="10">
        <v>316246598474</v>
      </c>
      <c r="AW509" s="10">
        <v>84229353210</v>
      </c>
      <c r="AX509" s="10">
        <v>151141986967</v>
      </c>
      <c r="AY509" s="10">
        <v>147560865672</v>
      </c>
      <c r="AZ509" s="10">
        <v>290284416112</v>
      </c>
      <c r="BA509" s="10">
        <v>697560000000</v>
      </c>
      <c r="BB509" s="10">
        <v>188419491792</v>
      </c>
      <c r="BC509" s="10">
        <v>1391281713396</v>
      </c>
      <c r="BD509" s="12">
        <v>23946</v>
      </c>
      <c r="BE509" s="10">
        <v>403437297284</v>
      </c>
      <c r="BF509" s="10">
        <v>290284416112</v>
      </c>
      <c r="BG509" s="10">
        <v>697560000000</v>
      </c>
      <c r="BH509" s="10">
        <v>604539193493</v>
      </c>
      <c r="BI509" s="10">
        <v>96120000000</v>
      </c>
      <c r="BJ509" s="10">
        <v>0</v>
      </c>
      <c r="BK509" s="10">
        <v>0</v>
      </c>
      <c r="BL509" s="10">
        <v>0</v>
      </c>
      <c r="BM509" s="10">
        <v>0</v>
      </c>
      <c r="BN509" s="10">
        <v>0</v>
      </c>
      <c r="BO509" s="10">
        <v>0</v>
      </c>
    </row>
    <row r="510" spans="1:67" x14ac:dyDescent="0.25">
      <c r="A510" s="25" t="s">
        <v>544</v>
      </c>
      <c r="B510" s="9">
        <v>3107</v>
      </c>
      <c r="C510" s="9" t="s">
        <v>552</v>
      </c>
      <c r="D510" s="10">
        <v>962303672385</v>
      </c>
      <c r="E510" s="10">
        <v>6497950848</v>
      </c>
      <c r="F510" s="10">
        <v>0</v>
      </c>
      <c r="G510" s="10">
        <v>0</v>
      </c>
      <c r="H510" s="10">
        <v>968801623233</v>
      </c>
      <c r="I510" s="10">
        <v>70465645833</v>
      </c>
      <c r="J510" s="10">
        <v>695796269</v>
      </c>
      <c r="K510" s="10">
        <v>897640181131</v>
      </c>
      <c r="L510" s="10">
        <v>632142781411</v>
      </c>
      <c r="M510" s="10">
        <v>336658841822</v>
      </c>
      <c r="N510" s="46">
        <v>53.256772318201108</v>
      </c>
      <c r="O510" s="10">
        <v>1294406660441</v>
      </c>
      <c r="P510" s="11">
        <v>152.36000000000001</v>
      </c>
      <c r="Q510" s="11">
        <v>144.19999999999999</v>
      </c>
      <c r="R510" s="11">
        <v>2.09</v>
      </c>
      <c r="S510" s="10">
        <v>1376261647457</v>
      </c>
      <c r="T510" s="10">
        <v>30570983418</v>
      </c>
      <c r="U510" s="10">
        <v>15795979087</v>
      </c>
      <c r="V510" s="10">
        <v>6750534260</v>
      </c>
      <c r="W510" s="10">
        <v>8024470071</v>
      </c>
      <c r="X510" s="10">
        <v>1406832630875</v>
      </c>
      <c r="Y510" s="10">
        <v>257969254</v>
      </c>
      <c r="Z510" s="10">
        <v>48481669176</v>
      </c>
      <c r="AA510" s="10">
        <v>20717640000</v>
      </c>
      <c r="AB510" s="10">
        <v>1476031940051</v>
      </c>
      <c r="AC510" s="10">
        <v>890670638761</v>
      </c>
      <c r="AD510" s="46">
        <v>57.952061025838461</v>
      </c>
      <c r="AE510" s="10">
        <v>2058653560334</v>
      </c>
      <c r="AF510" s="10">
        <v>2040653560334</v>
      </c>
      <c r="AG510" s="10">
        <v>1103636743132</v>
      </c>
      <c r="AH510" s="10">
        <v>0</v>
      </c>
      <c r="AI510" s="10">
        <v>0</v>
      </c>
      <c r="AJ510" s="10">
        <v>0</v>
      </c>
      <c r="AK510" s="10">
        <v>0</v>
      </c>
      <c r="AL510" s="11">
        <v>8</v>
      </c>
      <c r="AM510" s="10">
        <v>628716808966</v>
      </c>
      <c r="AN510" s="11">
        <v>32</v>
      </c>
      <c r="AO510" s="10">
        <v>103224142252</v>
      </c>
      <c r="AP510" s="12">
        <v>16</v>
      </c>
      <c r="AQ510" s="10">
        <v>30597544248</v>
      </c>
      <c r="AR510" s="10">
        <v>30570983418</v>
      </c>
      <c r="AS510" s="10">
        <v>16756683363</v>
      </c>
      <c r="AT510" s="10">
        <v>13814300055</v>
      </c>
      <c r="AU510" s="11">
        <v>82.44</v>
      </c>
      <c r="AV510" s="10">
        <v>1600569604102</v>
      </c>
      <c r="AW510" s="10">
        <v>406632421143</v>
      </c>
      <c r="AX510" s="10">
        <v>165564121921</v>
      </c>
      <c r="AY510" s="10">
        <v>99200968495</v>
      </c>
      <c r="AZ510" s="10">
        <v>388038059169</v>
      </c>
      <c r="BA510" s="10">
        <v>309500522800</v>
      </c>
      <c r="BB510" s="10">
        <v>349691098632</v>
      </c>
      <c r="BC510" s="10">
        <v>968801623233</v>
      </c>
      <c r="BD510" s="12">
        <v>71390</v>
      </c>
      <c r="BE510" s="10">
        <v>271263041264</v>
      </c>
      <c r="BF510" s="10">
        <v>388038059169</v>
      </c>
      <c r="BG510" s="10">
        <v>309500522800</v>
      </c>
      <c r="BH510" s="10">
        <v>434919174730</v>
      </c>
      <c r="BI510" s="10">
        <v>1623734385604</v>
      </c>
      <c r="BJ510" s="10">
        <v>47175276720</v>
      </c>
      <c r="BK510" s="10">
        <v>0</v>
      </c>
      <c r="BL510" s="10">
        <v>1199520518300</v>
      </c>
      <c r="BM510" s="10">
        <v>0</v>
      </c>
      <c r="BN510" s="10">
        <v>0</v>
      </c>
      <c r="BO510" s="10">
        <v>0</v>
      </c>
    </row>
    <row r="511" spans="1:67" x14ac:dyDescent="0.25">
      <c r="A511" s="25" t="s">
        <v>544</v>
      </c>
      <c r="B511" s="9">
        <v>3108</v>
      </c>
      <c r="C511" s="9" t="s">
        <v>553</v>
      </c>
      <c r="D511" s="10">
        <v>740957303711</v>
      </c>
      <c r="E511" s="10">
        <v>7607809929</v>
      </c>
      <c r="F511" s="10">
        <v>0</v>
      </c>
      <c r="G511" s="10">
        <v>0</v>
      </c>
      <c r="H511" s="10">
        <v>748565113640</v>
      </c>
      <c r="I511" s="10">
        <v>49343668773</v>
      </c>
      <c r="J511" s="10">
        <v>2670378041</v>
      </c>
      <c r="K511" s="10">
        <v>696551066826</v>
      </c>
      <c r="L511" s="10">
        <v>650096360125</v>
      </c>
      <c r="M511" s="10">
        <v>98468753515</v>
      </c>
      <c r="N511" s="46">
        <v>15.146793545508624</v>
      </c>
      <c r="O511" s="10">
        <v>1594171158979</v>
      </c>
      <c r="P511" s="11">
        <v>240.38</v>
      </c>
      <c r="Q511" s="11">
        <v>228.87</v>
      </c>
      <c r="R511" s="11">
        <v>8.18</v>
      </c>
      <c r="S511" s="10">
        <v>1553947617765</v>
      </c>
      <c r="T511" s="10">
        <v>144839182003</v>
      </c>
      <c r="U511" s="10">
        <v>18655492006</v>
      </c>
      <c r="V511" s="10">
        <v>8280719813</v>
      </c>
      <c r="W511" s="10">
        <v>117902970184</v>
      </c>
      <c r="X511" s="10">
        <v>1698786799768</v>
      </c>
      <c r="Y511" s="10">
        <v>2264157914</v>
      </c>
      <c r="Z511" s="10">
        <v>94640813829</v>
      </c>
      <c r="AA511" s="10">
        <v>6000000000</v>
      </c>
      <c r="AB511" s="10">
        <v>1799427613597</v>
      </c>
      <c r="AC511" s="10">
        <v>943175746121</v>
      </c>
      <c r="AD511" s="46">
        <v>80.113494940322894</v>
      </c>
      <c r="AE511" s="10">
        <v>1828836827323</v>
      </c>
      <c r="AF511" s="10">
        <v>1609378471165</v>
      </c>
      <c r="AG511" s="10">
        <v>725069983403</v>
      </c>
      <c r="AH511" s="10">
        <v>0</v>
      </c>
      <c r="AI511" s="10">
        <v>0</v>
      </c>
      <c r="AJ511" s="10">
        <v>0</v>
      </c>
      <c r="AK511" s="10">
        <v>0</v>
      </c>
      <c r="AL511" s="11">
        <v>12</v>
      </c>
      <c r="AM511" s="10">
        <v>532204718068</v>
      </c>
      <c r="AN511" s="11">
        <v>17</v>
      </c>
      <c r="AO511" s="10">
        <v>28313994648</v>
      </c>
      <c r="AP511" s="12">
        <v>2</v>
      </c>
      <c r="AQ511" s="10">
        <v>5000000000</v>
      </c>
      <c r="AR511" s="10">
        <v>144839182003</v>
      </c>
      <c r="AS511" s="10">
        <v>32531103264</v>
      </c>
      <c r="AT511" s="10">
        <v>112308078739</v>
      </c>
      <c r="AU511" s="13">
        <v>345.23</v>
      </c>
      <c r="AV511" s="10">
        <v>987698451543</v>
      </c>
      <c r="AW511" s="10">
        <v>300568346751</v>
      </c>
      <c r="AX511" s="10">
        <v>167127897705</v>
      </c>
      <c r="AY511" s="10">
        <v>203169826600</v>
      </c>
      <c r="AZ511" s="10">
        <v>236752579406</v>
      </c>
      <c r="BA511" s="10">
        <v>133907000000</v>
      </c>
      <c r="BB511" s="10">
        <v>163382100181</v>
      </c>
      <c r="BC511" s="10">
        <v>748565113640</v>
      </c>
      <c r="BD511" s="12">
        <v>46050</v>
      </c>
      <c r="BE511" s="10">
        <v>377905534234</v>
      </c>
      <c r="BF511" s="10">
        <v>236752579406</v>
      </c>
      <c r="BG511" s="10">
        <v>133907000000</v>
      </c>
      <c r="BH511" s="10">
        <v>362935194622</v>
      </c>
      <c r="BI511" s="10">
        <v>1465901632701</v>
      </c>
      <c r="BJ511" s="10">
        <v>142661419346</v>
      </c>
      <c r="BK511" s="10">
        <v>108798555026</v>
      </c>
      <c r="BL511" s="10">
        <v>473610009031</v>
      </c>
      <c r="BM511" s="10">
        <v>0</v>
      </c>
      <c r="BN511" s="10">
        <v>0</v>
      </c>
      <c r="BO511" s="10">
        <v>0</v>
      </c>
    </row>
    <row r="512" spans="1:67" x14ac:dyDescent="0.25">
      <c r="A512" s="25" t="s">
        <v>544</v>
      </c>
      <c r="B512" s="9">
        <v>3109</v>
      </c>
      <c r="C512" s="9" t="s">
        <v>554</v>
      </c>
      <c r="D512" s="10">
        <v>705592717947</v>
      </c>
      <c r="E512" s="10">
        <v>2592344520</v>
      </c>
      <c r="F512" s="10">
        <v>0</v>
      </c>
      <c r="G512" s="10">
        <v>0</v>
      </c>
      <c r="H512" s="10">
        <v>708185062467</v>
      </c>
      <c r="I512" s="10">
        <v>52601373684</v>
      </c>
      <c r="J512" s="10">
        <v>2199234599</v>
      </c>
      <c r="K512" s="10">
        <v>653384454184</v>
      </c>
      <c r="L512" s="10">
        <v>746561079978</v>
      </c>
      <c r="M512" s="10">
        <v>-38376017511</v>
      </c>
      <c r="N512" s="46">
        <v>-5.1403721062087619</v>
      </c>
      <c r="O512" s="10">
        <v>1251547125281</v>
      </c>
      <c r="P512" s="11">
        <v>192.59</v>
      </c>
      <c r="Q512" s="11">
        <v>191.55</v>
      </c>
      <c r="R512" s="11">
        <v>0.73</v>
      </c>
      <c r="S512" s="10">
        <v>1311238744523</v>
      </c>
      <c r="T512" s="10">
        <v>9705999816</v>
      </c>
      <c r="U512" s="10">
        <v>7496727935</v>
      </c>
      <c r="V512" s="10">
        <v>2058278563</v>
      </c>
      <c r="W512" s="10">
        <v>150993318</v>
      </c>
      <c r="X512" s="10">
        <v>1320944744339</v>
      </c>
      <c r="Y512" s="10">
        <v>304220453</v>
      </c>
      <c r="Z512" s="10">
        <v>31106583142</v>
      </c>
      <c r="AA512" s="10">
        <v>11852933001</v>
      </c>
      <c r="AB512" s="10">
        <v>1363904260482</v>
      </c>
      <c r="AC512" s="10">
        <v>861241104515</v>
      </c>
      <c r="AD512" s="46">
        <v>53.376881039935718</v>
      </c>
      <c r="AE512" s="10">
        <v>760175959941</v>
      </c>
      <c r="AF512" s="10">
        <v>725175959941</v>
      </c>
      <c r="AG512" s="10">
        <v>0</v>
      </c>
      <c r="AH512" s="10">
        <v>6037114591</v>
      </c>
      <c r="AI512" s="10">
        <v>0</v>
      </c>
      <c r="AJ512" s="10">
        <v>0</v>
      </c>
      <c r="AK512" s="10">
        <v>0</v>
      </c>
      <c r="AL512" s="11">
        <v>0</v>
      </c>
      <c r="AM512" s="10">
        <v>0</v>
      </c>
      <c r="AN512" s="11">
        <v>9</v>
      </c>
      <c r="AO512" s="10">
        <v>67306523102</v>
      </c>
      <c r="AP512" s="12">
        <v>1</v>
      </c>
      <c r="AQ512" s="10">
        <v>862400000</v>
      </c>
      <c r="AR512" s="10">
        <v>9705999816</v>
      </c>
      <c r="AS512" s="10">
        <v>4816571272</v>
      </c>
      <c r="AT512" s="10">
        <v>4889428544</v>
      </c>
      <c r="AU512" s="11">
        <v>101.51</v>
      </c>
      <c r="AV512" s="10">
        <v>420989712578</v>
      </c>
      <c r="AW512" s="10">
        <v>110912727816</v>
      </c>
      <c r="AX512" s="10">
        <v>40196035504</v>
      </c>
      <c r="AY512" s="10">
        <v>92541019824</v>
      </c>
      <c r="AZ512" s="10">
        <v>252119662619</v>
      </c>
      <c r="BA512" s="10">
        <v>320736000000</v>
      </c>
      <c r="BB512" s="10">
        <v>224666102598</v>
      </c>
      <c r="BC512" s="10">
        <v>708185062467</v>
      </c>
      <c r="BD512" s="12">
        <v>20392</v>
      </c>
      <c r="BE512" s="10">
        <v>135329399848</v>
      </c>
      <c r="BF512" s="10">
        <v>252119662619</v>
      </c>
      <c r="BG512" s="10">
        <v>320736000000</v>
      </c>
      <c r="BH512" s="10">
        <v>239278845350</v>
      </c>
      <c r="BI512" s="10">
        <v>520897114591</v>
      </c>
      <c r="BJ512" s="10">
        <v>0</v>
      </c>
      <c r="BK512" s="10">
        <v>0</v>
      </c>
      <c r="BL512" s="10">
        <v>0</v>
      </c>
      <c r="BM512" s="10">
        <v>0</v>
      </c>
      <c r="BN512" s="10">
        <v>0</v>
      </c>
      <c r="BO512" s="10">
        <v>6037114591</v>
      </c>
    </row>
    <row r="513" spans="1:67" x14ac:dyDescent="0.25">
      <c r="A513" s="25" t="s">
        <v>544</v>
      </c>
      <c r="B513" s="9">
        <v>3110</v>
      </c>
      <c r="C513" s="9" t="s">
        <v>555</v>
      </c>
      <c r="D513" s="10">
        <v>700953638373</v>
      </c>
      <c r="E513" s="10">
        <v>4891468847</v>
      </c>
      <c r="F513" s="10">
        <v>0</v>
      </c>
      <c r="G513" s="10">
        <v>0</v>
      </c>
      <c r="H513" s="10">
        <v>705845107220</v>
      </c>
      <c r="I513" s="10">
        <v>42596490658</v>
      </c>
      <c r="J513" s="10">
        <v>28360790222</v>
      </c>
      <c r="K513" s="10">
        <v>634887826340</v>
      </c>
      <c r="L513" s="10">
        <v>493336274963</v>
      </c>
      <c r="M513" s="10">
        <v>212508832257</v>
      </c>
      <c r="N513" s="46">
        <v>43.075857795565121</v>
      </c>
      <c r="O513" s="10">
        <v>884570245922</v>
      </c>
      <c r="P513" s="11">
        <v>142.5</v>
      </c>
      <c r="Q513" s="11">
        <v>139.33000000000001</v>
      </c>
      <c r="R513" s="11">
        <v>4.2699999999999996</v>
      </c>
      <c r="S513" s="10">
        <v>891090155524</v>
      </c>
      <c r="T513" s="10">
        <v>41965607844</v>
      </c>
      <c r="U513" s="10">
        <v>20770999731</v>
      </c>
      <c r="V513" s="10">
        <v>13800253103</v>
      </c>
      <c r="W513" s="10">
        <v>7394355010</v>
      </c>
      <c r="X513" s="10">
        <v>933055763368</v>
      </c>
      <c r="Y513" s="10">
        <v>1022023169</v>
      </c>
      <c r="Z513" s="10">
        <v>66086464002</v>
      </c>
      <c r="AA513" s="10">
        <v>6699784756</v>
      </c>
      <c r="AB513" s="10">
        <v>1005842012126</v>
      </c>
      <c r="AC513" s="10">
        <v>697396490989</v>
      </c>
      <c r="AD513" s="46">
        <v>33.791290237896689</v>
      </c>
      <c r="AE513" s="10">
        <v>487439708246</v>
      </c>
      <c r="AF513" s="10">
        <v>487439708246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1">
        <v>0</v>
      </c>
      <c r="AM513" s="10">
        <v>0</v>
      </c>
      <c r="AN513" s="11">
        <v>4</v>
      </c>
      <c r="AO513" s="10">
        <v>10601000000</v>
      </c>
      <c r="AP513" s="12">
        <v>8</v>
      </c>
      <c r="AQ513" s="10">
        <v>43737500000</v>
      </c>
      <c r="AR513" s="10">
        <v>41965607844</v>
      </c>
      <c r="AS513" s="10">
        <v>38339688758</v>
      </c>
      <c r="AT513" s="10">
        <v>3625919086</v>
      </c>
      <c r="AU513" s="11">
        <v>9.4600000000000009</v>
      </c>
      <c r="AV513" s="10">
        <v>266323900999</v>
      </c>
      <c r="AW513" s="10">
        <v>88428352562</v>
      </c>
      <c r="AX513" s="10">
        <v>297383033473</v>
      </c>
      <c r="AY513" s="10">
        <v>182683972390</v>
      </c>
      <c r="AZ513" s="10">
        <v>180954632510</v>
      </c>
      <c r="BA513" s="10">
        <v>39932000000</v>
      </c>
      <c r="BB513" s="10">
        <v>153824125400</v>
      </c>
      <c r="BC513" s="10">
        <v>705845107220</v>
      </c>
      <c r="BD513" s="12">
        <v>193049</v>
      </c>
      <c r="BE513" s="10">
        <v>484958474710</v>
      </c>
      <c r="BF513" s="10">
        <v>180954632510</v>
      </c>
      <c r="BG513" s="10">
        <v>39932000000</v>
      </c>
      <c r="BH513" s="10">
        <v>484789708246</v>
      </c>
      <c r="BI513" s="10">
        <v>2650000000</v>
      </c>
      <c r="BJ513" s="10">
        <v>0</v>
      </c>
      <c r="BK513" s="10">
        <v>0</v>
      </c>
      <c r="BL513" s="10">
        <v>0</v>
      </c>
      <c r="BM513" s="10">
        <v>0</v>
      </c>
      <c r="BN513" s="10">
        <v>0</v>
      </c>
      <c r="BO513" s="10">
        <v>0</v>
      </c>
    </row>
    <row r="514" spans="1:67" x14ac:dyDescent="0.25">
      <c r="A514" s="25" t="s">
        <v>544</v>
      </c>
      <c r="B514" s="9">
        <v>3111</v>
      </c>
      <c r="C514" s="9" t="s">
        <v>556</v>
      </c>
      <c r="D514" s="10">
        <v>2044387267703</v>
      </c>
      <c r="E514" s="10">
        <v>24265881582</v>
      </c>
      <c r="F514" s="10">
        <v>0</v>
      </c>
      <c r="G514" s="10">
        <v>0</v>
      </c>
      <c r="H514" s="10">
        <v>2068653149285</v>
      </c>
      <c r="I514" s="10">
        <v>158649873059</v>
      </c>
      <c r="J514" s="10">
        <v>2729814800</v>
      </c>
      <c r="K514" s="10">
        <v>1907273461426</v>
      </c>
      <c r="L514" s="10">
        <v>1315755027427</v>
      </c>
      <c r="M514" s="10">
        <v>752898121858</v>
      </c>
      <c r="N514" s="46">
        <v>57.22175527843627</v>
      </c>
      <c r="O514" s="10">
        <v>1571982523500</v>
      </c>
      <c r="P514" s="11">
        <v>87.21</v>
      </c>
      <c r="Q514" s="11">
        <v>82.42</v>
      </c>
      <c r="R514" s="11">
        <v>0.87</v>
      </c>
      <c r="S514" s="10">
        <v>1701249955821</v>
      </c>
      <c r="T514" s="10">
        <v>14946941884</v>
      </c>
      <c r="U514" s="10">
        <v>11806278858</v>
      </c>
      <c r="V514" s="10">
        <v>444403536</v>
      </c>
      <c r="W514" s="10">
        <v>2696259490</v>
      </c>
      <c r="X514" s="10">
        <v>1716196897705</v>
      </c>
      <c r="Y514" s="10">
        <v>789978563</v>
      </c>
      <c r="Z514" s="10">
        <v>73103782692</v>
      </c>
      <c r="AA514" s="10">
        <v>14774853311</v>
      </c>
      <c r="AB514" s="10">
        <v>1804075533708</v>
      </c>
      <c r="AC514" s="10">
        <v>1231405324296</v>
      </c>
      <c r="AD514" s="46">
        <v>39.368968433375706</v>
      </c>
      <c r="AE514" s="10">
        <v>1280285048928</v>
      </c>
      <c r="AF514" s="10">
        <v>1280285048928</v>
      </c>
      <c r="AG514" s="10">
        <v>0</v>
      </c>
      <c r="AH514" s="10">
        <v>12191719624</v>
      </c>
      <c r="AI514" s="10">
        <v>37100000000</v>
      </c>
      <c r="AJ514" s="10">
        <v>0</v>
      </c>
      <c r="AK514" s="10">
        <v>0</v>
      </c>
      <c r="AL514" s="11">
        <v>0</v>
      </c>
      <c r="AM514" s="10">
        <v>0</v>
      </c>
      <c r="AN514" s="11">
        <v>36</v>
      </c>
      <c r="AO514" s="10">
        <v>304387927871</v>
      </c>
      <c r="AP514" s="12">
        <v>6</v>
      </c>
      <c r="AQ514" s="10">
        <v>94853924000</v>
      </c>
      <c r="AR514" s="10">
        <v>14946941884</v>
      </c>
      <c r="AS514" s="10">
        <v>11821844085</v>
      </c>
      <c r="AT514" s="10">
        <v>3125097799</v>
      </c>
      <c r="AU514" s="11">
        <v>26.43</v>
      </c>
      <c r="AV514" s="10">
        <v>773361946817</v>
      </c>
      <c r="AW514" s="10">
        <v>154145479799</v>
      </c>
      <c r="AX514" s="10">
        <v>345631167784</v>
      </c>
      <c r="AY514" s="10">
        <v>118282757315</v>
      </c>
      <c r="AZ514" s="10">
        <v>423435542604</v>
      </c>
      <c r="BA514" s="10">
        <v>1157037800000</v>
      </c>
      <c r="BB514" s="10">
        <v>330426472625</v>
      </c>
      <c r="BC514" s="10">
        <v>2068653149285</v>
      </c>
      <c r="BD514" s="12">
        <v>42943</v>
      </c>
      <c r="BE514" s="10">
        <v>488179806681</v>
      </c>
      <c r="BF514" s="10">
        <v>423435542604</v>
      </c>
      <c r="BG514" s="10">
        <v>1157037800000</v>
      </c>
      <c r="BH514" s="10">
        <v>1097920239602</v>
      </c>
      <c r="BI514" s="10">
        <v>182364809326</v>
      </c>
      <c r="BJ514" s="10">
        <v>0</v>
      </c>
      <c r="BK514" s="10">
        <v>0</v>
      </c>
      <c r="BL514" s="10">
        <v>0</v>
      </c>
      <c r="BM514" s="10">
        <v>0</v>
      </c>
      <c r="BN514" s="10">
        <v>0</v>
      </c>
      <c r="BO514" s="10">
        <v>12191719624</v>
      </c>
    </row>
    <row r="515" spans="1:67" x14ac:dyDescent="0.25">
      <c r="A515" s="25" t="s">
        <v>544</v>
      </c>
      <c r="B515" s="26">
        <v>3112</v>
      </c>
      <c r="C515" s="26" t="s">
        <v>557</v>
      </c>
      <c r="D515" s="27">
        <v>2474343972399</v>
      </c>
      <c r="E515" s="27">
        <v>174042651566</v>
      </c>
      <c r="F515" s="27">
        <v>0</v>
      </c>
      <c r="G515" s="27">
        <v>0</v>
      </c>
      <c r="H515" s="27">
        <v>2648386623965</v>
      </c>
      <c r="I515" s="27">
        <v>166655126443</v>
      </c>
      <c r="J515" s="27">
        <v>5018994165</v>
      </c>
      <c r="K515" s="27">
        <v>2476712503357</v>
      </c>
      <c r="L515" s="27">
        <v>1822902562623</v>
      </c>
      <c r="M515" s="10">
        <v>825484061342</v>
      </c>
      <c r="N515" s="46">
        <v>45.284047445421301</v>
      </c>
      <c r="O515" s="27">
        <v>2505295979940</v>
      </c>
      <c r="P515" s="28">
        <v>109.04</v>
      </c>
      <c r="Q515" s="28">
        <v>101.15</v>
      </c>
      <c r="R515" s="28">
        <v>1.04</v>
      </c>
      <c r="S515" s="27">
        <v>2725329372483</v>
      </c>
      <c r="T515" s="27">
        <v>20911091877</v>
      </c>
      <c r="U515" s="27">
        <v>18632303684</v>
      </c>
      <c r="V515" s="27">
        <v>1605440881</v>
      </c>
      <c r="W515" s="27">
        <v>673347312</v>
      </c>
      <c r="X515" s="27">
        <v>2746240464360</v>
      </c>
      <c r="Y515" s="10">
        <v>8978523829</v>
      </c>
      <c r="Z515" s="27">
        <v>123655180327</v>
      </c>
      <c r="AA515" s="27">
        <v>17821515994</v>
      </c>
      <c r="AB515" s="27">
        <v>2887717160681</v>
      </c>
      <c r="AC515" s="27">
        <v>2004026050704</v>
      </c>
      <c r="AD515" s="46">
        <v>37.03616594181824</v>
      </c>
      <c r="AE515" s="27">
        <v>2372608706292</v>
      </c>
      <c r="AF515" s="27">
        <v>2372608706292</v>
      </c>
      <c r="AG515" s="27">
        <v>307972916303</v>
      </c>
      <c r="AH515" s="27">
        <v>21080250</v>
      </c>
      <c r="AI515" s="27">
        <v>260280000000</v>
      </c>
      <c r="AJ515" s="27">
        <v>0</v>
      </c>
      <c r="AK515" s="27">
        <v>0</v>
      </c>
      <c r="AL515" s="28">
        <v>9</v>
      </c>
      <c r="AM515" s="27">
        <v>405377417133</v>
      </c>
      <c r="AN515" s="28">
        <v>239</v>
      </c>
      <c r="AO515" s="27">
        <v>2070303131736</v>
      </c>
      <c r="AP515" s="12">
        <v>149</v>
      </c>
      <c r="AQ515" s="10">
        <v>839652884770</v>
      </c>
      <c r="AR515" s="27">
        <v>20911091877</v>
      </c>
      <c r="AS515" s="27">
        <v>14382997382</v>
      </c>
      <c r="AT515" s="27">
        <v>6528094495</v>
      </c>
      <c r="AU515" s="28">
        <v>45.39</v>
      </c>
      <c r="AV515" s="27">
        <v>1595689913200</v>
      </c>
      <c r="AW515" s="27">
        <v>240129536935</v>
      </c>
      <c r="AX515" s="27">
        <v>622403740782</v>
      </c>
      <c r="AY515" s="27">
        <v>264550811062</v>
      </c>
      <c r="AZ515" s="27">
        <v>733886920555</v>
      </c>
      <c r="BA515" s="27">
        <v>853502500000</v>
      </c>
      <c r="BB515" s="27">
        <v>660937914114</v>
      </c>
      <c r="BC515" s="27">
        <v>2648386623965</v>
      </c>
      <c r="BD515" s="29">
        <v>32814</v>
      </c>
      <c r="BE515" s="27">
        <v>1044229928928</v>
      </c>
      <c r="BF515" s="27">
        <v>733886920555</v>
      </c>
      <c r="BG515" s="27">
        <v>870269774482</v>
      </c>
      <c r="BH515" s="27">
        <v>1764983341893</v>
      </c>
      <c r="BI515" s="27">
        <v>607625364399</v>
      </c>
      <c r="BJ515" s="27">
        <v>0</v>
      </c>
      <c r="BK515" s="27">
        <v>0</v>
      </c>
      <c r="BL515" s="27">
        <v>308765879147</v>
      </c>
      <c r="BM515" s="27">
        <v>0</v>
      </c>
      <c r="BN515" s="27">
        <v>0</v>
      </c>
      <c r="BO515" s="27">
        <v>21080250</v>
      </c>
    </row>
    <row r="516" spans="1:67" x14ac:dyDescent="0.25">
      <c r="A516" s="25" t="s">
        <v>544</v>
      </c>
      <c r="B516" s="9">
        <v>3113</v>
      </c>
      <c r="C516" s="9" t="s">
        <v>558</v>
      </c>
      <c r="D516" s="10">
        <v>870090894149</v>
      </c>
      <c r="E516" s="10">
        <v>755560206</v>
      </c>
      <c r="F516" s="10">
        <v>0</v>
      </c>
      <c r="G516" s="10">
        <v>0</v>
      </c>
      <c r="H516" s="10">
        <v>870846454355</v>
      </c>
      <c r="I516" s="10">
        <v>56811625169</v>
      </c>
      <c r="J516" s="10">
        <v>2956951800</v>
      </c>
      <c r="K516" s="10">
        <v>811077877386</v>
      </c>
      <c r="L516" s="10">
        <v>529792810181</v>
      </c>
      <c r="M516" s="10">
        <v>341053644174</v>
      </c>
      <c r="N516" s="46">
        <v>64.374909893073379</v>
      </c>
      <c r="O516" s="10">
        <v>552783793159</v>
      </c>
      <c r="P516" s="11">
        <v>79.98</v>
      </c>
      <c r="Q516" s="11">
        <v>68.150000000000006</v>
      </c>
      <c r="R516" s="11">
        <v>0.57999999999999996</v>
      </c>
      <c r="S516" s="10">
        <v>644178789458</v>
      </c>
      <c r="T516" s="10">
        <v>4049454799</v>
      </c>
      <c r="U516" s="10">
        <v>4049454799</v>
      </c>
      <c r="V516" s="10">
        <v>0</v>
      </c>
      <c r="W516" s="10">
        <v>0</v>
      </c>
      <c r="X516" s="10">
        <v>648228244257</v>
      </c>
      <c r="Y516" s="10">
        <v>0</v>
      </c>
      <c r="Z516" s="10">
        <v>27615328010</v>
      </c>
      <c r="AA516" s="10">
        <v>20650000000</v>
      </c>
      <c r="AB516" s="10">
        <v>696493572267</v>
      </c>
      <c r="AC516" s="10">
        <v>123933091985</v>
      </c>
      <c r="AD516" s="46">
        <v>423.04693917864739</v>
      </c>
      <c r="AE516" s="10">
        <v>523164214550</v>
      </c>
      <c r="AF516" s="10">
        <v>523164214550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1">
        <v>0</v>
      </c>
      <c r="AM516" s="10">
        <v>0</v>
      </c>
      <c r="AN516" s="11">
        <v>0</v>
      </c>
      <c r="AO516" s="10">
        <v>0</v>
      </c>
      <c r="AP516" s="12">
        <v>0</v>
      </c>
      <c r="AQ516" s="10">
        <v>0</v>
      </c>
      <c r="AR516" s="10">
        <v>4049454799</v>
      </c>
      <c r="AS516" s="10">
        <v>0</v>
      </c>
      <c r="AT516" s="10">
        <v>4049454799</v>
      </c>
      <c r="AU516" s="11" t="s">
        <v>593</v>
      </c>
      <c r="AV516" s="10">
        <v>89283253039</v>
      </c>
      <c r="AW516" s="10">
        <v>5653611188</v>
      </c>
      <c r="AX516" s="10">
        <v>18423007221</v>
      </c>
      <c r="AY516" s="10">
        <v>166092026361</v>
      </c>
      <c r="AZ516" s="10">
        <v>261032775567</v>
      </c>
      <c r="BA516" s="10">
        <v>424543085000</v>
      </c>
      <c r="BB516" s="10">
        <v>250054389954</v>
      </c>
      <c r="BC516" s="10">
        <v>870846454355</v>
      </c>
      <c r="BD516" s="12">
        <v>1000</v>
      </c>
      <c r="BE516" s="10">
        <v>185270593788</v>
      </c>
      <c r="BF516" s="10">
        <v>261032775567</v>
      </c>
      <c r="BG516" s="10">
        <v>424543085000</v>
      </c>
      <c r="BH516" s="10">
        <v>355138570000</v>
      </c>
      <c r="BI516" s="10">
        <v>168025644550</v>
      </c>
      <c r="BJ516" s="10">
        <v>0</v>
      </c>
      <c r="BK516" s="10">
        <v>0</v>
      </c>
      <c r="BL516" s="10">
        <v>0</v>
      </c>
      <c r="BM516" s="10">
        <v>0</v>
      </c>
      <c r="BN516" s="10">
        <v>0</v>
      </c>
      <c r="BO516" s="10">
        <v>0</v>
      </c>
    </row>
    <row r="517" spans="1:67" x14ac:dyDescent="0.25">
      <c r="A517" s="25" t="s">
        <v>544</v>
      </c>
      <c r="B517" s="9">
        <v>3199</v>
      </c>
      <c r="C517" s="9" t="s">
        <v>559</v>
      </c>
      <c r="D517" s="10">
        <v>0</v>
      </c>
      <c r="E517" s="10">
        <v>41921882146</v>
      </c>
      <c r="F517" s="10">
        <v>0</v>
      </c>
      <c r="G517" s="10">
        <v>0</v>
      </c>
      <c r="H517" s="10">
        <v>41921882146</v>
      </c>
      <c r="I517" s="10">
        <v>2540965999</v>
      </c>
      <c r="J517" s="10">
        <v>0</v>
      </c>
      <c r="K517" s="10">
        <v>39380916147</v>
      </c>
      <c r="L517" s="10">
        <v>3116764502</v>
      </c>
      <c r="M517" s="10">
        <v>38805117644</v>
      </c>
      <c r="N517" s="46">
        <v>1245.0449053529421</v>
      </c>
      <c r="O517" s="10">
        <v>0</v>
      </c>
      <c r="P517" s="11">
        <v>0</v>
      </c>
      <c r="Q517" s="11">
        <v>0</v>
      </c>
      <c r="R517" s="11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46" t="s">
        <v>595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1">
        <v>0</v>
      </c>
      <c r="AM517" s="10">
        <v>0</v>
      </c>
      <c r="AN517" s="11">
        <v>0</v>
      </c>
      <c r="AO517" s="10">
        <v>0</v>
      </c>
      <c r="AP517" s="12">
        <v>0</v>
      </c>
      <c r="AQ517" s="10">
        <v>0</v>
      </c>
      <c r="AR517" s="10">
        <v>0</v>
      </c>
      <c r="AS517" s="10">
        <v>0</v>
      </c>
      <c r="AT517" s="10">
        <v>0</v>
      </c>
      <c r="AU517" s="11" t="s">
        <v>593</v>
      </c>
      <c r="AV517" s="10">
        <v>0</v>
      </c>
      <c r="AW517" s="10">
        <v>0</v>
      </c>
      <c r="AX517" s="10">
        <v>0</v>
      </c>
      <c r="AY517" s="10">
        <v>0</v>
      </c>
      <c r="AZ517" s="10">
        <v>0</v>
      </c>
      <c r="BA517" s="10">
        <v>0</v>
      </c>
      <c r="BB517" s="10">
        <v>0</v>
      </c>
      <c r="BC517" s="10">
        <v>41921882146</v>
      </c>
      <c r="BD517" s="12">
        <v>0</v>
      </c>
      <c r="BE517" s="10">
        <v>41921882146</v>
      </c>
      <c r="BF517" s="10">
        <v>0</v>
      </c>
      <c r="BG517" s="10">
        <v>0</v>
      </c>
      <c r="BH517" s="10">
        <v>0</v>
      </c>
      <c r="BI517" s="10">
        <v>0</v>
      </c>
      <c r="BJ517" s="10">
        <v>0</v>
      </c>
      <c r="BK517" s="10">
        <v>0</v>
      </c>
      <c r="BL517" s="10">
        <v>0</v>
      </c>
      <c r="BM517" s="10">
        <v>0</v>
      </c>
      <c r="BN517" s="10">
        <v>0</v>
      </c>
      <c r="BO517" s="10">
        <v>0</v>
      </c>
    </row>
    <row r="518" spans="1:67" x14ac:dyDescent="0.25">
      <c r="A518" s="19" t="s">
        <v>596</v>
      </c>
      <c r="B518" s="20" t="s">
        <v>593</v>
      </c>
      <c r="C518" s="20" t="s">
        <v>593</v>
      </c>
      <c r="D518" s="21">
        <v>20523094263099</v>
      </c>
      <c r="E518" s="21">
        <v>1021054909206</v>
      </c>
      <c r="F518" s="21">
        <v>0</v>
      </c>
      <c r="G518" s="21">
        <v>919926579</v>
      </c>
      <c r="H518" s="21">
        <v>21545069098884</v>
      </c>
      <c r="I518" s="21">
        <v>1552197593614</v>
      </c>
      <c r="J518" s="21">
        <v>103629527752</v>
      </c>
      <c r="K518" s="21">
        <v>19889241977518</v>
      </c>
      <c r="L518" s="21">
        <v>14749728072890</v>
      </c>
      <c r="M518" s="21">
        <v>6795341025994</v>
      </c>
      <c r="N518" s="47">
        <v>46.070958002838282</v>
      </c>
      <c r="O518" s="21">
        <v>26155242050100</v>
      </c>
      <c r="P518" s="22">
        <v>148.13</v>
      </c>
      <c r="Q518" s="22">
        <v>131.5</v>
      </c>
      <c r="R518" s="22">
        <v>1.97</v>
      </c>
      <c r="S518" s="21">
        <v>29897364764461</v>
      </c>
      <c r="T518" s="21">
        <v>591759979444</v>
      </c>
      <c r="U518" s="21">
        <v>241362541526</v>
      </c>
      <c r="V518" s="21">
        <v>148675331125</v>
      </c>
      <c r="W518" s="21">
        <v>201722106793</v>
      </c>
      <c r="X518" s="21">
        <v>30489124743905</v>
      </c>
      <c r="Y518" s="21">
        <v>36864502641</v>
      </c>
      <c r="Z518" s="21">
        <v>1130582089047</v>
      </c>
      <c r="AA518" s="21">
        <v>295685953029</v>
      </c>
      <c r="AB518" s="21">
        <v>31915392785981</v>
      </c>
      <c r="AC518" s="21">
        <v>20082988137149</v>
      </c>
      <c r="AD518" s="47">
        <v>51.815678701253596</v>
      </c>
      <c r="AE518" s="21">
        <v>23427432725189</v>
      </c>
      <c r="AF518" s="21">
        <v>22574168399850</v>
      </c>
      <c r="AG518" s="21">
        <v>3138263652035</v>
      </c>
      <c r="AH518" s="21">
        <v>27256521944</v>
      </c>
      <c r="AI518" s="21">
        <v>555270292890</v>
      </c>
      <c r="AJ518" s="21">
        <v>37485500000</v>
      </c>
      <c r="AK518" s="21">
        <v>0</v>
      </c>
      <c r="AL518" s="22">
        <v>35</v>
      </c>
      <c r="AM518" s="21">
        <v>2379572947082</v>
      </c>
      <c r="AN518" s="23">
        <v>1060</v>
      </c>
      <c r="AO518" s="21">
        <v>9314529239472</v>
      </c>
      <c r="AP518" s="23">
        <v>1069</v>
      </c>
      <c r="AQ518" s="21">
        <v>6773155106311</v>
      </c>
      <c r="AR518" s="21">
        <v>591759979444</v>
      </c>
      <c r="AS518" s="21">
        <v>433959220527</v>
      </c>
      <c r="AT518" s="21">
        <v>157800758917</v>
      </c>
      <c r="AU518" s="24">
        <v>36.36</v>
      </c>
      <c r="AV518" s="21">
        <v>14196663334478</v>
      </c>
      <c r="AW518" s="21">
        <v>2618698920820</v>
      </c>
      <c r="AX518" s="21">
        <v>3539091147019</v>
      </c>
      <c r="AY518" s="21">
        <v>2570988530559</v>
      </c>
      <c r="AZ518" s="21">
        <v>5610311630597</v>
      </c>
      <c r="BA518" s="21">
        <v>8802702954924</v>
      </c>
      <c r="BB518" s="21">
        <v>4394821982627</v>
      </c>
      <c r="BC518" s="21">
        <v>21545069098884</v>
      </c>
      <c r="BD518" s="23">
        <v>863647</v>
      </c>
      <c r="BE518" s="21">
        <v>7050882582895</v>
      </c>
      <c r="BF518" s="21">
        <v>5610311630597</v>
      </c>
      <c r="BG518" s="21">
        <v>8883874885392</v>
      </c>
      <c r="BH518" s="21">
        <v>14807302432424</v>
      </c>
      <c r="BI518" s="21">
        <v>8620130292765</v>
      </c>
      <c r="BJ518" s="21">
        <v>189836696066</v>
      </c>
      <c r="BK518" s="21">
        <v>118978863393</v>
      </c>
      <c r="BL518" s="21">
        <v>2945530810119</v>
      </c>
      <c r="BM518" s="21">
        <v>0</v>
      </c>
      <c r="BN518" s="21">
        <v>0</v>
      </c>
      <c r="BO518" s="21">
        <v>27256521944</v>
      </c>
    </row>
    <row r="519" spans="1:67" x14ac:dyDescent="0.25">
      <c r="A519" s="25" t="s">
        <v>560</v>
      </c>
      <c r="B519" s="9">
        <v>3200</v>
      </c>
      <c r="C519" s="9" t="s">
        <v>561</v>
      </c>
      <c r="D519" s="10">
        <v>2851925361711</v>
      </c>
      <c r="E519" s="10">
        <v>268303828531</v>
      </c>
      <c r="F519" s="10">
        <v>157500300000</v>
      </c>
      <c r="G519" s="10">
        <v>3224781813</v>
      </c>
      <c r="H519" s="10">
        <v>3280954272055</v>
      </c>
      <c r="I519" s="10">
        <v>252213057400</v>
      </c>
      <c r="J519" s="10">
        <v>43337351232</v>
      </c>
      <c r="K519" s="10">
        <v>2985403863423</v>
      </c>
      <c r="L519" s="10">
        <v>2236915122074</v>
      </c>
      <c r="M519" s="10">
        <v>1044039149981</v>
      </c>
      <c r="N519" s="46">
        <v>46.673167867585356</v>
      </c>
      <c r="O519" s="10">
        <v>5682318738835</v>
      </c>
      <c r="P519" s="11">
        <v>239.25</v>
      </c>
      <c r="Q519" s="11">
        <v>190.34</v>
      </c>
      <c r="R519" s="11">
        <v>0.98</v>
      </c>
      <c r="S519" s="10">
        <v>7455100996535</v>
      </c>
      <c r="T519" s="10">
        <v>59121849258</v>
      </c>
      <c r="U519" s="10">
        <v>22826980471</v>
      </c>
      <c r="V519" s="10">
        <v>13326374365</v>
      </c>
      <c r="W519" s="10">
        <v>22968494422</v>
      </c>
      <c r="X519" s="10">
        <v>7514222845793</v>
      </c>
      <c r="Y519" s="10">
        <v>17562906935</v>
      </c>
      <c r="Z519" s="10">
        <v>290220249041</v>
      </c>
      <c r="AA519" s="10">
        <v>45222394348</v>
      </c>
      <c r="AB519" s="10">
        <v>7849665489182</v>
      </c>
      <c r="AC519" s="10">
        <v>5393570801795</v>
      </c>
      <c r="AD519" s="46">
        <v>39.31814602845742</v>
      </c>
      <c r="AE519" s="10">
        <v>7998756611744</v>
      </c>
      <c r="AF519" s="10">
        <v>7782628081614</v>
      </c>
      <c r="AG519" s="10">
        <v>3745813779481</v>
      </c>
      <c r="AH519" s="10">
        <v>48365515</v>
      </c>
      <c r="AI519" s="10">
        <v>0</v>
      </c>
      <c r="AJ519" s="10">
        <v>80000000000</v>
      </c>
      <c r="AK519" s="10">
        <v>0</v>
      </c>
      <c r="AL519" s="11">
        <v>23</v>
      </c>
      <c r="AM519" s="10">
        <v>5010397910574</v>
      </c>
      <c r="AN519" s="11">
        <v>68</v>
      </c>
      <c r="AO519" s="10">
        <v>639471781002</v>
      </c>
      <c r="AP519" s="12">
        <v>66</v>
      </c>
      <c r="AQ519" s="10">
        <v>550627759833</v>
      </c>
      <c r="AR519" s="10">
        <v>59121849258</v>
      </c>
      <c r="AS519" s="10">
        <v>39838395737</v>
      </c>
      <c r="AT519" s="10">
        <v>19283453521</v>
      </c>
      <c r="AU519" s="11">
        <v>48.4</v>
      </c>
      <c r="AV519" s="10">
        <v>6003559287839</v>
      </c>
      <c r="AW519" s="10">
        <v>622878694335</v>
      </c>
      <c r="AX519" s="10">
        <v>814180067093</v>
      </c>
      <c r="AY519" s="10">
        <v>244306823693</v>
      </c>
      <c r="AZ519" s="10">
        <v>396194350188</v>
      </c>
      <c r="BA519" s="10">
        <v>1397244120737</v>
      </c>
      <c r="BB519" s="10">
        <v>143650721773</v>
      </c>
      <c r="BC519" s="10">
        <v>3280954272055</v>
      </c>
      <c r="BD519" s="12">
        <v>49042</v>
      </c>
      <c r="BE519" s="10">
        <v>1163869072443</v>
      </c>
      <c r="BF519" s="10">
        <v>553694650188</v>
      </c>
      <c r="BG519" s="10">
        <v>1563390549424</v>
      </c>
      <c r="BH519" s="10">
        <v>6220528239155</v>
      </c>
      <c r="BI519" s="10">
        <v>1778228372589</v>
      </c>
      <c r="BJ519" s="10">
        <v>126523530877</v>
      </c>
      <c r="BK519" s="10">
        <v>9999840000</v>
      </c>
      <c r="BL519" s="10">
        <v>3527889118387</v>
      </c>
      <c r="BM519" s="10">
        <v>0</v>
      </c>
      <c r="BN519" s="10">
        <v>0</v>
      </c>
      <c r="BO519" s="10">
        <v>48365515</v>
      </c>
    </row>
    <row r="520" spans="1:67" x14ac:dyDescent="0.25">
      <c r="A520" s="25" t="s">
        <v>560</v>
      </c>
      <c r="B520" s="9">
        <v>3201</v>
      </c>
      <c r="C520" s="9" t="s">
        <v>562</v>
      </c>
      <c r="D520" s="10">
        <v>1310271720958</v>
      </c>
      <c r="E520" s="10">
        <v>3823425471</v>
      </c>
      <c r="F520" s="10">
        <v>0</v>
      </c>
      <c r="G520" s="10">
        <v>0</v>
      </c>
      <c r="H520" s="10">
        <v>1314095146429</v>
      </c>
      <c r="I520" s="10">
        <v>90860305945</v>
      </c>
      <c r="J520" s="10">
        <v>568941600</v>
      </c>
      <c r="K520" s="10">
        <v>1222665898884</v>
      </c>
      <c r="L520" s="10">
        <v>817482950232</v>
      </c>
      <c r="M520" s="10">
        <v>496612196197</v>
      </c>
      <c r="N520" s="46">
        <v>60.748936238494331</v>
      </c>
      <c r="O520" s="10">
        <v>938799624068</v>
      </c>
      <c r="P520" s="11">
        <v>79.180000000000007</v>
      </c>
      <c r="Q520" s="11">
        <v>76.78</v>
      </c>
      <c r="R520" s="11">
        <v>3.63</v>
      </c>
      <c r="S520" s="10">
        <v>946638692272</v>
      </c>
      <c r="T520" s="10">
        <v>36940054721</v>
      </c>
      <c r="U520" s="10">
        <v>19956766882</v>
      </c>
      <c r="V520" s="10">
        <v>16263264582</v>
      </c>
      <c r="W520" s="10">
        <v>720023257</v>
      </c>
      <c r="X520" s="10">
        <v>983578746993</v>
      </c>
      <c r="Y520" s="10">
        <v>830560110</v>
      </c>
      <c r="Z520" s="10">
        <v>36997673558</v>
      </c>
      <c r="AA520" s="10">
        <v>19899565000</v>
      </c>
      <c r="AB520" s="10">
        <v>1040475985551</v>
      </c>
      <c r="AC520" s="10">
        <v>868276144349</v>
      </c>
      <c r="AD520" s="46">
        <v>13.279485264500668</v>
      </c>
      <c r="AE520" s="10">
        <v>665094007560</v>
      </c>
      <c r="AF520" s="10">
        <v>665094007560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1">
        <v>0</v>
      </c>
      <c r="AM520" s="10">
        <v>0</v>
      </c>
      <c r="AN520" s="11">
        <v>10</v>
      </c>
      <c r="AO520" s="10">
        <v>24187163147</v>
      </c>
      <c r="AP520" s="12">
        <v>5</v>
      </c>
      <c r="AQ520" s="10">
        <v>13534281538</v>
      </c>
      <c r="AR520" s="10">
        <v>36940054721</v>
      </c>
      <c r="AS520" s="10">
        <v>19102280783</v>
      </c>
      <c r="AT520" s="10">
        <v>17837773938</v>
      </c>
      <c r="AU520" s="11">
        <v>93.38</v>
      </c>
      <c r="AV520" s="10">
        <v>558928131586</v>
      </c>
      <c r="AW520" s="10">
        <v>170190365098</v>
      </c>
      <c r="AX520" s="10">
        <v>138815109217</v>
      </c>
      <c r="AY520" s="10">
        <v>159041596509</v>
      </c>
      <c r="AZ520" s="10">
        <v>208105215232</v>
      </c>
      <c r="BA520" s="10">
        <v>804309800000</v>
      </c>
      <c r="BB520" s="10">
        <v>105350265947</v>
      </c>
      <c r="BC520" s="10">
        <v>1314095146429</v>
      </c>
      <c r="BD520" s="12">
        <v>52508</v>
      </c>
      <c r="BE520" s="10">
        <v>301680131197</v>
      </c>
      <c r="BF520" s="10">
        <v>208105215232</v>
      </c>
      <c r="BG520" s="10">
        <v>804309800000</v>
      </c>
      <c r="BH520" s="10">
        <v>271494007560</v>
      </c>
      <c r="BI520" s="10">
        <v>393600000000</v>
      </c>
      <c r="BJ520" s="10">
        <v>0</v>
      </c>
      <c r="BK520" s="10">
        <v>0</v>
      </c>
      <c r="BL520" s="10">
        <v>0</v>
      </c>
      <c r="BM520" s="10">
        <v>0</v>
      </c>
      <c r="BN520" s="10">
        <v>0</v>
      </c>
      <c r="BO520" s="10">
        <v>0</v>
      </c>
    </row>
    <row r="521" spans="1:67" x14ac:dyDescent="0.25">
      <c r="A521" s="25" t="s">
        <v>560</v>
      </c>
      <c r="B521" s="9">
        <v>3202</v>
      </c>
      <c r="C521" s="9" t="s">
        <v>563</v>
      </c>
      <c r="D521" s="10">
        <v>1135491370935</v>
      </c>
      <c r="E521" s="10">
        <v>250403889380</v>
      </c>
      <c r="F521" s="10">
        <v>0</v>
      </c>
      <c r="G521" s="10">
        <v>0</v>
      </c>
      <c r="H521" s="10">
        <v>1385895260315</v>
      </c>
      <c r="I521" s="10">
        <v>99404098930</v>
      </c>
      <c r="J521" s="10">
        <v>705437800</v>
      </c>
      <c r="K521" s="10">
        <v>1285785723585</v>
      </c>
      <c r="L521" s="10">
        <v>855792074161</v>
      </c>
      <c r="M521" s="10">
        <v>530103186154</v>
      </c>
      <c r="N521" s="46">
        <v>61.94298850847639</v>
      </c>
      <c r="O521" s="10">
        <v>737123734175</v>
      </c>
      <c r="P521" s="11">
        <v>59.33</v>
      </c>
      <c r="Q521" s="11">
        <v>57.33</v>
      </c>
      <c r="R521" s="11">
        <v>2.83</v>
      </c>
      <c r="S521" s="10">
        <v>750940921396</v>
      </c>
      <c r="T521" s="10">
        <v>19761318789</v>
      </c>
      <c r="U521" s="10">
        <v>8721051851</v>
      </c>
      <c r="V521" s="10">
        <v>5639256533</v>
      </c>
      <c r="W521" s="10">
        <v>5401010405</v>
      </c>
      <c r="X521" s="10">
        <v>770702240185</v>
      </c>
      <c r="Y521" s="10">
        <v>3535548679</v>
      </c>
      <c r="Z521" s="10">
        <v>41997116524</v>
      </c>
      <c r="AA521" s="10">
        <v>9591209010</v>
      </c>
      <c r="AB521" s="10">
        <v>822290565719</v>
      </c>
      <c r="AC521" s="10">
        <v>525133518227</v>
      </c>
      <c r="AD521" s="46">
        <v>46.763101846385617</v>
      </c>
      <c r="AE521" s="10">
        <v>632072461235</v>
      </c>
      <c r="AF521" s="10">
        <v>622918992744</v>
      </c>
      <c r="AG521" s="10">
        <v>32573368095</v>
      </c>
      <c r="AH521" s="10">
        <v>73428506848</v>
      </c>
      <c r="AI521" s="10">
        <v>0</v>
      </c>
      <c r="AJ521" s="10">
        <v>0</v>
      </c>
      <c r="AK521" s="10">
        <v>0</v>
      </c>
      <c r="AL521" s="11">
        <v>2</v>
      </c>
      <c r="AM521" s="10">
        <v>101500000000</v>
      </c>
      <c r="AN521" s="11">
        <v>53</v>
      </c>
      <c r="AO521" s="10">
        <v>2236650537027</v>
      </c>
      <c r="AP521" s="12">
        <v>16</v>
      </c>
      <c r="AQ521" s="10">
        <v>1876878050627</v>
      </c>
      <c r="AR521" s="10">
        <v>19761318789</v>
      </c>
      <c r="AS521" s="10">
        <v>15291521502</v>
      </c>
      <c r="AT521" s="10">
        <v>4469797287</v>
      </c>
      <c r="AU521" s="11">
        <v>29.23</v>
      </c>
      <c r="AV521" s="10">
        <v>381246988696</v>
      </c>
      <c r="AW521" s="10">
        <v>31718705047</v>
      </c>
      <c r="AX521" s="10">
        <v>465674714761</v>
      </c>
      <c r="AY521" s="10">
        <v>119379096999</v>
      </c>
      <c r="AZ521" s="10">
        <v>210906559175</v>
      </c>
      <c r="BA521" s="10">
        <v>339531000000</v>
      </c>
      <c r="BB521" s="10">
        <v>101024157304</v>
      </c>
      <c r="BC521" s="10">
        <v>1385895260315</v>
      </c>
      <c r="BD521" s="12">
        <v>81842</v>
      </c>
      <c r="BE521" s="10">
        <v>835457701140</v>
      </c>
      <c r="BF521" s="10">
        <v>210906559175</v>
      </c>
      <c r="BG521" s="10">
        <v>339531000000</v>
      </c>
      <c r="BH521" s="10">
        <v>550597897957</v>
      </c>
      <c r="BI521" s="10">
        <v>81474563278</v>
      </c>
      <c r="BJ521" s="10">
        <v>0</v>
      </c>
      <c r="BK521" s="10">
        <v>0</v>
      </c>
      <c r="BL521" s="10">
        <v>32573368095</v>
      </c>
      <c r="BM521" s="10">
        <v>0</v>
      </c>
      <c r="BN521" s="10">
        <v>0</v>
      </c>
      <c r="BO521" s="10">
        <v>73428506848</v>
      </c>
    </row>
    <row r="522" spans="1:67" x14ac:dyDescent="0.25">
      <c r="A522" s="25" t="s">
        <v>560</v>
      </c>
      <c r="B522" s="9">
        <v>3203</v>
      </c>
      <c r="C522" s="9" t="s">
        <v>564</v>
      </c>
      <c r="D522" s="10">
        <v>1117244030028</v>
      </c>
      <c r="E522" s="10">
        <v>31187879676</v>
      </c>
      <c r="F522" s="10">
        <v>0</v>
      </c>
      <c r="G522" s="10">
        <v>0</v>
      </c>
      <c r="H522" s="10">
        <v>1148431909704</v>
      </c>
      <c r="I522" s="10">
        <v>87890415107</v>
      </c>
      <c r="J522" s="10">
        <v>1683033199</v>
      </c>
      <c r="K522" s="10">
        <v>1058858461398</v>
      </c>
      <c r="L522" s="10">
        <v>969578321439</v>
      </c>
      <c r="M522" s="10">
        <v>178853588265</v>
      </c>
      <c r="N522" s="46">
        <v>18.446533334156481</v>
      </c>
      <c r="O522" s="10">
        <v>1177152854489</v>
      </c>
      <c r="P522" s="11">
        <v>112.21</v>
      </c>
      <c r="Q522" s="11">
        <v>111.17</v>
      </c>
      <c r="R522" s="11">
        <v>6.23</v>
      </c>
      <c r="S522" s="10">
        <v>1127770345275</v>
      </c>
      <c r="T522" s="10">
        <v>75507872677</v>
      </c>
      <c r="U522" s="10">
        <v>7484563843</v>
      </c>
      <c r="V522" s="10">
        <v>39588046393</v>
      </c>
      <c r="W522" s="10">
        <v>28435262441</v>
      </c>
      <c r="X522" s="10">
        <v>1203278217952</v>
      </c>
      <c r="Y522" s="10">
        <v>4779868045</v>
      </c>
      <c r="Z522" s="10">
        <v>77973398154</v>
      </c>
      <c r="AA522" s="10">
        <v>7412880000</v>
      </c>
      <c r="AB522" s="10">
        <v>1288664496106</v>
      </c>
      <c r="AC522" s="10">
        <v>1131094553593</v>
      </c>
      <c r="AD522" s="46">
        <v>6.381753331735494</v>
      </c>
      <c r="AE522" s="10">
        <v>572160673952</v>
      </c>
      <c r="AF522" s="10">
        <v>572160673952</v>
      </c>
      <c r="AG522" s="10">
        <v>0</v>
      </c>
      <c r="AH522" s="10">
        <v>403365159</v>
      </c>
      <c r="AI522" s="10">
        <v>13859529802</v>
      </c>
      <c r="AJ522" s="10">
        <v>0</v>
      </c>
      <c r="AK522" s="10">
        <v>7332162949</v>
      </c>
      <c r="AL522" s="11">
        <v>0</v>
      </c>
      <c r="AM522" s="10">
        <v>0</v>
      </c>
      <c r="AN522" s="11">
        <v>28</v>
      </c>
      <c r="AO522" s="10">
        <v>273037989029</v>
      </c>
      <c r="AP522" s="12">
        <v>27</v>
      </c>
      <c r="AQ522" s="10">
        <v>990976559640</v>
      </c>
      <c r="AR522" s="10">
        <v>75507872677</v>
      </c>
      <c r="AS522" s="10">
        <v>94791981560</v>
      </c>
      <c r="AT522" s="10">
        <v>-19284108883</v>
      </c>
      <c r="AU522" s="11">
        <v>-20.34</v>
      </c>
      <c r="AV522" s="10">
        <v>492800658146</v>
      </c>
      <c r="AW522" s="10">
        <v>290457046780</v>
      </c>
      <c r="AX522" s="10">
        <v>151934172729</v>
      </c>
      <c r="AY522" s="10">
        <v>144638331756</v>
      </c>
      <c r="AZ522" s="10">
        <v>179630374927</v>
      </c>
      <c r="BA522" s="10">
        <v>641041150616</v>
      </c>
      <c r="BB522" s="10">
        <v>100385312416</v>
      </c>
      <c r="BC522" s="10">
        <v>1148431909704</v>
      </c>
      <c r="BD522" s="12">
        <v>22905</v>
      </c>
      <c r="BE522" s="10">
        <v>327760384161</v>
      </c>
      <c r="BF522" s="10">
        <v>179630374927</v>
      </c>
      <c r="BG522" s="10">
        <v>641041150616</v>
      </c>
      <c r="BH522" s="10">
        <v>558060673952</v>
      </c>
      <c r="BI522" s="10">
        <v>14100000000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403365159</v>
      </c>
    </row>
    <row r="523" spans="1:67" x14ac:dyDescent="0.25">
      <c r="A523" s="25" t="s">
        <v>560</v>
      </c>
      <c r="B523" s="9">
        <v>3204</v>
      </c>
      <c r="C523" s="9" t="s">
        <v>565</v>
      </c>
      <c r="D523" s="10">
        <v>961141138418</v>
      </c>
      <c r="E523" s="10">
        <v>4549409926</v>
      </c>
      <c r="F523" s="10">
        <v>0</v>
      </c>
      <c r="G523" s="10">
        <v>0</v>
      </c>
      <c r="H523" s="10">
        <v>965690548344</v>
      </c>
      <c r="I523" s="10">
        <v>68860887972</v>
      </c>
      <c r="J523" s="10">
        <v>98112971</v>
      </c>
      <c r="K523" s="10">
        <v>896731547401</v>
      </c>
      <c r="L523" s="10">
        <v>591708268187</v>
      </c>
      <c r="M523" s="10">
        <v>373982280157</v>
      </c>
      <c r="N523" s="46">
        <v>63.203828687891317</v>
      </c>
      <c r="O523" s="10">
        <v>553044181941</v>
      </c>
      <c r="P523" s="11">
        <v>64.099999999999994</v>
      </c>
      <c r="Q523" s="11">
        <v>61.67</v>
      </c>
      <c r="R523" s="11">
        <v>6.67</v>
      </c>
      <c r="S523" s="10">
        <v>536764189873</v>
      </c>
      <c r="T523" s="10">
        <v>27447603758</v>
      </c>
      <c r="U523" s="10">
        <v>8000770069</v>
      </c>
      <c r="V523" s="10">
        <v>7017619793</v>
      </c>
      <c r="W523" s="10">
        <v>12429213896</v>
      </c>
      <c r="X523" s="10">
        <v>564211793631</v>
      </c>
      <c r="Y523" s="10">
        <v>13831025271</v>
      </c>
      <c r="Z523" s="10">
        <v>44199678108</v>
      </c>
      <c r="AA523" s="10">
        <v>10620000000</v>
      </c>
      <c r="AB523" s="10">
        <v>619031471739</v>
      </c>
      <c r="AC523" s="10">
        <v>448800442930</v>
      </c>
      <c r="AD523" s="46">
        <v>25.715516220869876</v>
      </c>
      <c r="AE523" s="10">
        <v>331617308952</v>
      </c>
      <c r="AF523" s="10">
        <v>331617308952</v>
      </c>
      <c r="AG523" s="10">
        <v>0</v>
      </c>
      <c r="AH523" s="10">
        <v>0</v>
      </c>
      <c r="AI523" s="10">
        <v>0</v>
      </c>
      <c r="AJ523" s="10">
        <v>0</v>
      </c>
      <c r="AK523" s="10">
        <v>0</v>
      </c>
      <c r="AL523" s="11">
        <v>0</v>
      </c>
      <c r="AM523" s="10">
        <v>0</v>
      </c>
      <c r="AN523" s="11">
        <v>4</v>
      </c>
      <c r="AO523" s="10">
        <v>14987425000</v>
      </c>
      <c r="AP523" s="12">
        <v>3</v>
      </c>
      <c r="AQ523" s="10">
        <v>1732000000</v>
      </c>
      <c r="AR523" s="10">
        <v>27447603758</v>
      </c>
      <c r="AS523" s="10">
        <v>25684282370</v>
      </c>
      <c r="AT523" s="10">
        <v>1763321388</v>
      </c>
      <c r="AU523" s="11">
        <v>6.87</v>
      </c>
      <c r="AV523" s="10">
        <v>224073370108</v>
      </c>
      <c r="AW523" s="10">
        <v>45249609792</v>
      </c>
      <c r="AX523" s="10">
        <v>157527542199</v>
      </c>
      <c r="AY523" s="10">
        <v>109544426887</v>
      </c>
      <c r="AZ523" s="10">
        <v>211187169332</v>
      </c>
      <c r="BA523" s="10">
        <v>482882000000</v>
      </c>
      <c r="BB523" s="10">
        <v>108428797418</v>
      </c>
      <c r="BC523" s="10">
        <v>965690548344</v>
      </c>
      <c r="BD523" s="12">
        <v>36869</v>
      </c>
      <c r="BE523" s="10">
        <v>271621379012</v>
      </c>
      <c r="BF523" s="10">
        <v>211187169332</v>
      </c>
      <c r="BG523" s="10">
        <v>482882000000</v>
      </c>
      <c r="BH523" s="10">
        <v>274349581492</v>
      </c>
      <c r="BI523" s="10">
        <v>57267727460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</row>
    <row r="524" spans="1:67" x14ac:dyDescent="0.25">
      <c r="A524" s="25" t="s">
        <v>560</v>
      </c>
      <c r="B524" s="9">
        <v>3205</v>
      </c>
      <c r="C524" s="9" t="s">
        <v>566</v>
      </c>
      <c r="D524" s="10">
        <v>1654954192170</v>
      </c>
      <c r="E524" s="10">
        <v>7197921231</v>
      </c>
      <c r="F524" s="10">
        <v>0</v>
      </c>
      <c r="G524" s="10">
        <v>0</v>
      </c>
      <c r="H524" s="10">
        <v>1662152113401</v>
      </c>
      <c r="I524" s="10">
        <v>125434639743</v>
      </c>
      <c r="J524" s="10">
        <v>521564996</v>
      </c>
      <c r="K524" s="10">
        <v>1536195908662</v>
      </c>
      <c r="L524" s="10">
        <v>1434943343542</v>
      </c>
      <c r="M524" s="10">
        <v>227208769859</v>
      </c>
      <c r="N524" s="46">
        <v>15.833988908451262</v>
      </c>
      <c r="O524" s="10">
        <v>1170574219462</v>
      </c>
      <c r="P524" s="11">
        <v>81.47</v>
      </c>
      <c r="Q524" s="11">
        <v>76.2</v>
      </c>
      <c r="R524" s="11">
        <v>6.17</v>
      </c>
      <c r="S524" s="10">
        <v>1182353214743</v>
      </c>
      <c r="T524" s="10">
        <v>82805075826</v>
      </c>
      <c r="U524" s="10">
        <v>21459278056</v>
      </c>
      <c r="V524" s="10">
        <v>61117941114</v>
      </c>
      <c r="W524" s="10">
        <v>227856656</v>
      </c>
      <c r="X524" s="10">
        <v>1265158290569</v>
      </c>
      <c r="Y524" s="10">
        <v>690780545</v>
      </c>
      <c r="Z524" s="10">
        <v>66410979789</v>
      </c>
      <c r="AA524" s="10">
        <v>22561777585</v>
      </c>
      <c r="AB524" s="10">
        <v>1354131047943</v>
      </c>
      <c r="AC524" s="10">
        <v>1250426975596</v>
      </c>
      <c r="AD524" s="46">
        <v>1.1781027809303704</v>
      </c>
      <c r="AE524" s="10">
        <v>746154272673</v>
      </c>
      <c r="AF524" s="10">
        <v>746154272673</v>
      </c>
      <c r="AG524" s="10">
        <v>0</v>
      </c>
      <c r="AH524" s="10">
        <v>0</v>
      </c>
      <c r="AI524" s="10">
        <v>11037500000</v>
      </c>
      <c r="AJ524" s="10">
        <v>0</v>
      </c>
      <c r="AK524" s="10">
        <v>0</v>
      </c>
      <c r="AL524" s="11">
        <v>0</v>
      </c>
      <c r="AM524" s="10">
        <v>0</v>
      </c>
      <c r="AN524" s="11">
        <v>3</v>
      </c>
      <c r="AO524" s="10">
        <v>15718985335</v>
      </c>
      <c r="AP524" s="12">
        <v>5</v>
      </c>
      <c r="AQ524" s="10">
        <v>18708985335</v>
      </c>
      <c r="AR524" s="10">
        <v>82805075826</v>
      </c>
      <c r="AS524" s="10">
        <v>14537544286</v>
      </c>
      <c r="AT524" s="10">
        <v>68267531540</v>
      </c>
      <c r="AU524" s="11">
        <v>469.59</v>
      </c>
      <c r="AV524" s="10">
        <v>734135428972</v>
      </c>
      <c r="AW524" s="10">
        <v>148549488428</v>
      </c>
      <c r="AX524" s="10">
        <v>279325984892</v>
      </c>
      <c r="AY524" s="10">
        <v>217174983680</v>
      </c>
      <c r="AZ524" s="10">
        <v>397185223598</v>
      </c>
      <c r="BA524" s="10">
        <v>761268000000</v>
      </c>
      <c r="BB524" s="10">
        <v>230174275448</v>
      </c>
      <c r="BC524" s="10">
        <v>1662152113401</v>
      </c>
      <c r="BD524" s="12">
        <v>184480</v>
      </c>
      <c r="BE524" s="10">
        <v>503698889803</v>
      </c>
      <c r="BF524" s="10">
        <v>397185223598</v>
      </c>
      <c r="BG524" s="10">
        <v>761268000000</v>
      </c>
      <c r="BH524" s="10">
        <v>622954738012</v>
      </c>
      <c r="BI524" s="10">
        <v>123199534661</v>
      </c>
      <c r="BJ524" s="10">
        <v>0</v>
      </c>
      <c r="BK524" s="10">
        <v>0</v>
      </c>
      <c r="BL524" s="10">
        <v>0</v>
      </c>
      <c r="BM524" s="10">
        <v>0</v>
      </c>
      <c r="BN524" s="10">
        <v>0</v>
      </c>
      <c r="BO524" s="10">
        <v>0</v>
      </c>
    </row>
    <row r="525" spans="1:67" x14ac:dyDescent="0.25">
      <c r="A525" s="25" t="s">
        <v>560</v>
      </c>
      <c r="B525" s="9">
        <v>3206</v>
      </c>
      <c r="C525" s="9" t="s">
        <v>567</v>
      </c>
      <c r="D525" s="10">
        <v>1414215705197</v>
      </c>
      <c r="E525" s="10">
        <v>16727605294</v>
      </c>
      <c r="F525" s="10">
        <v>0</v>
      </c>
      <c r="G525" s="10">
        <v>0</v>
      </c>
      <c r="H525" s="10">
        <v>1430943310491</v>
      </c>
      <c r="I525" s="10">
        <v>129173684297</v>
      </c>
      <c r="J525" s="10">
        <v>1515047800</v>
      </c>
      <c r="K525" s="10">
        <v>1300254578394</v>
      </c>
      <c r="L525" s="10">
        <v>985973648088</v>
      </c>
      <c r="M525" s="10">
        <v>444969662403</v>
      </c>
      <c r="N525" s="46">
        <v>45.129975153583985</v>
      </c>
      <c r="O525" s="10">
        <v>833582991268</v>
      </c>
      <c r="P525" s="11">
        <v>65.47</v>
      </c>
      <c r="Q525" s="11">
        <v>64.11</v>
      </c>
      <c r="R525" s="11">
        <v>1.9</v>
      </c>
      <c r="S525" s="10">
        <v>834655410510</v>
      </c>
      <c r="T525" s="10">
        <v>17686279247</v>
      </c>
      <c r="U525" s="10">
        <v>9086622590</v>
      </c>
      <c r="V525" s="10">
        <v>8355099146</v>
      </c>
      <c r="W525" s="10">
        <v>244557511</v>
      </c>
      <c r="X525" s="10">
        <v>852341689757</v>
      </c>
      <c r="Y525" s="10">
        <v>74613491</v>
      </c>
      <c r="Z525" s="10">
        <v>63029790584</v>
      </c>
      <c r="AA525" s="10">
        <v>21500000000</v>
      </c>
      <c r="AB525" s="10">
        <v>936871480341</v>
      </c>
      <c r="AC525" s="10">
        <v>427399125556</v>
      </c>
      <c r="AD525" s="46">
        <v>99.425230140140258</v>
      </c>
      <c r="AE525" s="10">
        <v>875823617550</v>
      </c>
      <c r="AF525" s="10">
        <v>869029986866</v>
      </c>
      <c r="AG525" s="10">
        <v>0</v>
      </c>
      <c r="AH525" s="10">
        <v>167266573572</v>
      </c>
      <c r="AI525" s="10">
        <v>15419427356</v>
      </c>
      <c r="AJ525" s="10">
        <v>0</v>
      </c>
      <c r="AK525" s="10">
        <v>0</v>
      </c>
      <c r="AL525" s="11">
        <v>0</v>
      </c>
      <c r="AM525" s="10">
        <v>0</v>
      </c>
      <c r="AN525" s="11">
        <v>13</v>
      </c>
      <c r="AO525" s="10">
        <v>327779835718</v>
      </c>
      <c r="AP525" s="12">
        <v>3</v>
      </c>
      <c r="AQ525" s="10">
        <v>3000000000</v>
      </c>
      <c r="AR525" s="10">
        <v>17686279247</v>
      </c>
      <c r="AS525" s="10">
        <v>12692065507</v>
      </c>
      <c r="AT525" s="10">
        <v>4994213740</v>
      </c>
      <c r="AU525" s="11">
        <v>39.35</v>
      </c>
      <c r="AV525" s="10">
        <v>475454948316</v>
      </c>
      <c r="AW525" s="10">
        <v>62392167960</v>
      </c>
      <c r="AX525" s="10">
        <v>370594295414</v>
      </c>
      <c r="AY525" s="10">
        <v>131494287652</v>
      </c>
      <c r="AZ525" s="10">
        <v>250364122131</v>
      </c>
      <c r="BA525" s="10">
        <v>661763000000</v>
      </c>
      <c r="BB525" s="10">
        <v>63217976592</v>
      </c>
      <c r="BC525" s="10">
        <v>1430943310491</v>
      </c>
      <c r="BD525" s="12">
        <v>89279</v>
      </c>
      <c r="BE525" s="10">
        <v>518816188360</v>
      </c>
      <c r="BF525" s="10">
        <v>250364122131</v>
      </c>
      <c r="BG525" s="10">
        <v>661763000000</v>
      </c>
      <c r="BH525" s="10">
        <v>403047078057</v>
      </c>
      <c r="BI525" s="10">
        <v>472776539493</v>
      </c>
      <c r="BJ525" s="10">
        <v>0</v>
      </c>
      <c r="BK525" s="10">
        <v>0</v>
      </c>
      <c r="BL525" s="10">
        <v>0</v>
      </c>
      <c r="BM525" s="10">
        <v>0</v>
      </c>
      <c r="BN525" s="10">
        <v>0</v>
      </c>
      <c r="BO525" s="10">
        <v>167266573572</v>
      </c>
    </row>
    <row r="526" spans="1:67" x14ac:dyDescent="0.25">
      <c r="A526" s="25" t="s">
        <v>560</v>
      </c>
      <c r="B526" s="9">
        <v>3207</v>
      </c>
      <c r="C526" s="9" t="s">
        <v>568</v>
      </c>
      <c r="D526" s="10">
        <v>2548173279327</v>
      </c>
      <c r="E526" s="10">
        <v>39481165789</v>
      </c>
      <c r="F526" s="10">
        <v>0</v>
      </c>
      <c r="G526" s="10">
        <v>0</v>
      </c>
      <c r="H526" s="10">
        <v>2587654445116</v>
      </c>
      <c r="I526" s="10">
        <v>196464053913</v>
      </c>
      <c r="J526" s="10">
        <v>1219434200</v>
      </c>
      <c r="K526" s="10">
        <v>2389970957003</v>
      </c>
      <c r="L526" s="10">
        <v>2011375774296</v>
      </c>
      <c r="M526" s="10">
        <v>576278670820</v>
      </c>
      <c r="N526" s="46">
        <v>28.650970056637121</v>
      </c>
      <c r="O526" s="10">
        <v>1845570020045</v>
      </c>
      <c r="P526" s="11">
        <v>80.09</v>
      </c>
      <c r="Q526" s="11">
        <v>77.22</v>
      </c>
      <c r="R526" s="11">
        <v>1.28</v>
      </c>
      <c r="S526" s="10">
        <v>1887945824933</v>
      </c>
      <c r="T526" s="10">
        <v>25472303407</v>
      </c>
      <c r="U526" s="10">
        <v>23221228493</v>
      </c>
      <c r="V526" s="10">
        <v>2119949598</v>
      </c>
      <c r="W526" s="10">
        <v>131125316</v>
      </c>
      <c r="X526" s="10">
        <v>1913418128340</v>
      </c>
      <c r="Y526" s="10">
        <v>1113458551</v>
      </c>
      <c r="Z526" s="10">
        <v>120066459140</v>
      </c>
      <c r="AA526" s="10">
        <v>39066960000</v>
      </c>
      <c r="AB526" s="10">
        <v>2072551547480</v>
      </c>
      <c r="AC526" s="10">
        <v>1494481454850</v>
      </c>
      <c r="AD526" s="46">
        <v>28.032243031884818</v>
      </c>
      <c r="AE526" s="10">
        <v>1271799499805</v>
      </c>
      <c r="AF526" s="10">
        <v>1163787664191</v>
      </c>
      <c r="AG526" s="10">
        <v>0</v>
      </c>
      <c r="AH526" s="10">
        <v>419126400</v>
      </c>
      <c r="AI526" s="10">
        <v>47116211712</v>
      </c>
      <c r="AJ526" s="10">
        <v>0</v>
      </c>
      <c r="AK526" s="10">
        <v>0</v>
      </c>
      <c r="AL526" s="11">
        <v>0</v>
      </c>
      <c r="AM526" s="10">
        <v>0</v>
      </c>
      <c r="AN526" s="11">
        <v>104</v>
      </c>
      <c r="AO526" s="10">
        <v>496489651501</v>
      </c>
      <c r="AP526" s="12">
        <v>31</v>
      </c>
      <c r="AQ526" s="10">
        <v>206540857518</v>
      </c>
      <c r="AR526" s="10">
        <v>25472303407</v>
      </c>
      <c r="AS526" s="10">
        <v>7349710177</v>
      </c>
      <c r="AT526" s="10">
        <v>18122593230</v>
      </c>
      <c r="AU526" s="11">
        <v>246.58</v>
      </c>
      <c r="AV526" s="10">
        <v>980414294933</v>
      </c>
      <c r="AW526" s="10">
        <v>183477423354</v>
      </c>
      <c r="AX526" s="10">
        <v>455277019901</v>
      </c>
      <c r="AY526" s="10">
        <v>316056048441</v>
      </c>
      <c r="AZ526" s="10">
        <v>501878076167</v>
      </c>
      <c r="BA526" s="10">
        <v>1274962134818</v>
      </c>
      <c r="BB526" s="10">
        <v>239373691289</v>
      </c>
      <c r="BC526" s="10">
        <v>2587654445116</v>
      </c>
      <c r="BD526" s="12">
        <v>84215</v>
      </c>
      <c r="BE526" s="10">
        <v>810814234131</v>
      </c>
      <c r="BF526" s="10">
        <v>500578076167</v>
      </c>
      <c r="BG526" s="10">
        <v>1276262134818</v>
      </c>
      <c r="BH526" s="10">
        <v>682191493283</v>
      </c>
      <c r="BI526" s="10">
        <v>589608006522</v>
      </c>
      <c r="BJ526" s="10">
        <v>0</v>
      </c>
      <c r="BK526" s="10">
        <v>0</v>
      </c>
      <c r="BL526" s="10">
        <v>0</v>
      </c>
      <c r="BM526" s="10">
        <v>0</v>
      </c>
      <c r="BN526" s="10">
        <v>0</v>
      </c>
      <c r="BO526" s="10">
        <v>419126400</v>
      </c>
    </row>
    <row r="527" spans="1:67" x14ac:dyDescent="0.25">
      <c r="A527" s="25" t="s">
        <v>560</v>
      </c>
      <c r="B527" s="9">
        <v>3208</v>
      </c>
      <c r="C527" s="9" t="s">
        <v>569</v>
      </c>
      <c r="D527" s="10">
        <v>803768888427</v>
      </c>
      <c r="E527" s="10">
        <v>14976512137</v>
      </c>
      <c r="F527" s="10">
        <v>0</v>
      </c>
      <c r="G527" s="10">
        <v>0</v>
      </c>
      <c r="H527" s="10">
        <v>818745400564</v>
      </c>
      <c r="I527" s="10">
        <v>59138813677</v>
      </c>
      <c r="J527" s="10">
        <v>470486269</v>
      </c>
      <c r="K527" s="10">
        <v>759136100618</v>
      </c>
      <c r="L527" s="10">
        <v>787486947992</v>
      </c>
      <c r="M527" s="10">
        <v>31258452572</v>
      </c>
      <c r="N527" s="46">
        <v>3.9693930993656994</v>
      </c>
      <c r="O527" s="10">
        <v>606252223492</v>
      </c>
      <c r="P527" s="11">
        <v>83.65</v>
      </c>
      <c r="Q527" s="11">
        <v>79.86</v>
      </c>
      <c r="R527" s="11">
        <v>5.16</v>
      </c>
      <c r="S527" s="10">
        <v>611449320750</v>
      </c>
      <c r="T527" s="10">
        <v>33165804985</v>
      </c>
      <c r="U527" s="10">
        <v>6624212627</v>
      </c>
      <c r="V527" s="10">
        <v>7265832167</v>
      </c>
      <c r="W527" s="10">
        <v>19275760191</v>
      </c>
      <c r="X527" s="10">
        <v>644615125735</v>
      </c>
      <c r="Y527" s="10">
        <v>2153032979</v>
      </c>
      <c r="Z527" s="10">
        <v>35625748437</v>
      </c>
      <c r="AA527" s="10">
        <v>4673699304</v>
      </c>
      <c r="AB527" s="10">
        <v>684914573476</v>
      </c>
      <c r="AC527" s="10">
        <v>606292356033</v>
      </c>
      <c r="AD527" s="46">
        <v>6.3208399909158883</v>
      </c>
      <c r="AE527" s="10">
        <v>309395291802</v>
      </c>
      <c r="AF527" s="10">
        <v>309395291802</v>
      </c>
      <c r="AG527" s="10">
        <v>0</v>
      </c>
      <c r="AH527" s="10">
        <v>10110600000</v>
      </c>
      <c r="AI527" s="10">
        <v>0</v>
      </c>
      <c r="AJ527" s="10">
        <v>0</v>
      </c>
      <c r="AK527" s="10">
        <v>0</v>
      </c>
      <c r="AL527" s="11">
        <v>0</v>
      </c>
      <c r="AM527" s="10">
        <v>0</v>
      </c>
      <c r="AN527" s="11">
        <v>2</v>
      </c>
      <c r="AO527" s="10">
        <v>10500000000</v>
      </c>
      <c r="AP527" s="12">
        <v>62</v>
      </c>
      <c r="AQ527" s="10">
        <v>34658706692</v>
      </c>
      <c r="AR527" s="10">
        <v>33165804985</v>
      </c>
      <c r="AS527" s="10">
        <v>20325252370</v>
      </c>
      <c r="AT527" s="10">
        <v>12840552615</v>
      </c>
      <c r="AU527" s="11">
        <v>63.18</v>
      </c>
      <c r="AV527" s="10">
        <v>262343746652</v>
      </c>
      <c r="AW527" s="10">
        <v>41826674149</v>
      </c>
      <c r="AX527" s="10">
        <v>212075417472</v>
      </c>
      <c r="AY527" s="10">
        <v>71043186012</v>
      </c>
      <c r="AZ527" s="10">
        <v>176500284943</v>
      </c>
      <c r="BA527" s="10">
        <v>344150000000</v>
      </c>
      <c r="BB527" s="10">
        <v>98482099060</v>
      </c>
      <c r="BC527" s="10">
        <v>818745400564</v>
      </c>
      <c r="BD527" s="12">
        <v>26223</v>
      </c>
      <c r="BE527" s="10">
        <v>298095115621</v>
      </c>
      <c r="BF527" s="10">
        <v>176500284943</v>
      </c>
      <c r="BG527" s="10">
        <v>344150000000</v>
      </c>
      <c r="BH527" s="10">
        <v>240318012938</v>
      </c>
      <c r="BI527" s="10">
        <v>69077278864</v>
      </c>
      <c r="BJ527" s="10">
        <v>0</v>
      </c>
      <c r="BK527" s="10">
        <v>0</v>
      </c>
      <c r="BL527" s="10">
        <v>0</v>
      </c>
      <c r="BM527" s="10">
        <v>0</v>
      </c>
      <c r="BN527" s="10">
        <v>10110600000</v>
      </c>
      <c r="BO527" s="10">
        <v>0</v>
      </c>
    </row>
    <row r="528" spans="1:67" x14ac:dyDescent="0.25">
      <c r="A528" s="25" t="s">
        <v>560</v>
      </c>
      <c r="B528" s="9">
        <v>3209</v>
      </c>
      <c r="C528" s="9" t="s">
        <v>570</v>
      </c>
      <c r="D528" s="10">
        <v>616215906576</v>
      </c>
      <c r="E528" s="10">
        <v>24217676189</v>
      </c>
      <c r="F528" s="10">
        <v>0</v>
      </c>
      <c r="G528" s="10">
        <v>0</v>
      </c>
      <c r="H528" s="10">
        <v>640433582765</v>
      </c>
      <c r="I528" s="10">
        <v>49422101469</v>
      </c>
      <c r="J528" s="10">
        <v>971075234</v>
      </c>
      <c r="K528" s="10">
        <v>590040406062</v>
      </c>
      <c r="L528" s="10">
        <v>547292254092</v>
      </c>
      <c r="M528" s="10">
        <v>93141328673</v>
      </c>
      <c r="N528" s="46">
        <v>17.018572431201065</v>
      </c>
      <c r="O528" s="10">
        <v>1257653041759</v>
      </c>
      <c r="P528" s="11">
        <v>230.86</v>
      </c>
      <c r="Q528" s="11">
        <v>213.15</v>
      </c>
      <c r="R528" s="11">
        <v>6.12</v>
      </c>
      <c r="S528" s="10">
        <v>1319539532238</v>
      </c>
      <c r="T528" s="10">
        <v>88528546455</v>
      </c>
      <c r="U528" s="10">
        <v>65349987159</v>
      </c>
      <c r="V528" s="10">
        <v>18142925272</v>
      </c>
      <c r="W528" s="10">
        <v>5035634024</v>
      </c>
      <c r="X528" s="10">
        <v>1408068078693</v>
      </c>
      <c r="Y528" s="10">
        <v>1907706316</v>
      </c>
      <c r="Z528" s="10">
        <v>66754484297</v>
      </c>
      <c r="AA528" s="10">
        <v>3660000000</v>
      </c>
      <c r="AB528" s="10">
        <v>1478482562990</v>
      </c>
      <c r="AC528" s="10">
        <v>818936385878</v>
      </c>
      <c r="AD528" s="46">
        <v>71.938639309984836</v>
      </c>
      <c r="AE528" s="10">
        <v>1175154540023</v>
      </c>
      <c r="AF528" s="10">
        <v>811581243128</v>
      </c>
      <c r="AG528" s="10">
        <v>0</v>
      </c>
      <c r="AH528" s="10">
        <v>0</v>
      </c>
      <c r="AI528" s="10">
        <v>0</v>
      </c>
      <c r="AJ528" s="10">
        <v>30000000000</v>
      </c>
      <c r="AK528" s="10">
        <v>26677170614</v>
      </c>
      <c r="AL528" s="11">
        <v>0</v>
      </c>
      <c r="AM528" s="10">
        <v>0</v>
      </c>
      <c r="AN528" s="11">
        <v>37</v>
      </c>
      <c r="AO528" s="10">
        <v>324459860425</v>
      </c>
      <c r="AP528" s="12">
        <v>31</v>
      </c>
      <c r="AQ528" s="10">
        <v>230435010363</v>
      </c>
      <c r="AR528" s="10">
        <v>88528546455</v>
      </c>
      <c r="AS528" s="10">
        <v>42736235865</v>
      </c>
      <c r="AT528" s="10">
        <v>45792310590</v>
      </c>
      <c r="AU528" s="11">
        <v>107.15</v>
      </c>
      <c r="AV528" s="10">
        <v>535230509646</v>
      </c>
      <c r="AW528" s="10">
        <v>201560988570</v>
      </c>
      <c r="AX528" s="10">
        <v>119819427339</v>
      </c>
      <c r="AY528" s="10">
        <v>63370499281</v>
      </c>
      <c r="AZ528" s="10">
        <v>86119979956</v>
      </c>
      <c r="BA528" s="10">
        <v>346906000000</v>
      </c>
      <c r="BB528" s="10">
        <v>51592751164</v>
      </c>
      <c r="BC528" s="10">
        <v>640433582765</v>
      </c>
      <c r="BD528" s="12">
        <v>10411</v>
      </c>
      <c r="BE528" s="10">
        <v>207407602809</v>
      </c>
      <c r="BF528" s="10">
        <v>86119979956</v>
      </c>
      <c r="BG528" s="10">
        <v>346906000000</v>
      </c>
      <c r="BH528" s="10">
        <v>1115380540023</v>
      </c>
      <c r="BI528" s="10">
        <v>59774000000</v>
      </c>
      <c r="BJ528" s="10">
        <v>0</v>
      </c>
      <c r="BK528" s="10">
        <v>0</v>
      </c>
      <c r="BL528" s="10">
        <v>0</v>
      </c>
      <c r="BM528" s="10">
        <v>0</v>
      </c>
      <c r="BN528" s="10">
        <v>0</v>
      </c>
      <c r="BO528" s="10">
        <v>0</v>
      </c>
    </row>
    <row r="529" spans="1:67" x14ac:dyDescent="0.25">
      <c r="A529" s="25" t="s">
        <v>560</v>
      </c>
      <c r="B529" s="9">
        <v>3210</v>
      </c>
      <c r="C529" s="9" t="s">
        <v>571</v>
      </c>
      <c r="D529" s="10">
        <v>887745091399</v>
      </c>
      <c r="E529" s="10">
        <v>3823977730</v>
      </c>
      <c r="F529" s="10">
        <v>0</v>
      </c>
      <c r="G529" s="10">
        <v>0</v>
      </c>
      <c r="H529" s="10">
        <v>891569069129</v>
      </c>
      <c r="I529" s="10">
        <v>58868144300</v>
      </c>
      <c r="J529" s="10">
        <v>1241813171</v>
      </c>
      <c r="K529" s="10">
        <v>831459111658</v>
      </c>
      <c r="L529" s="10">
        <v>494124031208</v>
      </c>
      <c r="M529" s="10">
        <v>397445037921</v>
      </c>
      <c r="N529" s="46">
        <v>80.43426605853476</v>
      </c>
      <c r="O529" s="10">
        <v>593169687498</v>
      </c>
      <c r="P529" s="11">
        <v>71.81</v>
      </c>
      <c r="Q529" s="11">
        <v>71.34</v>
      </c>
      <c r="R529" s="11">
        <v>3.04</v>
      </c>
      <c r="S529" s="10">
        <v>572932708899</v>
      </c>
      <c r="T529" s="10">
        <v>16833706403</v>
      </c>
      <c r="U529" s="10">
        <v>8101775302</v>
      </c>
      <c r="V529" s="10">
        <v>6950177946</v>
      </c>
      <c r="W529" s="10">
        <v>1781753155</v>
      </c>
      <c r="X529" s="10">
        <v>589766415302</v>
      </c>
      <c r="Y529" s="10">
        <v>2625221990</v>
      </c>
      <c r="Z529" s="10">
        <v>40210793763</v>
      </c>
      <c r="AA529" s="10">
        <v>10300000000</v>
      </c>
      <c r="AB529" s="10">
        <v>640277209065</v>
      </c>
      <c r="AC529" s="10">
        <v>347006024872</v>
      </c>
      <c r="AD529" s="46">
        <v>69.958552022128998</v>
      </c>
      <c r="AE529" s="10">
        <v>427881076507</v>
      </c>
      <c r="AF529" s="10">
        <v>427881076507</v>
      </c>
      <c r="AG529" s="10">
        <v>0</v>
      </c>
      <c r="AH529" s="10">
        <v>0</v>
      </c>
      <c r="AI529" s="10">
        <v>2398094664</v>
      </c>
      <c r="AJ529" s="10">
        <v>0</v>
      </c>
      <c r="AK529" s="10">
        <v>0</v>
      </c>
      <c r="AL529" s="11">
        <v>0</v>
      </c>
      <c r="AM529" s="10">
        <v>0</v>
      </c>
      <c r="AN529" s="11">
        <v>1</v>
      </c>
      <c r="AO529" s="10">
        <v>2000000000</v>
      </c>
      <c r="AP529" s="12">
        <v>2</v>
      </c>
      <c r="AQ529" s="10">
        <v>2150000000</v>
      </c>
      <c r="AR529" s="10">
        <v>16833706403</v>
      </c>
      <c r="AS529" s="10">
        <v>6508771316</v>
      </c>
      <c r="AT529" s="10">
        <v>10324935087</v>
      </c>
      <c r="AU529" s="11">
        <v>158.63</v>
      </c>
      <c r="AV529" s="10">
        <v>143817737844</v>
      </c>
      <c r="AW529" s="10">
        <v>39977671039</v>
      </c>
      <c r="AX529" s="10">
        <v>137515714349</v>
      </c>
      <c r="AY529" s="10">
        <v>97539673030</v>
      </c>
      <c r="AZ529" s="10">
        <v>134749704020</v>
      </c>
      <c r="BA529" s="10">
        <v>517940000000</v>
      </c>
      <c r="BB529" s="10">
        <v>93230533680</v>
      </c>
      <c r="BC529" s="10">
        <v>891569069129</v>
      </c>
      <c r="BD529" s="12">
        <v>27843</v>
      </c>
      <c r="BE529" s="10">
        <v>238879365109</v>
      </c>
      <c r="BF529" s="10">
        <v>134749704020</v>
      </c>
      <c r="BG529" s="10">
        <v>517940000000</v>
      </c>
      <c r="BH529" s="10">
        <v>373407287803</v>
      </c>
      <c r="BI529" s="10">
        <v>54473788704</v>
      </c>
      <c r="BJ529" s="10">
        <v>0</v>
      </c>
      <c r="BK529" s="10">
        <v>0</v>
      </c>
      <c r="BL529" s="10">
        <v>0</v>
      </c>
      <c r="BM529" s="10">
        <v>0</v>
      </c>
      <c r="BN529" s="10">
        <v>0</v>
      </c>
      <c r="BO529" s="10">
        <v>0</v>
      </c>
    </row>
    <row r="530" spans="1:67" x14ac:dyDescent="0.25">
      <c r="A530" s="25" t="s">
        <v>560</v>
      </c>
      <c r="B530" s="9">
        <v>3211</v>
      </c>
      <c r="C530" s="9" t="s">
        <v>572</v>
      </c>
      <c r="D530" s="10">
        <v>1070338526739</v>
      </c>
      <c r="E530" s="10">
        <v>2673961589</v>
      </c>
      <c r="F530" s="10">
        <v>0</v>
      </c>
      <c r="G530" s="10">
        <v>0</v>
      </c>
      <c r="H530" s="10">
        <v>1073012488328</v>
      </c>
      <c r="I530" s="10">
        <v>82080872300</v>
      </c>
      <c r="J530" s="10">
        <v>779841200</v>
      </c>
      <c r="K530" s="10">
        <v>990151774828</v>
      </c>
      <c r="L530" s="10">
        <v>611569239287</v>
      </c>
      <c r="M530" s="10">
        <v>461443249041</v>
      </c>
      <c r="N530" s="46">
        <v>75.452331379350454</v>
      </c>
      <c r="O530" s="10">
        <v>453699999262</v>
      </c>
      <c r="P530" s="11">
        <v>45.73</v>
      </c>
      <c r="Q530" s="11">
        <v>45.82</v>
      </c>
      <c r="R530" s="11">
        <v>6.23</v>
      </c>
      <c r="S530" s="10">
        <v>417525190469</v>
      </c>
      <c r="T530" s="10">
        <v>30538388332</v>
      </c>
      <c r="U530" s="10">
        <v>13304427700</v>
      </c>
      <c r="V530" s="10">
        <v>10634440463</v>
      </c>
      <c r="W530" s="10">
        <v>6599520169</v>
      </c>
      <c r="X530" s="10">
        <v>448063578801</v>
      </c>
      <c r="Y530" s="10">
        <v>35140446</v>
      </c>
      <c r="Z530" s="10">
        <v>36163085001</v>
      </c>
      <c r="AA530" s="10">
        <v>6497904000</v>
      </c>
      <c r="AB530" s="10">
        <v>490724567802</v>
      </c>
      <c r="AC530" s="10">
        <v>423954879520</v>
      </c>
      <c r="AD530" s="46">
        <v>5.6866191299167905</v>
      </c>
      <c r="AE530" s="10">
        <v>254347359207</v>
      </c>
      <c r="AF530" s="10">
        <v>254347359207</v>
      </c>
      <c r="AG530" s="10">
        <v>0</v>
      </c>
      <c r="AH530" s="10">
        <v>18000000000</v>
      </c>
      <c r="AI530" s="10">
        <v>9402000000</v>
      </c>
      <c r="AJ530" s="10">
        <v>0</v>
      </c>
      <c r="AK530" s="10">
        <v>0</v>
      </c>
      <c r="AL530" s="11">
        <v>0</v>
      </c>
      <c r="AM530" s="10">
        <v>0</v>
      </c>
      <c r="AN530" s="11">
        <v>3</v>
      </c>
      <c r="AO530" s="10">
        <v>20795000000</v>
      </c>
      <c r="AP530" s="12">
        <v>0</v>
      </c>
      <c r="AQ530" s="10">
        <v>0</v>
      </c>
      <c r="AR530" s="10">
        <v>30538388332</v>
      </c>
      <c r="AS530" s="10">
        <v>9015239026</v>
      </c>
      <c r="AT530" s="10">
        <v>21523149306</v>
      </c>
      <c r="AU530" s="13">
        <v>238.74</v>
      </c>
      <c r="AV530" s="10">
        <v>211586165191</v>
      </c>
      <c r="AW530" s="10">
        <v>83706796030</v>
      </c>
      <c r="AX530" s="10">
        <v>90190868137</v>
      </c>
      <c r="AY530" s="10">
        <v>47817400042</v>
      </c>
      <c r="AZ530" s="10">
        <v>219760658150</v>
      </c>
      <c r="BA530" s="10">
        <v>712569600410</v>
      </c>
      <c r="BB530" s="10">
        <v>92744811116</v>
      </c>
      <c r="BC530" s="10">
        <v>1073012488328</v>
      </c>
      <c r="BD530" s="12">
        <v>57937</v>
      </c>
      <c r="BE530" s="10">
        <v>140682229768</v>
      </c>
      <c r="BF530" s="10">
        <v>219660658150</v>
      </c>
      <c r="BG530" s="10">
        <v>712669600410</v>
      </c>
      <c r="BH530" s="10">
        <v>192058982527</v>
      </c>
      <c r="BI530" s="10">
        <v>62288376680</v>
      </c>
      <c r="BJ530" s="10">
        <v>0</v>
      </c>
      <c r="BK530" s="10">
        <v>0</v>
      </c>
      <c r="BL530" s="10">
        <v>0</v>
      </c>
      <c r="BM530" s="10">
        <v>0</v>
      </c>
      <c r="BN530" s="10">
        <v>6326591877</v>
      </c>
      <c r="BO530" s="10">
        <v>0</v>
      </c>
    </row>
    <row r="531" spans="1:67" x14ac:dyDescent="0.25">
      <c r="A531" s="25" t="s">
        <v>560</v>
      </c>
      <c r="B531" s="9">
        <v>3212</v>
      </c>
      <c r="C531" s="9" t="s">
        <v>573</v>
      </c>
      <c r="D531" s="10">
        <v>1013769161254</v>
      </c>
      <c r="E531" s="10">
        <v>29850161311</v>
      </c>
      <c r="F531" s="10">
        <v>0</v>
      </c>
      <c r="G531" s="10">
        <v>0</v>
      </c>
      <c r="H531" s="10">
        <v>1043619322565</v>
      </c>
      <c r="I531" s="10">
        <v>62180716983</v>
      </c>
      <c r="J531" s="10">
        <v>698772324</v>
      </c>
      <c r="K531" s="10">
        <v>980739833258</v>
      </c>
      <c r="L531" s="10">
        <v>840689860995</v>
      </c>
      <c r="M531" s="10">
        <v>202929461570</v>
      </c>
      <c r="N531" s="46">
        <v>24.138445220431525</v>
      </c>
      <c r="O531" s="10">
        <v>678205385965</v>
      </c>
      <c r="P531" s="11">
        <v>76.180000000000007</v>
      </c>
      <c r="Q531" s="11">
        <v>69.150000000000006</v>
      </c>
      <c r="R531" s="11">
        <v>4.49</v>
      </c>
      <c r="S531" s="10">
        <v>714502333846</v>
      </c>
      <c r="T531" s="10">
        <v>22618908300</v>
      </c>
      <c r="U531" s="10">
        <v>8572595877</v>
      </c>
      <c r="V531" s="10">
        <v>6334699744</v>
      </c>
      <c r="W531" s="10">
        <v>7711612679</v>
      </c>
      <c r="X531" s="10">
        <v>737121242146</v>
      </c>
      <c r="Y531" s="10">
        <v>13115681782</v>
      </c>
      <c r="Z531" s="10">
        <v>45905777434</v>
      </c>
      <c r="AA531" s="10">
        <v>12000000000</v>
      </c>
      <c r="AB531" s="10">
        <v>795027019580</v>
      </c>
      <c r="AC531" s="10">
        <v>876263263823</v>
      </c>
      <c r="AD531" s="46">
        <v>-15.879020315189873</v>
      </c>
      <c r="AE531" s="10">
        <v>354523757022</v>
      </c>
      <c r="AF531" s="10">
        <v>354523757022</v>
      </c>
      <c r="AG531" s="10">
        <v>47236676885</v>
      </c>
      <c r="AH531" s="10">
        <v>279240953</v>
      </c>
      <c r="AI531" s="10">
        <v>0</v>
      </c>
      <c r="AJ531" s="10">
        <v>0</v>
      </c>
      <c r="AK531" s="10">
        <v>0</v>
      </c>
      <c r="AL531" s="11">
        <v>7</v>
      </c>
      <c r="AM531" s="10">
        <v>127544156775</v>
      </c>
      <c r="AN531" s="11">
        <v>24</v>
      </c>
      <c r="AO531" s="10">
        <v>290125073200</v>
      </c>
      <c r="AP531" s="12">
        <v>11</v>
      </c>
      <c r="AQ531" s="10">
        <v>119131878200</v>
      </c>
      <c r="AR531" s="10">
        <v>22618908300</v>
      </c>
      <c r="AS531" s="10">
        <v>14973206755</v>
      </c>
      <c r="AT531" s="10">
        <v>7645701545</v>
      </c>
      <c r="AU531" s="11">
        <v>51.06</v>
      </c>
      <c r="AV531" s="10">
        <v>450364577413</v>
      </c>
      <c r="AW531" s="10">
        <v>90770846529</v>
      </c>
      <c r="AX531" s="10">
        <v>392030604175</v>
      </c>
      <c r="AY531" s="10">
        <v>78183285597</v>
      </c>
      <c r="AZ531" s="10">
        <v>196984771482</v>
      </c>
      <c r="BA531" s="10">
        <v>346570500000</v>
      </c>
      <c r="BB531" s="10">
        <v>67237701979</v>
      </c>
      <c r="BC531" s="10">
        <v>1043619322565</v>
      </c>
      <c r="BD531" s="12">
        <v>39606</v>
      </c>
      <c r="BE531" s="10">
        <v>500064051083</v>
      </c>
      <c r="BF531" s="10">
        <v>196984771482</v>
      </c>
      <c r="BG531" s="10">
        <v>346570500000</v>
      </c>
      <c r="BH531" s="10">
        <v>318523757022</v>
      </c>
      <c r="BI531" s="10">
        <v>36000000000</v>
      </c>
      <c r="BJ531" s="10">
        <v>0</v>
      </c>
      <c r="BK531" s="10">
        <v>0</v>
      </c>
      <c r="BL531" s="10">
        <v>47236676885</v>
      </c>
      <c r="BM531" s="10">
        <v>0</v>
      </c>
      <c r="BN531" s="10">
        <v>0</v>
      </c>
      <c r="BO531" s="10">
        <v>279240953</v>
      </c>
    </row>
    <row r="532" spans="1:67" x14ac:dyDescent="0.25">
      <c r="A532" s="25" t="s">
        <v>560</v>
      </c>
      <c r="B532" s="9">
        <v>3213</v>
      </c>
      <c r="C532" s="9" t="s">
        <v>574</v>
      </c>
      <c r="D532" s="10">
        <v>897035289644</v>
      </c>
      <c r="E532" s="10">
        <v>4341075581</v>
      </c>
      <c r="F532" s="10">
        <v>0</v>
      </c>
      <c r="G532" s="10">
        <v>0</v>
      </c>
      <c r="H532" s="10">
        <v>901376365225</v>
      </c>
      <c r="I532" s="10">
        <v>65543550356</v>
      </c>
      <c r="J532" s="10">
        <v>101176860</v>
      </c>
      <c r="K532" s="10">
        <v>835731638009</v>
      </c>
      <c r="L532" s="10">
        <v>623924266746</v>
      </c>
      <c r="M532" s="10">
        <v>277452098479</v>
      </c>
      <c r="N532" s="46">
        <v>44.468874391761872</v>
      </c>
      <c r="O532" s="10">
        <v>749843989509</v>
      </c>
      <c r="P532" s="11">
        <v>91.65</v>
      </c>
      <c r="Q532" s="11">
        <v>89.72</v>
      </c>
      <c r="R532" s="11">
        <v>4.9400000000000004</v>
      </c>
      <c r="S532" s="10">
        <v>728154683919</v>
      </c>
      <c r="T532" s="10">
        <v>39282361174</v>
      </c>
      <c r="U532" s="10">
        <v>14408012026</v>
      </c>
      <c r="V532" s="10">
        <v>12972219592</v>
      </c>
      <c r="W532" s="10">
        <v>11902129556</v>
      </c>
      <c r="X532" s="10">
        <v>767437045093</v>
      </c>
      <c r="Y532" s="10">
        <v>1513474319</v>
      </c>
      <c r="Z532" s="10">
        <v>44281909026</v>
      </c>
      <c r="AA532" s="10">
        <v>14380343260</v>
      </c>
      <c r="AB532" s="10">
        <v>826099297379</v>
      </c>
      <c r="AC532" s="10">
        <v>648633119017</v>
      </c>
      <c r="AD532" s="46">
        <v>18.316043783895388</v>
      </c>
      <c r="AE532" s="10">
        <v>435522463259</v>
      </c>
      <c r="AF532" s="10">
        <v>435522463259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1">
        <v>0</v>
      </c>
      <c r="AM532" s="10">
        <v>0</v>
      </c>
      <c r="AN532" s="11">
        <v>7</v>
      </c>
      <c r="AO532" s="10">
        <v>80559178275</v>
      </c>
      <c r="AP532" s="12">
        <v>1</v>
      </c>
      <c r="AQ532" s="10">
        <v>9000000000</v>
      </c>
      <c r="AR532" s="10">
        <v>39282361174</v>
      </c>
      <c r="AS532" s="10">
        <v>28261786267</v>
      </c>
      <c r="AT532" s="10">
        <v>11020574907</v>
      </c>
      <c r="AU532" s="13">
        <v>38.99</v>
      </c>
      <c r="AV532" s="10">
        <v>328164007008</v>
      </c>
      <c r="AW532" s="10">
        <v>75297849125</v>
      </c>
      <c r="AX532" s="10">
        <v>163010274550</v>
      </c>
      <c r="AY532" s="10">
        <v>186009619730</v>
      </c>
      <c r="AZ532" s="10">
        <v>274571995364</v>
      </c>
      <c r="BA532" s="10">
        <v>273443400000</v>
      </c>
      <c r="BB532" s="10">
        <v>146819826080</v>
      </c>
      <c r="BC532" s="10">
        <v>901376365225</v>
      </c>
      <c r="BD532" s="12">
        <v>61796</v>
      </c>
      <c r="BE532" s="10">
        <v>353360969861</v>
      </c>
      <c r="BF532" s="10">
        <v>274571995364</v>
      </c>
      <c r="BG532" s="10">
        <v>273443400000</v>
      </c>
      <c r="BH532" s="10">
        <v>355593163259</v>
      </c>
      <c r="BI532" s="10">
        <v>79929300000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</row>
    <row r="533" spans="1:67" x14ac:dyDescent="0.25">
      <c r="A533" s="25" t="s">
        <v>560</v>
      </c>
      <c r="B533" s="9">
        <v>3214</v>
      </c>
      <c r="C533" s="9" t="s">
        <v>575</v>
      </c>
      <c r="D533" s="10">
        <v>555223109320</v>
      </c>
      <c r="E533" s="10">
        <v>3010423841</v>
      </c>
      <c r="F533" s="10">
        <v>0</v>
      </c>
      <c r="G533" s="10">
        <v>0</v>
      </c>
      <c r="H533" s="10">
        <v>558233533161</v>
      </c>
      <c r="I533" s="10">
        <v>41713318124</v>
      </c>
      <c r="J533" s="10">
        <v>792964600</v>
      </c>
      <c r="K533" s="10">
        <v>515727250437</v>
      </c>
      <c r="L533" s="10">
        <v>570978071595</v>
      </c>
      <c r="M533" s="10">
        <v>-12744538434</v>
      </c>
      <c r="N533" s="46">
        <v>-2.232053920809733</v>
      </c>
      <c r="O533" s="10">
        <v>386188839657</v>
      </c>
      <c r="P533" s="11">
        <v>77.069999999999993</v>
      </c>
      <c r="Q533" s="11">
        <v>74.88</v>
      </c>
      <c r="R533" s="11">
        <v>3.06</v>
      </c>
      <c r="S533" s="10">
        <v>381397699057</v>
      </c>
      <c r="T533" s="10">
        <v>9831693873</v>
      </c>
      <c r="U533" s="10">
        <v>3566150694</v>
      </c>
      <c r="V533" s="10">
        <v>3986145028</v>
      </c>
      <c r="W533" s="10">
        <v>2279398151</v>
      </c>
      <c r="X533" s="10">
        <v>391229392930</v>
      </c>
      <c r="Y533" s="10">
        <v>3327462915</v>
      </c>
      <c r="Z533" s="10">
        <v>29268046943</v>
      </c>
      <c r="AA533" s="10">
        <v>9710000000</v>
      </c>
      <c r="AB533" s="10">
        <v>430207439873</v>
      </c>
      <c r="AC533" s="10">
        <v>319143885701</v>
      </c>
      <c r="AD533" s="46">
        <v>22.587149702293082</v>
      </c>
      <c r="AE533" s="10">
        <v>198435437233</v>
      </c>
      <c r="AF533" s="10">
        <v>198435437233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1">
        <v>0</v>
      </c>
      <c r="AM533" s="10">
        <v>0</v>
      </c>
      <c r="AN533" s="11">
        <v>3</v>
      </c>
      <c r="AO533" s="10">
        <v>660600000</v>
      </c>
      <c r="AP533" s="12">
        <v>1</v>
      </c>
      <c r="AQ533" s="10">
        <v>2000000000</v>
      </c>
      <c r="AR533" s="10">
        <v>9831693873</v>
      </c>
      <c r="AS533" s="10">
        <v>15499960113</v>
      </c>
      <c r="AT533" s="10">
        <v>-5668266240</v>
      </c>
      <c r="AU533" s="13">
        <v>-36.57</v>
      </c>
      <c r="AV533" s="10">
        <v>140206004039</v>
      </c>
      <c r="AW533" s="10">
        <v>47272873184</v>
      </c>
      <c r="AX533" s="10">
        <v>83691527841</v>
      </c>
      <c r="AY533" s="10">
        <v>161203149431</v>
      </c>
      <c r="AZ533" s="10">
        <v>83648432048</v>
      </c>
      <c r="BA533" s="10">
        <v>226680000000</v>
      </c>
      <c r="BB533" s="10">
        <v>15076328247</v>
      </c>
      <c r="BC533" s="10">
        <v>558233533161</v>
      </c>
      <c r="BD533" s="12">
        <v>29550</v>
      </c>
      <c r="BE533" s="10">
        <v>247905101113</v>
      </c>
      <c r="BF533" s="10">
        <v>83648432048</v>
      </c>
      <c r="BG533" s="10">
        <v>226680000000</v>
      </c>
      <c r="BH533" s="10">
        <v>152548845000</v>
      </c>
      <c r="BI533" s="10">
        <v>45886592233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</row>
    <row r="534" spans="1:67" x14ac:dyDescent="0.25">
      <c r="A534" s="25" t="s">
        <v>560</v>
      </c>
      <c r="B534" s="9">
        <v>3215</v>
      </c>
      <c r="C534" s="9" t="s">
        <v>576</v>
      </c>
      <c r="D534" s="10">
        <v>2746167799354</v>
      </c>
      <c r="E534" s="10">
        <v>448642671950</v>
      </c>
      <c r="F534" s="10">
        <v>0</v>
      </c>
      <c r="G534" s="10">
        <v>0</v>
      </c>
      <c r="H534" s="10">
        <v>3194810471304</v>
      </c>
      <c r="I534" s="10">
        <v>189961993330</v>
      </c>
      <c r="J534" s="10">
        <v>2466412000</v>
      </c>
      <c r="K534" s="10">
        <v>3002382065974</v>
      </c>
      <c r="L534" s="10">
        <v>1776994865475</v>
      </c>
      <c r="M534" s="10">
        <v>1417815605829</v>
      </c>
      <c r="N534" s="46">
        <v>79.787265195614992</v>
      </c>
      <c r="O534" s="10">
        <v>3846327872785</v>
      </c>
      <c r="P534" s="11">
        <v>139.91999999999999</v>
      </c>
      <c r="Q534" s="11">
        <v>128.11000000000001</v>
      </c>
      <c r="R534" s="11">
        <v>0.6</v>
      </c>
      <c r="S534" s="10">
        <v>4182034628093</v>
      </c>
      <c r="T534" s="10">
        <v>20746240746</v>
      </c>
      <c r="U534" s="10">
        <v>4846095352</v>
      </c>
      <c r="V534" s="10">
        <v>4883928256</v>
      </c>
      <c r="W534" s="10">
        <v>11016217138</v>
      </c>
      <c r="X534" s="10">
        <v>4202780868839</v>
      </c>
      <c r="Y534" s="10">
        <v>6155115934</v>
      </c>
      <c r="Z534" s="10">
        <v>236834938152</v>
      </c>
      <c r="AA534" s="10">
        <v>30480595000</v>
      </c>
      <c r="AB534" s="10">
        <v>4470096401991</v>
      </c>
      <c r="AC534" s="10">
        <v>2438911515727</v>
      </c>
      <c r="AD534" s="46">
        <v>72.321990434582005</v>
      </c>
      <c r="AE534" s="10">
        <v>3572240625578</v>
      </c>
      <c r="AF534" s="10">
        <v>3255539461200</v>
      </c>
      <c r="AG534" s="10">
        <v>533997878231</v>
      </c>
      <c r="AH534" s="10">
        <v>0</v>
      </c>
      <c r="AI534" s="10">
        <v>0</v>
      </c>
      <c r="AJ534" s="10">
        <v>0</v>
      </c>
      <c r="AK534" s="10">
        <v>0</v>
      </c>
      <c r="AL534" s="11">
        <v>7</v>
      </c>
      <c r="AM534" s="10">
        <v>586361845782</v>
      </c>
      <c r="AN534" s="11">
        <v>40</v>
      </c>
      <c r="AO534" s="10">
        <v>508205973153</v>
      </c>
      <c r="AP534" s="12">
        <v>37</v>
      </c>
      <c r="AQ534" s="10">
        <v>648373231804</v>
      </c>
      <c r="AR534" s="10">
        <v>20746240746</v>
      </c>
      <c r="AS534" s="10">
        <v>26831681805</v>
      </c>
      <c r="AT534" s="10">
        <v>-6085441059</v>
      </c>
      <c r="AU534" s="13">
        <v>-22.68</v>
      </c>
      <c r="AV534" s="10">
        <v>1737645836480</v>
      </c>
      <c r="AW534" s="10">
        <v>129619220641</v>
      </c>
      <c r="AX534" s="10">
        <v>1113899603879</v>
      </c>
      <c r="AY534" s="10">
        <v>156256182763</v>
      </c>
      <c r="AZ534" s="10">
        <v>435885878162</v>
      </c>
      <c r="BA534" s="10">
        <v>1040126134550</v>
      </c>
      <c r="BB534" s="10">
        <v>215071086929</v>
      </c>
      <c r="BC534" s="10">
        <v>3194810471304</v>
      </c>
      <c r="BD534" s="12">
        <v>72351</v>
      </c>
      <c r="BE534" s="10">
        <v>1412486482600</v>
      </c>
      <c r="BF534" s="10">
        <v>435885878162</v>
      </c>
      <c r="BG534" s="10">
        <v>1346438110542</v>
      </c>
      <c r="BH534" s="10">
        <v>2283354567068</v>
      </c>
      <c r="BI534" s="10">
        <v>1288886058510</v>
      </c>
      <c r="BJ534" s="10">
        <v>27071143618</v>
      </c>
      <c r="BK534" s="10">
        <v>0</v>
      </c>
      <c r="BL534" s="10">
        <v>512549646357</v>
      </c>
      <c r="BM534" s="10">
        <v>0</v>
      </c>
      <c r="BN534" s="10">
        <v>0</v>
      </c>
      <c r="BO534" s="10">
        <v>0</v>
      </c>
    </row>
    <row r="535" spans="1:67" x14ac:dyDescent="0.25">
      <c r="A535" s="25" t="s">
        <v>560</v>
      </c>
      <c r="B535" s="26">
        <v>3216</v>
      </c>
      <c r="C535" s="26" t="s">
        <v>577</v>
      </c>
      <c r="D535" s="27">
        <v>2441213028378</v>
      </c>
      <c r="E535" s="27">
        <v>25590762047</v>
      </c>
      <c r="F535" s="27">
        <v>0</v>
      </c>
      <c r="G535" s="27">
        <v>0</v>
      </c>
      <c r="H535" s="27">
        <v>2466803790425</v>
      </c>
      <c r="I535" s="27">
        <v>186643775981</v>
      </c>
      <c r="J535" s="27">
        <v>1201315173</v>
      </c>
      <c r="K535" s="27">
        <v>2278958699271</v>
      </c>
      <c r="L535" s="27">
        <v>1283118222290</v>
      </c>
      <c r="M535" s="10">
        <v>1183685568135</v>
      </c>
      <c r="N535" s="46">
        <v>92.250702045401468</v>
      </c>
      <c r="O535" s="27">
        <v>3937022597556</v>
      </c>
      <c r="P535" s="28">
        <v>183.2</v>
      </c>
      <c r="Q535" s="28">
        <v>172.76</v>
      </c>
      <c r="R535" s="28">
        <v>4.72</v>
      </c>
      <c r="S535" s="27">
        <v>4185355577317</v>
      </c>
      <c r="T535" s="27">
        <v>208034365987</v>
      </c>
      <c r="U535" s="27">
        <v>4830117829</v>
      </c>
      <c r="V535" s="27">
        <v>1658794488</v>
      </c>
      <c r="W535" s="27">
        <v>201545453670</v>
      </c>
      <c r="X535" s="27">
        <v>4393389943304</v>
      </c>
      <c r="Y535" s="10">
        <v>5223079762</v>
      </c>
      <c r="Z535" s="27">
        <v>99140966466</v>
      </c>
      <c r="AA535" s="27">
        <v>26574129445</v>
      </c>
      <c r="AB535" s="27">
        <v>4519105039215</v>
      </c>
      <c r="AC535" s="27">
        <v>1114038676426</v>
      </c>
      <c r="AD535" s="46">
        <v>294.36601585491104</v>
      </c>
      <c r="AE535" s="27">
        <v>7152538080091</v>
      </c>
      <c r="AF535" s="27">
        <v>7017947401518</v>
      </c>
      <c r="AG535" s="27">
        <v>3538984238568</v>
      </c>
      <c r="AH535" s="27">
        <v>99168543008</v>
      </c>
      <c r="AI535" s="27">
        <v>2688000000000</v>
      </c>
      <c r="AJ535" s="27">
        <v>0</v>
      </c>
      <c r="AK535" s="27">
        <v>0</v>
      </c>
      <c r="AL535" s="28">
        <v>12</v>
      </c>
      <c r="AM535" s="27">
        <v>3964990885609</v>
      </c>
      <c r="AN535" s="28">
        <v>37</v>
      </c>
      <c r="AO535" s="27">
        <v>584859452127</v>
      </c>
      <c r="AP535" s="12">
        <v>8</v>
      </c>
      <c r="AQ535" s="10">
        <v>122988775900</v>
      </c>
      <c r="AR535" s="27">
        <v>208034365987</v>
      </c>
      <c r="AS535" s="27">
        <v>6859155268</v>
      </c>
      <c r="AT535" s="27">
        <v>201175210719</v>
      </c>
      <c r="AU535" s="43">
        <v>2932.94</v>
      </c>
      <c r="AV535" s="27">
        <v>3871493392096</v>
      </c>
      <c r="AW535" s="27">
        <v>3222237495119</v>
      </c>
      <c r="AX535" s="27">
        <v>320836979735</v>
      </c>
      <c r="AY535" s="27">
        <v>120162633815</v>
      </c>
      <c r="AZ535" s="27">
        <v>498593362859</v>
      </c>
      <c r="BA535" s="27">
        <v>1501620051969</v>
      </c>
      <c r="BB535" s="27">
        <v>409389219985</v>
      </c>
      <c r="BC535" s="27">
        <v>2466803790425</v>
      </c>
      <c r="BD535" s="29">
        <v>17836</v>
      </c>
      <c r="BE535" s="27">
        <v>466590375597</v>
      </c>
      <c r="BF535" s="27">
        <v>498593362859</v>
      </c>
      <c r="BG535" s="27">
        <v>1501620051969</v>
      </c>
      <c r="BH535" s="27">
        <v>6802748080091</v>
      </c>
      <c r="BI535" s="27">
        <v>349790000000</v>
      </c>
      <c r="BJ535" s="27">
        <v>0</v>
      </c>
      <c r="BK535" s="27">
        <v>200505423614</v>
      </c>
      <c r="BL535" s="27">
        <v>479457206216</v>
      </c>
      <c r="BM535" s="27">
        <v>0</v>
      </c>
      <c r="BN535" s="27">
        <v>0</v>
      </c>
      <c r="BO535" s="27">
        <v>99168543008</v>
      </c>
    </row>
    <row r="536" spans="1:67" x14ac:dyDescent="0.25">
      <c r="A536" s="25" t="s">
        <v>560</v>
      </c>
      <c r="B536" s="28">
        <v>3217</v>
      </c>
      <c r="C536" s="28" t="s">
        <v>578</v>
      </c>
      <c r="D536" s="27">
        <v>732392101651</v>
      </c>
      <c r="E536" s="27">
        <v>2410725596</v>
      </c>
      <c r="F536" s="27">
        <v>0</v>
      </c>
      <c r="G536" s="27">
        <v>0</v>
      </c>
      <c r="H536" s="27">
        <v>734802827247</v>
      </c>
      <c r="I536" s="27">
        <v>52557748253</v>
      </c>
      <c r="J536" s="27">
        <v>689562477</v>
      </c>
      <c r="K536" s="27">
        <v>681555516517</v>
      </c>
      <c r="L536" s="27">
        <v>248033433469</v>
      </c>
      <c r="M536" s="10">
        <v>486769393778</v>
      </c>
      <c r="N536" s="46">
        <v>196.25152422801821</v>
      </c>
      <c r="O536" s="27">
        <v>235929584389</v>
      </c>
      <c r="P536" s="28">
        <v>38.020000000000003</v>
      </c>
      <c r="Q536" s="28">
        <v>34.619999999999997</v>
      </c>
      <c r="R536" s="28">
        <v>0.11</v>
      </c>
      <c r="S536" s="27">
        <v>247999531681</v>
      </c>
      <c r="T536" s="27">
        <v>306961676</v>
      </c>
      <c r="U536" s="27">
        <v>306961676</v>
      </c>
      <c r="V536" s="27">
        <v>0</v>
      </c>
      <c r="W536" s="27">
        <v>0</v>
      </c>
      <c r="X536" s="27">
        <v>248306493357</v>
      </c>
      <c r="Y536" s="10">
        <v>0</v>
      </c>
      <c r="Z536" s="27">
        <v>16536950256</v>
      </c>
      <c r="AA536" s="27">
        <v>14515750000</v>
      </c>
      <c r="AB536" s="27">
        <v>279359193613</v>
      </c>
      <c r="AC536" s="27">
        <v>47353950527</v>
      </c>
      <c r="AD536" s="46">
        <v>424.36278408371032</v>
      </c>
      <c r="AE536" s="27">
        <v>225151624866</v>
      </c>
      <c r="AF536" s="27">
        <v>225151624866</v>
      </c>
      <c r="AG536" s="27">
        <v>0</v>
      </c>
      <c r="AH536" s="27">
        <v>0</v>
      </c>
      <c r="AI536" s="27">
        <v>0</v>
      </c>
      <c r="AJ536" s="27">
        <v>0</v>
      </c>
      <c r="AK536" s="27">
        <v>0</v>
      </c>
      <c r="AL536" s="29">
        <v>0</v>
      </c>
      <c r="AM536" s="27">
        <v>0</v>
      </c>
      <c r="AN536" s="29">
        <v>29</v>
      </c>
      <c r="AO536" s="27">
        <v>33593804124</v>
      </c>
      <c r="AP536" s="12">
        <v>2</v>
      </c>
      <c r="AQ536" s="10">
        <v>3838882212</v>
      </c>
      <c r="AR536" s="27">
        <v>306961676</v>
      </c>
      <c r="AS536" s="27">
        <v>0</v>
      </c>
      <c r="AT536" s="27">
        <v>306961676</v>
      </c>
      <c r="AU536" s="28" t="s">
        <v>593</v>
      </c>
      <c r="AV536" s="27">
        <v>42415166168</v>
      </c>
      <c r="AW536" s="27">
        <v>578472622</v>
      </c>
      <c r="AX536" s="27">
        <v>75439739051</v>
      </c>
      <c r="AY536" s="27">
        <v>19251607730</v>
      </c>
      <c r="AZ536" s="27">
        <v>254470754870</v>
      </c>
      <c r="BA536" s="27">
        <v>383230000000</v>
      </c>
      <c r="BB536" s="27">
        <v>254426131913</v>
      </c>
      <c r="BC536" s="27">
        <v>734802827247</v>
      </c>
      <c r="BD536" s="29">
        <v>3507</v>
      </c>
      <c r="BE536" s="27">
        <v>97102072377</v>
      </c>
      <c r="BF536" s="27">
        <v>254470754870</v>
      </c>
      <c r="BG536" s="27">
        <v>383230000000</v>
      </c>
      <c r="BH536" s="27">
        <v>183851804241</v>
      </c>
      <c r="BI536" s="27">
        <v>41299820625</v>
      </c>
      <c r="BJ536" s="27">
        <v>0</v>
      </c>
      <c r="BK536" s="27">
        <v>0</v>
      </c>
      <c r="BL536" s="27">
        <v>0</v>
      </c>
      <c r="BM536" s="27">
        <v>0</v>
      </c>
      <c r="BN536" s="27">
        <v>0</v>
      </c>
      <c r="BO536" s="27">
        <v>0</v>
      </c>
    </row>
    <row r="537" spans="1:67" x14ac:dyDescent="0.25">
      <c r="A537" s="25" t="s">
        <v>560</v>
      </c>
      <c r="B537" s="28">
        <v>3299</v>
      </c>
      <c r="C537" s="28" t="s">
        <v>579</v>
      </c>
      <c r="D537" s="27">
        <v>0</v>
      </c>
      <c r="E537" s="27">
        <v>4129681900</v>
      </c>
      <c r="F537" s="27">
        <v>0</v>
      </c>
      <c r="G537" s="27">
        <v>0</v>
      </c>
      <c r="H537" s="27">
        <v>4129681900</v>
      </c>
      <c r="I537" s="27">
        <v>349587914</v>
      </c>
      <c r="J537" s="27">
        <v>2591780000</v>
      </c>
      <c r="K537" s="27">
        <v>1188313986</v>
      </c>
      <c r="L537" s="27">
        <v>1942110696</v>
      </c>
      <c r="M537" s="10">
        <v>2187571204</v>
      </c>
      <c r="N537" s="46">
        <v>112.63885258989377</v>
      </c>
      <c r="O537" s="27">
        <v>0</v>
      </c>
      <c r="P537" s="28">
        <v>0</v>
      </c>
      <c r="Q537" s="28">
        <v>0</v>
      </c>
      <c r="R537" s="28">
        <v>0</v>
      </c>
      <c r="S537" s="27">
        <v>0</v>
      </c>
      <c r="T537" s="27">
        <v>0</v>
      </c>
      <c r="U537" s="27">
        <v>0</v>
      </c>
      <c r="V537" s="27">
        <v>0</v>
      </c>
      <c r="W537" s="27">
        <v>0</v>
      </c>
      <c r="X537" s="27">
        <v>0</v>
      </c>
      <c r="Y537" s="10">
        <v>0</v>
      </c>
      <c r="Z537" s="27">
        <v>0</v>
      </c>
      <c r="AA537" s="27">
        <v>0</v>
      </c>
      <c r="AB537" s="27">
        <v>0</v>
      </c>
      <c r="AC537" s="27">
        <v>0</v>
      </c>
      <c r="AD537" s="46" t="s">
        <v>595</v>
      </c>
      <c r="AE537" s="27">
        <v>0</v>
      </c>
      <c r="AF537" s="27">
        <v>0</v>
      </c>
      <c r="AG537" s="27">
        <v>0</v>
      </c>
      <c r="AH537" s="27">
        <v>0</v>
      </c>
      <c r="AI537" s="27">
        <v>0</v>
      </c>
      <c r="AJ537" s="27">
        <v>0</v>
      </c>
      <c r="AK537" s="27">
        <v>0</v>
      </c>
      <c r="AL537" s="29">
        <v>0</v>
      </c>
      <c r="AM537" s="27">
        <v>0</v>
      </c>
      <c r="AN537" s="29">
        <v>0</v>
      </c>
      <c r="AO537" s="27">
        <v>0</v>
      </c>
      <c r="AP537" s="12">
        <v>0</v>
      </c>
      <c r="AQ537" s="10">
        <v>0</v>
      </c>
      <c r="AR537" s="27">
        <v>0</v>
      </c>
      <c r="AS537" s="27">
        <v>0</v>
      </c>
      <c r="AT537" s="27">
        <v>0</v>
      </c>
      <c r="AU537" s="28" t="s">
        <v>593</v>
      </c>
      <c r="AV537" s="27">
        <v>0</v>
      </c>
      <c r="AW537" s="27">
        <v>0</v>
      </c>
      <c r="AX537" s="27">
        <v>0</v>
      </c>
      <c r="AY537" s="27">
        <v>0</v>
      </c>
      <c r="AZ537" s="27">
        <v>0</v>
      </c>
      <c r="BA537" s="27">
        <v>0</v>
      </c>
      <c r="BB537" s="27">
        <v>0</v>
      </c>
      <c r="BC537" s="27">
        <v>4129681900</v>
      </c>
      <c r="BD537" s="29">
        <v>0</v>
      </c>
      <c r="BE537" s="27">
        <v>4129681900</v>
      </c>
      <c r="BF537" s="27">
        <v>0</v>
      </c>
      <c r="BG537" s="27">
        <v>0</v>
      </c>
      <c r="BH537" s="27">
        <v>0</v>
      </c>
      <c r="BI537" s="27">
        <v>0</v>
      </c>
      <c r="BJ537" s="27">
        <v>0</v>
      </c>
      <c r="BK537" s="27">
        <v>0</v>
      </c>
      <c r="BL537" s="27">
        <v>0</v>
      </c>
      <c r="BM537" s="27">
        <v>0</v>
      </c>
      <c r="BN537" s="27">
        <v>0</v>
      </c>
      <c r="BO537" s="27">
        <v>0</v>
      </c>
    </row>
    <row r="538" spans="1:67" x14ac:dyDescent="0.25">
      <c r="A538" s="19" t="s">
        <v>628</v>
      </c>
      <c r="B538" s="20" t="s">
        <v>593</v>
      </c>
      <c r="C538" s="20" t="s">
        <v>593</v>
      </c>
      <c r="D538" s="21">
        <v>24757285701486</v>
      </c>
      <c r="E538" s="21">
        <v>1185342755169</v>
      </c>
      <c r="F538" s="21">
        <v>157500300000</v>
      </c>
      <c r="G538" s="21">
        <v>3224781813</v>
      </c>
      <c r="H538" s="21">
        <v>26103353538468</v>
      </c>
      <c r="I538" s="21">
        <v>1898761765994</v>
      </c>
      <c r="J538" s="21">
        <v>61654123106</v>
      </c>
      <c r="K538" s="21">
        <v>24142937649368</v>
      </c>
      <c r="L538" s="21">
        <v>17689922805864</v>
      </c>
      <c r="M538" s="21">
        <v>8413430732604</v>
      </c>
      <c r="N538" s="47">
        <v>47.560584774372487</v>
      </c>
      <c r="O538" s="21">
        <v>25682459586155</v>
      </c>
      <c r="P538" s="22">
        <v>117.22</v>
      </c>
      <c r="Q538" s="22">
        <v>106.38</v>
      </c>
      <c r="R538" s="22">
        <v>2.92</v>
      </c>
      <c r="S538" s="21">
        <v>28083060801806</v>
      </c>
      <c r="T538" s="21">
        <v>814629335614</v>
      </c>
      <c r="U538" s="21">
        <v>250667598497</v>
      </c>
      <c r="V538" s="21">
        <v>226256714480</v>
      </c>
      <c r="W538" s="21">
        <v>337705022637</v>
      </c>
      <c r="X538" s="21">
        <v>28897690137420</v>
      </c>
      <c r="Y538" s="21">
        <v>78474678070</v>
      </c>
      <c r="Z538" s="21">
        <v>1391618044673</v>
      </c>
      <c r="AA538" s="21">
        <v>308667206952</v>
      </c>
      <c r="AB538" s="21">
        <v>30597975389045</v>
      </c>
      <c r="AC538" s="21">
        <v>19179717074420</v>
      </c>
      <c r="AD538" s="47">
        <v>50.667968798981221</v>
      </c>
      <c r="AE538" s="21">
        <v>27198668709059</v>
      </c>
      <c r="AF538" s="21">
        <v>26043716104294</v>
      </c>
      <c r="AG538" s="21">
        <v>7898605941260</v>
      </c>
      <c r="AH538" s="21">
        <v>369124321455</v>
      </c>
      <c r="AI538" s="21">
        <v>2787232763534</v>
      </c>
      <c r="AJ538" s="21">
        <v>110000000000</v>
      </c>
      <c r="AK538" s="21">
        <v>34009333563</v>
      </c>
      <c r="AL538" s="22">
        <v>51</v>
      </c>
      <c r="AM538" s="21">
        <v>9790794798740</v>
      </c>
      <c r="AN538" s="22">
        <v>466</v>
      </c>
      <c r="AO538" s="21">
        <v>5884082309063</v>
      </c>
      <c r="AP538" s="23">
        <v>311</v>
      </c>
      <c r="AQ538" s="21">
        <v>4834574979662</v>
      </c>
      <c r="AR538" s="21">
        <v>814629335614</v>
      </c>
      <c r="AS538" s="21">
        <v>400299070707</v>
      </c>
      <c r="AT538" s="21">
        <v>414330264907</v>
      </c>
      <c r="AU538" s="22">
        <v>103.51</v>
      </c>
      <c r="AV538" s="21">
        <v>17573880251133</v>
      </c>
      <c r="AW538" s="21">
        <v>5487762387802</v>
      </c>
      <c r="AX538" s="21">
        <v>5541839062734</v>
      </c>
      <c r="AY538" s="21">
        <v>2442472833048</v>
      </c>
      <c r="AZ538" s="21">
        <v>4716736912604</v>
      </c>
      <c r="BA538" s="21">
        <v>12056236893100</v>
      </c>
      <c r="BB538" s="21">
        <v>2535675688340</v>
      </c>
      <c r="BC538" s="21">
        <v>26103353538468</v>
      </c>
      <c r="BD538" s="23">
        <v>948200</v>
      </c>
      <c r="BE538" s="21">
        <v>8700421028085</v>
      </c>
      <c r="BF538" s="21">
        <v>4872837212604</v>
      </c>
      <c r="BG538" s="21">
        <v>12530095297779</v>
      </c>
      <c r="BH538" s="21">
        <v>21601008749440</v>
      </c>
      <c r="BI538" s="21">
        <v>5597659959619</v>
      </c>
      <c r="BJ538" s="21">
        <v>153594674495</v>
      </c>
      <c r="BK538" s="21">
        <v>210505263614</v>
      </c>
      <c r="BL538" s="21">
        <v>4599706015940</v>
      </c>
      <c r="BM538" s="21">
        <v>0</v>
      </c>
      <c r="BN538" s="21">
        <v>16437191877</v>
      </c>
      <c r="BO538" s="21">
        <v>341013721455</v>
      </c>
    </row>
    <row r="539" spans="1:67" x14ac:dyDescent="0.25">
      <c r="A539" s="40" t="s">
        <v>580</v>
      </c>
      <c r="B539" s="41" t="s">
        <v>593</v>
      </c>
      <c r="C539" s="42" t="s">
        <v>593</v>
      </c>
      <c r="D539" s="37">
        <v>904058496113686</v>
      </c>
      <c r="E539" s="37">
        <v>62319611800850</v>
      </c>
      <c r="F539" s="37">
        <v>42372772200846</v>
      </c>
      <c r="G539" s="37">
        <v>12757471202120</v>
      </c>
      <c r="H539" s="37">
        <v>1021508351317500</v>
      </c>
      <c r="I539" s="37">
        <v>77045697000000</v>
      </c>
      <c r="J539" s="37">
        <v>39707954307121</v>
      </c>
      <c r="K539" s="37">
        <v>904754700010381</v>
      </c>
      <c r="L539" s="37">
        <v>738286221108813</v>
      </c>
      <c r="M539" s="37">
        <v>283222130208687</v>
      </c>
      <c r="N539" s="45">
        <v>38.362104304658835</v>
      </c>
      <c r="O539" s="37">
        <v>919820604425256</v>
      </c>
      <c r="P539" s="33">
        <v>109.16</v>
      </c>
      <c r="Q539" s="33">
        <v>101.67</v>
      </c>
      <c r="R539" s="33">
        <v>5.0999999999999996</v>
      </c>
      <c r="S539" s="37">
        <v>996824898873968</v>
      </c>
      <c r="T539" s="37">
        <v>47623604201304</v>
      </c>
      <c r="U539" s="37">
        <v>9971086954086</v>
      </c>
      <c r="V539" s="37">
        <v>7904631832620</v>
      </c>
      <c r="W539" s="37">
        <v>29747885414598</v>
      </c>
      <c r="X539" s="37">
        <v>1044448503075270</v>
      </c>
      <c r="Y539" s="37">
        <v>9190107965002</v>
      </c>
      <c r="Z539" s="37">
        <v>62067386902162</v>
      </c>
      <c r="AA539" s="37">
        <v>8514061315485</v>
      </c>
      <c r="AB539" s="37">
        <v>1115029951292920</v>
      </c>
      <c r="AC539" s="37">
        <v>729356184834281</v>
      </c>
      <c r="AD539" s="50">
        <v>43.201432275861485</v>
      </c>
      <c r="AE539" s="37">
        <v>923283953157537</v>
      </c>
      <c r="AF539" s="37">
        <v>896137654775434</v>
      </c>
      <c r="AG539" s="37">
        <v>280305323647155</v>
      </c>
      <c r="AH539" s="37">
        <v>13323501697545</v>
      </c>
      <c r="AI539" s="37">
        <v>13961226636062</v>
      </c>
      <c r="AJ539" s="37">
        <v>1085486676000</v>
      </c>
      <c r="AK539" s="37">
        <v>7714630874529</v>
      </c>
      <c r="AL539" s="34">
        <v>2502</v>
      </c>
      <c r="AM539" s="37">
        <v>368589340925914</v>
      </c>
      <c r="AN539" s="34">
        <v>42035</v>
      </c>
      <c r="AO539" s="37">
        <v>467060837786969</v>
      </c>
      <c r="AP539" s="34">
        <v>24205</v>
      </c>
      <c r="AQ539" s="37">
        <v>222893742327590</v>
      </c>
      <c r="AR539" s="37">
        <v>47623604201304</v>
      </c>
      <c r="AS539" s="37">
        <v>21584273358094</v>
      </c>
      <c r="AT539" s="37">
        <v>26039330843210</v>
      </c>
      <c r="AU539" s="33">
        <v>120.64</v>
      </c>
      <c r="AV539" s="37">
        <v>646054254364029</v>
      </c>
      <c r="AW539" s="37">
        <v>144884152300489</v>
      </c>
      <c r="AX539" s="37">
        <v>186579831572957</v>
      </c>
      <c r="AY539" s="37">
        <v>112949313285909</v>
      </c>
      <c r="AZ539" s="37">
        <v>188903593012271</v>
      </c>
      <c r="BA539" s="37">
        <v>415625758242549</v>
      </c>
      <c r="BB539" s="37">
        <v>115917591096989</v>
      </c>
      <c r="BC539" s="37">
        <v>963562810173208</v>
      </c>
      <c r="BD539" s="34">
        <v>29816463</v>
      </c>
      <c r="BE539" s="37">
        <v>366491909148067</v>
      </c>
      <c r="BF539" s="37">
        <v>231239656743117</v>
      </c>
      <c r="BG539" s="37">
        <v>423776785426318</v>
      </c>
      <c r="BH539" s="37">
        <v>655857627032085</v>
      </c>
      <c r="BI539" s="37">
        <v>267426326125452</v>
      </c>
      <c r="BJ539" s="37">
        <v>19461621307018</v>
      </c>
      <c r="BK539" s="37">
        <v>21436657919460</v>
      </c>
      <c r="BL539" s="37">
        <v>254454469519878</v>
      </c>
      <c r="BM539" s="37">
        <v>1193800594539</v>
      </c>
      <c r="BN539" s="37">
        <v>1292831280728</v>
      </c>
      <c r="BO539" s="37">
        <v>12188757563183</v>
      </c>
    </row>
    <row r="540" spans="1:67" s="32" customFormat="1" x14ac:dyDescent="0.25">
      <c r="D540" s="32">
        <v>904058496113686</v>
      </c>
      <c r="E540" s="32">
        <v>62319611800850</v>
      </c>
      <c r="F540" s="32">
        <v>42372772200846</v>
      </c>
      <c r="G540" s="32">
        <v>12757471202120</v>
      </c>
      <c r="H540" s="32">
        <v>1021508351317500</v>
      </c>
      <c r="I540" s="32">
        <v>77045697000000</v>
      </c>
      <c r="J540" s="32">
        <v>39707954307121</v>
      </c>
      <c r="K540" s="32">
        <v>904754700010381</v>
      </c>
      <c r="O540" s="32">
        <v>919907085273276</v>
      </c>
      <c r="P540" s="32">
        <f>109.16</f>
        <v>109.16</v>
      </c>
      <c r="Q540" s="32">
        <f>101.67</f>
        <v>101.67</v>
      </c>
      <c r="R540" s="32">
        <f>5.1</f>
        <v>5.0999999999999996</v>
      </c>
      <c r="S540" s="32">
        <v>996824898873968</v>
      </c>
      <c r="T540" s="32">
        <v>47710085049324</v>
      </c>
      <c r="U540" s="32">
        <v>9971086954086</v>
      </c>
      <c r="V540" s="32">
        <v>7904631832620</v>
      </c>
      <c r="W540" s="32">
        <v>29834366262618</v>
      </c>
      <c r="X540" s="32">
        <v>1044534983923290</v>
      </c>
      <c r="Y540" s="32">
        <v>9190107965002</v>
      </c>
      <c r="Z540" s="32">
        <v>62067386902162</v>
      </c>
      <c r="AA540" s="32">
        <v>8514061315485</v>
      </c>
      <c r="AB540" s="32">
        <v>1115116432140940</v>
      </c>
      <c r="AC540" s="32">
        <v>0</v>
      </c>
      <c r="AE540" s="32">
        <v>923232953157537</v>
      </c>
      <c r="AF540" s="32">
        <v>896086654775434</v>
      </c>
      <c r="AG540" s="32">
        <v>280305323647155</v>
      </c>
      <c r="AH540" s="32">
        <v>13323501697545</v>
      </c>
      <c r="AI540" s="32">
        <v>13961226636062</v>
      </c>
      <c r="AJ540" s="32">
        <v>1085486676000</v>
      </c>
      <c r="AK540" s="32">
        <v>7714630874529</v>
      </c>
      <c r="AL540" s="32">
        <v>2501</v>
      </c>
      <c r="AM540" s="32">
        <v>366437586310571</v>
      </c>
      <c r="AN540" s="32">
        <v>42035</v>
      </c>
      <c r="AO540" s="32">
        <v>467060837786969</v>
      </c>
      <c r="AP540" s="32">
        <v>24205</v>
      </c>
      <c r="AQ540" s="32">
        <v>222995427727590</v>
      </c>
      <c r="AR540" s="32">
        <v>47710085049324</v>
      </c>
      <c r="AV540" s="32">
        <v>646053194758186</v>
      </c>
      <c r="AW540" s="32">
        <v>17640983199766</v>
      </c>
      <c r="AX540" s="32">
        <v>186579831572957</v>
      </c>
      <c r="AY540" s="32">
        <v>112949313285909</v>
      </c>
      <c r="AZ540" s="32">
        <v>188903593012271</v>
      </c>
      <c r="BA540" s="32">
        <v>415625758242549</v>
      </c>
      <c r="BB540" s="32">
        <v>115917591096989</v>
      </c>
      <c r="BC540" s="32">
        <v>963562810173208</v>
      </c>
      <c r="BD540" s="32">
        <v>28746751</v>
      </c>
      <c r="BE540" s="32">
        <v>366491909148067</v>
      </c>
      <c r="BF540" s="32">
        <v>231239656743117</v>
      </c>
      <c r="BG540" s="32">
        <v>423776785426318</v>
      </c>
      <c r="BH540" s="32">
        <v>658899861120001</v>
      </c>
      <c r="BI540" s="32">
        <v>264333092037536</v>
      </c>
      <c r="BJ540" s="32">
        <v>19471702686048</v>
      </c>
      <c r="BK540" s="32">
        <v>21892724453571</v>
      </c>
      <c r="BL540" s="32">
        <v>254454469519878</v>
      </c>
      <c r="BM540" s="32">
        <v>1193800594539</v>
      </c>
      <c r="BN540" s="32">
        <v>1292831280728</v>
      </c>
      <c r="BO540" s="32">
        <v>12188757563183</v>
      </c>
    </row>
    <row r="541" spans="1:67" x14ac:dyDescent="0.25">
      <c r="D541" s="59">
        <f>D539-D540</f>
        <v>0</v>
      </c>
      <c r="E541" s="59">
        <f t="shared" ref="E541:BO541" si="0">E539-E540</f>
        <v>0</v>
      </c>
      <c r="F541" s="59">
        <f t="shared" si="0"/>
        <v>0</v>
      </c>
      <c r="G541" s="59">
        <f t="shared" si="0"/>
        <v>0</v>
      </c>
      <c r="H541" s="59">
        <f t="shared" si="0"/>
        <v>0</v>
      </c>
      <c r="I541" s="59">
        <f t="shared" si="0"/>
        <v>0</v>
      </c>
      <c r="J541" s="59">
        <f t="shared" si="0"/>
        <v>0</v>
      </c>
      <c r="K541" s="59">
        <f t="shared" si="0"/>
        <v>0</v>
      </c>
      <c r="L541" s="59">
        <v>0</v>
      </c>
      <c r="M541" s="59">
        <v>0</v>
      </c>
      <c r="N541" s="59">
        <f t="shared" si="0"/>
        <v>38.362104304658835</v>
      </c>
      <c r="O541" s="59">
        <f t="shared" si="0"/>
        <v>-86480848020</v>
      </c>
      <c r="P541" s="59">
        <f t="shared" si="0"/>
        <v>0</v>
      </c>
      <c r="Q541" s="59">
        <f t="shared" si="0"/>
        <v>0</v>
      </c>
      <c r="R541" s="59">
        <f t="shared" si="0"/>
        <v>0</v>
      </c>
      <c r="S541" s="59">
        <f t="shared" si="0"/>
        <v>0</v>
      </c>
      <c r="T541" s="59">
        <f t="shared" si="0"/>
        <v>-86480848020</v>
      </c>
      <c r="U541" s="59">
        <f t="shared" si="0"/>
        <v>0</v>
      </c>
      <c r="V541" s="59">
        <f t="shared" si="0"/>
        <v>0</v>
      </c>
      <c r="W541" s="59">
        <f t="shared" si="0"/>
        <v>-86480848020</v>
      </c>
      <c r="X541" s="59">
        <f t="shared" si="0"/>
        <v>-86480848020</v>
      </c>
      <c r="Y541" s="59">
        <f t="shared" si="0"/>
        <v>0</v>
      </c>
      <c r="Z541" s="59">
        <f t="shared" si="0"/>
        <v>0</v>
      </c>
      <c r="AA541" s="59">
        <f t="shared" si="0"/>
        <v>0</v>
      </c>
      <c r="AB541" s="59">
        <f t="shared" si="0"/>
        <v>-86480848020</v>
      </c>
      <c r="AC541" s="59">
        <v>0</v>
      </c>
      <c r="AD541" s="59">
        <f t="shared" si="0"/>
        <v>43.201432275861485</v>
      </c>
      <c r="AE541" s="59">
        <f t="shared" si="0"/>
        <v>51000000000</v>
      </c>
      <c r="AF541" s="59">
        <f t="shared" si="0"/>
        <v>51000000000</v>
      </c>
      <c r="AG541" s="59">
        <f t="shared" si="0"/>
        <v>0</v>
      </c>
      <c r="AH541" s="59">
        <f t="shared" si="0"/>
        <v>0</v>
      </c>
      <c r="AI541" s="59">
        <f t="shared" si="0"/>
        <v>0</v>
      </c>
      <c r="AJ541" s="59">
        <f t="shared" si="0"/>
        <v>0</v>
      </c>
      <c r="AK541" s="59">
        <f t="shared" si="0"/>
        <v>0</v>
      </c>
      <c r="AL541" s="60">
        <f t="shared" si="0"/>
        <v>1</v>
      </c>
      <c r="AM541" s="59">
        <f t="shared" si="0"/>
        <v>2151754615343</v>
      </c>
      <c r="AN541" s="59">
        <f t="shared" si="0"/>
        <v>0</v>
      </c>
      <c r="AO541" s="59">
        <f t="shared" si="0"/>
        <v>0</v>
      </c>
      <c r="AP541" s="59">
        <f t="shared" si="0"/>
        <v>0</v>
      </c>
      <c r="AQ541" s="59">
        <f t="shared" si="0"/>
        <v>-101685400000</v>
      </c>
      <c r="AR541" s="59">
        <f t="shared" si="0"/>
        <v>-86480848020</v>
      </c>
      <c r="AS541" s="59"/>
      <c r="AT541" s="59"/>
      <c r="AU541" s="59">
        <f t="shared" si="0"/>
        <v>120.64</v>
      </c>
      <c r="AV541" s="59">
        <f t="shared" si="0"/>
        <v>1059605843</v>
      </c>
      <c r="AW541" s="59">
        <f t="shared" si="0"/>
        <v>127243169100723</v>
      </c>
      <c r="AX541" s="59">
        <f t="shared" si="0"/>
        <v>0</v>
      </c>
      <c r="AY541" s="59">
        <f t="shared" si="0"/>
        <v>0</v>
      </c>
      <c r="AZ541" s="59">
        <f t="shared" si="0"/>
        <v>0</v>
      </c>
      <c r="BA541" s="59">
        <f t="shared" si="0"/>
        <v>0</v>
      </c>
      <c r="BB541" s="59">
        <f t="shared" si="0"/>
        <v>0</v>
      </c>
      <c r="BC541" s="59">
        <f t="shared" si="0"/>
        <v>0</v>
      </c>
      <c r="BD541" s="59">
        <f t="shared" si="0"/>
        <v>1069712</v>
      </c>
      <c r="BE541" s="59">
        <f t="shared" si="0"/>
        <v>0</v>
      </c>
      <c r="BF541" s="59">
        <f t="shared" si="0"/>
        <v>0</v>
      </c>
      <c r="BG541" s="59">
        <f t="shared" si="0"/>
        <v>0</v>
      </c>
      <c r="BH541" s="59">
        <f t="shared" si="0"/>
        <v>-3042234087916</v>
      </c>
      <c r="BI541" s="59">
        <f t="shared" si="0"/>
        <v>3093234087916</v>
      </c>
      <c r="BJ541" s="59">
        <f t="shared" si="0"/>
        <v>-10081379030</v>
      </c>
      <c r="BK541" s="59">
        <f t="shared" si="0"/>
        <v>-456066534111</v>
      </c>
      <c r="BL541" s="59">
        <f t="shared" si="0"/>
        <v>0</v>
      </c>
      <c r="BM541" s="59">
        <f t="shared" si="0"/>
        <v>0</v>
      </c>
      <c r="BN541" s="59">
        <f t="shared" si="0"/>
        <v>0</v>
      </c>
      <c r="BO541" s="59">
        <f t="shared" si="0"/>
        <v>0</v>
      </c>
    </row>
    <row r="542" spans="1:67" x14ac:dyDescent="0.25">
      <c r="K542"/>
    </row>
    <row r="543" spans="1:67" x14ac:dyDescent="0.25">
      <c r="K543"/>
    </row>
  </sheetData>
  <mergeCells count="1">
    <mergeCell ref="A1:M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rightToLeft="1" workbookViewId="0">
      <selection sqref="A1:C8"/>
    </sheetView>
  </sheetViews>
  <sheetFormatPr defaultRowHeight="15" x14ac:dyDescent="0.25"/>
  <cols>
    <col min="1" max="1" width="57.5703125" customWidth="1"/>
    <col min="2" max="2" width="24.85546875" customWidth="1"/>
    <col min="3" max="3" width="27.140625" customWidth="1"/>
  </cols>
  <sheetData>
    <row r="1" spans="1:3" ht="56.25" customHeight="1" x14ac:dyDescent="0.25">
      <c r="A1" s="1" t="s">
        <v>629</v>
      </c>
      <c r="B1" s="52" t="s">
        <v>630</v>
      </c>
      <c r="C1" s="52" t="s">
        <v>638</v>
      </c>
    </row>
    <row r="2" spans="1:3" ht="39.75" x14ac:dyDescent="0.25">
      <c r="A2" s="53" t="s">
        <v>633</v>
      </c>
      <c r="B2" s="55">
        <v>186579831572957</v>
      </c>
      <c r="C2" s="55">
        <v>159994813241693</v>
      </c>
    </row>
    <row r="3" spans="1:3" ht="39.75" x14ac:dyDescent="0.25">
      <c r="A3" s="53" t="s">
        <v>634</v>
      </c>
      <c r="B3" s="55">
        <v>112949313285909</v>
      </c>
      <c r="C3" s="55">
        <v>101528931568955</v>
      </c>
    </row>
    <row r="4" spans="1:3" ht="39.75" x14ac:dyDescent="0.25">
      <c r="A4" s="53" t="s">
        <v>635</v>
      </c>
      <c r="B4" s="55">
        <v>188903593012271</v>
      </c>
      <c r="C4" s="55">
        <v>174381756224732</v>
      </c>
    </row>
    <row r="5" spans="1:3" ht="39.75" x14ac:dyDescent="0.25">
      <c r="A5" s="53" t="s">
        <v>636</v>
      </c>
      <c r="B5" s="55">
        <v>415625758242549</v>
      </c>
      <c r="C5" s="55">
        <v>492967952772367</v>
      </c>
    </row>
    <row r="6" spans="1:3" ht="53.25" customHeight="1" x14ac:dyDescent="0.25">
      <c r="A6" s="1" t="s">
        <v>631</v>
      </c>
      <c r="B6" s="56">
        <f>SUM(B2:B5)</f>
        <v>904058496113686</v>
      </c>
      <c r="C6" s="56">
        <f>SUM(C2:C5)</f>
        <v>928873453807747</v>
      </c>
    </row>
    <row r="7" spans="1:3" ht="43.5" x14ac:dyDescent="0.25">
      <c r="A7" s="53" t="s">
        <v>637</v>
      </c>
      <c r="B7" s="58">
        <v>117449855203814</v>
      </c>
      <c r="C7" s="58">
        <v>119406198450262</v>
      </c>
    </row>
    <row r="8" spans="1:3" ht="43.5" x14ac:dyDescent="0.25">
      <c r="A8" s="54" t="s">
        <v>632</v>
      </c>
      <c r="B8" s="57">
        <f>B7+B6</f>
        <v>1021508351317500</v>
      </c>
      <c r="C8" s="57">
        <f>C7+C6</f>
        <v>1048279652258009</v>
      </c>
    </row>
  </sheetData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cp:lastPrinted>2025-05-17T10:15:13Z</cp:lastPrinted>
  <dcterms:created xsi:type="dcterms:W3CDTF">2024-11-21T06:38:35Z</dcterms:created>
  <dcterms:modified xsi:type="dcterms:W3CDTF">2026-09-14T11:05:27Z</dcterms:modified>
</cp:coreProperties>
</file>
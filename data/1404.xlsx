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ayam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Sheet1!$A$2:$BN$2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524" i="1" l="1"/>
  <c r="AU508" i="1"/>
  <c r="AU492" i="1"/>
  <c r="AU476" i="1"/>
  <c r="AU460" i="1"/>
  <c r="AU444" i="1"/>
  <c r="AU428" i="1"/>
  <c r="AU412" i="1"/>
  <c r="AU396" i="1"/>
  <c r="AU380" i="1"/>
  <c r="AU364" i="1"/>
  <c r="AU348" i="1"/>
  <c r="AU332" i="1"/>
  <c r="AU316" i="1"/>
  <c r="AU300" i="1"/>
  <c r="AU284" i="1"/>
  <c r="AU268" i="1"/>
  <c r="AU252" i="1"/>
  <c r="AU236" i="1"/>
  <c r="AU220" i="1"/>
  <c r="AU204" i="1"/>
  <c r="AU189" i="1"/>
  <c r="AU173" i="1"/>
  <c r="AU157" i="1"/>
  <c r="AU141" i="1"/>
  <c r="AU125" i="1"/>
  <c r="AU109" i="1"/>
  <c r="AU93" i="1"/>
  <c r="AU77" i="1"/>
  <c r="AU61" i="1"/>
  <c r="AU45" i="1"/>
  <c r="AU29" i="1"/>
  <c r="AU13" i="1"/>
  <c r="AT540" i="1"/>
  <c r="AU540" i="1" s="1"/>
  <c r="AT539" i="1"/>
  <c r="AU539" i="1" s="1"/>
  <c r="AT538" i="1"/>
  <c r="AU538" i="1" s="1"/>
  <c r="AT537" i="1"/>
  <c r="AU537" i="1" s="1"/>
  <c r="AT536" i="1"/>
  <c r="AU536" i="1" s="1"/>
  <c r="AT535" i="1"/>
  <c r="AU535" i="1" s="1"/>
  <c r="AT534" i="1"/>
  <c r="AU534" i="1" s="1"/>
  <c r="AT533" i="1"/>
  <c r="AU533" i="1" s="1"/>
  <c r="AT532" i="1"/>
  <c r="AU532" i="1" s="1"/>
  <c r="AT531" i="1"/>
  <c r="AU531" i="1" s="1"/>
  <c r="AT530" i="1"/>
  <c r="AU530" i="1" s="1"/>
  <c r="AT529" i="1"/>
  <c r="AU529" i="1" s="1"/>
  <c r="AT528" i="1"/>
  <c r="AU528" i="1" s="1"/>
  <c r="AT527" i="1"/>
  <c r="AU527" i="1" s="1"/>
  <c r="AT526" i="1"/>
  <c r="AU526" i="1" s="1"/>
  <c r="AT525" i="1"/>
  <c r="AU525" i="1" s="1"/>
  <c r="AT524" i="1"/>
  <c r="AT523" i="1"/>
  <c r="AU523" i="1" s="1"/>
  <c r="AT522" i="1"/>
  <c r="AU522" i="1" s="1"/>
  <c r="AT521" i="1"/>
  <c r="AU521" i="1" s="1"/>
  <c r="AT520" i="1"/>
  <c r="AU520" i="1" s="1"/>
  <c r="AT519" i="1"/>
  <c r="AU519" i="1" s="1"/>
  <c r="AT518" i="1"/>
  <c r="AU518" i="1" s="1"/>
  <c r="AT517" i="1"/>
  <c r="AU517" i="1" s="1"/>
  <c r="AT516" i="1"/>
  <c r="AU516" i="1" s="1"/>
  <c r="AT515" i="1"/>
  <c r="AU515" i="1" s="1"/>
  <c r="AT514" i="1"/>
  <c r="AU514" i="1" s="1"/>
  <c r="AT513" i="1"/>
  <c r="AU513" i="1" s="1"/>
  <c r="AT512" i="1"/>
  <c r="AU512" i="1" s="1"/>
  <c r="AT511" i="1"/>
  <c r="AU511" i="1" s="1"/>
  <c r="AT510" i="1"/>
  <c r="AU510" i="1" s="1"/>
  <c r="AT509" i="1"/>
  <c r="AU509" i="1" s="1"/>
  <c r="AT508" i="1"/>
  <c r="AT507" i="1"/>
  <c r="AU507" i="1" s="1"/>
  <c r="AT506" i="1"/>
  <c r="AU506" i="1" s="1"/>
  <c r="AT505" i="1"/>
  <c r="AU505" i="1" s="1"/>
  <c r="AT504" i="1"/>
  <c r="AU504" i="1" s="1"/>
  <c r="AT503" i="1"/>
  <c r="AU503" i="1" s="1"/>
  <c r="AT502" i="1"/>
  <c r="AU502" i="1" s="1"/>
  <c r="AT501" i="1"/>
  <c r="AU501" i="1" s="1"/>
  <c r="AT500" i="1"/>
  <c r="AU500" i="1" s="1"/>
  <c r="AT499" i="1"/>
  <c r="AU499" i="1" s="1"/>
  <c r="AT498" i="1"/>
  <c r="AU498" i="1" s="1"/>
  <c r="AT497" i="1"/>
  <c r="AU497" i="1" s="1"/>
  <c r="AT496" i="1"/>
  <c r="AU496" i="1" s="1"/>
  <c r="AT495" i="1"/>
  <c r="AU495" i="1" s="1"/>
  <c r="AT494" i="1"/>
  <c r="AU494" i="1" s="1"/>
  <c r="AT493" i="1"/>
  <c r="AU493" i="1" s="1"/>
  <c r="AT492" i="1"/>
  <c r="AT491" i="1"/>
  <c r="AU491" i="1" s="1"/>
  <c r="AT490" i="1"/>
  <c r="AU490" i="1" s="1"/>
  <c r="AT489" i="1"/>
  <c r="AU489" i="1" s="1"/>
  <c r="AT488" i="1"/>
  <c r="AU488" i="1" s="1"/>
  <c r="AT487" i="1"/>
  <c r="AU487" i="1" s="1"/>
  <c r="AT486" i="1"/>
  <c r="AU486" i="1" s="1"/>
  <c r="AT485" i="1"/>
  <c r="AU485" i="1" s="1"/>
  <c r="AT484" i="1"/>
  <c r="AU484" i="1" s="1"/>
  <c r="AT483" i="1"/>
  <c r="AU483" i="1" s="1"/>
  <c r="AT482" i="1"/>
  <c r="AU482" i="1" s="1"/>
  <c r="AT481" i="1"/>
  <c r="AU481" i="1" s="1"/>
  <c r="AT480" i="1"/>
  <c r="AU480" i="1" s="1"/>
  <c r="AT479" i="1"/>
  <c r="AU479" i="1" s="1"/>
  <c r="AT478" i="1"/>
  <c r="AU478" i="1" s="1"/>
  <c r="AT477" i="1"/>
  <c r="AU477" i="1" s="1"/>
  <c r="AT476" i="1"/>
  <c r="AT475" i="1"/>
  <c r="AU475" i="1" s="1"/>
  <c r="AT474" i="1"/>
  <c r="AU474" i="1" s="1"/>
  <c r="AT473" i="1"/>
  <c r="AU473" i="1" s="1"/>
  <c r="AT472" i="1"/>
  <c r="AU472" i="1" s="1"/>
  <c r="AT471" i="1"/>
  <c r="AU471" i="1" s="1"/>
  <c r="AT470" i="1"/>
  <c r="AU470" i="1" s="1"/>
  <c r="AT469" i="1"/>
  <c r="AU469" i="1" s="1"/>
  <c r="AT468" i="1"/>
  <c r="AU468" i="1" s="1"/>
  <c r="AT467" i="1"/>
  <c r="AU467" i="1" s="1"/>
  <c r="AT466" i="1"/>
  <c r="AU466" i="1" s="1"/>
  <c r="AT465" i="1"/>
  <c r="AU465" i="1" s="1"/>
  <c r="AT464" i="1"/>
  <c r="AU464" i="1" s="1"/>
  <c r="AT463" i="1"/>
  <c r="AU463" i="1" s="1"/>
  <c r="AT462" i="1"/>
  <c r="AU462" i="1" s="1"/>
  <c r="AT461" i="1"/>
  <c r="AU461" i="1" s="1"/>
  <c r="AT460" i="1"/>
  <c r="AT459" i="1"/>
  <c r="AU459" i="1" s="1"/>
  <c r="AT458" i="1"/>
  <c r="AU458" i="1" s="1"/>
  <c r="AT457" i="1"/>
  <c r="AU457" i="1" s="1"/>
  <c r="AT456" i="1"/>
  <c r="AU456" i="1" s="1"/>
  <c r="AT455" i="1"/>
  <c r="AU455" i="1" s="1"/>
  <c r="AT454" i="1"/>
  <c r="AU454" i="1" s="1"/>
  <c r="AT453" i="1"/>
  <c r="AU453" i="1" s="1"/>
  <c r="AT452" i="1"/>
  <c r="AU452" i="1" s="1"/>
  <c r="AT451" i="1"/>
  <c r="AU451" i="1" s="1"/>
  <c r="AT450" i="1"/>
  <c r="AU450" i="1" s="1"/>
  <c r="AT449" i="1"/>
  <c r="AU449" i="1" s="1"/>
  <c r="AT448" i="1"/>
  <c r="AU448" i="1" s="1"/>
  <c r="AT447" i="1"/>
  <c r="AU447" i="1" s="1"/>
  <c r="AT446" i="1"/>
  <c r="AU446" i="1" s="1"/>
  <c r="AT445" i="1"/>
  <c r="AU445" i="1" s="1"/>
  <c r="AT444" i="1"/>
  <c r="AT443" i="1"/>
  <c r="AU443" i="1" s="1"/>
  <c r="AT442" i="1"/>
  <c r="AU442" i="1" s="1"/>
  <c r="AT441" i="1"/>
  <c r="AU441" i="1" s="1"/>
  <c r="AT440" i="1"/>
  <c r="AU440" i="1" s="1"/>
  <c r="AT439" i="1"/>
  <c r="AU439" i="1" s="1"/>
  <c r="AT438" i="1"/>
  <c r="AU438" i="1" s="1"/>
  <c r="AT437" i="1"/>
  <c r="AU437" i="1" s="1"/>
  <c r="AT436" i="1"/>
  <c r="AU436" i="1" s="1"/>
  <c r="AT435" i="1"/>
  <c r="AU435" i="1" s="1"/>
  <c r="AT434" i="1"/>
  <c r="AU434" i="1" s="1"/>
  <c r="AT433" i="1"/>
  <c r="AU433" i="1" s="1"/>
  <c r="AT432" i="1"/>
  <c r="AU432" i="1" s="1"/>
  <c r="AT431" i="1"/>
  <c r="AU431" i="1" s="1"/>
  <c r="AT430" i="1"/>
  <c r="AU430" i="1" s="1"/>
  <c r="AT429" i="1"/>
  <c r="AU429" i="1" s="1"/>
  <c r="AT428" i="1"/>
  <c r="AT427" i="1"/>
  <c r="AU427" i="1" s="1"/>
  <c r="AT426" i="1"/>
  <c r="AU426" i="1" s="1"/>
  <c r="AT425" i="1"/>
  <c r="AU425" i="1" s="1"/>
  <c r="AT424" i="1"/>
  <c r="AU424" i="1" s="1"/>
  <c r="AT423" i="1"/>
  <c r="AU423" i="1" s="1"/>
  <c r="AT422" i="1"/>
  <c r="AU422" i="1" s="1"/>
  <c r="AT421" i="1"/>
  <c r="AU421" i="1" s="1"/>
  <c r="AT420" i="1"/>
  <c r="AU420" i="1" s="1"/>
  <c r="AT419" i="1"/>
  <c r="AU419" i="1" s="1"/>
  <c r="AT418" i="1"/>
  <c r="AU418" i="1" s="1"/>
  <c r="AT417" i="1"/>
  <c r="AU417" i="1" s="1"/>
  <c r="AT416" i="1"/>
  <c r="AU416" i="1" s="1"/>
  <c r="AT415" i="1"/>
  <c r="AU415" i="1" s="1"/>
  <c r="AT414" i="1"/>
  <c r="AU414" i="1" s="1"/>
  <c r="AT413" i="1"/>
  <c r="AU413" i="1" s="1"/>
  <c r="AT412" i="1"/>
  <c r="AT411" i="1"/>
  <c r="AU411" i="1" s="1"/>
  <c r="AT410" i="1"/>
  <c r="AU410" i="1" s="1"/>
  <c r="AT409" i="1"/>
  <c r="AU409" i="1" s="1"/>
  <c r="AT408" i="1"/>
  <c r="AU408" i="1" s="1"/>
  <c r="AT407" i="1"/>
  <c r="AU407" i="1" s="1"/>
  <c r="AT406" i="1"/>
  <c r="AU406" i="1" s="1"/>
  <c r="AT405" i="1"/>
  <c r="AU405" i="1" s="1"/>
  <c r="AT404" i="1"/>
  <c r="AU404" i="1" s="1"/>
  <c r="AT403" i="1"/>
  <c r="AU403" i="1" s="1"/>
  <c r="AT402" i="1"/>
  <c r="AU402" i="1" s="1"/>
  <c r="AT401" i="1"/>
  <c r="AU401" i="1" s="1"/>
  <c r="AT400" i="1"/>
  <c r="AU400" i="1" s="1"/>
  <c r="AT399" i="1"/>
  <c r="AU399" i="1" s="1"/>
  <c r="AT398" i="1"/>
  <c r="AU398" i="1" s="1"/>
  <c r="AT397" i="1"/>
  <c r="AU397" i="1" s="1"/>
  <c r="AT396" i="1"/>
  <c r="AT395" i="1"/>
  <c r="AU395" i="1" s="1"/>
  <c r="AT394" i="1"/>
  <c r="AU394" i="1" s="1"/>
  <c r="AT393" i="1"/>
  <c r="AU393" i="1" s="1"/>
  <c r="AT392" i="1"/>
  <c r="AU392" i="1" s="1"/>
  <c r="AT391" i="1"/>
  <c r="AU391" i="1" s="1"/>
  <c r="AT390" i="1"/>
  <c r="AU390" i="1" s="1"/>
  <c r="AT389" i="1"/>
  <c r="AU389" i="1" s="1"/>
  <c r="AT388" i="1"/>
  <c r="AU388" i="1" s="1"/>
  <c r="AT387" i="1"/>
  <c r="AU387" i="1" s="1"/>
  <c r="AT386" i="1"/>
  <c r="AU386" i="1" s="1"/>
  <c r="AT385" i="1"/>
  <c r="AU385" i="1" s="1"/>
  <c r="AT384" i="1"/>
  <c r="AU384" i="1" s="1"/>
  <c r="AT383" i="1"/>
  <c r="AU383" i="1" s="1"/>
  <c r="AT382" i="1"/>
  <c r="AU382" i="1" s="1"/>
  <c r="AT381" i="1"/>
  <c r="AU381" i="1" s="1"/>
  <c r="AT380" i="1"/>
  <c r="AT379" i="1"/>
  <c r="AU379" i="1" s="1"/>
  <c r="AT378" i="1"/>
  <c r="AU378" i="1" s="1"/>
  <c r="AT377" i="1"/>
  <c r="AU377" i="1" s="1"/>
  <c r="AT376" i="1"/>
  <c r="AU376" i="1" s="1"/>
  <c r="AT375" i="1"/>
  <c r="AU375" i="1" s="1"/>
  <c r="AT374" i="1"/>
  <c r="AU374" i="1" s="1"/>
  <c r="AT373" i="1"/>
  <c r="AU373" i="1" s="1"/>
  <c r="AT372" i="1"/>
  <c r="AU372" i="1" s="1"/>
  <c r="AT371" i="1"/>
  <c r="AU371" i="1" s="1"/>
  <c r="AT370" i="1"/>
  <c r="AU370" i="1" s="1"/>
  <c r="AT369" i="1"/>
  <c r="AU369" i="1" s="1"/>
  <c r="AT368" i="1"/>
  <c r="AU368" i="1" s="1"/>
  <c r="AT367" i="1"/>
  <c r="AU367" i="1" s="1"/>
  <c r="AT366" i="1"/>
  <c r="AU366" i="1" s="1"/>
  <c r="AT365" i="1"/>
  <c r="AU365" i="1" s="1"/>
  <c r="AT364" i="1"/>
  <c r="AT363" i="1"/>
  <c r="AU363" i="1" s="1"/>
  <c r="AT362" i="1"/>
  <c r="AU362" i="1" s="1"/>
  <c r="AT361" i="1"/>
  <c r="AU361" i="1" s="1"/>
  <c r="AT360" i="1"/>
  <c r="AU360" i="1" s="1"/>
  <c r="AT359" i="1"/>
  <c r="AU359" i="1" s="1"/>
  <c r="AT358" i="1"/>
  <c r="AU358" i="1" s="1"/>
  <c r="AT357" i="1"/>
  <c r="AU357" i="1" s="1"/>
  <c r="AT356" i="1"/>
  <c r="AU356" i="1" s="1"/>
  <c r="AT355" i="1"/>
  <c r="AU355" i="1" s="1"/>
  <c r="AT354" i="1"/>
  <c r="AU354" i="1" s="1"/>
  <c r="AT353" i="1"/>
  <c r="AU353" i="1" s="1"/>
  <c r="AT352" i="1"/>
  <c r="AU352" i="1" s="1"/>
  <c r="AT351" i="1"/>
  <c r="AU351" i="1" s="1"/>
  <c r="AT350" i="1"/>
  <c r="AU350" i="1" s="1"/>
  <c r="AT349" i="1"/>
  <c r="AU349" i="1" s="1"/>
  <c r="AT348" i="1"/>
  <c r="AT347" i="1"/>
  <c r="AU347" i="1" s="1"/>
  <c r="AT346" i="1"/>
  <c r="AU346" i="1" s="1"/>
  <c r="AT345" i="1"/>
  <c r="AU345" i="1" s="1"/>
  <c r="AT344" i="1"/>
  <c r="AU344" i="1" s="1"/>
  <c r="AT343" i="1"/>
  <c r="AU343" i="1" s="1"/>
  <c r="AT342" i="1"/>
  <c r="AU342" i="1" s="1"/>
  <c r="AT341" i="1"/>
  <c r="AU341" i="1" s="1"/>
  <c r="AT340" i="1"/>
  <c r="AU340" i="1" s="1"/>
  <c r="AT339" i="1"/>
  <c r="AU339" i="1" s="1"/>
  <c r="AT338" i="1"/>
  <c r="AU338" i="1" s="1"/>
  <c r="AT337" i="1"/>
  <c r="AU337" i="1" s="1"/>
  <c r="AT336" i="1"/>
  <c r="AU336" i="1" s="1"/>
  <c r="AT335" i="1"/>
  <c r="AU335" i="1" s="1"/>
  <c r="AT334" i="1"/>
  <c r="AU334" i="1" s="1"/>
  <c r="AT333" i="1"/>
  <c r="AU333" i="1" s="1"/>
  <c r="AT332" i="1"/>
  <c r="AT331" i="1"/>
  <c r="AU331" i="1" s="1"/>
  <c r="AT330" i="1"/>
  <c r="AU330" i="1" s="1"/>
  <c r="AT329" i="1"/>
  <c r="AU329" i="1" s="1"/>
  <c r="AT328" i="1"/>
  <c r="AU328" i="1" s="1"/>
  <c r="AT327" i="1"/>
  <c r="AU327" i="1" s="1"/>
  <c r="AT326" i="1"/>
  <c r="AU326" i="1" s="1"/>
  <c r="AT325" i="1"/>
  <c r="AU325" i="1" s="1"/>
  <c r="AT324" i="1"/>
  <c r="AU324" i="1" s="1"/>
  <c r="AT323" i="1"/>
  <c r="AU323" i="1" s="1"/>
  <c r="AT322" i="1"/>
  <c r="AU322" i="1" s="1"/>
  <c r="AT321" i="1"/>
  <c r="AU321" i="1" s="1"/>
  <c r="AT320" i="1"/>
  <c r="AU320" i="1" s="1"/>
  <c r="AT319" i="1"/>
  <c r="AU319" i="1" s="1"/>
  <c r="AT318" i="1"/>
  <c r="AU318" i="1" s="1"/>
  <c r="AT317" i="1"/>
  <c r="AU317" i="1" s="1"/>
  <c r="AT316" i="1"/>
  <c r="AT315" i="1"/>
  <c r="AU315" i="1" s="1"/>
  <c r="AT314" i="1"/>
  <c r="AU314" i="1" s="1"/>
  <c r="AT313" i="1"/>
  <c r="AU313" i="1" s="1"/>
  <c r="AT312" i="1"/>
  <c r="AU312" i="1" s="1"/>
  <c r="AT311" i="1"/>
  <c r="AU311" i="1" s="1"/>
  <c r="AT310" i="1"/>
  <c r="AU310" i="1" s="1"/>
  <c r="AT309" i="1"/>
  <c r="AU309" i="1" s="1"/>
  <c r="AT308" i="1"/>
  <c r="AU308" i="1" s="1"/>
  <c r="AT307" i="1"/>
  <c r="AU307" i="1" s="1"/>
  <c r="AT306" i="1"/>
  <c r="AU306" i="1" s="1"/>
  <c r="AT305" i="1"/>
  <c r="AU305" i="1" s="1"/>
  <c r="AT304" i="1"/>
  <c r="AU304" i="1" s="1"/>
  <c r="AT303" i="1"/>
  <c r="AU303" i="1" s="1"/>
  <c r="AT302" i="1"/>
  <c r="AU302" i="1" s="1"/>
  <c r="AT301" i="1"/>
  <c r="AU301" i="1" s="1"/>
  <c r="AT300" i="1"/>
  <c r="AT299" i="1"/>
  <c r="AU299" i="1" s="1"/>
  <c r="AT298" i="1"/>
  <c r="AU298" i="1" s="1"/>
  <c r="AT297" i="1"/>
  <c r="AU297" i="1" s="1"/>
  <c r="AT296" i="1"/>
  <c r="AU296" i="1" s="1"/>
  <c r="AT295" i="1"/>
  <c r="AU295" i="1" s="1"/>
  <c r="AT294" i="1"/>
  <c r="AU294" i="1" s="1"/>
  <c r="AT293" i="1"/>
  <c r="AU293" i="1" s="1"/>
  <c r="AT292" i="1"/>
  <c r="AU292" i="1" s="1"/>
  <c r="AT291" i="1"/>
  <c r="AU291" i="1" s="1"/>
  <c r="AT290" i="1"/>
  <c r="AU290" i="1" s="1"/>
  <c r="AT289" i="1"/>
  <c r="AU289" i="1" s="1"/>
  <c r="AT288" i="1"/>
  <c r="AU288" i="1" s="1"/>
  <c r="AT287" i="1"/>
  <c r="AU287" i="1" s="1"/>
  <c r="AT286" i="1"/>
  <c r="AU286" i="1" s="1"/>
  <c r="AT285" i="1"/>
  <c r="AU285" i="1" s="1"/>
  <c r="AT284" i="1"/>
  <c r="AT283" i="1"/>
  <c r="AU283" i="1" s="1"/>
  <c r="AT282" i="1"/>
  <c r="AU282" i="1" s="1"/>
  <c r="AT281" i="1"/>
  <c r="AU281" i="1" s="1"/>
  <c r="AT280" i="1"/>
  <c r="AU280" i="1" s="1"/>
  <c r="AT279" i="1"/>
  <c r="AU279" i="1" s="1"/>
  <c r="AT278" i="1"/>
  <c r="AU278" i="1" s="1"/>
  <c r="AT277" i="1"/>
  <c r="AU277" i="1" s="1"/>
  <c r="AT276" i="1"/>
  <c r="AU276" i="1" s="1"/>
  <c r="AT275" i="1"/>
  <c r="AU275" i="1" s="1"/>
  <c r="AT274" i="1"/>
  <c r="AU274" i="1" s="1"/>
  <c r="AT273" i="1"/>
  <c r="AU273" i="1" s="1"/>
  <c r="AT272" i="1"/>
  <c r="AU272" i="1" s="1"/>
  <c r="AT271" i="1"/>
  <c r="AU271" i="1" s="1"/>
  <c r="AT270" i="1"/>
  <c r="AU270" i="1" s="1"/>
  <c r="AT269" i="1"/>
  <c r="AU269" i="1" s="1"/>
  <c r="AT268" i="1"/>
  <c r="AT267" i="1"/>
  <c r="AU267" i="1" s="1"/>
  <c r="AT266" i="1"/>
  <c r="AU266" i="1" s="1"/>
  <c r="AT265" i="1"/>
  <c r="AU265" i="1" s="1"/>
  <c r="AT264" i="1"/>
  <c r="AU264" i="1" s="1"/>
  <c r="AT263" i="1"/>
  <c r="AU263" i="1" s="1"/>
  <c r="AT262" i="1"/>
  <c r="AU262" i="1" s="1"/>
  <c r="AT261" i="1"/>
  <c r="AU261" i="1" s="1"/>
  <c r="AT260" i="1"/>
  <c r="AU260" i="1" s="1"/>
  <c r="AT259" i="1"/>
  <c r="AU259" i="1" s="1"/>
  <c r="AT258" i="1"/>
  <c r="AU258" i="1" s="1"/>
  <c r="AT257" i="1"/>
  <c r="AU257" i="1" s="1"/>
  <c r="AT256" i="1"/>
  <c r="AU256" i="1" s="1"/>
  <c r="AT255" i="1"/>
  <c r="AU255" i="1" s="1"/>
  <c r="AT254" i="1"/>
  <c r="AU254" i="1" s="1"/>
  <c r="AT253" i="1"/>
  <c r="AU253" i="1" s="1"/>
  <c r="AT252" i="1"/>
  <c r="AT251" i="1"/>
  <c r="AU251" i="1" s="1"/>
  <c r="AT250" i="1"/>
  <c r="AU250" i="1" s="1"/>
  <c r="AT249" i="1"/>
  <c r="AU249" i="1" s="1"/>
  <c r="AT248" i="1"/>
  <c r="AU248" i="1" s="1"/>
  <c r="AT247" i="1"/>
  <c r="AU247" i="1" s="1"/>
  <c r="AT246" i="1"/>
  <c r="AU246" i="1" s="1"/>
  <c r="AT245" i="1"/>
  <c r="AU245" i="1" s="1"/>
  <c r="AT244" i="1"/>
  <c r="AU244" i="1" s="1"/>
  <c r="AT243" i="1"/>
  <c r="AU243" i="1" s="1"/>
  <c r="AT242" i="1"/>
  <c r="AU242" i="1" s="1"/>
  <c r="AT241" i="1"/>
  <c r="AU241" i="1" s="1"/>
  <c r="AT240" i="1"/>
  <c r="AU240" i="1" s="1"/>
  <c r="AT239" i="1"/>
  <c r="AU239" i="1" s="1"/>
  <c r="AT238" i="1"/>
  <c r="AU238" i="1" s="1"/>
  <c r="AT237" i="1"/>
  <c r="AU237" i="1" s="1"/>
  <c r="AT236" i="1"/>
  <c r="AT235" i="1"/>
  <c r="AU235" i="1" s="1"/>
  <c r="AT234" i="1"/>
  <c r="AU234" i="1" s="1"/>
  <c r="AT233" i="1"/>
  <c r="AU233" i="1" s="1"/>
  <c r="AT232" i="1"/>
  <c r="AU232" i="1" s="1"/>
  <c r="AT231" i="1"/>
  <c r="AU231" i="1" s="1"/>
  <c r="AT230" i="1"/>
  <c r="AU230" i="1" s="1"/>
  <c r="AT229" i="1"/>
  <c r="AU229" i="1" s="1"/>
  <c r="AT228" i="1"/>
  <c r="AU228" i="1" s="1"/>
  <c r="AT227" i="1"/>
  <c r="AU227" i="1" s="1"/>
  <c r="AT226" i="1"/>
  <c r="AU226" i="1" s="1"/>
  <c r="AT225" i="1"/>
  <c r="AU225" i="1" s="1"/>
  <c r="AT224" i="1"/>
  <c r="AU224" i="1" s="1"/>
  <c r="AT223" i="1"/>
  <c r="AU223" i="1" s="1"/>
  <c r="AT222" i="1"/>
  <c r="AU222" i="1" s="1"/>
  <c r="AT221" i="1"/>
  <c r="AU221" i="1" s="1"/>
  <c r="AT220" i="1"/>
  <c r="AT219" i="1"/>
  <c r="AU219" i="1" s="1"/>
  <c r="AT218" i="1"/>
  <c r="AU218" i="1" s="1"/>
  <c r="AT217" i="1"/>
  <c r="AU217" i="1" s="1"/>
  <c r="AT216" i="1"/>
  <c r="AU216" i="1" s="1"/>
  <c r="AT215" i="1"/>
  <c r="AU215" i="1" s="1"/>
  <c r="AT214" i="1"/>
  <c r="AU214" i="1" s="1"/>
  <c r="AT213" i="1"/>
  <c r="AU213" i="1" s="1"/>
  <c r="AT212" i="1"/>
  <c r="AU212" i="1" s="1"/>
  <c r="AT211" i="1"/>
  <c r="AU211" i="1" s="1"/>
  <c r="AT210" i="1"/>
  <c r="AU210" i="1" s="1"/>
  <c r="AT209" i="1"/>
  <c r="AU209" i="1" s="1"/>
  <c r="AT208" i="1"/>
  <c r="AU208" i="1" s="1"/>
  <c r="AT207" i="1"/>
  <c r="AU207" i="1" s="1"/>
  <c r="AT206" i="1"/>
  <c r="AU206" i="1" s="1"/>
  <c r="AT205" i="1"/>
  <c r="AU205" i="1" s="1"/>
  <c r="AT204" i="1"/>
  <c r="AT203" i="1"/>
  <c r="AU203" i="1" s="1"/>
  <c r="AT202" i="1"/>
  <c r="AU202" i="1" s="1"/>
  <c r="AT201" i="1"/>
  <c r="AU201" i="1" s="1"/>
  <c r="AT200" i="1"/>
  <c r="AU200" i="1" s="1"/>
  <c r="AT199" i="1"/>
  <c r="AU199" i="1" s="1"/>
  <c r="AT198" i="1"/>
  <c r="AU198" i="1" s="1"/>
  <c r="AT197" i="1"/>
  <c r="AU197" i="1" s="1"/>
  <c r="AT196" i="1"/>
  <c r="AU196" i="1" s="1"/>
  <c r="AT195" i="1"/>
  <c r="AU195" i="1" s="1"/>
  <c r="AT194" i="1"/>
  <c r="AU194" i="1" s="1"/>
  <c r="AT193" i="1"/>
  <c r="AU193" i="1" s="1"/>
  <c r="AT192" i="1"/>
  <c r="AU192" i="1" s="1"/>
  <c r="AT191" i="1"/>
  <c r="AU191" i="1" s="1"/>
  <c r="AT190" i="1"/>
  <c r="AU190" i="1" s="1"/>
  <c r="AT189" i="1"/>
  <c r="AT188" i="1"/>
  <c r="AU188" i="1" s="1"/>
  <c r="AT187" i="1"/>
  <c r="AU187" i="1" s="1"/>
  <c r="AT186" i="1"/>
  <c r="AU186" i="1" s="1"/>
  <c r="AT185" i="1"/>
  <c r="AU185" i="1" s="1"/>
  <c r="AT184" i="1"/>
  <c r="AU184" i="1" s="1"/>
  <c r="AT183" i="1"/>
  <c r="AU183" i="1" s="1"/>
  <c r="AT182" i="1"/>
  <c r="AU182" i="1" s="1"/>
  <c r="AT181" i="1"/>
  <c r="AU181" i="1" s="1"/>
  <c r="AT180" i="1"/>
  <c r="AU180" i="1" s="1"/>
  <c r="AT179" i="1"/>
  <c r="AU179" i="1" s="1"/>
  <c r="AT178" i="1"/>
  <c r="AU178" i="1" s="1"/>
  <c r="AT177" i="1"/>
  <c r="AU177" i="1" s="1"/>
  <c r="AT176" i="1"/>
  <c r="AU176" i="1" s="1"/>
  <c r="AT175" i="1"/>
  <c r="AU175" i="1" s="1"/>
  <c r="AT174" i="1"/>
  <c r="AU174" i="1" s="1"/>
  <c r="AT173" i="1"/>
  <c r="AT172" i="1"/>
  <c r="AU172" i="1" s="1"/>
  <c r="AT171" i="1"/>
  <c r="AU171" i="1" s="1"/>
  <c r="AT170" i="1"/>
  <c r="AU170" i="1" s="1"/>
  <c r="AT169" i="1"/>
  <c r="AU169" i="1" s="1"/>
  <c r="AT168" i="1"/>
  <c r="AU168" i="1" s="1"/>
  <c r="AT167" i="1"/>
  <c r="AU167" i="1" s="1"/>
  <c r="AT166" i="1"/>
  <c r="AU166" i="1" s="1"/>
  <c r="AT165" i="1"/>
  <c r="AU165" i="1" s="1"/>
  <c r="AT164" i="1"/>
  <c r="AU164" i="1" s="1"/>
  <c r="AT163" i="1"/>
  <c r="AU163" i="1" s="1"/>
  <c r="AT162" i="1"/>
  <c r="AU162" i="1" s="1"/>
  <c r="AT161" i="1"/>
  <c r="AU161" i="1" s="1"/>
  <c r="AT160" i="1"/>
  <c r="AU160" i="1" s="1"/>
  <c r="AT159" i="1"/>
  <c r="AU159" i="1" s="1"/>
  <c r="AT158" i="1"/>
  <c r="AU158" i="1" s="1"/>
  <c r="AT157" i="1"/>
  <c r="AT156" i="1"/>
  <c r="AU156" i="1" s="1"/>
  <c r="AT155" i="1"/>
  <c r="AU155" i="1" s="1"/>
  <c r="AT154" i="1"/>
  <c r="AU154" i="1" s="1"/>
  <c r="AT153" i="1"/>
  <c r="AU153" i="1" s="1"/>
  <c r="AT152" i="1"/>
  <c r="AU152" i="1" s="1"/>
  <c r="AT151" i="1"/>
  <c r="AU151" i="1" s="1"/>
  <c r="AT150" i="1"/>
  <c r="AU150" i="1" s="1"/>
  <c r="AT149" i="1"/>
  <c r="AU149" i="1" s="1"/>
  <c r="AT148" i="1"/>
  <c r="AU148" i="1" s="1"/>
  <c r="AT147" i="1"/>
  <c r="AU147" i="1" s="1"/>
  <c r="AT146" i="1"/>
  <c r="AU146" i="1" s="1"/>
  <c r="AT145" i="1"/>
  <c r="AU145" i="1" s="1"/>
  <c r="AT144" i="1"/>
  <c r="AU144" i="1" s="1"/>
  <c r="AT143" i="1"/>
  <c r="AU143" i="1" s="1"/>
  <c r="AT142" i="1"/>
  <c r="AU142" i="1" s="1"/>
  <c r="AT141" i="1"/>
  <c r="AT140" i="1"/>
  <c r="AU140" i="1" s="1"/>
  <c r="AT139" i="1"/>
  <c r="AU139" i="1" s="1"/>
  <c r="AT138" i="1"/>
  <c r="AU138" i="1" s="1"/>
  <c r="AT137" i="1"/>
  <c r="AU137" i="1" s="1"/>
  <c r="AT136" i="1"/>
  <c r="AU136" i="1" s="1"/>
  <c r="AT135" i="1"/>
  <c r="AU135" i="1" s="1"/>
  <c r="AT134" i="1"/>
  <c r="AU134" i="1" s="1"/>
  <c r="AT133" i="1"/>
  <c r="AU133" i="1" s="1"/>
  <c r="AT132" i="1"/>
  <c r="AU132" i="1" s="1"/>
  <c r="AT131" i="1"/>
  <c r="AU131" i="1" s="1"/>
  <c r="AT130" i="1"/>
  <c r="AU130" i="1" s="1"/>
  <c r="AT129" i="1"/>
  <c r="AU129" i="1" s="1"/>
  <c r="AT128" i="1"/>
  <c r="AU128" i="1" s="1"/>
  <c r="AT127" i="1"/>
  <c r="AU127" i="1" s="1"/>
  <c r="AT126" i="1"/>
  <c r="AU126" i="1" s="1"/>
  <c r="AT125" i="1"/>
  <c r="AT124" i="1"/>
  <c r="AU124" i="1" s="1"/>
  <c r="AT123" i="1"/>
  <c r="AU123" i="1" s="1"/>
  <c r="AT122" i="1"/>
  <c r="AU122" i="1" s="1"/>
  <c r="AT121" i="1"/>
  <c r="AU121" i="1" s="1"/>
  <c r="AT120" i="1"/>
  <c r="AU120" i="1" s="1"/>
  <c r="AT119" i="1"/>
  <c r="AU119" i="1" s="1"/>
  <c r="AT118" i="1"/>
  <c r="AU118" i="1" s="1"/>
  <c r="AT117" i="1"/>
  <c r="AU117" i="1" s="1"/>
  <c r="AT116" i="1"/>
  <c r="AU116" i="1" s="1"/>
  <c r="AT115" i="1"/>
  <c r="AU115" i="1" s="1"/>
  <c r="AT114" i="1"/>
  <c r="AU114" i="1" s="1"/>
  <c r="AT113" i="1"/>
  <c r="AU113" i="1" s="1"/>
  <c r="AT112" i="1"/>
  <c r="AU112" i="1" s="1"/>
  <c r="AT111" i="1"/>
  <c r="AU111" i="1" s="1"/>
  <c r="AT110" i="1"/>
  <c r="AU110" i="1" s="1"/>
  <c r="AT109" i="1"/>
  <c r="AT108" i="1"/>
  <c r="AU108" i="1" s="1"/>
  <c r="AT107" i="1"/>
  <c r="AU107" i="1" s="1"/>
  <c r="AT106" i="1"/>
  <c r="AU106" i="1" s="1"/>
  <c r="AT105" i="1"/>
  <c r="AU105" i="1" s="1"/>
  <c r="AT104" i="1"/>
  <c r="AU104" i="1" s="1"/>
  <c r="AT103" i="1"/>
  <c r="AU103" i="1" s="1"/>
  <c r="AT102" i="1"/>
  <c r="AU102" i="1" s="1"/>
  <c r="AT101" i="1"/>
  <c r="AU101" i="1" s="1"/>
  <c r="AT100" i="1"/>
  <c r="AU100" i="1" s="1"/>
  <c r="AT99" i="1"/>
  <c r="AU99" i="1" s="1"/>
  <c r="AT98" i="1"/>
  <c r="AU98" i="1" s="1"/>
  <c r="AT97" i="1"/>
  <c r="AU97" i="1" s="1"/>
  <c r="AT96" i="1"/>
  <c r="AU96" i="1" s="1"/>
  <c r="AT95" i="1"/>
  <c r="AU95" i="1" s="1"/>
  <c r="AT94" i="1"/>
  <c r="AU94" i="1" s="1"/>
  <c r="AT93" i="1"/>
  <c r="AT92" i="1"/>
  <c r="AU92" i="1" s="1"/>
  <c r="AT91" i="1"/>
  <c r="AU91" i="1" s="1"/>
  <c r="AT90" i="1"/>
  <c r="AU90" i="1" s="1"/>
  <c r="AT89" i="1"/>
  <c r="AU89" i="1" s="1"/>
  <c r="AT88" i="1"/>
  <c r="AU88" i="1" s="1"/>
  <c r="AT87" i="1"/>
  <c r="AU87" i="1" s="1"/>
  <c r="AT86" i="1"/>
  <c r="AU86" i="1" s="1"/>
  <c r="AT85" i="1"/>
  <c r="AU85" i="1" s="1"/>
  <c r="AT84" i="1"/>
  <c r="AU84" i="1" s="1"/>
  <c r="AT83" i="1"/>
  <c r="AU83" i="1" s="1"/>
  <c r="AT82" i="1"/>
  <c r="AU82" i="1" s="1"/>
  <c r="AT81" i="1"/>
  <c r="AU81" i="1" s="1"/>
  <c r="AT80" i="1"/>
  <c r="AU80" i="1" s="1"/>
  <c r="AT79" i="1"/>
  <c r="AU79" i="1" s="1"/>
  <c r="AT78" i="1"/>
  <c r="AU78" i="1" s="1"/>
  <c r="AT77" i="1"/>
  <c r="AT76" i="1"/>
  <c r="AU76" i="1" s="1"/>
  <c r="AT75" i="1"/>
  <c r="AU75" i="1" s="1"/>
  <c r="AT74" i="1"/>
  <c r="AU74" i="1" s="1"/>
  <c r="AT73" i="1"/>
  <c r="AU73" i="1" s="1"/>
  <c r="AT72" i="1"/>
  <c r="AU72" i="1" s="1"/>
  <c r="AT71" i="1"/>
  <c r="AU71" i="1" s="1"/>
  <c r="AT70" i="1"/>
  <c r="AU70" i="1" s="1"/>
  <c r="AT69" i="1"/>
  <c r="AU69" i="1" s="1"/>
  <c r="AT68" i="1"/>
  <c r="AU68" i="1" s="1"/>
  <c r="AT67" i="1"/>
  <c r="AU67" i="1" s="1"/>
  <c r="AT66" i="1"/>
  <c r="AU66" i="1" s="1"/>
  <c r="AT65" i="1"/>
  <c r="AU65" i="1" s="1"/>
  <c r="AT64" i="1"/>
  <c r="AU64" i="1" s="1"/>
  <c r="AT63" i="1"/>
  <c r="AU63" i="1" s="1"/>
  <c r="AT62" i="1"/>
  <c r="AU62" i="1" s="1"/>
  <c r="AT61" i="1"/>
  <c r="AT60" i="1"/>
  <c r="AU60" i="1" s="1"/>
  <c r="AT59" i="1"/>
  <c r="AU59" i="1" s="1"/>
  <c r="AT58" i="1"/>
  <c r="AU58" i="1" s="1"/>
  <c r="AT57" i="1"/>
  <c r="AU57" i="1" s="1"/>
  <c r="AT56" i="1"/>
  <c r="AU56" i="1" s="1"/>
  <c r="AT55" i="1"/>
  <c r="AU55" i="1" s="1"/>
  <c r="AT54" i="1"/>
  <c r="AU54" i="1" s="1"/>
  <c r="AT53" i="1"/>
  <c r="AU53" i="1" s="1"/>
  <c r="AT52" i="1"/>
  <c r="AU52" i="1" s="1"/>
  <c r="AT51" i="1"/>
  <c r="AU51" i="1" s="1"/>
  <c r="AT50" i="1"/>
  <c r="AU50" i="1" s="1"/>
  <c r="AT49" i="1"/>
  <c r="AU49" i="1" s="1"/>
  <c r="AT48" i="1"/>
  <c r="AU48" i="1" s="1"/>
  <c r="AT47" i="1"/>
  <c r="AU47" i="1" s="1"/>
  <c r="AT46" i="1"/>
  <c r="AU46" i="1" s="1"/>
  <c r="AT45" i="1"/>
  <c r="AT44" i="1"/>
  <c r="AU44" i="1" s="1"/>
  <c r="AT43" i="1"/>
  <c r="AU43" i="1" s="1"/>
  <c r="AT42" i="1"/>
  <c r="AU42" i="1" s="1"/>
  <c r="AT41" i="1"/>
  <c r="AU41" i="1" s="1"/>
  <c r="AT40" i="1"/>
  <c r="AU40" i="1" s="1"/>
  <c r="AT39" i="1"/>
  <c r="AU39" i="1" s="1"/>
  <c r="AT38" i="1"/>
  <c r="AU38" i="1" s="1"/>
  <c r="AT37" i="1"/>
  <c r="AU37" i="1" s="1"/>
  <c r="AT36" i="1"/>
  <c r="AU36" i="1" s="1"/>
  <c r="AT35" i="1"/>
  <c r="AU35" i="1" s="1"/>
  <c r="AT34" i="1"/>
  <c r="AU34" i="1" s="1"/>
  <c r="AT33" i="1"/>
  <c r="AU33" i="1" s="1"/>
  <c r="AT32" i="1"/>
  <c r="AU32" i="1" s="1"/>
  <c r="AT31" i="1"/>
  <c r="AU31" i="1" s="1"/>
  <c r="AT30" i="1"/>
  <c r="AU30" i="1" s="1"/>
  <c r="AT29" i="1"/>
  <c r="AT28" i="1"/>
  <c r="AU28" i="1" s="1"/>
  <c r="AT27" i="1"/>
  <c r="AU27" i="1" s="1"/>
  <c r="AT26" i="1"/>
  <c r="AU26" i="1" s="1"/>
  <c r="AT25" i="1"/>
  <c r="AU25" i="1" s="1"/>
  <c r="AT24" i="1"/>
  <c r="AU24" i="1" s="1"/>
  <c r="AT23" i="1"/>
  <c r="AU23" i="1" s="1"/>
  <c r="AT22" i="1"/>
  <c r="AU22" i="1" s="1"/>
  <c r="AT21" i="1"/>
  <c r="AU21" i="1" s="1"/>
  <c r="AT20" i="1"/>
  <c r="AU20" i="1" s="1"/>
  <c r="AT19" i="1"/>
  <c r="AU19" i="1" s="1"/>
  <c r="AT18" i="1"/>
  <c r="AU18" i="1" s="1"/>
  <c r="AT17" i="1"/>
  <c r="AU17" i="1" s="1"/>
  <c r="AT16" i="1"/>
  <c r="AU16" i="1" s="1"/>
  <c r="AT15" i="1"/>
  <c r="AU15" i="1" s="1"/>
  <c r="AT14" i="1"/>
  <c r="AU14" i="1" s="1"/>
  <c r="AT13" i="1"/>
  <c r="AT12" i="1"/>
  <c r="AU12" i="1" s="1"/>
  <c r="AT11" i="1"/>
  <c r="AU11" i="1" s="1"/>
  <c r="AT10" i="1"/>
  <c r="AU10" i="1" s="1"/>
  <c r="AT9" i="1"/>
  <c r="AU9" i="1" s="1"/>
  <c r="AT8" i="1"/>
  <c r="AU8" i="1" s="1"/>
  <c r="AT7" i="1"/>
  <c r="AU7" i="1" s="1"/>
  <c r="AT6" i="1"/>
  <c r="AU6" i="1" s="1"/>
  <c r="AT5" i="1"/>
  <c r="AU5" i="1" s="1"/>
  <c r="AT4" i="1"/>
  <c r="AU4" i="1" s="1"/>
  <c r="AT3" i="1"/>
  <c r="AU3" i="1" s="1"/>
  <c r="N515" i="1"/>
  <c r="N493" i="1"/>
  <c r="N474" i="1"/>
  <c r="N458" i="1"/>
  <c r="N442" i="1"/>
  <c r="N426" i="1"/>
  <c r="N410" i="1"/>
  <c r="N394" i="1"/>
  <c r="N378" i="1"/>
  <c r="N362" i="1"/>
  <c r="N346" i="1"/>
  <c r="N330" i="1"/>
  <c r="N314" i="1"/>
  <c r="N298" i="1"/>
  <c r="N282" i="1"/>
  <c r="N266" i="1"/>
  <c r="N250" i="1"/>
  <c r="N234" i="1"/>
  <c r="N226" i="1"/>
  <c r="N218" i="1"/>
  <c r="N210" i="1"/>
  <c r="N202" i="1"/>
  <c r="N194" i="1"/>
  <c r="N186" i="1"/>
  <c r="N178" i="1"/>
  <c r="N170" i="1"/>
  <c r="N162" i="1"/>
  <c r="N154" i="1"/>
  <c r="N149" i="1"/>
  <c r="N138" i="1"/>
  <c r="N133" i="1"/>
  <c r="N122" i="1"/>
  <c r="N117" i="1"/>
  <c r="N106" i="1"/>
  <c r="N101" i="1"/>
  <c r="N90" i="1"/>
  <c r="N85" i="1"/>
  <c r="N74" i="1"/>
  <c r="N69" i="1"/>
  <c r="N58" i="1"/>
  <c r="N53" i="1"/>
  <c r="N42" i="1"/>
  <c r="N37" i="1"/>
  <c r="N26" i="1"/>
  <c r="N21" i="1"/>
  <c r="N10" i="1"/>
  <c r="N5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M540" i="1"/>
  <c r="N540" i="1" s="1"/>
  <c r="M539" i="1"/>
  <c r="N539" i="1" s="1"/>
  <c r="M538" i="1"/>
  <c r="N538" i="1" s="1"/>
  <c r="M537" i="1"/>
  <c r="N537" i="1" s="1"/>
  <c r="M536" i="1"/>
  <c r="N536" i="1" s="1"/>
  <c r="M535" i="1"/>
  <c r="N535" i="1" s="1"/>
  <c r="M534" i="1"/>
  <c r="N534" i="1" s="1"/>
  <c r="M533" i="1"/>
  <c r="N533" i="1" s="1"/>
  <c r="M532" i="1"/>
  <c r="N532" i="1" s="1"/>
  <c r="M531" i="1"/>
  <c r="N531" i="1" s="1"/>
  <c r="M530" i="1"/>
  <c r="N530" i="1" s="1"/>
  <c r="M529" i="1"/>
  <c r="N529" i="1" s="1"/>
  <c r="M528" i="1"/>
  <c r="N528" i="1" s="1"/>
  <c r="M527" i="1"/>
  <c r="N527" i="1" s="1"/>
  <c r="M526" i="1"/>
  <c r="N526" i="1" s="1"/>
  <c r="M525" i="1"/>
  <c r="N525" i="1" s="1"/>
  <c r="M524" i="1"/>
  <c r="N524" i="1" s="1"/>
  <c r="M523" i="1"/>
  <c r="N523" i="1" s="1"/>
  <c r="M522" i="1"/>
  <c r="N522" i="1" s="1"/>
  <c r="M521" i="1"/>
  <c r="N521" i="1" s="1"/>
  <c r="M520" i="1"/>
  <c r="N520" i="1" s="1"/>
  <c r="M519" i="1"/>
  <c r="N519" i="1" s="1"/>
  <c r="M518" i="1"/>
  <c r="N518" i="1" s="1"/>
  <c r="M517" i="1"/>
  <c r="N517" i="1" s="1"/>
  <c r="M516" i="1"/>
  <c r="N516" i="1" s="1"/>
  <c r="M515" i="1"/>
  <c r="M514" i="1"/>
  <c r="N514" i="1" s="1"/>
  <c r="M513" i="1"/>
  <c r="N513" i="1" s="1"/>
  <c r="M512" i="1"/>
  <c r="N512" i="1" s="1"/>
  <c r="M511" i="1"/>
  <c r="N511" i="1" s="1"/>
  <c r="M510" i="1"/>
  <c r="N510" i="1" s="1"/>
  <c r="M509" i="1"/>
  <c r="N509" i="1" s="1"/>
  <c r="M508" i="1"/>
  <c r="N508" i="1" s="1"/>
  <c r="M507" i="1"/>
  <c r="N507" i="1" s="1"/>
  <c r="M506" i="1"/>
  <c r="N506" i="1" s="1"/>
  <c r="M505" i="1"/>
  <c r="N505" i="1" s="1"/>
  <c r="M504" i="1"/>
  <c r="N504" i="1" s="1"/>
  <c r="M503" i="1"/>
  <c r="N503" i="1" s="1"/>
  <c r="M502" i="1"/>
  <c r="N502" i="1" s="1"/>
  <c r="M501" i="1"/>
  <c r="N501" i="1" s="1"/>
  <c r="M500" i="1"/>
  <c r="N500" i="1" s="1"/>
  <c r="M499" i="1"/>
  <c r="N499" i="1" s="1"/>
  <c r="M498" i="1"/>
  <c r="N498" i="1" s="1"/>
  <c r="M497" i="1"/>
  <c r="N497" i="1" s="1"/>
  <c r="M496" i="1"/>
  <c r="N496" i="1" s="1"/>
  <c r="M495" i="1"/>
  <c r="N495" i="1" s="1"/>
  <c r="M494" i="1"/>
  <c r="N494" i="1" s="1"/>
  <c r="M493" i="1"/>
  <c r="M492" i="1"/>
  <c r="N492" i="1" s="1"/>
  <c r="M491" i="1"/>
  <c r="N491" i="1" s="1"/>
  <c r="M490" i="1"/>
  <c r="N490" i="1" s="1"/>
  <c r="M489" i="1"/>
  <c r="N489" i="1" s="1"/>
  <c r="M488" i="1"/>
  <c r="N488" i="1" s="1"/>
  <c r="M487" i="1"/>
  <c r="N487" i="1" s="1"/>
  <c r="M486" i="1"/>
  <c r="N486" i="1" s="1"/>
  <c r="M485" i="1"/>
  <c r="N485" i="1" s="1"/>
  <c r="M484" i="1"/>
  <c r="N484" i="1" s="1"/>
  <c r="M483" i="1"/>
  <c r="N483" i="1" s="1"/>
  <c r="M482" i="1"/>
  <c r="N482" i="1" s="1"/>
  <c r="M481" i="1"/>
  <c r="N481" i="1" s="1"/>
  <c r="M480" i="1"/>
  <c r="N480" i="1" s="1"/>
  <c r="M479" i="1"/>
  <c r="N479" i="1" s="1"/>
  <c r="M478" i="1"/>
  <c r="N478" i="1" s="1"/>
  <c r="M477" i="1"/>
  <c r="N477" i="1" s="1"/>
  <c r="M476" i="1"/>
  <c r="N476" i="1" s="1"/>
  <c r="M475" i="1"/>
  <c r="N475" i="1" s="1"/>
  <c r="M474" i="1"/>
  <c r="M473" i="1"/>
  <c r="N473" i="1" s="1"/>
  <c r="M472" i="1"/>
  <c r="N472" i="1" s="1"/>
  <c r="M471" i="1"/>
  <c r="N471" i="1" s="1"/>
  <c r="M470" i="1"/>
  <c r="N470" i="1" s="1"/>
  <c r="M469" i="1"/>
  <c r="N469" i="1" s="1"/>
  <c r="M468" i="1"/>
  <c r="N468" i="1" s="1"/>
  <c r="M467" i="1"/>
  <c r="N467" i="1" s="1"/>
  <c r="M466" i="1"/>
  <c r="N466" i="1" s="1"/>
  <c r="M465" i="1"/>
  <c r="N465" i="1" s="1"/>
  <c r="M464" i="1"/>
  <c r="N464" i="1" s="1"/>
  <c r="M463" i="1"/>
  <c r="N463" i="1" s="1"/>
  <c r="M462" i="1"/>
  <c r="N462" i="1" s="1"/>
  <c r="M461" i="1"/>
  <c r="N461" i="1" s="1"/>
  <c r="M460" i="1"/>
  <c r="N460" i="1" s="1"/>
  <c r="M459" i="1"/>
  <c r="N459" i="1" s="1"/>
  <c r="M458" i="1"/>
  <c r="M457" i="1"/>
  <c r="N457" i="1" s="1"/>
  <c r="M456" i="1"/>
  <c r="N456" i="1" s="1"/>
  <c r="M455" i="1"/>
  <c r="N455" i="1" s="1"/>
  <c r="M454" i="1"/>
  <c r="N454" i="1" s="1"/>
  <c r="M453" i="1"/>
  <c r="N453" i="1" s="1"/>
  <c r="M452" i="1"/>
  <c r="N452" i="1" s="1"/>
  <c r="M451" i="1"/>
  <c r="N451" i="1" s="1"/>
  <c r="M450" i="1"/>
  <c r="N450" i="1" s="1"/>
  <c r="M449" i="1"/>
  <c r="N449" i="1" s="1"/>
  <c r="M448" i="1"/>
  <c r="N448" i="1" s="1"/>
  <c r="M447" i="1"/>
  <c r="N447" i="1" s="1"/>
  <c r="M446" i="1"/>
  <c r="N446" i="1" s="1"/>
  <c r="M445" i="1"/>
  <c r="N445" i="1" s="1"/>
  <c r="M444" i="1"/>
  <c r="N444" i="1" s="1"/>
  <c r="M443" i="1"/>
  <c r="N443" i="1" s="1"/>
  <c r="M442" i="1"/>
  <c r="M441" i="1"/>
  <c r="N441" i="1" s="1"/>
  <c r="M440" i="1"/>
  <c r="N440" i="1" s="1"/>
  <c r="M439" i="1"/>
  <c r="N439" i="1" s="1"/>
  <c r="M438" i="1"/>
  <c r="N438" i="1" s="1"/>
  <c r="M437" i="1"/>
  <c r="N437" i="1" s="1"/>
  <c r="M436" i="1"/>
  <c r="N436" i="1" s="1"/>
  <c r="M435" i="1"/>
  <c r="N435" i="1" s="1"/>
  <c r="M434" i="1"/>
  <c r="N434" i="1" s="1"/>
  <c r="M433" i="1"/>
  <c r="N433" i="1" s="1"/>
  <c r="M432" i="1"/>
  <c r="N432" i="1" s="1"/>
  <c r="M431" i="1"/>
  <c r="N431" i="1" s="1"/>
  <c r="M430" i="1"/>
  <c r="N430" i="1" s="1"/>
  <c r="M429" i="1"/>
  <c r="N429" i="1" s="1"/>
  <c r="M428" i="1"/>
  <c r="N428" i="1" s="1"/>
  <c r="M427" i="1"/>
  <c r="N427" i="1" s="1"/>
  <c r="M426" i="1"/>
  <c r="M425" i="1"/>
  <c r="N425" i="1" s="1"/>
  <c r="M424" i="1"/>
  <c r="N424" i="1" s="1"/>
  <c r="M423" i="1"/>
  <c r="N423" i="1" s="1"/>
  <c r="M422" i="1"/>
  <c r="N422" i="1" s="1"/>
  <c r="M421" i="1"/>
  <c r="N421" i="1" s="1"/>
  <c r="M420" i="1"/>
  <c r="N420" i="1" s="1"/>
  <c r="M419" i="1"/>
  <c r="N419" i="1" s="1"/>
  <c r="M418" i="1"/>
  <c r="N418" i="1" s="1"/>
  <c r="M417" i="1"/>
  <c r="N417" i="1" s="1"/>
  <c r="M416" i="1"/>
  <c r="N416" i="1" s="1"/>
  <c r="M415" i="1"/>
  <c r="N415" i="1" s="1"/>
  <c r="M414" i="1"/>
  <c r="N414" i="1" s="1"/>
  <c r="M413" i="1"/>
  <c r="N413" i="1" s="1"/>
  <c r="M412" i="1"/>
  <c r="N412" i="1" s="1"/>
  <c r="M411" i="1"/>
  <c r="N411" i="1" s="1"/>
  <c r="M410" i="1"/>
  <c r="M409" i="1"/>
  <c r="N409" i="1" s="1"/>
  <c r="M408" i="1"/>
  <c r="N408" i="1" s="1"/>
  <c r="M407" i="1"/>
  <c r="N407" i="1" s="1"/>
  <c r="M406" i="1"/>
  <c r="N406" i="1" s="1"/>
  <c r="M405" i="1"/>
  <c r="N405" i="1" s="1"/>
  <c r="M404" i="1"/>
  <c r="N404" i="1" s="1"/>
  <c r="M403" i="1"/>
  <c r="N403" i="1" s="1"/>
  <c r="M402" i="1"/>
  <c r="N402" i="1" s="1"/>
  <c r="M401" i="1"/>
  <c r="N401" i="1" s="1"/>
  <c r="M400" i="1"/>
  <c r="N400" i="1" s="1"/>
  <c r="M399" i="1"/>
  <c r="N399" i="1" s="1"/>
  <c r="M398" i="1"/>
  <c r="N398" i="1" s="1"/>
  <c r="M397" i="1"/>
  <c r="N397" i="1" s="1"/>
  <c r="M396" i="1"/>
  <c r="N396" i="1" s="1"/>
  <c r="M395" i="1"/>
  <c r="N395" i="1" s="1"/>
  <c r="M394" i="1"/>
  <c r="M393" i="1"/>
  <c r="N393" i="1" s="1"/>
  <c r="M392" i="1"/>
  <c r="N392" i="1" s="1"/>
  <c r="M391" i="1"/>
  <c r="N391" i="1" s="1"/>
  <c r="M390" i="1"/>
  <c r="N390" i="1" s="1"/>
  <c r="M389" i="1"/>
  <c r="N389" i="1" s="1"/>
  <c r="M388" i="1"/>
  <c r="N388" i="1" s="1"/>
  <c r="M387" i="1"/>
  <c r="N387" i="1" s="1"/>
  <c r="M386" i="1"/>
  <c r="N386" i="1" s="1"/>
  <c r="M385" i="1"/>
  <c r="N385" i="1" s="1"/>
  <c r="M384" i="1"/>
  <c r="N384" i="1" s="1"/>
  <c r="M383" i="1"/>
  <c r="N383" i="1" s="1"/>
  <c r="M382" i="1"/>
  <c r="N382" i="1" s="1"/>
  <c r="M381" i="1"/>
  <c r="N381" i="1" s="1"/>
  <c r="M380" i="1"/>
  <c r="N380" i="1" s="1"/>
  <c r="M379" i="1"/>
  <c r="N379" i="1" s="1"/>
  <c r="M378" i="1"/>
  <c r="M377" i="1"/>
  <c r="N377" i="1" s="1"/>
  <c r="M376" i="1"/>
  <c r="N376" i="1" s="1"/>
  <c r="M375" i="1"/>
  <c r="N375" i="1" s="1"/>
  <c r="M374" i="1"/>
  <c r="N374" i="1" s="1"/>
  <c r="M373" i="1"/>
  <c r="N373" i="1" s="1"/>
  <c r="M372" i="1"/>
  <c r="N372" i="1" s="1"/>
  <c r="M371" i="1"/>
  <c r="N371" i="1" s="1"/>
  <c r="M370" i="1"/>
  <c r="N370" i="1" s="1"/>
  <c r="M369" i="1"/>
  <c r="N369" i="1" s="1"/>
  <c r="M368" i="1"/>
  <c r="N368" i="1" s="1"/>
  <c r="M367" i="1"/>
  <c r="N367" i="1" s="1"/>
  <c r="M366" i="1"/>
  <c r="N366" i="1" s="1"/>
  <c r="M365" i="1"/>
  <c r="N365" i="1" s="1"/>
  <c r="M364" i="1"/>
  <c r="N364" i="1" s="1"/>
  <c r="M363" i="1"/>
  <c r="N363" i="1" s="1"/>
  <c r="M362" i="1"/>
  <c r="M361" i="1"/>
  <c r="N361" i="1" s="1"/>
  <c r="M360" i="1"/>
  <c r="N360" i="1" s="1"/>
  <c r="M359" i="1"/>
  <c r="N359" i="1" s="1"/>
  <c r="M358" i="1"/>
  <c r="N358" i="1" s="1"/>
  <c r="M357" i="1"/>
  <c r="N357" i="1" s="1"/>
  <c r="M356" i="1"/>
  <c r="N356" i="1" s="1"/>
  <c r="M355" i="1"/>
  <c r="N355" i="1" s="1"/>
  <c r="M354" i="1"/>
  <c r="N354" i="1" s="1"/>
  <c r="M353" i="1"/>
  <c r="N353" i="1" s="1"/>
  <c r="M352" i="1"/>
  <c r="N352" i="1" s="1"/>
  <c r="M351" i="1"/>
  <c r="N351" i="1" s="1"/>
  <c r="M350" i="1"/>
  <c r="N350" i="1" s="1"/>
  <c r="M349" i="1"/>
  <c r="N349" i="1" s="1"/>
  <c r="M348" i="1"/>
  <c r="N348" i="1" s="1"/>
  <c r="M347" i="1"/>
  <c r="N347" i="1" s="1"/>
  <c r="M346" i="1"/>
  <c r="M345" i="1"/>
  <c r="N345" i="1" s="1"/>
  <c r="M344" i="1"/>
  <c r="N344" i="1" s="1"/>
  <c r="M343" i="1"/>
  <c r="N343" i="1" s="1"/>
  <c r="M342" i="1"/>
  <c r="N342" i="1" s="1"/>
  <c r="M341" i="1"/>
  <c r="N341" i="1" s="1"/>
  <c r="M340" i="1"/>
  <c r="N340" i="1" s="1"/>
  <c r="M339" i="1"/>
  <c r="N339" i="1" s="1"/>
  <c r="M338" i="1"/>
  <c r="N338" i="1" s="1"/>
  <c r="M337" i="1"/>
  <c r="N337" i="1" s="1"/>
  <c r="M336" i="1"/>
  <c r="N336" i="1" s="1"/>
  <c r="M335" i="1"/>
  <c r="N335" i="1" s="1"/>
  <c r="M334" i="1"/>
  <c r="N334" i="1" s="1"/>
  <c r="M333" i="1"/>
  <c r="N333" i="1" s="1"/>
  <c r="M332" i="1"/>
  <c r="N332" i="1" s="1"/>
  <c r="M331" i="1"/>
  <c r="N331" i="1" s="1"/>
  <c r="M330" i="1"/>
  <c r="M329" i="1"/>
  <c r="N329" i="1" s="1"/>
  <c r="M328" i="1"/>
  <c r="N328" i="1" s="1"/>
  <c r="M327" i="1"/>
  <c r="N327" i="1" s="1"/>
  <c r="M326" i="1"/>
  <c r="N326" i="1" s="1"/>
  <c r="M325" i="1"/>
  <c r="N325" i="1" s="1"/>
  <c r="M324" i="1"/>
  <c r="N324" i="1" s="1"/>
  <c r="M323" i="1"/>
  <c r="N323" i="1" s="1"/>
  <c r="M322" i="1"/>
  <c r="N322" i="1" s="1"/>
  <c r="M321" i="1"/>
  <c r="N321" i="1" s="1"/>
  <c r="M320" i="1"/>
  <c r="N320" i="1" s="1"/>
  <c r="M319" i="1"/>
  <c r="N319" i="1" s="1"/>
  <c r="M318" i="1"/>
  <c r="N318" i="1" s="1"/>
  <c r="M317" i="1"/>
  <c r="N317" i="1" s="1"/>
  <c r="M316" i="1"/>
  <c r="N316" i="1" s="1"/>
  <c r="M315" i="1"/>
  <c r="N315" i="1" s="1"/>
  <c r="M314" i="1"/>
  <c r="M313" i="1"/>
  <c r="N313" i="1" s="1"/>
  <c r="M312" i="1"/>
  <c r="N312" i="1" s="1"/>
  <c r="M311" i="1"/>
  <c r="N311" i="1" s="1"/>
  <c r="M310" i="1"/>
  <c r="N310" i="1" s="1"/>
  <c r="M309" i="1"/>
  <c r="N309" i="1" s="1"/>
  <c r="M308" i="1"/>
  <c r="N308" i="1" s="1"/>
  <c r="M307" i="1"/>
  <c r="N307" i="1" s="1"/>
  <c r="M306" i="1"/>
  <c r="N306" i="1" s="1"/>
  <c r="M305" i="1"/>
  <c r="N305" i="1" s="1"/>
  <c r="M304" i="1"/>
  <c r="N304" i="1" s="1"/>
  <c r="M303" i="1"/>
  <c r="N303" i="1" s="1"/>
  <c r="M302" i="1"/>
  <c r="N302" i="1" s="1"/>
  <c r="M301" i="1"/>
  <c r="N301" i="1" s="1"/>
  <c r="M300" i="1"/>
  <c r="N300" i="1" s="1"/>
  <c r="M299" i="1"/>
  <c r="N299" i="1" s="1"/>
  <c r="M298" i="1"/>
  <c r="M297" i="1"/>
  <c r="N297" i="1" s="1"/>
  <c r="M296" i="1"/>
  <c r="N296" i="1" s="1"/>
  <c r="M295" i="1"/>
  <c r="N295" i="1" s="1"/>
  <c r="M294" i="1"/>
  <c r="N294" i="1" s="1"/>
  <c r="M293" i="1"/>
  <c r="N293" i="1" s="1"/>
  <c r="M292" i="1"/>
  <c r="N292" i="1" s="1"/>
  <c r="M291" i="1"/>
  <c r="N291" i="1" s="1"/>
  <c r="M290" i="1"/>
  <c r="N290" i="1" s="1"/>
  <c r="M289" i="1"/>
  <c r="N289" i="1" s="1"/>
  <c r="M288" i="1"/>
  <c r="N288" i="1" s="1"/>
  <c r="M287" i="1"/>
  <c r="N287" i="1" s="1"/>
  <c r="M286" i="1"/>
  <c r="N286" i="1" s="1"/>
  <c r="M285" i="1"/>
  <c r="N285" i="1" s="1"/>
  <c r="M284" i="1"/>
  <c r="N284" i="1" s="1"/>
  <c r="M283" i="1"/>
  <c r="N283" i="1" s="1"/>
  <c r="M282" i="1"/>
  <c r="M281" i="1"/>
  <c r="N281" i="1" s="1"/>
  <c r="M280" i="1"/>
  <c r="N280" i="1" s="1"/>
  <c r="M279" i="1"/>
  <c r="N279" i="1" s="1"/>
  <c r="M278" i="1"/>
  <c r="N278" i="1" s="1"/>
  <c r="M277" i="1"/>
  <c r="N277" i="1" s="1"/>
  <c r="M276" i="1"/>
  <c r="N276" i="1" s="1"/>
  <c r="M275" i="1"/>
  <c r="N275" i="1" s="1"/>
  <c r="M274" i="1"/>
  <c r="N274" i="1" s="1"/>
  <c r="M273" i="1"/>
  <c r="N273" i="1" s="1"/>
  <c r="M272" i="1"/>
  <c r="N272" i="1" s="1"/>
  <c r="M271" i="1"/>
  <c r="N271" i="1" s="1"/>
  <c r="M270" i="1"/>
  <c r="N270" i="1" s="1"/>
  <c r="M269" i="1"/>
  <c r="N269" i="1" s="1"/>
  <c r="M268" i="1"/>
  <c r="N268" i="1" s="1"/>
  <c r="M267" i="1"/>
  <c r="N267" i="1" s="1"/>
  <c r="M266" i="1"/>
  <c r="M265" i="1"/>
  <c r="N265" i="1" s="1"/>
  <c r="M264" i="1"/>
  <c r="N264" i="1" s="1"/>
  <c r="M263" i="1"/>
  <c r="N263" i="1" s="1"/>
  <c r="M262" i="1"/>
  <c r="N262" i="1" s="1"/>
  <c r="M261" i="1"/>
  <c r="N261" i="1" s="1"/>
  <c r="M260" i="1"/>
  <c r="N260" i="1" s="1"/>
  <c r="M259" i="1"/>
  <c r="N259" i="1" s="1"/>
  <c r="M258" i="1"/>
  <c r="N258" i="1" s="1"/>
  <c r="M257" i="1"/>
  <c r="N257" i="1" s="1"/>
  <c r="M256" i="1"/>
  <c r="N256" i="1" s="1"/>
  <c r="M255" i="1"/>
  <c r="N255" i="1" s="1"/>
  <c r="M254" i="1"/>
  <c r="N254" i="1" s="1"/>
  <c r="M253" i="1"/>
  <c r="N253" i="1" s="1"/>
  <c r="M252" i="1"/>
  <c r="N252" i="1" s="1"/>
  <c r="M251" i="1"/>
  <c r="N251" i="1" s="1"/>
  <c r="M250" i="1"/>
  <c r="M249" i="1"/>
  <c r="N249" i="1" s="1"/>
  <c r="M248" i="1"/>
  <c r="N248" i="1" s="1"/>
  <c r="M247" i="1"/>
  <c r="N247" i="1" s="1"/>
  <c r="M246" i="1"/>
  <c r="N246" i="1" s="1"/>
  <c r="M245" i="1"/>
  <c r="N245" i="1" s="1"/>
  <c r="M244" i="1"/>
  <c r="N244" i="1" s="1"/>
  <c r="M243" i="1"/>
  <c r="N243" i="1" s="1"/>
  <c r="M242" i="1"/>
  <c r="N242" i="1" s="1"/>
  <c r="M241" i="1"/>
  <c r="N241" i="1" s="1"/>
  <c r="M240" i="1"/>
  <c r="N240" i="1" s="1"/>
  <c r="M239" i="1"/>
  <c r="N239" i="1" s="1"/>
  <c r="M238" i="1"/>
  <c r="N238" i="1" s="1"/>
  <c r="M237" i="1"/>
  <c r="N237" i="1" s="1"/>
  <c r="M236" i="1"/>
  <c r="N236" i="1" s="1"/>
  <c r="M235" i="1"/>
  <c r="N235" i="1" s="1"/>
  <c r="M234" i="1"/>
  <c r="M233" i="1"/>
  <c r="N233" i="1" s="1"/>
  <c r="M232" i="1"/>
  <c r="N232" i="1" s="1"/>
  <c r="M231" i="1"/>
  <c r="N231" i="1" s="1"/>
  <c r="M230" i="1"/>
  <c r="N230" i="1" s="1"/>
  <c r="M229" i="1"/>
  <c r="N229" i="1" s="1"/>
  <c r="M228" i="1"/>
  <c r="N228" i="1" s="1"/>
  <c r="M227" i="1"/>
  <c r="N227" i="1" s="1"/>
  <c r="M226" i="1"/>
  <c r="M225" i="1"/>
  <c r="N225" i="1" s="1"/>
  <c r="M224" i="1"/>
  <c r="N224" i="1" s="1"/>
  <c r="M223" i="1"/>
  <c r="N223" i="1" s="1"/>
  <c r="M222" i="1"/>
  <c r="N222" i="1" s="1"/>
  <c r="M221" i="1"/>
  <c r="N221" i="1" s="1"/>
  <c r="M220" i="1"/>
  <c r="N220" i="1" s="1"/>
  <c r="M219" i="1"/>
  <c r="N219" i="1" s="1"/>
  <c r="M218" i="1"/>
  <c r="M217" i="1"/>
  <c r="N217" i="1" s="1"/>
  <c r="M216" i="1"/>
  <c r="N216" i="1" s="1"/>
  <c r="M215" i="1"/>
  <c r="N215" i="1" s="1"/>
  <c r="M214" i="1"/>
  <c r="N214" i="1" s="1"/>
  <c r="M213" i="1"/>
  <c r="N213" i="1" s="1"/>
  <c r="M212" i="1"/>
  <c r="N212" i="1" s="1"/>
  <c r="M211" i="1"/>
  <c r="N211" i="1" s="1"/>
  <c r="M210" i="1"/>
  <c r="M209" i="1"/>
  <c r="N209" i="1" s="1"/>
  <c r="M208" i="1"/>
  <c r="N208" i="1" s="1"/>
  <c r="M207" i="1"/>
  <c r="N207" i="1" s="1"/>
  <c r="M206" i="1"/>
  <c r="N206" i="1" s="1"/>
  <c r="M205" i="1"/>
  <c r="N205" i="1" s="1"/>
  <c r="M204" i="1"/>
  <c r="N204" i="1" s="1"/>
  <c r="M203" i="1"/>
  <c r="N203" i="1" s="1"/>
  <c r="M202" i="1"/>
  <c r="M201" i="1"/>
  <c r="N201" i="1" s="1"/>
  <c r="M200" i="1"/>
  <c r="N200" i="1" s="1"/>
  <c r="M199" i="1"/>
  <c r="N199" i="1" s="1"/>
  <c r="M198" i="1"/>
  <c r="N198" i="1" s="1"/>
  <c r="M197" i="1"/>
  <c r="N197" i="1" s="1"/>
  <c r="M196" i="1"/>
  <c r="N196" i="1" s="1"/>
  <c r="M195" i="1"/>
  <c r="N195" i="1" s="1"/>
  <c r="M194" i="1"/>
  <c r="M193" i="1"/>
  <c r="N193" i="1" s="1"/>
  <c r="M192" i="1"/>
  <c r="N192" i="1" s="1"/>
  <c r="M191" i="1"/>
  <c r="N191" i="1" s="1"/>
  <c r="M190" i="1"/>
  <c r="N190" i="1" s="1"/>
  <c r="M189" i="1"/>
  <c r="N189" i="1" s="1"/>
  <c r="M188" i="1"/>
  <c r="N188" i="1" s="1"/>
  <c r="M187" i="1"/>
  <c r="N187" i="1" s="1"/>
  <c r="M186" i="1"/>
  <c r="M185" i="1"/>
  <c r="N185" i="1" s="1"/>
  <c r="M184" i="1"/>
  <c r="N184" i="1" s="1"/>
  <c r="M183" i="1"/>
  <c r="N183" i="1" s="1"/>
  <c r="M182" i="1"/>
  <c r="N182" i="1" s="1"/>
  <c r="M181" i="1"/>
  <c r="N181" i="1" s="1"/>
  <c r="M180" i="1"/>
  <c r="N180" i="1" s="1"/>
  <c r="M179" i="1"/>
  <c r="N179" i="1" s="1"/>
  <c r="M178" i="1"/>
  <c r="M177" i="1"/>
  <c r="N177" i="1" s="1"/>
  <c r="M176" i="1"/>
  <c r="N176" i="1" s="1"/>
  <c r="M175" i="1"/>
  <c r="N175" i="1" s="1"/>
  <c r="M174" i="1"/>
  <c r="N174" i="1" s="1"/>
  <c r="M173" i="1"/>
  <c r="N173" i="1" s="1"/>
  <c r="M172" i="1"/>
  <c r="N172" i="1" s="1"/>
  <c r="M171" i="1"/>
  <c r="N171" i="1" s="1"/>
  <c r="M170" i="1"/>
  <c r="M169" i="1"/>
  <c r="N169" i="1" s="1"/>
  <c r="M168" i="1"/>
  <c r="N168" i="1" s="1"/>
  <c r="M167" i="1"/>
  <c r="N167" i="1" s="1"/>
  <c r="M166" i="1"/>
  <c r="N166" i="1" s="1"/>
  <c r="M165" i="1"/>
  <c r="N165" i="1" s="1"/>
  <c r="M164" i="1"/>
  <c r="N164" i="1" s="1"/>
  <c r="M163" i="1"/>
  <c r="N163" i="1" s="1"/>
  <c r="M162" i="1"/>
  <c r="M161" i="1"/>
  <c r="N161" i="1" s="1"/>
  <c r="M160" i="1"/>
  <c r="N160" i="1" s="1"/>
  <c r="M159" i="1"/>
  <c r="N159" i="1" s="1"/>
  <c r="M158" i="1"/>
  <c r="N158" i="1" s="1"/>
  <c r="M157" i="1"/>
  <c r="N157" i="1" s="1"/>
  <c r="M156" i="1"/>
  <c r="N156" i="1" s="1"/>
  <c r="M155" i="1"/>
  <c r="N155" i="1" s="1"/>
  <c r="M154" i="1"/>
  <c r="M153" i="1"/>
  <c r="N153" i="1" s="1"/>
  <c r="M152" i="1"/>
  <c r="N152" i="1" s="1"/>
  <c r="M151" i="1"/>
  <c r="N151" i="1" s="1"/>
  <c r="M150" i="1"/>
  <c r="N150" i="1" s="1"/>
  <c r="M149" i="1"/>
  <c r="M148" i="1"/>
  <c r="N148" i="1" s="1"/>
  <c r="M147" i="1"/>
  <c r="N147" i="1" s="1"/>
  <c r="M146" i="1"/>
  <c r="N146" i="1" s="1"/>
  <c r="M145" i="1"/>
  <c r="N145" i="1" s="1"/>
  <c r="M144" i="1"/>
  <c r="N144" i="1" s="1"/>
  <c r="M143" i="1"/>
  <c r="N143" i="1" s="1"/>
  <c r="M142" i="1"/>
  <c r="N142" i="1" s="1"/>
  <c r="M141" i="1"/>
  <c r="N141" i="1" s="1"/>
  <c r="M140" i="1"/>
  <c r="N140" i="1" s="1"/>
  <c r="M139" i="1"/>
  <c r="N139" i="1" s="1"/>
  <c r="M138" i="1"/>
  <c r="M137" i="1"/>
  <c r="N137" i="1" s="1"/>
  <c r="M136" i="1"/>
  <c r="N136" i="1" s="1"/>
  <c r="M135" i="1"/>
  <c r="N135" i="1" s="1"/>
  <c r="M134" i="1"/>
  <c r="N134" i="1" s="1"/>
  <c r="M133" i="1"/>
  <c r="M132" i="1"/>
  <c r="N132" i="1" s="1"/>
  <c r="M131" i="1"/>
  <c r="N131" i="1" s="1"/>
  <c r="M130" i="1"/>
  <c r="N130" i="1" s="1"/>
  <c r="M129" i="1"/>
  <c r="N129" i="1" s="1"/>
  <c r="M128" i="1"/>
  <c r="N128" i="1" s="1"/>
  <c r="M127" i="1"/>
  <c r="N127" i="1" s="1"/>
  <c r="M126" i="1"/>
  <c r="N126" i="1" s="1"/>
  <c r="M125" i="1"/>
  <c r="N125" i="1" s="1"/>
  <c r="M124" i="1"/>
  <c r="N124" i="1" s="1"/>
  <c r="M123" i="1"/>
  <c r="N123" i="1" s="1"/>
  <c r="M122" i="1"/>
  <c r="M121" i="1"/>
  <c r="N121" i="1" s="1"/>
  <c r="M120" i="1"/>
  <c r="N120" i="1" s="1"/>
  <c r="M119" i="1"/>
  <c r="N119" i="1" s="1"/>
  <c r="M118" i="1"/>
  <c r="N118" i="1" s="1"/>
  <c r="M117" i="1"/>
  <c r="M116" i="1"/>
  <c r="N116" i="1" s="1"/>
  <c r="M115" i="1"/>
  <c r="N115" i="1" s="1"/>
  <c r="M114" i="1"/>
  <c r="N114" i="1" s="1"/>
  <c r="M113" i="1"/>
  <c r="N113" i="1" s="1"/>
  <c r="M112" i="1"/>
  <c r="N112" i="1" s="1"/>
  <c r="M111" i="1"/>
  <c r="N111" i="1" s="1"/>
  <c r="M110" i="1"/>
  <c r="N110" i="1" s="1"/>
  <c r="M109" i="1"/>
  <c r="N109" i="1" s="1"/>
  <c r="M108" i="1"/>
  <c r="N108" i="1" s="1"/>
  <c r="M107" i="1"/>
  <c r="N107" i="1" s="1"/>
  <c r="M106" i="1"/>
  <c r="M105" i="1"/>
  <c r="N105" i="1" s="1"/>
  <c r="M104" i="1"/>
  <c r="N104" i="1" s="1"/>
  <c r="M103" i="1"/>
  <c r="N103" i="1" s="1"/>
  <c r="M102" i="1"/>
  <c r="N102" i="1" s="1"/>
  <c r="M101" i="1"/>
  <c r="M100" i="1"/>
  <c r="N100" i="1" s="1"/>
  <c r="M99" i="1"/>
  <c r="N99" i="1" s="1"/>
  <c r="M98" i="1"/>
  <c r="N98" i="1" s="1"/>
  <c r="M97" i="1"/>
  <c r="N97" i="1" s="1"/>
  <c r="M96" i="1"/>
  <c r="N96" i="1" s="1"/>
  <c r="M95" i="1"/>
  <c r="N95" i="1" s="1"/>
  <c r="M94" i="1"/>
  <c r="N94" i="1" s="1"/>
  <c r="M93" i="1"/>
  <c r="N93" i="1" s="1"/>
  <c r="M92" i="1"/>
  <c r="N92" i="1" s="1"/>
  <c r="M91" i="1"/>
  <c r="N91" i="1" s="1"/>
  <c r="M90" i="1"/>
  <c r="M89" i="1"/>
  <c r="N89" i="1" s="1"/>
  <c r="M88" i="1"/>
  <c r="N88" i="1" s="1"/>
  <c r="M87" i="1"/>
  <c r="N87" i="1" s="1"/>
  <c r="M86" i="1"/>
  <c r="N86" i="1" s="1"/>
  <c r="M85" i="1"/>
  <c r="M84" i="1"/>
  <c r="N84" i="1" s="1"/>
  <c r="M83" i="1"/>
  <c r="N83" i="1" s="1"/>
  <c r="M82" i="1"/>
  <c r="N82" i="1" s="1"/>
  <c r="M81" i="1"/>
  <c r="N81" i="1" s="1"/>
  <c r="M80" i="1"/>
  <c r="N80" i="1" s="1"/>
  <c r="M79" i="1"/>
  <c r="N79" i="1" s="1"/>
  <c r="M78" i="1"/>
  <c r="N78" i="1" s="1"/>
  <c r="M77" i="1"/>
  <c r="N77" i="1" s="1"/>
  <c r="M76" i="1"/>
  <c r="N76" i="1" s="1"/>
  <c r="M75" i="1"/>
  <c r="N75" i="1" s="1"/>
  <c r="M74" i="1"/>
  <c r="M73" i="1"/>
  <c r="N73" i="1" s="1"/>
  <c r="M72" i="1"/>
  <c r="N72" i="1" s="1"/>
  <c r="M71" i="1"/>
  <c r="N71" i="1" s="1"/>
  <c r="M70" i="1"/>
  <c r="N70" i="1" s="1"/>
  <c r="M69" i="1"/>
  <c r="M68" i="1"/>
  <c r="N68" i="1" s="1"/>
  <c r="M67" i="1"/>
  <c r="N67" i="1" s="1"/>
  <c r="M66" i="1"/>
  <c r="N66" i="1" s="1"/>
  <c r="M65" i="1"/>
  <c r="N65" i="1" s="1"/>
  <c r="M64" i="1"/>
  <c r="N64" i="1" s="1"/>
  <c r="M63" i="1"/>
  <c r="N63" i="1" s="1"/>
  <c r="M62" i="1"/>
  <c r="N62" i="1" s="1"/>
  <c r="M61" i="1"/>
  <c r="N61" i="1" s="1"/>
  <c r="M60" i="1"/>
  <c r="N60" i="1" s="1"/>
  <c r="M59" i="1"/>
  <c r="N59" i="1" s="1"/>
  <c r="M58" i="1"/>
  <c r="M57" i="1"/>
  <c r="N57" i="1" s="1"/>
  <c r="M56" i="1"/>
  <c r="N56" i="1" s="1"/>
  <c r="M55" i="1"/>
  <c r="N55" i="1" s="1"/>
  <c r="M54" i="1"/>
  <c r="N54" i="1" s="1"/>
  <c r="M53" i="1"/>
  <c r="M52" i="1"/>
  <c r="N52" i="1" s="1"/>
  <c r="M51" i="1"/>
  <c r="N51" i="1" s="1"/>
  <c r="M50" i="1"/>
  <c r="N50" i="1" s="1"/>
  <c r="M49" i="1"/>
  <c r="N49" i="1" s="1"/>
  <c r="M48" i="1"/>
  <c r="N48" i="1" s="1"/>
  <c r="M47" i="1"/>
  <c r="N47" i="1" s="1"/>
  <c r="M46" i="1"/>
  <c r="N46" i="1" s="1"/>
  <c r="M45" i="1"/>
  <c r="N45" i="1" s="1"/>
  <c r="M44" i="1"/>
  <c r="N44" i="1" s="1"/>
  <c r="M43" i="1"/>
  <c r="N43" i="1" s="1"/>
  <c r="M42" i="1"/>
  <c r="M41" i="1"/>
  <c r="N41" i="1" s="1"/>
  <c r="M40" i="1"/>
  <c r="N40" i="1" s="1"/>
  <c r="M39" i="1"/>
  <c r="N39" i="1" s="1"/>
  <c r="M38" i="1"/>
  <c r="N38" i="1" s="1"/>
  <c r="M37" i="1"/>
  <c r="M36" i="1"/>
  <c r="N36" i="1" s="1"/>
  <c r="M35" i="1"/>
  <c r="N35" i="1" s="1"/>
  <c r="M34" i="1"/>
  <c r="N34" i="1" s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N27" i="1" s="1"/>
  <c r="M26" i="1"/>
  <c r="M25" i="1"/>
  <c r="N25" i="1" s="1"/>
  <c r="M24" i="1"/>
  <c r="N24" i="1" s="1"/>
  <c r="M23" i="1"/>
  <c r="N23" i="1" s="1"/>
  <c r="M22" i="1"/>
  <c r="N22" i="1" s="1"/>
  <c r="M21" i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M9" i="1"/>
  <c r="N9" i="1" s="1"/>
  <c r="M8" i="1"/>
  <c r="N8" i="1" s="1"/>
  <c r="M7" i="1"/>
  <c r="N7" i="1" s="1"/>
  <c r="M6" i="1"/>
  <c r="N6" i="1" s="1"/>
  <c r="M5" i="1"/>
  <c r="M4" i="1"/>
  <c r="N4" i="1" s="1"/>
  <c r="M3" i="1"/>
  <c r="N3" i="1" s="1"/>
</calcChain>
</file>

<file path=xl/sharedStrings.xml><?xml version="1.0" encoding="utf-8"?>
<sst xmlns="http://schemas.openxmlformats.org/spreadsheetml/2006/main" count="1218" uniqueCount="628">
  <si>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</si>
  <si>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</si>
  <si>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</si>
  <si>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</si>
  <si>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</si>
  <si>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</si>
  <si>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</si>
  <si>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</si>
  <si>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</si>
  <si>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</si>
  <si>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</si>
  <si>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</si>
  <si>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</si>
  <si>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</si>
  <si>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</si>
  <si>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</si>
  <si>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</si>
  <si>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</si>
  <si>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</si>
  <si>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</si>
  <si>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</si>
  <si>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</si>
  <si>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</si>
  <si>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</si>
  <si>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</si>
  <si>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</si>
  <si>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</si>
  <si>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</si>
  <si>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</si>
  <si>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</si>
  <si>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</si>
  <si>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</si>
  <si>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</si>
  <si>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</si>
  <si>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</si>
  <si>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</si>
  <si>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مبلغ رشد/کاهش مطالبات غیرجاری نسبت به پایان سال قبل</t>
  </si>
  <si>
    <t>درصد رشد/کاهش مطالبات غیرجاری نسبت به پایان سال قبل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</si>
  <si>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</si>
  <si>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</si>
  <si>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</si>
  <si>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</si>
  <si>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</si>
  <si>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</si>
  <si>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</si>
  <si>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</si>
  <si>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</si>
  <si>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</si>
  <si>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</si>
  <si>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</si>
  <si>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</si>
  <si>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ضمانت نامه های صادره از محل بدهکاران داخلی</t>
  </si>
  <si>
    <t>مشکوک الوصول ضمانت نامه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</si>
  <si>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</si>
  <si>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</si>
  <si>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</si>
  <si>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</si>
  <si>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</si>
  <si>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</si>
  <si>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</si>
  <si>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</si>
  <si>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</si>
  <si>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</si>
  <si>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</si>
  <si>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</si>
  <si>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</si>
  <si>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</si>
  <si>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</si>
  <si>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</si>
  <si>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</si>
  <si>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</si>
  <si>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</si>
  <si>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</si>
  <si>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</si>
  <si>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</si>
  <si>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</si>
  <si>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</si>
  <si>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</si>
  <si>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</si>
  <si>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</si>
  <si>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</si>
  <si>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</si>
  <si>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</si>
  <si>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</si>
  <si>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</si>
  <si>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</si>
  <si>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</si>
  <si>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</si>
  <si>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</si>
  <si>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</si>
  <si>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</si>
  <si>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</si>
  <si>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</si>
  <si>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</si>
  <si>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</si>
  <si>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</si>
  <si>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</si>
  <si>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</si>
  <si>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</si>
  <si>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</si>
  <si>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</si>
  <si>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</si>
  <si>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</si>
  <si>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</si>
  <si>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</si>
  <si>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</si>
  <si>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</si>
  <si>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</si>
  <si>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</si>
  <si>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</si>
  <si>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</si>
  <si>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</si>
  <si>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</si>
  <si>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</si>
  <si>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</si>
  <si>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</si>
  <si>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</si>
  <si>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</si>
  <si>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</si>
  <si>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</si>
  <si>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</si>
  <si>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</si>
  <si>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</si>
  <si>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</si>
  <si>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</si>
  <si>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</si>
  <si>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</si>
  <si>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</si>
  <si>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</si>
  <si>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</si>
  <si>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</si>
  <si>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</si>
  <si>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</si>
  <si>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</si>
  <si>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</si>
  <si>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</si>
  <si>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</si>
  <si>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</si>
  <si>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</si>
  <si>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</si>
  <si>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</si>
  <si>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</si>
  <si>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</si>
  <si>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</si>
  <si>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</si>
  <si>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</si>
  <si>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</si>
  <si>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</si>
  <si>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</si>
  <si>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</si>
  <si>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</si>
  <si>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</si>
  <si>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</si>
  <si>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</si>
  <si>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</si>
  <si>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</si>
  <si>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</si>
  <si>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</si>
  <si>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</si>
  <si>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</si>
  <si>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</si>
  <si>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</si>
  <si>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</si>
  <si>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</si>
  <si>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</si>
  <si>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</si>
  <si>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</si>
  <si>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</si>
  <si>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</si>
  <si>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</si>
  <si>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</si>
  <si>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</si>
  <si>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</si>
  <si>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</si>
  <si>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</si>
  <si>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</si>
  <si>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</si>
  <si>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</si>
  <si>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</si>
  <si>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</si>
  <si>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</si>
  <si>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</si>
  <si>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</si>
  <si>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</si>
  <si>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</si>
  <si>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</si>
  <si>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</si>
  <si>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</si>
  <si>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</si>
  <si>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</si>
  <si>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</si>
  <si>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</si>
  <si>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</si>
  <si>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</si>
  <si>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</si>
  <si>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</si>
  <si>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</si>
  <si>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</si>
  <si>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</si>
  <si>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</si>
  <si>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</si>
  <si>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</si>
  <si>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</si>
  <si>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</si>
  <si>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</si>
  <si>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</si>
  <si>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</si>
  <si>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</si>
  <si>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</si>
  <si>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</si>
  <si>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</si>
  <si>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</si>
  <si>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</si>
  <si>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</si>
  <si>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</si>
  <si>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</si>
  <si>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</si>
  <si>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</si>
  <si>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</si>
  <si>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</si>
  <si>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</si>
  <si>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</si>
  <si>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</si>
  <si>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</si>
  <si>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</si>
  <si>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</si>
  <si>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</si>
  <si>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</si>
  <si>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</si>
  <si>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</si>
  <si>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</si>
  <si>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</si>
  <si>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</si>
  <si>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</si>
  <si>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</si>
  <si>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</si>
  <si>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</si>
  <si>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</si>
  <si>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</si>
  <si>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</si>
  <si>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</si>
  <si>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</si>
  <si>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</si>
  <si>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سرپرستي خراسان رضوي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</si>
  <si>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</si>
  <si>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</si>
  <si>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</si>
  <si>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</si>
  <si>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</si>
  <si>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</si>
  <si>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</si>
  <si>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</si>
  <si>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</si>
  <si>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</si>
  <si>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</si>
  <si>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</si>
  <si>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</si>
  <si>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</si>
  <si>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</si>
  <si>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</si>
  <si>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</si>
  <si>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</si>
  <si>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</si>
  <si>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</si>
  <si>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</si>
  <si>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</si>
  <si>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</si>
  <si>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</si>
  <si>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</si>
  <si>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</si>
  <si>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</si>
  <si>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</si>
  <si>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</si>
  <si>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</si>
  <si>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</si>
  <si>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</si>
  <si>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</si>
  <si>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</si>
  <si>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</si>
  <si>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</si>
  <si>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</si>
  <si>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</si>
  <si>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</si>
  <si>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</si>
  <si>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</si>
  <si>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</si>
  <si>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</si>
  <si>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</si>
  <si>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</si>
  <si>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</si>
  <si>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</si>
  <si>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</si>
  <si>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</si>
  <si>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</si>
  <si>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</si>
  <si>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</si>
  <si>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</si>
  <si>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</si>
  <si>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</si>
  <si>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</si>
  <si>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</si>
  <si>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</si>
  <si>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</si>
  <si>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</si>
  <si>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</si>
  <si>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</si>
  <si>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</si>
  <si>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</si>
  <si>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</si>
  <si>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</si>
  <si>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</si>
  <si>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</si>
  <si>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</si>
  <si>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</si>
  <si>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</si>
  <si>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</si>
  <si>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</si>
  <si>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</si>
  <si>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</si>
  <si>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</si>
  <si>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</si>
  <si>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</si>
  <si>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مستقل مركزي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</si>
  <si>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</si>
  <si>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</si>
  <si>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</si>
  <si>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</si>
  <si>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</si>
  <si>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</si>
  <si>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</si>
  <si>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</si>
  <si>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</si>
  <si>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</si>
  <si>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</si>
  <si>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</si>
  <si>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</si>
  <si>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</si>
  <si>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</si>
  <si>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</si>
  <si>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</si>
  <si>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</si>
  <si>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</si>
  <si>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</si>
  <si>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</si>
  <si>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</si>
  <si>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</si>
  <si>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</si>
  <si>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</si>
  <si>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</si>
  <si>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</si>
  <si>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</si>
  <si>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</si>
  <si>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</si>
  <si>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</si>
  <si>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</si>
  <si>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</si>
  <si>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</si>
  <si>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</si>
  <si>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</si>
  <si>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</si>
  <si>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</si>
  <si>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</si>
  <si>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</si>
  <si>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</si>
  <si>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</si>
  <si>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</si>
  <si>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</si>
  <si>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</si>
  <si>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</si>
  <si>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</si>
  <si>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</si>
  <si>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</si>
  <si>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</si>
  <si>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</si>
  <si>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</si>
  <si>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</si>
  <si>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</si>
  <si>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</si>
  <si>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</si>
  <si>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</si>
  <si>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</si>
  <si>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</si>
  <si>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</si>
  <si>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</si>
  <si>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</si>
  <si>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</si>
  <si>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</si>
  <si>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</si>
  <si>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</si>
  <si>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</si>
  <si>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</si>
  <si>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</si>
  <si>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</si>
  <si>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</si>
  <si>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</si>
  <si>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</si>
  <si>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</si>
  <si>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</si>
  <si>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</si>
  <si>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</si>
  <si>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</si>
  <si>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</si>
  <si>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</si>
  <si>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</si>
  <si>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</si>
  <si>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</si>
  <si>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</si>
  <si>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</si>
  <si>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</si>
  <si>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</si>
  <si>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</si>
  <si>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</si>
  <si>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</si>
  <si>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</si>
  <si>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</si>
  <si>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</si>
  <si>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</si>
  <si>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</si>
  <si>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</si>
  <si>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</si>
  <si>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</si>
  <si>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</si>
  <si>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</si>
  <si>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</si>
  <si>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</si>
  <si>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</si>
  <si>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</si>
  <si>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</si>
  <si>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</si>
  <si>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</si>
  <si>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</si>
  <si>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</si>
  <si>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</si>
  <si>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</si>
  <si>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</si>
  <si>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</si>
  <si>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</si>
  <si>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</si>
  <si>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</si>
  <si>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</si>
  <si>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</si>
  <si>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</si>
  <si>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</si>
  <si>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</si>
  <si>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</si>
  <si>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</si>
  <si>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</si>
  <si>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</si>
  <si>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</si>
  <si>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</si>
  <si>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</si>
  <si>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</si>
  <si>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</si>
  <si>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</si>
  <si>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</si>
  <si>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</si>
  <si>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</si>
  <si>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</si>
  <si>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</si>
  <si>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</si>
  <si>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</si>
  <si>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</si>
  <si>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</si>
  <si>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</si>
  <si>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</si>
  <si>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</si>
  <si>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</si>
  <si>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</si>
  <si>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</si>
  <si>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</si>
  <si>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</si>
  <si>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</si>
  <si>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</si>
  <si>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</si>
  <si>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</si>
  <si>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</si>
  <si>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</si>
  <si>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</si>
  <si>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</si>
  <si>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</si>
  <si>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</si>
  <si>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</si>
  <si>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</si>
  <si>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</si>
  <si>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</si>
  <si>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</si>
  <si>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</si>
  <si>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</si>
  <si>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</si>
  <si>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</si>
  <si>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</si>
  <si>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</si>
  <si>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</si>
  <si>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</si>
  <si>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</si>
  <si>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</si>
  <si>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</si>
  <si>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</si>
  <si>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</si>
  <si>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</si>
  <si>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</si>
  <si>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</si>
  <si>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</si>
  <si>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</si>
  <si>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</si>
  <si>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</si>
  <si>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</si>
  <si>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</si>
  <si>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</si>
  <si>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</si>
  <si>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</si>
  <si>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</si>
  <si>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</si>
  <si>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</si>
  <si>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</si>
  <si>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</si>
  <si>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</si>
  <si>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</si>
  <si>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</si>
  <si>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</si>
  <si>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</si>
  <si>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</si>
  <si>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</si>
  <si>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</si>
  <si>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</si>
  <si>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</si>
  <si>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</si>
  <si>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</si>
  <si>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</si>
  <si>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</si>
  <si>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</si>
  <si>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</si>
  <si>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</si>
  <si>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</si>
  <si>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</si>
  <si>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</si>
  <si>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</si>
  <si>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</si>
  <si>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</si>
  <si>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</si>
  <si>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</si>
  <si>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</si>
  <si>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</si>
  <si>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</si>
  <si>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</si>
  <si>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</si>
  <si>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</si>
  <si>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</si>
  <si>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</si>
  <si>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</si>
  <si>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</si>
  <si>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</si>
  <si>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</si>
  <si>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</si>
  <si>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</si>
  <si>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</si>
  <si>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</si>
  <si>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گيلان Total</t>
  </si>
  <si>
    <t>سرپرستي مناطق آزاد</t>
  </si>
  <si>
    <t>تربت  حيدريه</t>
  </si>
  <si>
    <t>امور شعب</t>
  </si>
  <si>
    <t>نقدینگی</t>
  </si>
  <si>
    <t>خالص منابع-پس از کسر سپرده قانونی و نقدینگی</t>
  </si>
  <si>
    <t>سود و وجه التزام غیرجاری دریافتنی(برای محاسبه NPL)</t>
  </si>
  <si>
    <t>نام استان</t>
  </si>
  <si>
    <t>مانده مطالبات غیرجاری درپایان سال قبل</t>
  </si>
  <si>
    <t>وصولی (اصل )</t>
  </si>
  <si>
    <t>وصولی(اصل) غیرجاری</t>
  </si>
  <si>
    <t>وصولی(اصل) ضمانت نامه ها</t>
  </si>
  <si>
    <t>وصولی(اصل) اعتبارات اسنادی</t>
  </si>
  <si>
    <t>واحد پاياپاي مرکزي</t>
  </si>
  <si>
    <t>آذربايجان شرقي Total</t>
  </si>
  <si>
    <t>آذربايجان غربي</t>
  </si>
  <si>
    <t>آذربايجان غربي Total</t>
  </si>
  <si>
    <t>اردبيل Total</t>
  </si>
  <si>
    <t>اصفهان Total</t>
  </si>
  <si>
    <t>البرز</t>
  </si>
  <si>
    <t>البرز Total</t>
  </si>
  <si>
    <t>ايلام Total</t>
  </si>
  <si>
    <t>بوشهر Total</t>
  </si>
  <si>
    <t>تهران</t>
  </si>
  <si>
    <t>تهران Total</t>
  </si>
  <si>
    <t>خراسان جنوبي</t>
  </si>
  <si>
    <t>خراسان جنوبي Total</t>
  </si>
  <si>
    <t>خراسان رضوي</t>
  </si>
  <si>
    <t>خراسان رضوي Total</t>
  </si>
  <si>
    <t>خراسان شمالي</t>
  </si>
  <si>
    <t>خراسان شمالي Total</t>
  </si>
  <si>
    <t>خوزستان</t>
  </si>
  <si>
    <t>خوزستان Total</t>
  </si>
  <si>
    <t>زنجان Total</t>
  </si>
  <si>
    <t>سمنان Total</t>
  </si>
  <si>
    <t>سيستان وبلوچستان</t>
  </si>
  <si>
    <t>سيستان وبلوچستان Total</t>
  </si>
  <si>
    <t>شعبه مستقل مرکزی</t>
  </si>
  <si>
    <t>شعبه مستقل مرکزی Total</t>
  </si>
  <si>
    <t>فارس</t>
  </si>
  <si>
    <t>فارس Total</t>
  </si>
  <si>
    <t>قزوين Total</t>
  </si>
  <si>
    <t>قم Total</t>
  </si>
  <si>
    <t>لرستان</t>
  </si>
  <si>
    <t>لرستان Total</t>
  </si>
  <si>
    <t>مازندران</t>
  </si>
  <si>
    <t>مازندران Total</t>
  </si>
  <si>
    <t>مرکزي</t>
  </si>
  <si>
    <t>مرکزي Total</t>
  </si>
  <si>
    <t>هرمزگان</t>
  </si>
  <si>
    <t>هرمزگان Total</t>
  </si>
  <si>
    <t>همدان</t>
  </si>
  <si>
    <t>همدان Total</t>
  </si>
  <si>
    <t>يزد Total</t>
  </si>
  <si>
    <t>چهارمحال وبختياري</t>
  </si>
  <si>
    <t>چهارمحال وبختياري Total</t>
  </si>
  <si>
    <t>کردستان</t>
  </si>
  <si>
    <t>کردستان Total</t>
  </si>
  <si>
    <t>کرمان Total</t>
  </si>
  <si>
    <t>کرمانشاه Total</t>
  </si>
  <si>
    <t>کهگيلويه وبويراحمد</t>
  </si>
  <si>
    <t>کهگيلويه وبويراحمد Total</t>
  </si>
  <si>
    <t>گلستان</t>
  </si>
  <si>
    <t>گلستان Total</t>
  </si>
  <si>
    <t>گيلان</t>
  </si>
  <si>
    <t>جمع کل</t>
  </si>
  <si>
    <t>ستاد Total</t>
  </si>
  <si>
    <t>مرکز تماس بانک</t>
  </si>
  <si>
    <t> </t>
  </si>
  <si>
    <t>مصلي مشهد</t>
  </si>
  <si>
    <t>عملکرد شعب منتهی به 1404/12/29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</si>
</sst>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,##0,,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10" fillId="0" borderId="0"/>
    <xf numFmtId="43" fontId="12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3" fontId="1" fillId="5" borderId="2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165" fontId="4" fillId="0" borderId="0" xfId="3" applyNumberFormat="1" applyFont="1" applyAlignment="1">
      <alignment horizontal="center" vertical="center"/>
    </xf>
    <xf numFmtId="165" fontId="3" fillId="0" borderId="0" xfId="3" applyNumberFormat="1" applyFont="1" applyAlignment="1">
      <alignment horizontal="center" vertical="center" wrapText="1"/>
    </xf>
    <xf numFmtId="165" fontId="1" fillId="5" borderId="2" xfId="3" applyNumberFormat="1" applyFont="1" applyFill="1" applyBorder="1" applyAlignment="1">
      <alignment horizontal="center" vertical="center" wrapText="1"/>
    </xf>
    <xf numFmtId="165" fontId="3" fillId="0" borderId="2" xfId="3" applyNumberFormat="1" applyFont="1" applyBorder="1" applyAlignment="1">
      <alignment horizontal="center" vertical="center" wrapText="1"/>
    </xf>
    <xf numFmtId="165" fontId="3" fillId="4" borderId="2" xfId="3" applyNumberFormat="1" applyFont="1" applyFill="1" applyBorder="1" applyAlignment="1">
      <alignment horizontal="center" vertical="center" wrapText="1"/>
    </xf>
    <xf numFmtId="165" fontId="3" fillId="0" borderId="2" xfId="3" applyNumberFormat="1" applyFont="1" applyFill="1" applyBorder="1" applyAlignment="1">
      <alignment horizontal="center" vertical="center" wrapText="1"/>
    </xf>
    <xf numFmtId="165" fontId="3" fillId="3" borderId="2" xfId="3" applyNumberFormat="1" applyFont="1" applyFill="1" applyBorder="1" applyAlignment="1">
      <alignment horizontal="center" vertical="center" wrapText="1"/>
    </xf>
    <xf numFmtId="165" fontId="4" fillId="2" borderId="2" xfId="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43"/>
  <sheetViews>
    <sheetView rightToLeft="1" tabSelected="1" topLeftCell="A16" zoomScale="55" zoomScaleNormal="55" workbookViewId="0">
      <selection activeCell="B3" sqref="B3"/>
    </sheetView>
  </sheetViews>
  <sheetFormatPr defaultColWidth="33.42578125" defaultRowHeight="39.75" x14ac:dyDescent="0.25"/>
  <cols>
    <col min="1" max="1" width="40.85546875" style="3" bestFit="1" customWidth="1"/>
    <col min="2" max="2" width="33.42578125" style="3"/>
    <col min="3" max="3" width="45.140625" style="3" bestFit="1" customWidth="1"/>
    <col min="4" max="8" width="33.42578125" style="3" customWidth="1"/>
    <col min="9" max="9" width="34.140625" style="3" customWidth="1"/>
    <col min="10" max="10" width="33.42578125" style="3" customWidth="1"/>
    <col min="11" max="11" width="33.140625" style="3" bestFit="1" customWidth="1"/>
    <col min="12" max="13" width="37.140625" style="3" bestFit="1" customWidth="1"/>
    <col min="14" max="27" width="33.42578125" style="3" customWidth="1"/>
    <col min="28" max="28" width="37.140625" style="3" customWidth="1"/>
    <col min="29" max="38" width="33.42578125" style="3" customWidth="1"/>
    <col min="39" max="39" width="34.140625" style="3" customWidth="1"/>
    <col min="40" max="41" width="33.42578125" style="3" customWidth="1"/>
    <col min="42" max="61" width="33.42578125" style="3"/>
    <col min="62" max="62" width="43" style="45" bestFit="1" customWidth="1"/>
    <col min="63" max="66" width="33.42578125" style="3"/>
    <col min="67" max="16384" width="33.42578125" style="22"/>
  </cols>
  <sheetData>
    <row r="1" spans="1:66" ht="96.75" customHeight="1" x14ac:dyDescent="0.25">
      <c r="A1" s="53" t="s">
        <v>627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12" t="s">
        <v>552</v>
      </c>
      <c r="O1" s="1"/>
      <c r="P1" s="2"/>
      <c r="Q1" s="2"/>
      <c r="R1" s="2"/>
      <c r="S1" s="2"/>
      <c r="T1" s="2"/>
      <c r="U1" s="2"/>
      <c r="V1" s="2"/>
      <c r="W1" s="2"/>
      <c r="X1" s="2"/>
      <c r="Y1" s="28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46"/>
      <c r="BK1" s="2"/>
      <c r="BL1" s="2"/>
      <c r="BM1" s="2"/>
      <c r="BN1" s="2"/>
    </row>
    <row r="2" spans="1:66" s="23" customFormat="1" ht="261" x14ac:dyDescent="0.25">
      <c r="A2" s="37" t="s">
        <v>564</v>
      </c>
      <c r="B2" s="37" t="s">
        <v>0</v>
      </c>
      <c r="C2" s="37" t="s">
        <v>1</v>
      </c>
      <c r="D2" s="40" t="s">
        <v>2</v>
      </c>
      <c r="E2" s="37" t="s">
        <v>3</v>
      </c>
      <c r="F2" s="37" t="s">
        <v>4</v>
      </c>
      <c r="G2" s="37" t="s">
        <v>5</v>
      </c>
      <c r="H2" s="37" t="s">
        <v>6</v>
      </c>
      <c r="I2" s="37" t="s">
        <v>7</v>
      </c>
      <c r="J2" s="37" t="s">
        <v>561</v>
      </c>
      <c r="K2" s="37" t="s">
        <v>562</v>
      </c>
      <c r="L2" s="37" t="s">
        <v>8</v>
      </c>
      <c r="M2" s="37" t="s">
        <v>9</v>
      </c>
      <c r="N2" s="37" t="s">
        <v>10</v>
      </c>
      <c r="O2" s="37" t="s">
        <v>11</v>
      </c>
      <c r="P2" s="37" t="s">
        <v>12</v>
      </c>
      <c r="Q2" s="37" t="s">
        <v>13</v>
      </c>
      <c r="R2" s="37" t="s">
        <v>553</v>
      </c>
      <c r="S2" s="37" t="s">
        <v>14</v>
      </c>
      <c r="T2" s="37" t="s">
        <v>15</v>
      </c>
      <c r="U2" s="37" t="s">
        <v>16</v>
      </c>
      <c r="V2" s="37" t="s">
        <v>17</v>
      </c>
      <c r="W2" s="37" t="s">
        <v>18</v>
      </c>
      <c r="X2" s="37" t="s">
        <v>19</v>
      </c>
      <c r="Y2" s="37" t="s">
        <v>563</v>
      </c>
      <c r="Z2" s="37" t="s">
        <v>554</v>
      </c>
      <c r="AA2" s="37" t="s">
        <v>555</v>
      </c>
      <c r="AB2" s="37" t="s">
        <v>556</v>
      </c>
      <c r="AC2" s="37" t="s">
        <v>20</v>
      </c>
      <c r="AD2" s="37" t="s">
        <v>21</v>
      </c>
      <c r="AE2" s="37" t="s">
        <v>22</v>
      </c>
      <c r="AF2" s="37" t="s">
        <v>23</v>
      </c>
      <c r="AG2" s="37" t="s">
        <v>24</v>
      </c>
      <c r="AH2" s="37" t="s">
        <v>25</v>
      </c>
      <c r="AI2" s="37" t="s">
        <v>26</v>
      </c>
      <c r="AJ2" s="38" t="s">
        <v>27</v>
      </c>
      <c r="AK2" s="39" t="s">
        <v>28</v>
      </c>
      <c r="AL2" s="37" t="s">
        <v>29</v>
      </c>
      <c r="AM2" s="37" t="s">
        <v>30</v>
      </c>
      <c r="AN2" s="37" t="s">
        <v>31</v>
      </c>
      <c r="AO2" s="37" t="s">
        <v>32</v>
      </c>
      <c r="AP2" s="37" t="s">
        <v>33</v>
      </c>
      <c r="AQ2" s="37" t="s">
        <v>34</v>
      </c>
      <c r="AR2" s="37" t="s">
        <v>35</v>
      </c>
      <c r="AS2" s="37" t="s">
        <v>565</v>
      </c>
      <c r="AT2" s="37" t="s">
        <v>36</v>
      </c>
      <c r="AU2" s="37" t="s">
        <v>37</v>
      </c>
      <c r="AV2" s="37" t="s">
        <v>566</v>
      </c>
      <c r="AW2" s="37" t="s">
        <v>567</v>
      </c>
      <c r="AX2" s="37" t="s">
        <v>38</v>
      </c>
      <c r="AY2" s="37" t="s">
        <v>39</v>
      </c>
      <c r="AZ2" s="37" t="s">
        <v>40</v>
      </c>
      <c r="BA2" s="37" t="s">
        <v>41</v>
      </c>
      <c r="BB2" s="37" t="s">
        <v>42</v>
      </c>
      <c r="BC2" s="37" t="s">
        <v>43</v>
      </c>
      <c r="BD2" s="37" t="s">
        <v>44</v>
      </c>
      <c r="BE2" s="37" t="s">
        <v>45</v>
      </c>
      <c r="BF2" s="37" t="s">
        <v>46</v>
      </c>
      <c r="BG2" s="37" t="s">
        <v>47</v>
      </c>
      <c r="BH2" s="37" t="s">
        <v>48</v>
      </c>
      <c r="BI2" s="37" t="s">
        <v>49</v>
      </c>
      <c r="BJ2" s="47" t="s">
        <v>50</v>
      </c>
      <c r="BK2" s="37" t="s">
        <v>569</v>
      </c>
      <c r="BL2" s="37" t="s">
        <v>51</v>
      </c>
      <c r="BM2" s="37" t="s">
        <v>52</v>
      </c>
      <c r="BN2" s="37" t="s">
        <v>568</v>
      </c>
    </row>
    <row r="3" spans="1:66" x14ac:dyDescent="0.25">
      <c r="A3" s="17" t="s">
        <v>53</v>
      </c>
      <c r="B3" s="4">
        <v>1100</v>
      </c>
      <c r="C3" s="4" t="s">
        <v>54</v>
      </c>
      <c r="D3" s="5">
        <v>5076295838344</v>
      </c>
      <c r="E3" s="5">
        <v>313389479777</v>
      </c>
      <c r="F3" s="5">
        <v>43650000000</v>
      </c>
      <c r="G3" s="5">
        <v>335250406962</v>
      </c>
      <c r="H3" s="5">
        <v>5768585725083</v>
      </c>
      <c r="I3" s="5">
        <v>533510845856</v>
      </c>
      <c r="J3" s="5">
        <v>239690740667</v>
      </c>
      <c r="K3" s="5">
        <v>4995384138560</v>
      </c>
      <c r="L3" s="5">
        <v>4733748962469</v>
      </c>
      <c r="M3" s="5">
        <f>H3-L3</f>
        <v>1034836762614</v>
      </c>
      <c r="N3" s="36">
        <f>IFERROR(M3/L3*100,0)</f>
        <v>21.860828929007173</v>
      </c>
      <c r="O3" s="5">
        <v>11444644964169</v>
      </c>
      <c r="P3" s="36">
        <v>290.82</v>
      </c>
      <c r="Q3" s="6">
        <v>229.1</v>
      </c>
      <c r="R3" s="6">
        <v>3.11</v>
      </c>
      <c r="S3" s="5">
        <v>15666530616842</v>
      </c>
      <c r="T3" s="5">
        <v>427289345391</v>
      </c>
      <c r="U3" s="5">
        <v>39657509555</v>
      </c>
      <c r="V3" s="5">
        <v>141143679975</v>
      </c>
      <c r="W3" s="5">
        <v>246488155861</v>
      </c>
      <c r="X3" s="5">
        <v>16093819962233</v>
      </c>
      <c r="Y3" s="5">
        <v>94194261720</v>
      </c>
      <c r="Z3" s="5">
        <v>659253098302</v>
      </c>
      <c r="AA3" s="5">
        <v>23395132025</v>
      </c>
      <c r="AB3" s="5">
        <v>16776468192560</v>
      </c>
      <c r="AC3" s="5">
        <v>8839566684105</v>
      </c>
      <c r="AD3" s="36">
        <f>IFERROR((X3-AC3)/AC3*100,0)</f>
        <v>82.065711333705366</v>
      </c>
      <c r="AE3" s="5">
        <v>11207322387570</v>
      </c>
      <c r="AF3" s="5">
        <v>9781953972504</v>
      </c>
      <c r="AG3" s="5">
        <v>985427312644</v>
      </c>
      <c r="AH3" s="5">
        <v>79019762768</v>
      </c>
      <c r="AI3" s="5">
        <v>0</v>
      </c>
      <c r="AJ3" s="5">
        <v>0</v>
      </c>
      <c r="AK3" s="5">
        <v>0</v>
      </c>
      <c r="AL3" s="6">
        <v>5</v>
      </c>
      <c r="AM3" s="5">
        <v>1587050684528</v>
      </c>
      <c r="AN3" s="6">
        <v>199</v>
      </c>
      <c r="AO3" s="5">
        <v>1389158210856</v>
      </c>
      <c r="AP3" s="6">
        <v>104</v>
      </c>
      <c r="AQ3" s="5">
        <v>836251787737</v>
      </c>
      <c r="AR3" s="5">
        <v>427289345391</v>
      </c>
      <c r="AS3" s="5">
        <v>311103423261</v>
      </c>
      <c r="AT3" s="5">
        <f>AR3-AS3</f>
        <v>116185922130</v>
      </c>
      <c r="AU3" s="36">
        <f>IFERROR(AT3/AS3*100,0)</f>
        <v>37.346397835206687</v>
      </c>
      <c r="AV3" s="5">
        <v>5082849920473</v>
      </c>
      <c r="AW3" s="5">
        <v>359884353119</v>
      </c>
      <c r="AX3" s="5">
        <v>1080245242324</v>
      </c>
      <c r="AY3" s="5">
        <v>804028468178</v>
      </c>
      <c r="AZ3" s="5">
        <v>1672933199423</v>
      </c>
      <c r="BA3" s="5">
        <v>1732299487239</v>
      </c>
      <c r="BB3" s="5">
        <v>890092050534</v>
      </c>
      <c r="BC3" s="5">
        <v>5768585725083</v>
      </c>
      <c r="BD3" s="5">
        <v>2414685088641</v>
      </c>
      <c r="BE3" s="5">
        <v>1716583199423</v>
      </c>
      <c r="BF3" s="5">
        <v>1637317437019</v>
      </c>
      <c r="BG3" s="5">
        <v>8969998131044</v>
      </c>
      <c r="BH3" s="5">
        <v>2237324256526</v>
      </c>
      <c r="BI3" s="5">
        <v>0</v>
      </c>
      <c r="BJ3" s="48">
        <v>91428747210</v>
      </c>
      <c r="BK3" s="5">
        <v>866426325145</v>
      </c>
      <c r="BL3" s="5">
        <v>0</v>
      </c>
      <c r="BM3" s="5">
        <v>0</v>
      </c>
      <c r="BN3" s="5">
        <v>79019762768</v>
      </c>
    </row>
    <row r="4" spans="1:66" x14ac:dyDescent="0.25">
      <c r="A4" s="17" t="s">
        <v>53</v>
      </c>
      <c r="B4" s="4">
        <v>1101</v>
      </c>
      <c r="C4" s="4" t="s">
        <v>55</v>
      </c>
      <c r="D4" s="5">
        <v>2552925197417</v>
      </c>
      <c r="E4" s="5">
        <v>23667445457</v>
      </c>
      <c r="F4" s="5">
        <v>0</v>
      </c>
      <c r="G4" s="5">
        <v>0</v>
      </c>
      <c r="H4" s="5">
        <v>2576592642874</v>
      </c>
      <c r="I4" s="5">
        <v>187019889502</v>
      </c>
      <c r="J4" s="5">
        <v>3423619495</v>
      </c>
      <c r="K4" s="5">
        <v>2386149133877</v>
      </c>
      <c r="L4" s="5">
        <v>1788528087531</v>
      </c>
      <c r="M4" s="5">
        <f t="shared" ref="M4:M67" si="0">H4-L4</f>
        <v>788064555343</v>
      </c>
      <c r="N4" s="36">
        <f t="shared" ref="N4:N67" si="1">IFERROR(M4/L4*100,0)</f>
        <v>44.062185035678993</v>
      </c>
      <c r="O4" s="5">
        <v>2161679927067</v>
      </c>
      <c r="P4" s="36">
        <v>101.39</v>
      </c>
      <c r="Q4" s="6">
        <v>90.59</v>
      </c>
      <c r="R4" s="6">
        <v>3.28</v>
      </c>
      <c r="S4" s="5">
        <v>2437385581658</v>
      </c>
      <c r="T4" s="5">
        <v>64187536042</v>
      </c>
      <c r="U4" s="5">
        <v>32211165418</v>
      </c>
      <c r="V4" s="5">
        <v>16682049035</v>
      </c>
      <c r="W4" s="5">
        <v>15294321589</v>
      </c>
      <c r="X4" s="5">
        <v>2501573117700</v>
      </c>
      <c r="Y4" s="5">
        <v>21448349465</v>
      </c>
      <c r="Z4" s="5">
        <v>102871009768</v>
      </c>
      <c r="AA4" s="5">
        <v>7902000000</v>
      </c>
      <c r="AB4" s="5">
        <v>2612346127468</v>
      </c>
      <c r="AC4" s="5">
        <v>1755196989164</v>
      </c>
      <c r="AD4" s="36">
        <f t="shared" ref="AD4:AD67" si="2">IFERROR((X4-AC4)/AC4*100,0)</f>
        <v>42.52378127035751</v>
      </c>
      <c r="AE4" s="5">
        <v>1683053618170</v>
      </c>
      <c r="AF4" s="5">
        <v>1356064659269</v>
      </c>
      <c r="AG4" s="5">
        <v>46646872310</v>
      </c>
      <c r="AH4" s="5">
        <v>0</v>
      </c>
      <c r="AI4" s="5">
        <v>0</v>
      </c>
      <c r="AJ4" s="5">
        <v>0</v>
      </c>
      <c r="AK4" s="5">
        <v>0</v>
      </c>
      <c r="AL4" s="6">
        <v>2</v>
      </c>
      <c r="AM4" s="5">
        <v>78500000000</v>
      </c>
      <c r="AN4" s="6">
        <v>36</v>
      </c>
      <c r="AO4" s="5">
        <v>80642904090</v>
      </c>
      <c r="AP4" s="6">
        <v>54</v>
      </c>
      <c r="AQ4" s="5">
        <v>80037486738</v>
      </c>
      <c r="AR4" s="5">
        <v>64187536042</v>
      </c>
      <c r="AS4" s="5">
        <v>49660349292</v>
      </c>
      <c r="AT4" s="5">
        <f t="shared" ref="AT4:AT67" si="3">AR4-AS4</f>
        <v>14527186750</v>
      </c>
      <c r="AU4" s="36">
        <f t="shared" ref="AU4:AU67" si="4">IFERROR(AT4/AS4*100,0)</f>
        <v>29.253090155651094</v>
      </c>
      <c r="AV4" s="5">
        <v>945916422842</v>
      </c>
      <c r="AW4" s="5">
        <v>235627296205</v>
      </c>
      <c r="AX4" s="5">
        <v>574700159805</v>
      </c>
      <c r="AY4" s="5">
        <v>889503354393</v>
      </c>
      <c r="AZ4" s="5">
        <v>400804183219</v>
      </c>
      <c r="BA4" s="5">
        <v>724803751164</v>
      </c>
      <c r="BB4" s="5">
        <v>154313438896</v>
      </c>
      <c r="BC4" s="5">
        <v>2576592642874</v>
      </c>
      <c r="BD4" s="5">
        <v>1487870959655</v>
      </c>
      <c r="BE4" s="5">
        <v>400804183219</v>
      </c>
      <c r="BF4" s="5">
        <v>687917500000</v>
      </c>
      <c r="BG4" s="5">
        <v>1492762288229</v>
      </c>
      <c r="BH4" s="5">
        <v>190291329941</v>
      </c>
      <c r="BI4" s="5">
        <v>0</v>
      </c>
      <c r="BJ4" s="48">
        <v>0</v>
      </c>
      <c r="BK4" s="5">
        <v>46646872310</v>
      </c>
      <c r="BL4" s="5">
        <v>0</v>
      </c>
      <c r="BM4" s="5">
        <v>0</v>
      </c>
      <c r="BN4" s="5">
        <v>0</v>
      </c>
    </row>
    <row r="5" spans="1:66" x14ac:dyDescent="0.25">
      <c r="A5" s="17" t="s">
        <v>53</v>
      </c>
      <c r="B5" s="4">
        <v>1102</v>
      </c>
      <c r="C5" s="4" t="s">
        <v>56</v>
      </c>
      <c r="D5" s="5">
        <v>2009713564690</v>
      </c>
      <c r="E5" s="5">
        <v>78775888258</v>
      </c>
      <c r="F5" s="5">
        <v>0</v>
      </c>
      <c r="G5" s="5">
        <v>0</v>
      </c>
      <c r="H5" s="5">
        <v>2088489452948</v>
      </c>
      <c r="I5" s="5">
        <v>166080560849</v>
      </c>
      <c r="J5" s="5">
        <v>1523133159</v>
      </c>
      <c r="K5" s="5">
        <v>1920885758940</v>
      </c>
      <c r="L5" s="5">
        <v>1179725578760</v>
      </c>
      <c r="M5" s="5">
        <f t="shared" si="0"/>
        <v>908763874188</v>
      </c>
      <c r="N5" s="36">
        <f t="shared" si="1"/>
        <v>77.031802187691341</v>
      </c>
      <c r="O5" s="5">
        <v>1676651059930</v>
      </c>
      <c r="P5" s="36">
        <v>92.38</v>
      </c>
      <c r="Q5" s="6">
        <v>87.29</v>
      </c>
      <c r="R5" s="6">
        <v>1.62</v>
      </c>
      <c r="S5" s="5">
        <v>1817136486131</v>
      </c>
      <c r="T5" s="5">
        <v>30931726487</v>
      </c>
      <c r="U5" s="5">
        <v>28693365250</v>
      </c>
      <c r="V5" s="5">
        <v>2238361237</v>
      </c>
      <c r="W5" s="5">
        <v>0</v>
      </c>
      <c r="X5" s="5">
        <v>1848068212618</v>
      </c>
      <c r="Y5" s="5">
        <v>410840556</v>
      </c>
      <c r="Z5" s="5">
        <v>73814389028</v>
      </c>
      <c r="AA5" s="5">
        <v>7486507000</v>
      </c>
      <c r="AB5" s="5">
        <v>1929369108646</v>
      </c>
      <c r="AC5" s="5">
        <v>1078456344861</v>
      </c>
      <c r="AD5" s="36">
        <f t="shared" si="2"/>
        <v>71.362357078644081</v>
      </c>
      <c r="AE5" s="5">
        <v>1237370765978</v>
      </c>
      <c r="AF5" s="5">
        <v>1232800765978</v>
      </c>
      <c r="AG5" s="5">
        <v>0</v>
      </c>
      <c r="AH5" s="5">
        <v>37359863</v>
      </c>
      <c r="AI5" s="5">
        <v>0</v>
      </c>
      <c r="AJ5" s="5">
        <v>19570000000</v>
      </c>
      <c r="AK5" s="5">
        <v>0</v>
      </c>
      <c r="AL5" s="6">
        <v>0</v>
      </c>
      <c r="AM5" s="5">
        <v>0</v>
      </c>
      <c r="AN5" s="6">
        <v>13</v>
      </c>
      <c r="AO5" s="5">
        <v>48732068700</v>
      </c>
      <c r="AP5" s="6">
        <v>11</v>
      </c>
      <c r="AQ5" s="5">
        <v>7235100000</v>
      </c>
      <c r="AR5" s="5">
        <v>30931726487</v>
      </c>
      <c r="AS5" s="5">
        <v>15426221546</v>
      </c>
      <c r="AT5" s="5">
        <f t="shared" si="3"/>
        <v>15505504941</v>
      </c>
      <c r="AU5" s="36">
        <f t="shared" si="4"/>
        <v>100.51395213509402</v>
      </c>
      <c r="AV5" s="5">
        <v>579757450160</v>
      </c>
      <c r="AW5" s="5">
        <v>116060333663</v>
      </c>
      <c r="AX5" s="5">
        <v>528570874781</v>
      </c>
      <c r="AY5" s="5">
        <v>499391308797</v>
      </c>
      <c r="AZ5" s="5">
        <v>484018618521</v>
      </c>
      <c r="BA5" s="5">
        <v>524643225807</v>
      </c>
      <c r="BB5" s="5">
        <v>377093624719</v>
      </c>
      <c r="BC5" s="5">
        <v>2088489452948</v>
      </c>
      <c r="BD5" s="5">
        <v>1106738071836</v>
      </c>
      <c r="BE5" s="5">
        <v>484018618521</v>
      </c>
      <c r="BF5" s="5">
        <v>497732762591</v>
      </c>
      <c r="BG5" s="5">
        <v>995135254396</v>
      </c>
      <c r="BH5" s="5">
        <v>242235511582</v>
      </c>
      <c r="BI5" s="5">
        <v>0</v>
      </c>
      <c r="BJ5" s="48">
        <v>0</v>
      </c>
      <c r="BK5" s="5">
        <v>0</v>
      </c>
      <c r="BL5" s="5">
        <v>0</v>
      </c>
      <c r="BM5" s="5">
        <v>0</v>
      </c>
      <c r="BN5" s="5">
        <v>37359863</v>
      </c>
    </row>
    <row r="6" spans="1:66" x14ac:dyDescent="0.25">
      <c r="A6" s="17" t="s">
        <v>53</v>
      </c>
      <c r="B6" s="4">
        <v>1103</v>
      </c>
      <c r="C6" s="4" t="s">
        <v>57</v>
      </c>
      <c r="D6" s="5">
        <v>2330615408807</v>
      </c>
      <c r="E6" s="5">
        <v>23163540947</v>
      </c>
      <c r="F6" s="5">
        <v>0</v>
      </c>
      <c r="G6" s="5">
        <v>0</v>
      </c>
      <c r="H6" s="5">
        <v>2353778949754</v>
      </c>
      <c r="I6" s="5">
        <v>175828922805</v>
      </c>
      <c r="J6" s="5">
        <v>1734385613</v>
      </c>
      <c r="K6" s="5">
        <v>2176215641336</v>
      </c>
      <c r="L6" s="5">
        <v>1711577387520</v>
      </c>
      <c r="M6" s="5">
        <f t="shared" si="0"/>
        <v>642201562234</v>
      </c>
      <c r="N6" s="36">
        <f t="shared" si="1"/>
        <v>37.521035678352924</v>
      </c>
      <c r="O6" s="5">
        <v>1366618383850</v>
      </c>
      <c r="P6" s="36">
        <v>64.55</v>
      </c>
      <c r="Q6" s="6">
        <v>62.8</v>
      </c>
      <c r="R6" s="6">
        <v>1.97</v>
      </c>
      <c r="S6" s="5">
        <v>1374242872084</v>
      </c>
      <c r="T6" s="5">
        <v>27079726835</v>
      </c>
      <c r="U6" s="5">
        <v>21855683347</v>
      </c>
      <c r="V6" s="5">
        <v>2853843884</v>
      </c>
      <c r="W6" s="5">
        <v>2370199604</v>
      </c>
      <c r="X6" s="5">
        <v>1401322598919</v>
      </c>
      <c r="Y6" s="5">
        <v>2890327814</v>
      </c>
      <c r="Z6" s="5">
        <v>92732227338</v>
      </c>
      <c r="AA6" s="5">
        <v>25265361376</v>
      </c>
      <c r="AB6" s="5">
        <v>1519320187633</v>
      </c>
      <c r="AC6" s="5">
        <v>1297601173463</v>
      </c>
      <c r="AD6" s="36">
        <f t="shared" si="2"/>
        <v>7.9933208737158656</v>
      </c>
      <c r="AE6" s="5">
        <v>667567032418</v>
      </c>
      <c r="AF6" s="5">
        <v>667567032418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6">
        <v>0</v>
      </c>
      <c r="AM6" s="5">
        <v>0</v>
      </c>
      <c r="AN6" s="6">
        <v>53</v>
      </c>
      <c r="AO6" s="5">
        <v>212098260106</v>
      </c>
      <c r="AP6" s="6">
        <v>38</v>
      </c>
      <c r="AQ6" s="5">
        <v>72013464525</v>
      </c>
      <c r="AR6" s="5">
        <v>27079726835</v>
      </c>
      <c r="AS6" s="5">
        <v>17388839206</v>
      </c>
      <c r="AT6" s="5">
        <f t="shared" si="3"/>
        <v>9690887629</v>
      </c>
      <c r="AU6" s="36">
        <f t="shared" si="4"/>
        <v>55.730503423461244</v>
      </c>
      <c r="AV6" s="5">
        <v>498489709251</v>
      </c>
      <c r="AW6" s="5">
        <v>104878722033</v>
      </c>
      <c r="AX6" s="5">
        <v>335118744434</v>
      </c>
      <c r="AY6" s="5">
        <v>231894434908</v>
      </c>
      <c r="AZ6" s="5">
        <v>762061329465</v>
      </c>
      <c r="BA6" s="5">
        <v>1100126865520</v>
      </c>
      <c r="BB6" s="5">
        <v>435918078631</v>
      </c>
      <c r="BC6" s="5">
        <v>2353778949754</v>
      </c>
      <c r="BD6" s="5">
        <v>590176720289</v>
      </c>
      <c r="BE6" s="5">
        <v>762061329465</v>
      </c>
      <c r="BF6" s="5">
        <v>1001540900000</v>
      </c>
      <c r="BG6" s="5">
        <v>530759675189</v>
      </c>
      <c r="BH6" s="5">
        <v>136807357229</v>
      </c>
      <c r="BI6" s="5">
        <v>0</v>
      </c>
      <c r="BJ6" s="48">
        <v>0</v>
      </c>
      <c r="BK6" s="5">
        <v>0</v>
      </c>
      <c r="BL6" s="5">
        <v>0</v>
      </c>
      <c r="BM6" s="5">
        <v>0</v>
      </c>
      <c r="BN6" s="5">
        <v>0</v>
      </c>
    </row>
    <row r="7" spans="1:66" x14ac:dyDescent="0.25">
      <c r="A7" s="17" t="s">
        <v>53</v>
      </c>
      <c r="B7" s="4">
        <v>1104</v>
      </c>
      <c r="C7" s="4" t="s">
        <v>58</v>
      </c>
      <c r="D7" s="5">
        <v>1652660124653</v>
      </c>
      <c r="E7" s="5">
        <v>6629216185</v>
      </c>
      <c r="F7" s="5">
        <v>0</v>
      </c>
      <c r="G7" s="5">
        <v>0</v>
      </c>
      <c r="H7" s="5">
        <v>1659289340838</v>
      </c>
      <c r="I7" s="5">
        <v>142206792166</v>
      </c>
      <c r="J7" s="5">
        <v>3633479479</v>
      </c>
      <c r="K7" s="5">
        <v>1513449069193</v>
      </c>
      <c r="L7" s="5">
        <v>956965563714</v>
      </c>
      <c r="M7" s="5">
        <f t="shared" si="0"/>
        <v>702323777124</v>
      </c>
      <c r="N7" s="36">
        <f t="shared" si="1"/>
        <v>73.390705345578908</v>
      </c>
      <c r="O7" s="5">
        <v>949407143920</v>
      </c>
      <c r="P7" s="36">
        <v>64.180000000000007</v>
      </c>
      <c r="Q7" s="6">
        <v>62.73</v>
      </c>
      <c r="R7" s="6">
        <v>3.63</v>
      </c>
      <c r="S7" s="5">
        <v>966338615789</v>
      </c>
      <c r="T7" s="5">
        <v>38481503337</v>
      </c>
      <c r="U7" s="5">
        <v>23638807101</v>
      </c>
      <c r="V7" s="5">
        <v>11969180047</v>
      </c>
      <c r="W7" s="5">
        <v>2873516189</v>
      </c>
      <c r="X7" s="5">
        <v>1004820119126</v>
      </c>
      <c r="Y7" s="5">
        <v>126843034</v>
      </c>
      <c r="Z7" s="5">
        <v>55562433470</v>
      </c>
      <c r="AA7" s="5">
        <v>4500000000</v>
      </c>
      <c r="AB7" s="5">
        <v>1064882552596</v>
      </c>
      <c r="AC7" s="5">
        <v>797535219762</v>
      </c>
      <c r="AD7" s="36">
        <f t="shared" si="2"/>
        <v>25.990689091556085</v>
      </c>
      <c r="AE7" s="5">
        <v>522190505149</v>
      </c>
      <c r="AF7" s="5">
        <v>522190505149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6">
        <v>0</v>
      </c>
      <c r="AM7" s="5">
        <v>0</v>
      </c>
      <c r="AN7" s="6">
        <v>18</v>
      </c>
      <c r="AO7" s="5">
        <v>66714510528</v>
      </c>
      <c r="AP7" s="6">
        <v>15</v>
      </c>
      <c r="AQ7" s="5">
        <v>13946105000</v>
      </c>
      <c r="AR7" s="5">
        <v>38481503337</v>
      </c>
      <c r="AS7" s="5">
        <v>24252344002</v>
      </c>
      <c r="AT7" s="5">
        <f t="shared" si="3"/>
        <v>14229159335</v>
      </c>
      <c r="AU7" s="36">
        <f t="shared" si="4"/>
        <v>58.671274553200192</v>
      </c>
      <c r="AV7" s="5">
        <v>323530278422</v>
      </c>
      <c r="AW7" s="5">
        <v>93009080363</v>
      </c>
      <c r="AX7" s="5">
        <v>259008128640</v>
      </c>
      <c r="AY7" s="5">
        <v>393356191715</v>
      </c>
      <c r="AZ7" s="5">
        <v>234484348900</v>
      </c>
      <c r="BA7" s="5">
        <v>779214832406</v>
      </c>
      <c r="BB7" s="5">
        <v>62400423343</v>
      </c>
      <c r="BC7" s="5">
        <v>1659289340838</v>
      </c>
      <c r="BD7" s="5">
        <v>658993536540</v>
      </c>
      <c r="BE7" s="5">
        <v>234484348900</v>
      </c>
      <c r="BF7" s="5">
        <v>765811455398</v>
      </c>
      <c r="BG7" s="5">
        <v>392151705240</v>
      </c>
      <c r="BH7" s="5">
        <v>130038799909</v>
      </c>
      <c r="BI7" s="5">
        <v>0</v>
      </c>
      <c r="BJ7" s="48">
        <v>0</v>
      </c>
      <c r="BK7" s="5">
        <v>0</v>
      </c>
      <c r="BL7" s="5">
        <v>0</v>
      </c>
      <c r="BM7" s="5">
        <v>0</v>
      </c>
      <c r="BN7" s="5">
        <v>0</v>
      </c>
    </row>
    <row r="8" spans="1:66" x14ac:dyDescent="0.25">
      <c r="A8" s="17" t="s">
        <v>53</v>
      </c>
      <c r="B8" s="4">
        <v>1105</v>
      </c>
      <c r="C8" s="4" t="s">
        <v>59</v>
      </c>
      <c r="D8" s="5">
        <v>1889916197434</v>
      </c>
      <c r="E8" s="5">
        <v>10174366295</v>
      </c>
      <c r="F8" s="5">
        <v>0</v>
      </c>
      <c r="G8" s="5">
        <v>0</v>
      </c>
      <c r="H8" s="5">
        <v>1900090563729</v>
      </c>
      <c r="I8" s="5">
        <v>117908353043</v>
      </c>
      <c r="J8" s="5">
        <v>1979976027</v>
      </c>
      <c r="K8" s="5">
        <v>1780202234659</v>
      </c>
      <c r="L8" s="5">
        <v>819582613151</v>
      </c>
      <c r="M8" s="5">
        <f t="shared" si="0"/>
        <v>1080507950578</v>
      </c>
      <c r="N8" s="36">
        <f t="shared" si="1"/>
        <v>131.83636807811675</v>
      </c>
      <c r="O8" s="5">
        <v>858588010993</v>
      </c>
      <c r="P8" s="36">
        <v>49.16</v>
      </c>
      <c r="Q8" s="6">
        <v>48.23</v>
      </c>
      <c r="R8" s="6">
        <v>1.1100000000000001</v>
      </c>
      <c r="S8" s="5">
        <v>868315230616</v>
      </c>
      <c r="T8" s="5">
        <v>10391499551</v>
      </c>
      <c r="U8" s="5">
        <v>10007623372</v>
      </c>
      <c r="V8" s="5">
        <v>383876179</v>
      </c>
      <c r="W8" s="5">
        <v>0</v>
      </c>
      <c r="X8" s="5">
        <v>878706730167</v>
      </c>
      <c r="Y8" s="5">
        <v>0</v>
      </c>
      <c r="Z8" s="5">
        <v>45198242327</v>
      </c>
      <c r="AA8" s="5">
        <v>10200000000</v>
      </c>
      <c r="AB8" s="5">
        <v>934104972494</v>
      </c>
      <c r="AC8" s="5">
        <v>568382248718</v>
      </c>
      <c r="AD8" s="36">
        <f t="shared" si="2"/>
        <v>54.597848921028834</v>
      </c>
      <c r="AE8" s="5">
        <v>660253560540</v>
      </c>
      <c r="AF8" s="5">
        <v>660253560540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6">
        <v>0</v>
      </c>
      <c r="AM8" s="5">
        <v>0</v>
      </c>
      <c r="AN8" s="6">
        <v>8</v>
      </c>
      <c r="AO8" s="5">
        <v>6158700000</v>
      </c>
      <c r="AP8" s="6">
        <v>0</v>
      </c>
      <c r="AQ8" s="5">
        <v>0</v>
      </c>
      <c r="AR8" s="5">
        <v>10391499551</v>
      </c>
      <c r="AS8" s="5">
        <v>1807331484</v>
      </c>
      <c r="AT8" s="5">
        <f t="shared" si="3"/>
        <v>8584168067</v>
      </c>
      <c r="AU8" s="36">
        <f t="shared" si="4"/>
        <v>474.96367672417523</v>
      </c>
      <c r="AV8" s="5">
        <v>376867085616</v>
      </c>
      <c r="AW8" s="5">
        <v>43843382232</v>
      </c>
      <c r="AX8" s="5">
        <v>227354699824</v>
      </c>
      <c r="AY8" s="5">
        <v>376407842767</v>
      </c>
      <c r="AZ8" s="5">
        <v>753467054843</v>
      </c>
      <c r="BA8" s="5">
        <v>539454662392</v>
      </c>
      <c r="BB8" s="5">
        <v>617469310767</v>
      </c>
      <c r="BC8" s="5">
        <v>1900090563729</v>
      </c>
      <c r="BD8" s="5">
        <v>613936908886</v>
      </c>
      <c r="BE8" s="5">
        <v>753467054843</v>
      </c>
      <c r="BF8" s="5">
        <v>532686600000</v>
      </c>
      <c r="BG8" s="5">
        <v>546041737040</v>
      </c>
      <c r="BH8" s="5">
        <v>114211823500</v>
      </c>
      <c r="BI8" s="5">
        <v>0</v>
      </c>
      <c r="BJ8" s="48">
        <v>0</v>
      </c>
      <c r="BK8" s="5">
        <v>0</v>
      </c>
      <c r="BL8" s="5">
        <v>0</v>
      </c>
      <c r="BM8" s="5">
        <v>0</v>
      </c>
      <c r="BN8" s="5">
        <v>0</v>
      </c>
    </row>
    <row r="9" spans="1:66" x14ac:dyDescent="0.25">
      <c r="A9" s="17" t="s">
        <v>53</v>
      </c>
      <c r="B9" s="4">
        <v>1106</v>
      </c>
      <c r="C9" s="4" t="s">
        <v>60</v>
      </c>
      <c r="D9" s="5">
        <v>1983208653645</v>
      </c>
      <c r="E9" s="5">
        <v>18042686242</v>
      </c>
      <c r="F9" s="5">
        <v>0</v>
      </c>
      <c r="G9" s="5">
        <v>0</v>
      </c>
      <c r="H9" s="5">
        <v>2001251339887</v>
      </c>
      <c r="I9" s="5">
        <v>167534244376</v>
      </c>
      <c r="J9" s="5">
        <v>574456246</v>
      </c>
      <c r="K9" s="5">
        <v>1833142639265</v>
      </c>
      <c r="L9" s="5">
        <v>1265026544574</v>
      </c>
      <c r="M9" s="5">
        <f t="shared" si="0"/>
        <v>736224795313</v>
      </c>
      <c r="N9" s="36">
        <f t="shared" si="1"/>
        <v>58.198367336309531</v>
      </c>
      <c r="O9" s="5">
        <v>1238614292902</v>
      </c>
      <c r="P9" s="36">
        <v>69.52</v>
      </c>
      <c r="Q9" s="6">
        <v>67.569999999999993</v>
      </c>
      <c r="R9" s="6">
        <v>2.06</v>
      </c>
      <c r="S9" s="5">
        <v>1291131158355</v>
      </c>
      <c r="T9" s="5">
        <v>28426081554</v>
      </c>
      <c r="U9" s="5">
        <v>22946522224</v>
      </c>
      <c r="V9" s="5">
        <v>4325863807</v>
      </c>
      <c r="W9" s="5">
        <v>1153695523</v>
      </c>
      <c r="X9" s="5">
        <v>1319557239909</v>
      </c>
      <c r="Y9" s="5">
        <v>280136458</v>
      </c>
      <c r="Z9" s="5">
        <v>61633752413</v>
      </c>
      <c r="AA9" s="5">
        <v>10085251460</v>
      </c>
      <c r="AB9" s="5">
        <v>1391276243782</v>
      </c>
      <c r="AC9" s="5">
        <v>1015082900836</v>
      </c>
      <c r="AD9" s="36">
        <f t="shared" si="2"/>
        <v>29.995021965421898</v>
      </c>
      <c r="AE9" s="5">
        <v>713312611543</v>
      </c>
      <c r="AF9" s="5">
        <v>694584377025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6">
        <v>0</v>
      </c>
      <c r="AM9" s="5">
        <v>0</v>
      </c>
      <c r="AN9" s="6">
        <v>75</v>
      </c>
      <c r="AO9" s="5">
        <v>247507219790</v>
      </c>
      <c r="AP9" s="6">
        <v>17</v>
      </c>
      <c r="AQ9" s="5">
        <v>46666365558</v>
      </c>
      <c r="AR9" s="5">
        <v>28426081554</v>
      </c>
      <c r="AS9" s="5">
        <v>9620344378</v>
      </c>
      <c r="AT9" s="5">
        <f t="shared" si="3"/>
        <v>18805737176</v>
      </c>
      <c r="AU9" s="36">
        <f t="shared" si="4"/>
        <v>195.47883565379783</v>
      </c>
      <c r="AV9" s="5">
        <v>400191850596</v>
      </c>
      <c r="AW9" s="5">
        <v>79530903309</v>
      </c>
      <c r="AX9" s="5">
        <v>267711616778</v>
      </c>
      <c r="AY9" s="5">
        <v>460363081412</v>
      </c>
      <c r="AZ9" s="5">
        <v>422087155455</v>
      </c>
      <c r="BA9" s="5">
        <v>865998324116</v>
      </c>
      <c r="BB9" s="5">
        <v>192367659579</v>
      </c>
      <c r="BC9" s="5">
        <v>2001251339887</v>
      </c>
      <c r="BD9" s="5">
        <v>746117384432</v>
      </c>
      <c r="BE9" s="5">
        <v>422077155455</v>
      </c>
      <c r="BF9" s="5">
        <v>833056800000</v>
      </c>
      <c r="BG9" s="5">
        <v>618493207467</v>
      </c>
      <c r="BH9" s="5">
        <v>94819404076</v>
      </c>
      <c r="BI9" s="5">
        <v>0</v>
      </c>
      <c r="BJ9" s="48">
        <v>0</v>
      </c>
      <c r="BK9" s="5">
        <v>0</v>
      </c>
      <c r="BL9" s="5">
        <v>0</v>
      </c>
      <c r="BM9" s="5">
        <v>0</v>
      </c>
      <c r="BN9" s="5">
        <v>0</v>
      </c>
    </row>
    <row r="10" spans="1:66" x14ac:dyDescent="0.25">
      <c r="A10" s="17" t="s">
        <v>53</v>
      </c>
      <c r="B10" s="4">
        <v>1107</v>
      </c>
      <c r="C10" s="4" t="s">
        <v>61</v>
      </c>
      <c r="D10" s="5">
        <v>1854186458796</v>
      </c>
      <c r="E10" s="5">
        <v>16053489358</v>
      </c>
      <c r="F10" s="5">
        <v>0</v>
      </c>
      <c r="G10" s="5">
        <v>0</v>
      </c>
      <c r="H10" s="5">
        <v>1870239948154</v>
      </c>
      <c r="I10" s="5">
        <v>164298945985</v>
      </c>
      <c r="J10" s="5">
        <v>2700303933</v>
      </c>
      <c r="K10" s="5">
        <v>1703240698236</v>
      </c>
      <c r="L10" s="5">
        <v>1163311713130</v>
      </c>
      <c r="M10" s="5">
        <f t="shared" si="0"/>
        <v>706928235024</v>
      </c>
      <c r="N10" s="36">
        <f t="shared" si="1"/>
        <v>60.768599425681259</v>
      </c>
      <c r="O10" s="5">
        <v>1638951294396</v>
      </c>
      <c r="P10" s="36">
        <v>107.68</v>
      </c>
      <c r="Q10" s="6">
        <v>96.23</v>
      </c>
      <c r="R10" s="6">
        <v>0.87</v>
      </c>
      <c r="S10" s="5">
        <v>1879292512554</v>
      </c>
      <c r="T10" s="5">
        <v>17442266762</v>
      </c>
      <c r="U10" s="5">
        <v>15564351564</v>
      </c>
      <c r="V10" s="5">
        <v>1877915198</v>
      </c>
      <c r="W10" s="5">
        <v>0</v>
      </c>
      <c r="X10" s="5">
        <v>1896734779316</v>
      </c>
      <c r="Y10" s="5">
        <v>28376139</v>
      </c>
      <c r="Z10" s="5">
        <v>103188592649</v>
      </c>
      <c r="AA10" s="5">
        <v>14013300000</v>
      </c>
      <c r="AB10" s="5">
        <v>2013936671965</v>
      </c>
      <c r="AC10" s="5">
        <v>782202875519</v>
      </c>
      <c r="AD10" s="36">
        <f t="shared" si="2"/>
        <v>142.48629590596892</v>
      </c>
      <c r="AE10" s="5">
        <v>1447403359884</v>
      </c>
      <c r="AF10" s="5">
        <v>1191307825919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6">
        <v>0</v>
      </c>
      <c r="AM10" s="5">
        <v>0</v>
      </c>
      <c r="AN10" s="6">
        <v>5</v>
      </c>
      <c r="AO10" s="5">
        <v>52989050000</v>
      </c>
      <c r="AP10" s="6">
        <v>17</v>
      </c>
      <c r="AQ10" s="5">
        <v>42285350000</v>
      </c>
      <c r="AR10" s="5">
        <v>17442266762</v>
      </c>
      <c r="AS10" s="5">
        <v>7456921734</v>
      </c>
      <c r="AT10" s="5">
        <f t="shared" si="3"/>
        <v>9985345028</v>
      </c>
      <c r="AU10" s="36">
        <f t="shared" si="4"/>
        <v>133.90706492830142</v>
      </c>
      <c r="AV10" s="5">
        <v>370695469734</v>
      </c>
      <c r="AW10" s="5">
        <v>63843909445</v>
      </c>
      <c r="AX10" s="5">
        <v>490012787429</v>
      </c>
      <c r="AY10" s="5">
        <v>216093093738</v>
      </c>
      <c r="AZ10" s="5">
        <v>577362137004</v>
      </c>
      <c r="BA10" s="5">
        <v>693810890105</v>
      </c>
      <c r="BB10" s="5">
        <v>403225123605</v>
      </c>
      <c r="BC10" s="5">
        <v>1870239948154</v>
      </c>
      <c r="BD10" s="5">
        <v>722159370525</v>
      </c>
      <c r="BE10" s="5">
        <v>577362137004</v>
      </c>
      <c r="BF10" s="5">
        <v>570718440625</v>
      </c>
      <c r="BG10" s="5">
        <v>1123136313344</v>
      </c>
      <c r="BH10" s="5">
        <v>324267046540</v>
      </c>
      <c r="BI10" s="5">
        <v>0</v>
      </c>
      <c r="BJ10" s="48">
        <v>0</v>
      </c>
      <c r="BK10" s="5">
        <v>0</v>
      </c>
      <c r="BL10" s="5">
        <v>0</v>
      </c>
      <c r="BM10" s="5">
        <v>0</v>
      </c>
      <c r="BN10" s="5">
        <v>0</v>
      </c>
    </row>
    <row r="11" spans="1:66" x14ac:dyDescent="0.25">
      <c r="A11" s="17" t="s">
        <v>53</v>
      </c>
      <c r="B11" s="4">
        <v>1108</v>
      </c>
      <c r="C11" s="4" t="s">
        <v>62</v>
      </c>
      <c r="D11" s="5">
        <v>963412374907</v>
      </c>
      <c r="E11" s="5">
        <v>12976973221</v>
      </c>
      <c r="F11" s="5">
        <v>0</v>
      </c>
      <c r="G11" s="5">
        <v>0</v>
      </c>
      <c r="H11" s="5">
        <v>976389348128</v>
      </c>
      <c r="I11" s="5">
        <v>76450990206</v>
      </c>
      <c r="J11" s="5">
        <v>4455693050</v>
      </c>
      <c r="K11" s="5">
        <v>895482664872</v>
      </c>
      <c r="L11" s="5">
        <v>743978583987</v>
      </c>
      <c r="M11" s="5">
        <f t="shared" si="0"/>
        <v>232410764141</v>
      </c>
      <c r="N11" s="36">
        <f t="shared" si="1"/>
        <v>31.238905143681002</v>
      </c>
      <c r="O11" s="5">
        <v>1137589301453</v>
      </c>
      <c r="P11" s="36">
        <v>133.62</v>
      </c>
      <c r="Q11" s="6">
        <v>127.04</v>
      </c>
      <c r="R11" s="6">
        <v>2.5099999999999998</v>
      </c>
      <c r="S11" s="5">
        <v>1220172900177</v>
      </c>
      <c r="T11" s="5">
        <v>32652106848</v>
      </c>
      <c r="U11" s="5">
        <v>26329256501</v>
      </c>
      <c r="V11" s="5">
        <v>5781214872</v>
      </c>
      <c r="W11" s="5">
        <v>541635475</v>
      </c>
      <c r="X11" s="5">
        <v>1252825007025</v>
      </c>
      <c r="Y11" s="5">
        <v>29324895</v>
      </c>
      <c r="Z11" s="5">
        <v>44836453890</v>
      </c>
      <c r="AA11" s="5">
        <v>6979900000</v>
      </c>
      <c r="AB11" s="5">
        <v>1304641360915</v>
      </c>
      <c r="AC11" s="5">
        <v>1248773260113</v>
      </c>
      <c r="AD11" s="36">
        <f t="shared" si="2"/>
        <v>0.32445817358656143</v>
      </c>
      <c r="AE11" s="5">
        <v>460472798062</v>
      </c>
      <c r="AF11" s="5">
        <v>460472798062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6">
        <v>0</v>
      </c>
      <c r="AM11" s="5">
        <v>0</v>
      </c>
      <c r="AN11" s="6">
        <v>28</v>
      </c>
      <c r="AO11" s="5">
        <v>140642330624</v>
      </c>
      <c r="AP11" s="6">
        <v>13</v>
      </c>
      <c r="AQ11" s="5">
        <v>36144500000</v>
      </c>
      <c r="AR11" s="5">
        <v>32652106848</v>
      </c>
      <c r="AS11" s="5">
        <v>25661990700</v>
      </c>
      <c r="AT11" s="5">
        <f t="shared" si="3"/>
        <v>6990116148</v>
      </c>
      <c r="AU11" s="36">
        <f t="shared" si="4"/>
        <v>27.239181206624004</v>
      </c>
      <c r="AV11" s="5">
        <v>430024384729</v>
      </c>
      <c r="AW11" s="5">
        <v>146372695714</v>
      </c>
      <c r="AX11" s="5">
        <v>153840476699</v>
      </c>
      <c r="AY11" s="5">
        <v>243992059926</v>
      </c>
      <c r="AZ11" s="5">
        <v>280898087387</v>
      </c>
      <c r="BA11" s="5">
        <v>408703434807</v>
      </c>
      <c r="BB11" s="5">
        <v>155727926534</v>
      </c>
      <c r="BC11" s="5">
        <v>976389348128</v>
      </c>
      <c r="BD11" s="5">
        <v>410809509846</v>
      </c>
      <c r="BE11" s="5">
        <v>280368087387</v>
      </c>
      <c r="BF11" s="5">
        <v>285211750895</v>
      </c>
      <c r="BG11" s="5">
        <v>373957024910</v>
      </c>
      <c r="BH11" s="5">
        <v>86515773152</v>
      </c>
      <c r="BI11" s="5">
        <v>0</v>
      </c>
      <c r="BJ11" s="48">
        <v>0</v>
      </c>
      <c r="BK11" s="5">
        <v>0</v>
      </c>
      <c r="BL11" s="5">
        <v>0</v>
      </c>
      <c r="BM11" s="5">
        <v>0</v>
      </c>
      <c r="BN11" s="5">
        <v>0</v>
      </c>
    </row>
    <row r="12" spans="1:66" x14ac:dyDescent="0.25">
      <c r="A12" s="17" t="s">
        <v>53</v>
      </c>
      <c r="B12" s="4">
        <v>1109</v>
      </c>
      <c r="C12" s="4" t="s">
        <v>63</v>
      </c>
      <c r="D12" s="5">
        <v>1063972890405</v>
      </c>
      <c r="E12" s="5">
        <v>25566979163</v>
      </c>
      <c r="F12" s="5">
        <v>0</v>
      </c>
      <c r="G12" s="5">
        <v>0</v>
      </c>
      <c r="H12" s="5">
        <v>1089539869568</v>
      </c>
      <c r="I12" s="5">
        <v>89283605632</v>
      </c>
      <c r="J12" s="5">
        <v>1341807212</v>
      </c>
      <c r="K12" s="5">
        <v>998914456724</v>
      </c>
      <c r="L12" s="5">
        <v>708332123949</v>
      </c>
      <c r="M12" s="5">
        <f t="shared" si="0"/>
        <v>381207745619</v>
      </c>
      <c r="N12" s="36">
        <f t="shared" si="1"/>
        <v>53.817655973830583</v>
      </c>
      <c r="O12" s="5">
        <v>733720763524</v>
      </c>
      <c r="P12" s="36">
        <v>76.31</v>
      </c>
      <c r="Q12" s="6">
        <v>73.45</v>
      </c>
      <c r="R12" s="6">
        <v>4.68</v>
      </c>
      <c r="S12" s="5">
        <v>748436964225</v>
      </c>
      <c r="T12" s="5">
        <v>38774746933</v>
      </c>
      <c r="U12" s="5">
        <v>28434217604</v>
      </c>
      <c r="V12" s="5">
        <v>6884789258</v>
      </c>
      <c r="W12" s="5">
        <v>3455740071</v>
      </c>
      <c r="X12" s="5">
        <v>787211711158</v>
      </c>
      <c r="Y12" s="5">
        <v>160213518</v>
      </c>
      <c r="Z12" s="5">
        <v>39609213544</v>
      </c>
      <c r="AA12" s="5">
        <v>4593180000</v>
      </c>
      <c r="AB12" s="5">
        <v>831414104702</v>
      </c>
      <c r="AC12" s="5">
        <v>621896442882</v>
      </c>
      <c r="AD12" s="36">
        <f t="shared" si="2"/>
        <v>26.582443133119398</v>
      </c>
      <c r="AE12" s="5">
        <v>446769357973</v>
      </c>
      <c r="AF12" s="5">
        <v>446769357973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6">
        <v>0</v>
      </c>
      <c r="AM12" s="5">
        <v>0</v>
      </c>
      <c r="AN12" s="6">
        <v>54</v>
      </c>
      <c r="AO12" s="5">
        <v>147415936273</v>
      </c>
      <c r="AP12" s="6">
        <v>56</v>
      </c>
      <c r="AQ12" s="5">
        <v>63793092243</v>
      </c>
      <c r="AR12" s="5">
        <v>38774746933</v>
      </c>
      <c r="AS12" s="5">
        <v>22495190388</v>
      </c>
      <c r="AT12" s="5">
        <f t="shared" si="3"/>
        <v>16279556545</v>
      </c>
      <c r="AU12" s="36">
        <f t="shared" si="4"/>
        <v>72.369054292086759</v>
      </c>
      <c r="AV12" s="5">
        <v>307230707154</v>
      </c>
      <c r="AW12" s="5">
        <v>140956267535</v>
      </c>
      <c r="AX12" s="5">
        <v>209358776505</v>
      </c>
      <c r="AY12" s="5">
        <v>381075521170</v>
      </c>
      <c r="AZ12" s="5">
        <v>218473092730</v>
      </c>
      <c r="BA12" s="5">
        <v>330220445964</v>
      </c>
      <c r="BB12" s="5">
        <v>26407390754</v>
      </c>
      <c r="BC12" s="5">
        <v>1089539869568</v>
      </c>
      <c r="BD12" s="5">
        <v>616001276838</v>
      </c>
      <c r="BE12" s="5">
        <v>218473092730</v>
      </c>
      <c r="BF12" s="5">
        <v>255065500000</v>
      </c>
      <c r="BG12" s="5">
        <v>336547335554</v>
      </c>
      <c r="BH12" s="5">
        <v>110222022419</v>
      </c>
      <c r="BI12" s="5">
        <v>0</v>
      </c>
      <c r="BJ12" s="48">
        <v>0</v>
      </c>
      <c r="BK12" s="5">
        <v>0</v>
      </c>
      <c r="BL12" s="5">
        <v>0</v>
      </c>
      <c r="BM12" s="5">
        <v>0</v>
      </c>
      <c r="BN12" s="5">
        <v>0</v>
      </c>
    </row>
    <row r="13" spans="1:66" x14ac:dyDescent="0.25">
      <c r="A13" s="17" t="s">
        <v>53</v>
      </c>
      <c r="B13" s="4">
        <v>1110</v>
      </c>
      <c r="C13" s="4" t="s">
        <v>64</v>
      </c>
      <c r="D13" s="5">
        <v>620324222534</v>
      </c>
      <c r="E13" s="5">
        <v>5491224756</v>
      </c>
      <c r="F13" s="5">
        <v>0</v>
      </c>
      <c r="G13" s="5">
        <v>0</v>
      </c>
      <c r="H13" s="5">
        <v>625815447290</v>
      </c>
      <c r="I13" s="5">
        <v>55861879527</v>
      </c>
      <c r="J13" s="5">
        <v>817484161</v>
      </c>
      <c r="K13" s="5">
        <v>569136083602</v>
      </c>
      <c r="L13" s="5">
        <v>417077422077</v>
      </c>
      <c r="M13" s="5">
        <f t="shared" si="0"/>
        <v>208738025213</v>
      </c>
      <c r="N13" s="36">
        <f t="shared" si="1"/>
        <v>50.047788291561659</v>
      </c>
      <c r="O13" s="5">
        <v>3130695385539</v>
      </c>
      <c r="P13" s="36">
        <v>676.93</v>
      </c>
      <c r="Q13" s="6">
        <v>550.08000000000004</v>
      </c>
      <c r="R13" s="6">
        <v>84.42</v>
      </c>
      <c r="S13" s="5">
        <v>584193435081</v>
      </c>
      <c r="T13" s="5">
        <v>2783960472144</v>
      </c>
      <c r="U13" s="5">
        <v>7763750681</v>
      </c>
      <c r="V13" s="5">
        <v>6508684989</v>
      </c>
      <c r="W13" s="5">
        <v>2769688036474</v>
      </c>
      <c r="X13" s="5">
        <v>3368153907225</v>
      </c>
      <c r="Y13" s="5">
        <v>792306447732</v>
      </c>
      <c r="Z13" s="5">
        <v>859741376261</v>
      </c>
      <c r="AA13" s="5">
        <v>8464940000</v>
      </c>
      <c r="AB13" s="5">
        <v>4236360223486</v>
      </c>
      <c r="AC13" s="5">
        <v>1315196249248</v>
      </c>
      <c r="AD13" s="36">
        <f t="shared" si="2"/>
        <v>156.09515759726622</v>
      </c>
      <c r="AE13" s="5">
        <v>271594967185</v>
      </c>
      <c r="AF13" s="5">
        <v>183309561158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6">
        <v>0</v>
      </c>
      <c r="AM13" s="5">
        <v>0</v>
      </c>
      <c r="AN13" s="6">
        <v>4</v>
      </c>
      <c r="AO13" s="5">
        <v>20199699772</v>
      </c>
      <c r="AP13" s="6">
        <v>1</v>
      </c>
      <c r="AQ13" s="5">
        <v>2762000000</v>
      </c>
      <c r="AR13" s="5">
        <v>2783960472144</v>
      </c>
      <c r="AS13" s="5">
        <v>957498818883</v>
      </c>
      <c r="AT13" s="5">
        <f t="shared" si="3"/>
        <v>1826461653261</v>
      </c>
      <c r="AU13" s="36">
        <f t="shared" si="4"/>
        <v>190.75341057775043</v>
      </c>
      <c r="AV13" s="5">
        <v>146013751637</v>
      </c>
      <c r="AW13" s="5">
        <v>74245659439</v>
      </c>
      <c r="AX13" s="5">
        <v>176625378433</v>
      </c>
      <c r="AY13" s="5">
        <v>132489958023</v>
      </c>
      <c r="AZ13" s="5">
        <v>184674886078</v>
      </c>
      <c r="BA13" s="5">
        <v>128204755212</v>
      </c>
      <c r="BB13" s="5">
        <v>142696290478</v>
      </c>
      <c r="BC13" s="5">
        <v>625815447290</v>
      </c>
      <c r="BD13" s="5">
        <v>314606561212</v>
      </c>
      <c r="BE13" s="5">
        <v>184674886078</v>
      </c>
      <c r="BF13" s="5">
        <v>126534000000</v>
      </c>
      <c r="BG13" s="5">
        <v>257594997185</v>
      </c>
      <c r="BH13" s="5">
        <v>13999970000</v>
      </c>
      <c r="BI13" s="5">
        <v>0</v>
      </c>
      <c r="BJ13" s="48">
        <v>0</v>
      </c>
      <c r="BK13" s="5">
        <v>0</v>
      </c>
      <c r="BL13" s="5">
        <v>0</v>
      </c>
      <c r="BM13" s="5">
        <v>0</v>
      </c>
      <c r="BN13" s="5">
        <v>0</v>
      </c>
    </row>
    <row r="14" spans="1:66" x14ac:dyDescent="0.25">
      <c r="A14" s="17" t="s">
        <v>53</v>
      </c>
      <c r="B14" s="4">
        <v>1111</v>
      </c>
      <c r="C14" s="4" t="s">
        <v>65</v>
      </c>
      <c r="D14" s="5">
        <v>1847537393770</v>
      </c>
      <c r="E14" s="5">
        <v>16597490806</v>
      </c>
      <c r="F14" s="5">
        <v>0</v>
      </c>
      <c r="G14" s="5">
        <v>0</v>
      </c>
      <c r="H14" s="5">
        <v>1864134884576</v>
      </c>
      <c r="I14" s="5">
        <v>172135662749</v>
      </c>
      <c r="J14" s="5">
        <v>1504083108</v>
      </c>
      <c r="K14" s="5">
        <v>1690495138719</v>
      </c>
      <c r="L14" s="5">
        <v>1938699352500</v>
      </c>
      <c r="M14" s="5">
        <f t="shared" si="0"/>
        <v>-74564467924</v>
      </c>
      <c r="N14" s="36">
        <f t="shared" si="1"/>
        <v>-3.846107846884423</v>
      </c>
      <c r="O14" s="5">
        <v>1471691026552</v>
      </c>
      <c r="P14" s="36">
        <v>87.54</v>
      </c>
      <c r="Q14" s="6">
        <v>87.06</v>
      </c>
      <c r="R14" s="6">
        <v>0.72</v>
      </c>
      <c r="S14" s="5">
        <v>1551973283978</v>
      </c>
      <c r="T14" s="5">
        <v>11783064945</v>
      </c>
      <c r="U14" s="5">
        <v>11151011179</v>
      </c>
      <c r="V14" s="5">
        <v>632053766</v>
      </c>
      <c r="W14" s="5">
        <v>0</v>
      </c>
      <c r="X14" s="5">
        <v>1563756348923</v>
      </c>
      <c r="Y14" s="5">
        <v>0</v>
      </c>
      <c r="Z14" s="5">
        <v>58917474579</v>
      </c>
      <c r="AA14" s="5">
        <v>9239289615</v>
      </c>
      <c r="AB14" s="5">
        <v>1631913113117</v>
      </c>
      <c r="AC14" s="5">
        <v>1047563924013</v>
      </c>
      <c r="AD14" s="36">
        <f t="shared" si="2"/>
        <v>49.275506064830296</v>
      </c>
      <c r="AE14" s="5">
        <v>1515394714147</v>
      </c>
      <c r="AF14" s="5">
        <v>1515394714147</v>
      </c>
      <c r="AG14" s="5">
        <v>0</v>
      </c>
      <c r="AH14" s="5">
        <v>0</v>
      </c>
      <c r="AI14" s="5">
        <v>0</v>
      </c>
      <c r="AJ14" s="5">
        <v>0</v>
      </c>
      <c r="AK14" s="5">
        <v>941544292</v>
      </c>
      <c r="AL14" s="6">
        <v>0</v>
      </c>
      <c r="AM14" s="5">
        <v>0</v>
      </c>
      <c r="AN14" s="6">
        <v>41</v>
      </c>
      <c r="AO14" s="5">
        <v>172565174658</v>
      </c>
      <c r="AP14" s="6">
        <v>4</v>
      </c>
      <c r="AQ14" s="5">
        <v>10600000000</v>
      </c>
      <c r="AR14" s="5">
        <v>11783064945</v>
      </c>
      <c r="AS14" s="5">
        <v>3059089246</v>
      </c>
      <c r="AT14" s="5">
        <f t="shared" si="3"/>
        <v>8723975699</v>
      </c>
      <c r="AU14" s="36">
        <f t="shared" si="4"/>
        <v>285.18212439886435</v>
      </c>
      <c r="AV14" s="5">
        <v>1015655297761</v>
      </c>
      <c r="AW14" s="5">
        <v>35851042668</v>
      </c>
      <c r="AX14" s="5">
        <v>258074034802</v>
      </c>
      <c r="AY14" s="5">
        <v>922386379907</v>
      </c>
      <c r="AZ14" s="5">
        <v>476561979061</v>
      </c>
      <c r="BA14" s="5">
        <v>296281790528</v>
      </c>
      <c r="BB14" s="5">
        <v>279863575292</v>
      </c>
      <c r="BC14" s="5">
        <v>1864134884576</v>
      </c>
      <c r="BD14" s="5">
        <v>1197057905515</v>
      </c>
      <c r="BE14" s="5">
        <v>476561979061</v>
      </c>
      <c r="BF14" s="5">
        <v>190515000000</v>
      </c>
      <c r="BG14" s="5">
        <v>438556947329</v>
      </c>
      <c r="BH14" s="5">
        <v>1076837766818</v>
      </c>
      <c r="BI14" s="5">
        <v>0</v>
      </c>
      <c r="BJ14" s="48">
        <v>0</v>
      </c>
      <c r="BK14" s="5">
        <v>0</v>
      </c>
      <c r="BL14" s="5">
        <v>0</v>
      </c>
      <c r="BM14" s="5">
        <v>0</v>
      </c>
      <c r="BN14" s="5">
        <v>0</v>
      </c>
    </row>
    <row r="15" spans="1:66" x14ac:dyDescent="0.25">
      <c r="A15" s="17" t="s">
        <v>53</v>
      </c>
      <c r="B15" s="4">
        <v>1112</v>
      </c>
      <c r="C15" s="4" t="s">
        <v>66</v>
      </c>
      <c r="D15" s="5">
        <v>1901095407821</v>
      </c>
      <c r="E15" s="5">
        <v>31234315379</v>
      </c>
      <c r="F15" s="5">
        <v>0</v>
      </c>
      <c r="G15" s="5">
        <v>0</v>
      </c>
      <c r="H15" s="5">
        <v>1932329723200</v>
      </c>
      <c r="I15" s="5">
        <v>133962469137</v>
      </c>
      <c r="J15" s="5">
        <v>3774728145</v>
      </c>
      <c r="K15" s="5">
        <v>1794592525918</v>
      </c>
      <c r="L15" s="5">
        <v>1789254626170</v>
      </c>
      <c r="M15" s="5">
        <f t="shared" si="0"/>
        <v>143075097030</v>
      </c>
      <c r="N15" s="36">
        <f t="shared" si="1"/>
        <v>7.9963519410459911</v>
      </c>
      <c r="O15" s="5">
        <v>1835305607518</v>
      </c>
      <c r="P15" s="36">
        <v>105.89</v>
      </c>
      <c r="Q15" s="6">
        <v>102.27</v>
      </c>
      <c r="R15" s="6">
        <v>3.71</v>
      </c>
      <c r="S15" s="5">
        <v>1912647471334</v>
      </c>
      <c r="T15" s="5">
        <v>58099233269</v>
      </c>
      <c r="U15" s="5">
        <v>12775368187</v>
      </c>
      <c r="V15" s="5">
        <v>1634537025</v>
      </c>
      <c r="W15" s="5">
        <v>43689328057</v>
      </c>
      <c r="X15" s="5">
        <v>1970746704603</v>
      </c>
      <c r="Y15" s="5">
        <v>17791151564</v>
      </c>
      <c r="Z15" s="5">
        <v>74819475678</v>
      </c>
      <c r="AA15" s="5">
        <v>496740000</v>
      </c>
      <c r="AB15" s="5">
        <v>2046062920281</v>
      </c>
      <c r="AC15" s="5">
        <v>847495500939</v>
      </c>
      <c r="AD15" s="36">
        <f t="shared" si="2"/>
        <v>132.5377187748455</v>
      </c>
      <c r="AE15" s="5">
        <v>1826758611573</v>
      </c>
      <c r="AF15" s="5">
        <v>1826758611573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6">
        <v>0</v>
      </c>
      <c r="AM15" s="5">
        <v>0</v>
      </c>
      <c r="AN15" s="6">
        <v>76</v>
      </c>
      <c r="AO15" s="5">
        <v>296172512822</v>
      </c>
      <c r="AP15" s="6">
        <v>36</v>
      </c>
      <c r="AQ15" s="5">
        <v>62192210648</v>
      </c>
      <c r="AR15" s="5">
        <v>58099233269</v>
      </c>
      <c r="AS15" s="5">
        <v>46340911959</v>
      </c>
      <c r="AT15" s="5">
        <f t="shared" si="3"/>
        <v>11758321310</v>
      </c>
      <c r="AU15" s="36">
        <f t="shared" si="4"/>
        <v>25.373521609594441</v>
      </c>
      <c r="AV15" s="5">
        <v>759833603680</v>
      </c>
      <c r="AW15" s="5">
        <v>55363857481</v>
      </c>
      <c r="AX15" s="5">
        <v>1037186974940</v>
      </c>
      <c r="AY15" s="5">
        <v>218218957888</v>
      </c>
      <c r="AZ15" s="5">
        <v>441416442085</v>
      </c>
      <c r="BA15" s="5">
        <v>311327891700</v>
      </c>
      <c r="BB15" s="5">
        <v>261190255480</v>
      </c>
      <c r="BC15" s="5">
        <v>1932329723200</v>
      </c>
      <c r="BD15" s="5">
        <v>1286640248207</v>
      </c>
      <c r="BE15" s="5">
        <v>441416442085</v>
      </c>
      <c r="BF15" s="5">
        <v>204273032908</v>
      </c>
      <c r="BG15" s="5">
        <v>905943245837</v>
      </c>
      <c r="BH15" s="5">
        <v>920815365736</v>
      </c>
      <c r="BI15" s="5">
        <v>0</v>
      </c>
      <c r="BJ15" s="48">
        <v>0</v>
      </c>
      <c r="BK15" s="5">
        <v>0</v>
      </c>
      <c r="BL15" s="5">
        <v>0</v>
      </c>
      <c r="BM15" s="5">
        <v>0</v>
      </c>
      <c r="BN15" s="5">
        <v>0</v>
      </c>
    </row>
    <row r="16" spans="1:66" x14ac:dyDescent="0.25">
      <c r="A16" s="17" t="s">
        <v>53</v>
      </c>
      <c r="B16" s="4">
        <v>1113</v>
      </c>
      <c r="C16" s="4" t="s">
        <v>67</v>
      </c>
      <c r="D16" s="5">
        <v>2267691105976</v>
      </c>
      <c r="E16" s="5">
        <v>13642706253</v>
      </c>
      <c r="F16" s="5">
        <v>0</v>
      </c>
      <c r="G16" s="5">
        <v>0</v>
      </c>
      <c r="H16" s="5">
        <v>2281333812229</v>
      </c>
      <c r="I16" s="5">
        <v>176839877138</v>
      </c>
      <c r="J16" s="5">
        <v>1430862054</v>
      </c>
      <c r="K16" s="5">
        <v>2103063073037</v>
      </c>
      <c r="L16" s="5">
        <v>1161956991388</v>
      </c>
      <c r="M16" s="5">
        <f t="shared" si="0"/>
        <v>1119376820841</v>
      </c>
      <c r="N16" s="36">
        <f t="shared" si="1"/>
        <v>96.335477916774153</v>
      </c>
      <c r="O16" s="5">
        <v>1385958713588</v>
      </c>
      <c r="P16" s="36">
        <v>68.569999999999993</v>
      </c>
      <c r="Q16" s="6">
        <v>65.900000000000006</v>
      </c>
      <c r="R16" s="6">
        <v>2.75</v>
      </c>
      <c r="S16" s="5">
        <v>1454126151641</v>
      </c>
      <c r="T16" s="5">
        <v>43071194748</v>
      </c>
      <c r="U16" s="5">
        <v>41459240519</v>
      </c>
      <c r="V16" s="5">
        <v>1611954229</v>
      </c>
      <c r="W16" s="5">
        <v>0</v>
      </c>
      <c r="X16" s="5">
        <v>1497197346389</v>
      </c>
      <c r="Y16" s="5">
        <v>0</v>
      </c>
      <c r="Z16" s="5">
        <v>66005836749</v>
      </c>
      <c r="AA16" s="5">
        <v>1007250000</v>
      </c>
      <c r="AB16" s="5">
        <v>1564210433138</v>
      </c>
      <c r="AC16" s="5">
        <v>1102108397366</v>
      </c>
      <c r="AD16" s="36">
        <f t="shared" si="2"/>
        <v>35.848465538167439</v>
      </c>
      <c r="AE16" s="5">
        <v>1029132187588</v>
      </c>
      <c r="AF16" s="5">
        <v>1011446068137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6">
        <v>0</v>
      </c>
      <c r="AM16" s="5">
        <v>0</v>
      </c>
      <c r="AN16" s="6">
        <v>2</v>
      </c>
      <c r="AO16" s="5">
        <v>1837625000</v>
      </c>
      <c r="AP16" s="6">
        <v>8</v>
      </c>
      <c r="AQ16" s="5">
        <v>12594700000</v>
      </c>
      <c r="AR16" s="5">
        <v>43071194748</v>
      </c>
      <c r="AS16" s="5">
        <v>15049762628</v>
      </c>
      <c r="AT16" s="5">
        <f t="shared" si="3"/>
        <v>28021432120</v>
      </c>
      <c r="AU16" s="36">
        <f t="shared" si="4"/>
        <v>186.19185440085468</v>
      </c>
      <c r="AV16" s="5">
        <v>639756190196</v>
      </c>
      <c r="AW16" s="5">
        <v>128831212950</v>
      </c>
      <c r="AX16" s="5">
        <v>416939650193</v>
      </c>
      <c r="AY16" s="5">
        <v>564118138270</v>
      </c>
      <c r="AZ16" s="5">
        <v>528340817513</v>
      </c>
      <c r="BA16" s="5">
        <v>787731393512</v>
      </c>
      <c r="BB16" s="5">
        <v>407137868372</v>
      </c>
      <c r="BC16" s="5">
        <v>2281333812229</v>
      </c>
      <c r="BD16" s="5">
        <v>994700494716</v>
      </c>
      <c r="BE16" s="5">
        <v>528340817513</v>
      </c>
      <c r="BF16" s="5">
        <v>758292500000</v>
      </c>
      <c r="BG16" s="5">
        <v>792261337088</v>
      </c>
      <c r="BH16" s="5">
        <v>236870850500</v>
      </c>
      <c r="BI16" s="5">
        <v>0</v>
      </c>
      <c r="BJ16" s="48">
        <v>0</v>
      </c>
      <c r="BK16" s="5">
        <v>0</v>
      </c>
      <c r="BL16" s="5">
        <v>0</v>
      </c>
      <c r="BM16" s="5">
        <v>0</v>
      </c>
      <c r="BN16" s="5">
        <v>0</v>
      </c>
    </row>
    <row r="17" spans="1:66" x14ac:dyDescent="0.25">
      <c r="A17" s="17" t="s">
        <v>53</v>
      </c>
      <c r="B17" s="4">
        <v>1114</v>
      </c>
      <c r="C17" s="4" t="s">
        <v>68</v>
      </c>
      <c r="D17" s="5">
        <v>1220441831854</v>
      </c>
      <c r="E17" s="5">
        <v>9577986771</v>
      </c>
      <c r="F17" s="5">
        <v>0</v>
      </c>
      <c r="G17" s="5">
        <v>0</v>
      </c>
      <c r="H17" s="5">
        <v>1230019818625</v>
      </c>
      <c r="I17" s="5">
        <v>122853919309</v>
      </c>
      <c r="J17" s="5">
        <v>1273362249</v>
      </c>
      <c r="K17" s="5">
        <v>1105892537067</v>
      </c>
      <c r="L17" s="5">
        <v>784818246076</v>
      </c>
      <c r="M17" s="5">
        <f t="shared" si="0"/>
        <v>445201572549</v>
      </c>
      <c r="N17" s="36">
        <f t="shared" si="1"/>
        <v>56.726710263803895</v>
      </c>
      <c r="O17" s="5">
        <v>683742679212</v>
      </c>
      <c r="P17" s="36">
        <v>61.28</v>
      </c>
      <c r="Q17" s="6">
        <v>61.83</v>
      </c>
      <c r="R17" s="6">
        <v>1.52</v>
      </c>
      <c r="S17" s="5">
        <v>688026629358</v>
      </c>
      <c r="T17" s="5">
        <v>11349380986</v>
      </c>
      <c r="U17" s="5">
        <v>7931733765</v>
      </c>
      <c r="V17" s="5">
        <v>3318056065</v>
      </c>
      <c r="W17" s="5">
        <v>99591156</v>
      </c>
      <c r="X17" s="5">
        <v>699376010344</v>
      </c>
      <c r="Y17" s="5">
        <v>98025657</v>
      </c>
      <c r="Z17" s="5">
        <v>45108185809</v>
      </c>
      <c r="AA17" s="5">
        <v>9223599000</v>
      </c>
      <c r="AB17" s="5">
        <v>753707795153</v>
      </c>
      <c r="AC17" s="5">
        <v>573194162432</v>
      </c>
      <c r="AD17" s="36">
        <f t="shared" si="2"/>
        <v>22.013805475028612</v>
      </c>
      <c r="AE17" s="5">
        <v>385695238320</v>
      </c>
      <c r="AF17" s="5">
        <v>385695238320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6">
        <v>0</v>
      </c>
      <c r="AM17" s="5">
        <v>0</v>
      </c>
      <c r="AN17" s="6">
        <v>57</v>
      </c>
      <c r="AO17" s="5">
        <v>1126654000000</v>
      </c>
      <c r="AP17" s="6">
        <v>8</v>
      </c>
      <c r="AQ17" s="5">
        <v>10681140000</v>
      </c>
      <c r="AR17" s="5">
        <v>11349380986</v>
      </c>
      <c r="AS17" s="5">
        <v>4262574101</v>
      </c>
      <c r="AT17" s="5">
        <f t="shared" si="3"/>
        <v>7086806885</v>
      </c>
      <c r="AU17" s="36">
        <f t="shared" si="4"/>
        <v>166.25650879212714</v>
      </c>
      <c r="AV17" s="5">
        <v>259500220480</v>
      </c>
      <c r="AW17" s="5">
        <v>69227473585</v>
      </c>
      <c r="AX17" s="5">
        <v>90689051178</v>
      </c>
      <c r="AY17" s="5">
        <v>301321607069</v>
      </c>
      <c r="AZ17" s="5">
        <v>253257124487</v>
      </c>
      <c r="BA17" s="5">
        <v>880527120864</v>
      </c>
      <c r="BB17" s="5">
        <v>155467070969</v>
      </c>
      <c r="BC17" s="5">
        <v>1230019818625</v>
      </c>
      <c r="BD17" s="5">
        <v>401588645018</v>
      </c>
      <c r="BE17" s="5">
        <v>253257124487</v>
      </c>
      <c r="BF17" s="5">
        <v>575174049120</v>
      </c>
      <c r="BG17" s="5">
        <v>236407353324</v>
      </c>
      <c r="BH17" s="5">
        <v>149287884996</v>
      </c>
      <c r="BI17" s="5">
        <v>0</v>
      </c>
      <c r="BJ17" s="48">
        <v>0</v>
      </c>
      <c r="BK17" s="5">
        <v>0</v>
      </c>
      <c r="BL17" s="5">
        <v>0</v>
      </c>
      <c r="BM17" s="5">
        <v>0</v>
      </c>
      <c r="BN17" s="5">
        <v>0</v>
      </c>
    </row>
    <row r="18" spans="1:66" x14ac:dyDescent="0.25">
      <c r="A18" s="17" t="s">
        <v>53</v>
      </c>
      <c r="B18" s="4">
        <v>1115</v>
      </c>
      <c r="C18" s="4" t="s">
        <v>69</v>
      </c>
      <c r="D18" s="5">
        <v>1838842555465</v>
      </c>
      <c r="E18" s="5">
        <v>28189918578</v>
      </c>
      <c r="F18" s="5">
        <v>0</v>
      </c>
      <c r="G18" s="5">
        <v>0</v>
      </c>
      <c r="H18" s="5">
        <v>1867032474043</v>
      </c>
      <c r="I18" s="5">
        <v>125753181961</v>
      </c>
      <c r="J18" s="5">
        <v>1847568547</v>
      </c>
      <c r="K18" s="5">
        <v>1739431723535</v>
      </c>
      <c r="L18" s="5">
        <v>1688869271346</v>
      </c>
      <c r="M18" s="5">
        <f t="shared" si="0"/>
        <v>178163202697</v>
      </c>
      <c r="N18" s="36">
        <f t="shared" si="1"/>
        <v>10.549259538306773</v>
      </c>
      <c r="O18" s="5">
        <v>1414928123477</v>
      </c>
      <c r="P18" s="36">
        <v>91.52</v>
      </c>
      <c r="Q18" s="6">
        <v>81.34</v>
      </c>
      <c r="R18" s="6">
        <v>25.42</v>
      </c>
      <c r="S18" s="5">
        <v>1164666235620</v>
      </c>
      <c r="T18" s="5">
        <v>245093146550</v>
      </c>
      <c r="U18" s="5">
        <v>13524150670</v>
      </c>
      <c r="V18" s="5">
        <v>354527348</v>
      </c>
      <c r="W18" s="5">
        <v>231214468532</v>
      </c>
      <c r="X18" s="5">
        <v>1409759382170</v>
      </c>
      <c r="Y18" s="5">
        <v>189302695848</v>
      </c>
      <c r="Z18" s="5">
        <v>294865845989</v>
      </c>
      <c r="AA18" s="5">
        <v>4000000000</v>
      </c>
      <c r="AB18" s="5">
        <v>1708625228159</v>
      </c>
      <c r="AC18" s="5">
        <v>761753551462</v>
      </c>
      <c r="AD18" s="36">
        <f t="shared" si="2"/>
        <v>85.067648121142454</v>
      </c>
      <c r="AE18" s="5">
        <v>1185802750776</v>
      </c>
      <c r="AF18" s="5">
        <v>1185802750776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6">
        <v>1</v>
      </c>
      <c r="AM18" s="5">
        <v>55176000000</v>
      </c>
      <c r="AN18" s="6">
        <v>3</v>
      </c>
      <c r="AO18" s="5">
        <v>51734400000</v>
      </c>
      <c r="AP18" s="6">
        <v>2</v>
      </c>
      <c r="AQ18" s="5">
        <v>3180000000</v>
      </c>
      <c r="AR18" s="5">
        <v>245093146550</v>
      </c>
      <c r="AS18" s="5">
        <v>233504466306</v>
      </c>
      <c r="AT18" s="5">
        <f t="shared" si="3"/>
        <v>11588680244</v>
      </c>
      <c r="AU18" s="36">
        <f t="shared" si="4"/>
        <v>4.9629372950894277</v>
      </c>
      <c r="AV18" s="5">
        <v>523167690098</v>
      </c>
      <c r="AW18" s="5">
        <v>36829085533</v>
      </c>
      <c r="AX18" s="5">
        <v>510580279108</v>
      </c>
      <c r="AY18" s="5">
        <v>68803796433</v>
      </c>
      <c r="AZ18" s="5">
        <v>468609668240</v>
      </c>
      <c r="BA18" s="5">
        <v>851156748576</v>
      </c>
      <c r="BB18" s="5">
        <v>417455677497</v>
      </c>
      <c r="BC18" s="5">
        <v>1867032474043</v>
      </c>
      <c r="BD18" s="5">
        <v>607573994119</v>
      </c>
      <c r="BE18" s="5">
        <v>468609668240</v>
      </c>
      <c r="BF18" s="5">
        <v>790848811684</v>
      </c>
      <c r="BG18" s="5">
        <v>515901723498</v>
      </c>
      <c r="BH18" s="5">
        <v>669901027278</v>
      </c>
      <c r="BI18" s="5">
        <v>0</v>
      </c>
      <c r="BJ18" s="48">
        <v>0</v>
      </c>
      <c r="BK18" s="5">
        <v>0</v>
      </c>
      <c r="BL18" s="5">
        <v>0</v>
      </c>
      <c r="BM18" s="5">
        <v>0</v>
      </c>
      <c r="BN18" s="5">
        <v>0</v>
      </c>
    </row>
    <row r="19" spans="1:66" x14ac:dyDescent="0.25">
      <c r="A19" s="17" t="s">
        <v>53</v>
      </c>
      <c r="B19" s="4">
        <v>1116</v>
      </c>
      <c r="C19" s="4" t="s">
        <v>70</v>
      </c>
      <c r="D19" s="5">
        <v>2699616353234</v>
      </c>
      <c r="E19" s="5">
        <v>53559039049</v>
      </c>
      <c r="F19" s="5">
        <v>0</v>
      </c>
      <c r="G19" s="5">
        <v>0</v>
      </c>
      <c r="H19" s="5">
        <v>2753175392283</v>
      </c>
      <c r="I19" s="5">
        <v>187500960823</v>
      </c>
      <c r="J19" s="5">
        <v>2086880590</v>
      </c>
      <c r="K19" s="5">
        <v>2563587550870</v>
      </c>
      <c r="L19" s="5">
        <v>1584538969798</v>
      </c>
      <c r="M19" s="5">
        <f t="shared" si="0"/>
        <v>1168636422485</v>
      </c>
      <c r="N19" s="36">
        <f t="shared" si="1"/>
        <v>73.752457008613675</v>
      </c>
      <c r="O19" s="5">
        <v>2026950955750</v>
      </c>
      <c r="P19" s="36">
        <v>84.12</v>
      </c>
      <c r="Q19" s="6">
        <v>79.069999999999993</v>
      </c>
      <c r="R19" s="6">
        <v>2.1800000000000002</v>
      </c>
      <c r="S19" s="5">
        <v>2152633327612</v>
      </c>
      <c r="T19" s="5">
        <v>50138136264</v>
      </c>
      <c r="U19" s="5">
        <v>24552535314</v>
      </c>
      <c r="V19" s="5">
        <v>4898721719</v>
      </c>
      <c r="W19" s="5">
        <v>20686879231</v>
      </c>
      <c r="X19" s="5">
        <v>2202771463876</v>
      </c>
      <c r="Y19" s="5">
        <v>241840933</v>
      </c>
      <c r="Z19" s="5">
        <v>109172718865</v>
      </c>
      <c r="AA19" s="5">
        <v>4000000000</v>
      </c>
      <c r="AB19" s="5">
        <v>2315944182741</v>
      </c>
      <c r="AC19" s="5">
        <v>1449148468491</v>
      </c>
      <c r="AD19" s="36">
        <f t="shared" si="2"/>
        <v>52.00454002961812</v>
      </c>
      <c r="AE19" s="5">
        <v>2752227618227</v>
      </c>
      <c r="AF19" s="5">
        <v>2752227618227</v>
      </c>
      <c r="AG19" s="5">
        <v>972943285846</v>
      </c>
      <c r="AH19" s="5">
        <v>2751252264</v>
      </c>
      <c r="AI19" s="5">
        <v>0</v>
      </c>
      <c r="AJ19" s="5">
        <v>0</v>
      </c>
      <c r="AK19" s="5">
        <v>0</v>
      </c>
      <c r="AL19" s="6">
        <v>16</v>
      </c>
      <c r="AM19" s="5">
        <v>632571567942</v>
      </c>
      <c r="AN19" s="6">
        <v>16</v>
      </c>
      <c r="AO19" s="5">
        <v>91457521725</v>
      </c>
      <c r="AP19" s="6">
        <v>6</v>
      </c>
      <c r="AQ19" s="5">
        <v>23920048531</v>
      </c>
      <c r="AR19" s="5">
        <v>50138136264</v>
      </c>
      <c r="AS19" s="5">
        <v>5808418602</v>
      </c>
      <c r="AT19" s="5">
        <f t="shared" si="3"/>
        <v>44329717662</v>
      </c>
      <c r="AU19" s="36">
        <f t="shared" si="4"/>
        <v>763.19770835277006</v>
      </c>
      <c r="AV19" s="5">
        <v>2066550527743</v>
      </c>
      <c r="AW19" s="5">
        <v>313016437099</v>
      </c>
      <c r="AX19" s="5">
        <v>875424736300</v>
      </c>
      <c r="AY19" s="5">
        <v>359841016259</v>
      </c>
      <c r="AZ19" s="5">
        <v>659808115665</v>
      </c>
      <c r="BA19" s="5">
        <v>823470451102</v>
      </c>
      <c r="BB19" s="5">
        <v>396024130066</v>
      </c>
      <c r="BC19" s="5">
        <v>2753175392283</v>
      </c>
      <c r="BD19" s="5">
        <v>1288939062837</v>
      </c>
      <c r="BE19" s="5">
        <v>659808115665</v>
      </c>
      <c r="BF19" s="5">
        <v>804428213781</v>
      </c>
      <c r="BG19" s="5">
        <v>828945334532</v>
      </c>
      <c r="BH19" s="5">
        <v>1923282283695</v>
      </c>
      <c r="BI19" s="5">
        <v>5342669394</v>
      </c>
      <c r="BJ19" s="48">
        <v>20686879231</v>
      </c>
      <c r="BK19" s="5">
        <v>1228578424226</v>
      </c>
      <c r="BL19" s="5">
        <v>0</v>
      </c>
      <c r="BM19" s="5">
        <v>0</v>
      </c>
      <c r="BN19" s="5">
        <v>2751252264</v>
      </c>
    </row>
    <row r="20" spans="1:66" x14ac:dyDescent="0.25">
      <c r="A20" s="17" t="s">
        <v>53</v>
      </c>
      <c r="B20" s="4">
        <v>1117</v>
      </c>
      <c r="C20" s="4" t="s">
        <v>71</v>
      </c>
      <c r="D20" s="5">
        <v>5646520574326</v>
      </c>
      <c r="E20" s="5">
        <v>273610015099</v>
      </c>
      <c r="F20" s="5">
        <v>0</v>
      </c>
      <c r="G20" s="5">
        <v>0</v>
      </c>
      <c r="H20" s="5">
        <v>5920130589425</v>
      </c>
      <c r="I20" s="5">
        <v>527717342775</v>
      </c>
      <c r="J20" s="5">
        <v>4410169103</v>
      </c>
      <c r="K20" s="5">
        <v>5388003077547</v>
      </c>
      <c r="L20" s="5">
        <v>2940738325156</v>
      </c>
      <c r="M20" s="5">
        <f t="shared" si="0"/>
        <v>2979392264269</v>
      </c>
      <c r="N20" s="36">
        <f t="shared" si="1"/>
        <v>101.31442973971339</v>
      </c>
      <c r="O20" s="5">
        <v>4649307885577</v>
      </c>
      <c r="P20" s="36">
        <v>87.47</v>
      </c>
      <c r="Q20" s="6">
        <v>86.29</v>
      </c>
      <c r="R20" s="6">
        <v>3.42</v>
      </c>
      <c r="S20" s="5">
        <v>4752407845790</v>
      </c>
      <c r="T20" s="5">
        <v>167144113812</v>
      </c>
      <c r="U20" s="5">
        <v>149414207880</v>
      </c>
      <c r="V20" s="5">
        <v>12764227896</v>
      </c>
      <c r="W20" s="5">
        <v>4965678036</v>
      </c>
      <c r="X20" s="5">
        <v>4919551959602</v>
      </c>
      <c r="Y20" s="5">
        <v>9820166097</v>
      </c>
      <c r="Z20" s="5">
        <v>246831184451</v>
      </c>
      <c r="AA20" s="5">
        <v>11801039880</v>
      </c>
      <c r="AB20" s="5">
        <v>5178184183933</v>
      </c>
      <c r="AC20" s="5">
        <v>3346437642070</v>
      </c>
      <c r="AD20" s="36">
        <f t="shared" si="2"/>
        <v>47.008624865901325</v>
      </c>
      <c r="AE20" s="5">
        <v>3890809355023</v>
      </c>
      <c r="AF20" s="5">
        <v>3640718152833</v>
      </c>
      <c r="AG20" s="5">
        <v>75006785472</v>
      </c>
      <c r="AH20" s="5">
        <v>4008039000</v>
      </c>
      <c r="AI20" s="5">
        <v>0</v>
      </c>
      <c r="AJ20" s="5">
        <v>0</v>
      </c>
      <c r="AK20" s="5">
        <v>0</v>
      </c>
      <c r="AL20" s="6">
        <v>1</v>
      </c>
      <c r="AM20" s="5">
        <v>55206308300</v>
      </c>
      <c r="AN20" s="6">
        <v>31</v>
      </c>
      <c r="AO20" s="5">
        <v>821935804840</v>
      </c>
      <c r="AP20" s="6">
        <v>68</v>
      </c>
      <c r="AQ20" s="5">
        <v>767607066241</v>
      </c>
      <c r="AR20" s="5">
        <v>167144113812</v>
      </c>
      <c r="AS20" s="5">
        <v>25697296916</v>
      </c>
      <c r="AT20" s="5">
        <f t="shared" si="3"/>
        <v>141446816896</v>
      </c>
      <c r="AU20" s="36">
        <f t="shared" si="4"/>
        <v>550.43461325276769</v>
      </c>
      <c r="AV20" s="5">
        <v>2364698482704</v>
      </c>
      <c r="AW20" s="5">
        <v>225695318464</v>
      </c>
      <c r="AX20" s="5">
        <v>1924459579430</v>
      </c>
      <c r="AY20" s="5">
        <v>919364343919</v>
      </c>
      <c r="AZ20" s="5">
        <v>868087087125</v>
      </c>
      <c r="BA20" s="5">
        <v>2002897923684</v>
      </c>
      <c r="BB20" s="5">
        <v>539784097249</v>
      </c>
      <c r="BC20" s="5">
        <v>5920130589425</v>
      </c>
      <c r="BD20" s="5">
        <v>3022803118136</v>
      </c>
      <c r="BE20" s="5">
        <v>868087087125</v>
      </c>
      <c r="BF20" s="5">
        <v>2029240384164</v>
      </c>
      <c r="BG20" s="5">
        <v>2141365044791</v>
      </c>
      <c r="BH20" s="5">
        <v>1749444310232</v>
      </c>
      <c r="BI20" s="5">
        <v>0</v>
      </c>
      <c r="BJ20" s="48">
        <v>0</v>
      </c>
      <c r="BK20" s="5">
        <v>117499082267</v>
      </c>
      <c r="BL20" s="5">
        <v>0</v>
      </c>
      <c r="BM20" s="5">
        <v>0</v>
      </c>
      <c r="BN20" s="5">
        <v>4008039000</v>
      </c>
    </row>
    <row r="21" spans="1:66" x14ac:dyDescent="0.25">
      <c r="A21" s="17" t="s">
        <v>53</v>
      </c>
      <c r="B21" s="4">
        <v>1118</v>
      </c>
      <c r="C21" s="4" t="s">
        <v>72</v>
      </c>
      <c r="D21" s="5">
        <v>959307228458</v>
      </c>
      <c r="E21" s="5">
        <v>3028229673</v>
      </c>
      <c r="F21" s="5">
        <v>0</v>
      </c>
      <c r="G21" s="5">
        <v>0</v>
      </c>
      <c r="H21" s="5">
        <v>962335458131</v>
      </c>
      <c r="I21" s="5">
        <v>86822740517</v>
      </c>
      <c r="J21" s="5">
        <v>1101195000</v>
      </c>
      <c r="K21" s="5">
        <v>874411522614</v>
      </c>
      <c r="L21" s="5">
        <v>717191239513</v>
      </c>
      <c r="M21" s="5">
        <f t="shared" si="0"/>
        <v>245144218618</v>
      </c>
      <c r="N21" s="36">
        <f t="shared" si="1"/>
        <v>34.181150732468815</v>
      </c>
      <c r="O21" s="5">
        <v>619035681610</v>
      </c>
      <c r="P21" s="36">
        <v>71.41</v>
      </c>
      <c r="Q21" s="6">
        <v>70.790000000000006</v>
      </c>
      <c r="R21" s="6">
        <v>3.43</v>
      </c>
      <c r="S21" s="5">
        <v>610182532647</v>
      </c>
      <c r="T21" s="5">
        <v>23523428001</v>
      </c>
      <c r="U21" s="5">
        <v>19694048346</v>
      </c>
      <c r="V21" s="5">
        <v>3451400853</v>
      </c>
      <c r="W21" s="5">
        <v>377978802</v>
      </c>
      <c r="X21" s="5">
        <v>633705960648</v>
      </c>
      <c r="Y21" s="5">
        <v>49016276</v>
      </c>
      <c r="Z21" s="5">
        <v>49559463288</v>
      </c>
      <c r="AA21" s="5">
        <v>3920257920</v>
      </c>
      <c r="AB21" s="5">
        <v>687185681856</v>
      </c>
      <c r="AC21" s="5">
        <v>553249368970</v>
      </c>
      <c r="AD21" s="36">
        <f t="shared" si="2"/>
        <v>14.542554621939887</v>
      </c>
      <c r="AE21" s="5">
        <v>282891820115</v>
      </c>
      <c r="AF21" s="5">
        <v>282891820115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6">
        <v>0</v>
      </c>
      <c r="AM21" s="5">
        <v>0</v>
      </c>
      <c r="AN21" s="6">
        <v>1</v>
      </c>
      <c r="AO21" s="5">
        <v>100000000</v>
      </c>
      <c r="AP21" s="6">
        <v>4</v>
      </c>
      <c r="AQ21" s="5">
        <v>1854200000</v>
      </c>
      <c r="AR21" s="5">
        <v>23523428001</v>
      </c>
      <c r="AS21" s="5">
        <v>39011267246</v>
      </c>
      <c r="AT21" s="5">
        <f t="shared" si="3"/>
        <v>-15487839245</v>
      </c>
      <c r="AU21" s="36">
        <f t="shared" si="4"/>
        <v>-39.700938570735708</v>
      </c>
      <c r="AV21" s="5">
        <v>208298368200</v>
      </c>
      <c r="AW21" s="5">
        <v>92906533245</v>
      </c>
      <c r="AX21" s="5">
        <v>92338049734</v>
      </c>
      <c r="AY21" s="5">
        <v>236957229808</v>
      </c>
      <c r="AZ21" s="5">
        <v>226226900661</v>
      </c>
      <c r="BA21" s="5">
        <v>544424057283</v>
      </c>
      <c r="BB21" s="5">
        <v>81026138984</v>
      </c>
      <c r="BC21" s="5">
        <v>962335458131</v>
      </c>
      <c r="BD21" s="5">
        <v>332323509215</v>
      </c>
      <c r="BE21" s="5">
        <v>226226900661</v>
      </c>
      <c r="BF21" s="5">
        <v>403785048255</v>
      </c>
      <c r="BG21" s="5">
        <v>241948939978</v>
      </c>
      <c r="BH21" s="5">
        <v>40942880137</v>
      </c>
      <c r="BI21" s="5">
        <v>0</v>
      </c>
      <c r="BJ21" s="48">
        <v>0</v>
      </c>
      <c r="BK21" s="5">
        <v>0</v>
      </c>
      <c r="BL21" s="5">
        <v>0</v>
      </c>
      <c r="BM21" s="5">
        <v>0</v>
      </c>
      <c r="BN21" s="5">
        <v>0</v>
      </c>
    </row>
    <row r="22" spans="1:66" x14ac:dyDescent="0.25">
      <c r="A22" s="17" t="s">
        <v>53</v>
      </c>
      <c r="B22" s="4">
        <v>1119</v>
      </c>
      <c r="C22" s="4" t="s">
        <v>73</v>
      </c>
      <c r="D22" s="5">
        <v>1349741862890</v>
      </c>
      <c r="E22" s="5">
        <v>13767842546</v>
      </c>
      <c r="F22" s="5">
        <v>0</v>
      </c>
      <c r="G22" s="5">
        <v>0</v>
      </c>
      <c r="H22" s="5">
        <v>1363509705436</v>
      </c>
      <c r="I22" s="5">
        <v>110697084385</v>
      </c>
      <c r="J22" s="5">
        <v>382093450</v>
      </c>
      <c r="K22" s="5">
        <v>1252430527601</v>
      </c>
      <c r="L22" s="5">
        <v>892794998219</v>
      </c>
      <c r="M22" s="5">
        <f t="shared" si="0"/>
        <v>470714707217</v>
      </c>
      <c r="N22" s="36">
        <f t="shared" si="1"/>
        <v>52.723716884168191</v>
      </c>
      <c r="O22" s="5">
        <v>783237001139</v>
      </c>
      <c r="P22" s="36">
        <v>64.010000000000005</v>
      </c>
      <c r="Q22" s="6">
        <v>62.54</v>
      </c>
      <c r="R22" s="6">
        <v>1.63</v>
      </c>
      <c r="S22" s="5">
        <v>819732496930</v>
      </c>
      <c r="T22" s="5">
        <v>14166009196</v>
      </c>
      <c r="U22" s="5">
        <v>10556205911</v>
      </c>
      <c r="V22" s="5">
        <v>3591545718</v>
      </c>
      <c r="W22" s="5">
        <v>18257567</v>
      </c>
      <c r="X22" s="5">
        <v>833898506126</v>
      </c>
      <c r="Y22" s="5">
        <v>21036370</v>
      </c>
      <c r="Z22" s="5">
        <v>26193682441</v>
      </c>
      <c r="AA22" s="5">
        <v>12650000000</v>
      </c>
      <c r="AB22" s="5">
        <v>872742188567</v>
      </c>
      <c r="AC22" s="5">
        <v>496940435855</v>
      </c>
      <c r="AD22" s="36">
        <f t="shared" si="2"/>
        <v>67.806530915773465</v>
      </c>
      <c r="AE22" s="5">
        <v>513362287859</v>
      </c>
      <c r="AF22" s="5">
        <v>513362287859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6">
        <v>0</v>
      </c>
      <c r="AM22" s="5">
        <v>0</v>
      </c>
      <c r="AN22" s="6">
        <v>11</v>
      </c>
      <c r="AO22" s="5">
        <v>99139715269</v>
      </c>
      <c r="AP22" s="6">
        <v>6</v>
      </c>
      <c r="AQ22" s="5">
        <v>52850353300</v>
      </c>
      <c r="AR22" s="5">
        <v>14166009196</v>
      </c>
      <c r="AS22" s="5">
        <v>7943378771</v>
      </c>
      <c r="AT22" s="5">
        <f t="shared" si="3"/>
        <v>6222630425</v>
      </c>
      <c r="AU22" s="36">
        <f t="shared" si="4"/>
        <v>78.337324763082222</v>
      </c>
      <c r="AV22" s="5">
        <v>215430276738</v>
      </c>
      <c r="AW22" s="5">
        <v>47255718912</v>
      </c>
      <c r="AX22" s="5">
        <v>185326261816</v>
      </c>
      <c r="AY22" s="5">
        <v>447053636902</v>
      </c>
      <c r="AZ22" s="5">
        <v>198528105433</v>
      </c>
      <c r="BA22" s="5">
        <v>586156685919</v>
      </c>
      <c r="BB22" s="5">
        <v>50556401815</v>
      </c>
      <c r="BC22" s="5">
        <v>1363509705436</v>
      </c>
      <c r="BD22" s="5">
        <v>646147741264</v>
      </c>
      <c r="BE22" s="5">
        <v>198528105433</v>
      </c>
      <c r="BF22" s="5">
        <v>518833858739</v>
      </c>
      <c r="BG22" s="5">
        <v>325825407804</v>
      </c>
      <c r="BH22" s="5">
        <v>187536880055</v>
      </c>
      <c r="BI22" s="5">
        <v>0</v>
      </c>
      <c r="BJ22" s="48">
        <v>0</v>
      </c>
      <c r="BK22" s="5">
        <v>0</v>
      </c>
      <c r="BL22" s="5">
        <v>0</v>
      </c>
      <c r="BM22" s="5">
        <v>0</v>
      </c>
      <c r="BN22" s="5">
        <v>0</v>
      </c>
    </row>
    <row r="23" spans="1:66" x14ac:dyDescent="0.25">
      <c r="A23" s="17" t="s">
        <v>53</v>
      </c>
      <c r="B23" s="4">
        <v>1120</v>
      </c>
      <c r="C23" s="4" t="s">
        <v>74</v>
      </c>
      <c r="D23" s="5">
        <v>1913426757658</v>
      </c>
      <c r="E23" s="5">
        <v>34037187266</v>
      </c>
      <c r="F23" s="5">
        <v>0</v>
      </c>
      <c r="G23" s="5">
        <v>0</v>
      </c>
      <c r="H23" s="5">
        <v>1947463944924</v>
      </c>
      <c r="I23" s="5">
        <v>153197389226</v>
      </c>
      <c r="J23" s="5">
        <v>1789363862</v>
      </c>
      <c r="K23" s="5">
        <v>1792477191836</v>
      </c>
      <c r="L23" s="5">
        <v>1416698522005</v>
      </c>
      <c r="M23" s="5">
        <f t="shared" si="0"/>
        <v>530765422919</v>
      </c>
      <c r="N23" s="36">
        <f t="shared" si="1"/>
        <v>37.464952117535049</v>
      </c>
      <c r="O23" s="5">
        <v>1200899251278</v>
      </c>
      <c r="P23" s="36">
        <v>73.260000000000005</v>
      </c>
      <c r="Q23" s="6">
        <v>67</v>
      </c>
      <c r="R23" s="6">
        <v>1.58</v>
      </c>
      <c r="S23" s="5">
        <v>1339783880067</v>
      </c>
      <c r="T23" s="5">
        <v>21978726436</v>
      </c>
      <c r="U23" s="5">
        <v>14809811189</v>
      </c>
      <c r="V23" s="5">
        <v>6491486580</v>
      </c>
      <c r="W23" s="5">
        <v>677428667</v>
      </c>
      <c r="X23" s="5">
        <v>1361762606503</v>
      </c>
      <c r="Y23" s="5">
        <v>562932005</v>
      </c>
      <c r="Z23" s="5">
        <v>53602140088</v>
      </c>
      <c r="AA23" s="5">
        <v>11426191980</v>
      </c>
      <c r="AB23" s="5">
        <v>1426790938571</v>
      </c>
      <c r="AC23" s="5">
        <v>1463251333539</v>
      </c>
      <c r="AD23" s="36">
        <f t="shared" si="2"/>
        <v>-6.9358369754935216</v>
      </c>
      <c r="AE23" s="5">
        <v>695278905424</v>
      </c>
      <c r="AF23" s="5">
        <v>695278905424</v>
      </c>
      <c r="AG23" s="5">
        <v>17431148562</v>
      </c>
      <c r="AH23" s="5">
        <v>9515475</v>
      </c>
      <c r="AI23" s="5">
        <v>0</v>
      </c>
      <c r="AJ23" s="5">
        <v>0</v>
      </c>
      <c r="AK23" s="5">
        <v>0</v>
      </c>
      <c r="AL23" s="6">
        <v>2</v>
      </c>
      <c r="AM23" s="5">
        <v>60760802575</v>
      </c>
      <c r="AN23" s="6">
        <v>59</v>
      </c>
      <c r="AO23" s="5">
        <v>200588157021</v>
      </c>
      <c r="AP23" s="6">
        <v>28</v>
      </c>
      <c r="AQ23" s="5">
        <v>174150261483</v>
      </c>
      <c r="AR23" s="5">
        <v>21978726436</v>
      </c>
      <c r="AS23" s="5">
        <v>14900849415</v>
      </c>
      <c r="AT23" s="5">
        <f t="shared" si="3"/>
        <v>7077877021</v>
      </c>
      <c r="AU23" s="36">
        <f t="shared" si="4"/>
        <v>47.499822485790823</v>
      </c>
      <c r="AV23" s="5">
        <v>687787900135</v>
      </c>
      <c r="AW23" s="5">
        <v>142887989964</v>
      </c>
      <c r="AX23" s="5">
        <v>666518067597</v>
      </c>
      <c r="AY23" s="5">
        <v>252493904798</v>
      </c>
      <c r="AZ23" s="5">
        <v>380002721861</v>
      </c>
      <c r="BA23" s="5">
        <v>677882093802</v>
      </c>
      <c r="BB23" s="5">
        <v>239932258152</v>
      </c>
      <c r="BC23" s="5">
        <v>1947463944924</v>
      </c>
      <c r="BD23" s="5">
        <v>953049159661</v>
      </c>
      <c r="BE23" s="5">
        <v>380002721861</v>
      </c>
      <c r="BF23" s="5">
        <v>614412063402</v>
      </c>
      <c r="BG23" s="5">
        <v>379582387821</v>
      </c>
      <c r="BH23" s="5">
        <v>315696517603</v>
      </c>
      <c r="BI23" s="5">
        <v>0</v>
      </c>
      <c r="BJ23" s="48">
        <v>0</v>
      </c>
      <c r="BK23" s="5">
        <v>17431148562</v>
      </c>
      <c r="BL23" s="5">
        <v>0</v>
      </c>
      <c r="BM23" s="5">
        <v>0</v>
      </c>
      <c r="BN23" s="5">
        <v>9515475</v>
      </c>
    </row>
    <row r="24" spans="1:66" x14ac:dyDescent="0.25">
      <c r="A24" s="17" t="s">
        <v>53</v>
      </c>
      <c r="B24" s="4">
        <v>1121</v>
      </c>
      <c r="C24" s="4" t="s">
        <v>75</v>
      </c>
      <c r="D24" s="5">
        <v>1003538776011</v>
      </c>
      <c r="E24" s="5">
        <v>23744661132</v>
      </c>
      <c r="F24" s="5">
        <v>0</v>
      </c>
      <c r="G24" s="5">
        <v>0</v>
      </c>
      <c r="H24" s="5">
        <v>1027283437143</v>
      </c>
      <c r="I24" s="5">
        <v>72853641606</v>
      </c>
      <c r="J24" s="5">
        <v>224758452</v>
      </c>
      <c r="K24" s="5">
        <v>954205037085</v>
      </c>
      <c r="L24" s="5">
        <v>710059927620</v>
      </c>
      <c r="M24" s="5">
        <f t="shared" si="0"/>
        <v>317223509523</v>
      </c>
      <c r="N24" s="36">
        <f t="shared" si="1"/>
        <v>44.675596690307422</v>
      </c>
      <c r="O24" s="5">
        <v>1058584977178</v>
      </c>
      <c r="P24" s="36">
        <v>120.87</v>
      </c>
      <c r="Q24" s="6">
        <v>110.94</v>
      </c>
      <c r="R24" s="6">
        <v>2.82</v>
      </c>
      <c r="S24" s="5">
        <v>1151464596554</v>
      </c>
      <c r="T24" s="5">
        <v>35073114978</v>
      </c>
      <c r="U24" s="5">
        <v>31134045679</v>
      </c>
      <c r="V24" s="5">
        <v>3939069299</v>
      </c>
      <c r="W24" s="5">
        <v>0</v>
      </c>
      <c r="X24" s="5">
        <v>1186537711532</v>
      </c>
      <c r="Y24" s="5">
        <v>0</v>
      </c>
      <c r="Z24" s="5">
        <v>54005730770</v>
      </c>
      <c r="AA24" s="5">
        <v>1100000000</v>
      </c>
      <c r="AB24" s="5">
        <v>1241643442302</v>
      </c>
      <c r="AC24" s="5">
        <v>830426200284</v>
      </c>
      <c r="AD24" s="36">
        <f t="shared" si="2"/>
        <v>42.882981187998688</v>
      </c>
      <c r="AE24" s="5">
        <v>764514083758</v>
      </c>
      <c r="AF24" s="5">
        <v>678342313322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6">
        <v>0</v>
      </c>
      <c r="AM24" s="5">
        <v>0</v>
      </c>
      <c r="AN24" s="6">
        <v>84</v>
      </c>
      <c r="AO24" s="5">
        <v>394193994414</v>
      </c>
      <c r="AP24" s="6">
        <v>26</v>
      </c>
      <c r="AQ24" s="5">
        <v>86413800766</v>
      </c>
      <c r="AR24" s="5">
        <v>35073114978</v>
      </c>
      <c r="AS24" s="5">
        <v>13616439783</v>
      </c>
      <c r="AT24" s="5">
        <f t="shared" si="3"/>
        <v>21456675195</v>
      </c>
      <c r="AU24" s="36">
        <f t="shared" si="4"/>
        <v>157.57918763602555</v>
      </c>
      <c r="AV24" s="5">
        <v>407820402375</v>
      </c>
      <c r="AW24" s="5">
        <v>102902256590</v>
      </c>
      <c r="AX24" s="5">
        <v>74089353634</v>
      </c>
      <c r="AY24" s="5">
        <v>418640483362</v>
      </c>
      <c r="AZ24" s="5">
        <v>258688725555</v>
      </c>
      <c r="BA24" s="5">
        <v>267283535592</v>
      </c>
      <c r="BB24" s="5">
        <v>239420582644</v>
      </c>
      <c r="BC24" s="5">
        <v>1027283437143</v>
      </c>
      <c r="BD24" s="5">
        <v>516474498128</v>
      </c>
      <c r="BE24" s="5">
        <v>258688725555</v>
      </c>
      <c r="BF24" s="5">
        <v>252120213460</v>
      </c>
      <c r="BG24" s="5">
        <v>573914588070</v>
      </c>
      <c r="BH24" s="5">
        <v>190599495688</v>
      </c>
      <c r="BI24" s="5">
        <v>0</v>
      </c>
      <c r="BJ24" s="48">
        <v>0</v>
      </c>
      <c r="BK24" s="5">
        <v>0</v>
      </c>
      <c r="BL24" s="5">
        <v>0</v>
      </c>
      <c r="BM24" s="5">
        <v>0</v>
      </c>
      <c r="BN24" s="5">
        <v>0</v>
      </c>
    </row>
    <row r="25" spans="1:66" x14ac:dyDescent="0.25">
      <c r="A25" s="17" t="s">
        <v>53</v>
      </c>
      <c r="B25" s="4">
        <v>1199</v>
      </c>
      <c r="C25" s="4" t="s">
        <v>76</v>
      </c>
      <c r="D25" s="5">
        <v>0</v>
      </c>
      <c r="E25" s="5">
        <v>11632316352</v>
      </c>
      <c r="F25" s="5">
        <v>0</v>
      </c>
      <c r="G25" s="5">
        <v>0</v>
      </c>
      <c r="H25" s="5">
        <v>11632316352</v>
      </c>
      <c r="I25" s="5">
        <v>1144976015</v>
      </c>
      <c r="J25" s="5">
        <v>5241000000</v>
      </c>
      <c r="K25" s="5">
        <v>5246340337</v>
      </c>
      <c r="L25" s="5">
        <v>10546264097</v>
      </c>
      <c r="M25" s="5">
        <f t="shared" si="0"/>
        <v>1086052255</v>
      </c>
      <c r="N25" s="36">
        <f t="shared" si="1"/>
        <v>10.297980830092616</v>
      </c>
      <c r="O25" s="5">
        <v>0</v>
      </c>
      <c r="P25" s="36">
        <v>0</v>
      </c>
      <c r="Q25" s="6">
        <v>0</v>
      </c>
      <c r="R25" s="6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36">
        <f t="shared" si="2"/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6">
        <v>0</v>
      </c>
      <c r="AM25" s="5">
        <v>0</v>
      </c>
      <c r="AN25" s="6">
        <v>0</v>
      </c>
      <c r="AO25" s="5">
        <v>0</v>
      </c>
      <c r="AP25" s="6">
        <v>0</v>
      </c>
      <c r="AQ25" s="5">
        <v>0</v>
      </c>
      <c r="AR25" s="5">
        <v>0</v>
      </c>
      <c r="AS25" s="5">
        <v>0</v>
      </c>
      <c r="AT25" s="5">
        <f t="shared" si="3"/>
        <v>0</v>
      </c>
      <c r="AU25" s="36">
        <f t="shared" si="4"/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11632316352</v>
      </c>
      <c r="BD25" s="5">
        <v>11632316352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48">
        <v>0</v>
      </c>
      <c r="BK25" s="5">
        <v>0</v>
      </c>
      <c r="BL25" s="5">
        <v>0</v>
      </c>
      <c r="BM25" s="5">
        <v>0</v>
      </c>
      <c r="BN25" s="5">
        <v>0</v>
      </c>
    </row>
    <row r="26" spans="1:66" x14ac:dyDescent="0.25">
      <c r="A26" s="30" t="s">
        <v>571</v>
      </c>
      <c r="B26" s="13" t="s">
        <v>625</v>
      </c>
      <c r="C26" s="13" t="s">
        <v>625</v>
      </c>
      <c r="D26" s="14">
        <v>44644990779095</v>
      </c>
      <c r="E26" s="14">
        <v>1046552998563</v>
      </c>
      <c r="F26" s="14">
        <v>43650000000</v>
      </c>
      <c r="G26" s="14">
        <v>335250406962</v>
      </c>
      <c r="H26" s="14">
        <v>46070444184620</v>
      </c>
      <c r="I26" s="14">
        <v>3747464275588</v>
      </c>
      <c r="J26" s="14">
        <v>286941143602</v>
      </c>
      <c r="K26" s="14">
        <v>42036038765430</v>
      </c>
      <c r="L26" s="14">
        <v>31124021314750</v>
      </c>
      <c r="M26" s="14">
        <f t="shared" si="0"/>
        <v>14946422869870</v>
      </c>
      <c r="N26" s="41">
        <f t="shared" si="1"/>
        <v>48.022145720568354</v>
      </c>
      <c r="O26" s="14">
        <v>43466802430622</v>
      </c>
      <c r="P26" s="41">
        <v>117.3</v>
      </c>
      <c r="Q26" s="15">
        <v>103.4</v>
      </c>
      <c r="R26" s="15">
        <v>9.83</v>
      </c>
      <c r="S26" s="14">
        <v>46450820825043</v>
      </c>
      <c r="T26" s="14">
        <v>4181036561069</v>
      </c>
      <c r="U26" s="14">
        <v>594104611256</v>
      </c>
      <c r="V26" s="14">
        <v>243337038979</v>
      </c>
      <c r="W26" s="14">
        <v>3343594910834</v>
      </c>
      <c r="X26" s="14">
        <v>50631857386112</v>
      </c>
      <c r="Y26" s="14">
        <v>1129761986081</v>
      </c>
      <c r="Z26" s="14">
        <v>3217522527697</v>
      </c>
      <c r="AA26" s="14">
        <v>191749940256</v>
      </c>
      <c r="AB26" s="14">
        <v>54041129854065</v>
      </c>
      <c r="AC26" s="14">
        <v>31791459374092</v>
      </c>
      <c r="AD26" s="41">
        <f t="shared" si="2"/>
        <v>59.262450931628877</v>
      </c>
      <c r="AE26" s="14">
        <v>34159178537282</v>
      </c>
      <c r="AF26" s="14">
        <v>31685192896728</v>
      </c>
      <c r="AG26" s="14">
        <v>2097455404834</v>
      </c>
      <c r="AH26" s="14">
        <v>85825929370</v>
      </c>
      <c r="AI26" s="14">
        <v>0</v>
      </c>
      <c r="AJ26" s="14">
        <v>19570000000</v>
      </c>
      <c r="AK26" s="14">
        <v>941544292</v>
      </c>
      <c r="AL26" s="15">
        <v>27</v>
      </c>
      <c r="AM26" s="14">
        <v>2469265363345</v>
      </c>
      <c r="AN26" s="15">
        <v>874</v>
      </c>
      <c r="AO26" s="14">
        <v>5668637796488</v>
      </c>
      <c r="AP26" s="15">
        <v>522</v>
      </c>
      <c r="AQ26" s="14">
        <v>2407179032770</v>
      </c>
      <c r="AR26" s="14">
        <v>4181036561069</v>
      </c>
      <c r="AS26" s="14">
        <v>1851566229847</v>
      </c>
      <c r="AT26" s="14">
        <f t="shared" si="3"/>
        <v>2329470331222</v>
      </c>
      <c r="AU26" s="41">
        <f t="shared" si="4"/>
        <v>125.81080242614333</v>
      </c>
      <c r="AV26" s="14">
        <v>18610065990724</v>
      </c>
      <c r="AW26" s="14">
        <v>2709019529548</v>
      </c>
      <c r="AX26" s="14">
        <v>10434172924384</v>
      </c>
      <c r="AY26" s="14">
        <v>9337794809642</v>
      </c>
      <c r="AZ26" s="14">
        <v>10750791780711</v>
      </c>
      <c r="BA26" s="14">
        <v>15856620367294</v>
      </c>
      <c r="BB26" s="14">
        <v>6525569374360</v>
      </c>
      <c r="BC26" s="14">
        <v>46070444184620</v>
      </c>
      <c r="BD26" s="14">
        <v>20941026081868</v>
      </c>
      <c r="BE26" s="14">
        <v>10793901780711</v>
      </c>
      <c r="BF26" s="14">
        <v>14335516322041</v>
      </c>
      <c r="BG26" s="14">
        <v>23017229979670</v>
      </c>
      <c r="BH26" s="14">
        <v>11141948557612</v>
      </c>
      <c r="BI26" s="14">
        <v>5342669394</v>
      </c>
      <c r="BJ26" s="49">
        <v>112115626441</v>
      </c>
      <c r="BK26" s="14">
        <v>2276581852510</v>
      </c>
      <c r="BL26" s="14">
        <v>0</v>
      </c>
      <c r="BM26" s="14">
        <v>0</v>
      </c>
      <c r="BN26" s="14">
        <v>85825929370</v>
      </c>
    </row>
    <row r="27" spans="1:66" x14ac:dyDescent="0.25">
      <c r="A27" s="17" t="s">
        <v>572</v>
      </c>
      <c r="B27" s="4">
        <v>1200</v>
      </c>
      <c r="C27" s="4" t="s">
        <v>77</v>
      </c>
      <c r="D27" s="5">
        <v>3645825543257</v>
      </c>
      <c r="E27" s="5">
        <v>124497726096</v>
      </c>
      <c r="F27" s="5">
        <v>5610000000</v>
      </c>
      <c r="G27" s="5">
        <v>313752400</v>
      </c>
      <c r="H27" s="5">
        <v>3776247021753</v>
      </c>
      <c r="I27" s="5">
        <v>295906463543</v>
      </c>
      <c r="J27" s="5">
        <v>28502957854</v>
      </c>
      <c r="K27" s="5">
        <v>3451837600356</v>
      </c>
      <c r="L27" s="5">
        <v>2478553821413</v>
      </c>
      <c r="M27" s="5">
        <f t="shared" si="0"/>
        <v>1297693200340</v>
      </c>
      <c r="N27" s="36">
        <f t="shared" si="1"/>
        <v>52.356869926681583</v>
      </c>
      <c r="O27" s="5">
        <v>8297864317665</v>
      </c>
      <c r="P27" s="36">
        <v>303.94</v>
      </c>
      <c r="Q27" s="6">
        <v>240.39</v>
      </c>
      <c r="R27" s="6">
        <v>0.9</v>
      </c>
      <c r="S27" s="5">
        <v>11124756862394</v>
      </c>
      <c r="T27" s="5">
        <v>102383838949</v>
      </c>
      <c r="U27" s="5">
        <v>47050511741</v>
      </c>
      <c r="V27" s="5">
        <v>51996706306</v>
      </c>
      <c r="W27" s="5">
        <v>3336620902</v>
      </c>
      <c r="X27" s="5">
        <v>11227140701343</v>
      </c>
      <c r="Y27" s="5">
        <v>922389526</v>
      </c>
      <c r="Z27" s="5">
        <v>235063114226</v>
      </c>
      <c r="AA27" s="5">
        <v>15299979815</v>
      </c>
      <c r="AB27" s="5">
        <v>11477503795384</v>
      </c>
      <c r="AC27" s="5">
        <v>7903872268195</v>
      </c>
      <c r="AD27" s="36">
        <f t="shared" si="2"/>
        <v>42.046079698437886</v>
      </c>
      <c r="AE27" s="5">
        <v>4723619884163</v>
      </c>
      <c r="AF27" s="5">
        <v>4294690806982</v>
      </c>
      <c r="AG27" s="5">
        <v>547568364251</v>
      </c>
      <c r="AH27" s="5">
        <v>22781250</v>
      </c>
      <c r="AI27" s="5">
        <v>0</v>
      </c>
      <c r="AJ27" s="5">
        <v>0</v>
      </c>
      <c r="AK27" s="5">
        <v>0</v>
      </c>
      <c r="AL27" s="6">
        <v>4</v>
      </c>
      <c r="AM27" s="5">
        <v>1044749263867</v>
      </c>
      <c r="AN27" s="6">
        <v>99</v>
      </c>
      <c r="AO27" s="5">
        <v>1694673179306</v>
      </c>
      <c r="AP27" s="6">
        <v>15</v>
      </c>
      <c r="AQ27" s="5">
        <v>81447556878</v>
      </c>
      <c r="AR27" s="5">
        <v>102383838949</v>
      </c>
      <c r="AS27" s="5">
        <v>31390207976</v>
      </c>
      <c r="AT27" s="5">
        <f t="shared" si="3"/>
        <v>70993630973</v>
      </c>
      <c r="AU27" s="36">
        <f t="shared" si="4"/>
        <v>226.16489520324166</v>
      </c>
      <c r="AV27" s="5">
        <v>3246558299465</v>
      </c>
      <c r="AW27" s="5">
        <v>463448085716</v>
      </c>
      <c r="AX27" s="5">
        <v>735812245027</v>
      </c>
      <c r="AY27" s="5">
        <v>220571101079</v>
      </c>
      <c r="AZ27" s="5">
        <v>959686324381</v>
      </c>
      <c r="BA27" s="5">
        <v>1773835394046</v>
      </c>
      <c r="BB27" s="5">
        <v>580836390021</v>
      </c>
      <c r="BC27" s="5">
        <v>3776247021753</v>
      </c>
      <c r="BD27" s="5">
        <v>1039152509546</v>
      </c>
      <c r="BE27" s="5">
        <v>965296324381</v>
      </c>
      <c r="BF27" s="5">
        <v>1771798187826</v>
      </c>
      <c r="BG27" s="5">
        <v>3851781918664</v>
      </c>
      <c r="BH27" s="5">
        <v>871837965499</v>
      </c>
      <c r="BI27" s="5">
        <v>0</v>
      </c>
      <c r="BJ27" s="48">
        <v>0</v>
      </c>
      <c r="BK27" s="5">
        <v>823222075959</v>
      </c>
      <c r="BL27" s="5">
        <v>0</v>
      </c>
      <c r="BM27" s="5">
        <v>0</v>
      </c>
      <c r="BN27" s="5">
        <v>22781250</v>
      </c>
    </row>
    <row r="28" spans="1:66" x14ac:dyDescent="0.25">
      <c r="A28" s="17" t="s">
        <v>572</v>
      </c>
      <c r="B28" s="4">
        <v>1201</v>
      </c>
      <c r="C28" s="4" t="s">
        <v>78</v>
      </c>
      <c r="D28" s="5">
        <v>1764483449505</v>
      </c>
      <c r="E28" s="5">
        <v>54248357097</v>
      </c>
      <c r="F28" s="5">
        <v>0</v>
      </c>
      <c r="G28" s="5">
        <v>0</v>
      </c>
      <c r="H28" s="5">
        <v>1818731806602</v>
      </c>
      <c r="I28" s="5">
        <v>147651868126</v>
      </c>
      <c r="J28" s="5">
        <v>1849755647</v>
      </c>
      <c r="K28" s="5">
        <v>1669230182829</v>
      </c>
      <c r="L28" s="5">
        <v>1930848518515</v>
      </c>
      <c r="M28" s="5">
        <f t="shared" si="0"/>
        <v>-112116711913</v>
      </c>
      <c r="N28" s="36">
        <f t="shared" si="1"/>
        <v>-5.8066032025768681</v>
      </c>
      <c r="O28" s="5">
        <v>2286954369927</v>
      </c>
      <c r="P28" s="36">
        <v>151.80000000000001</v>
      </c>
      <c r="Q28" s="6">
        <v>137.01</v>
      </c>
      <c r="R28" s="6">
        <v>4.16</v>
      </c>
      <c r="S28" s="5">
        <v>2501647202079</v>
      </c>
      <c r="T28" s="5">
        <v>112799628133</v>
      </c>
      <c r="U28" s="5">
        <v>106544976223</v>
      </c>
      <c r="V28" s="5">
        <v>5477066489</v>
      </c>
      <c r="W28" s="5">
        <v>777585421</v>
      </c>
      <c r="X28" s="5">
        <v>2614446830212</v>
      </c>
      <c r="Y28" s="5">
        <v>1988330709</v>
      </c>
      <c r="Z28" s="5">
        <v>144199263054</v>
      </c>
      <c r="AA28" s="5">
        <v>2225601354</v>
      </c>
      <c r="AB28" s="5">
        <v>2760871694620</v>
      </c>
      <c r="AC28" s="5">
        <v>1697639255463</v>
      </c>
      <c r="AD28" s="36">
        <f t="shared" si="2"/>
        <v>54.004852432500897</v>
      </c>
      <c r="AE28" s="5">
        <v>1736008913026</v>
      </c>
      <c r="AF28" s="5">
        <v>1467267251053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6">
        <v>0</v>
      </c>
      <c r="AM28" s="5">
        <v>0</v>
      </c>
      <c r="AN28" s="6">
        <v>21</v>
      </c>
      <c r="AO28" s="5">
        <v>810378850000</v>
      </c>
      <c r="AP28" s="6">
        <v>5</v>
      </c>
      <c r="AQ28" s="5">
        <v>16100000000</v>
      </c>
      <c r="AR28" s="5">
        <v>112799628133</v>
      </c>
      <c r="AS28" s="5">
        <v>23423365744</v>
      </c>
      <c r="AT28" s="5">
        <f t="shared" si="3"/>
        <v>89376262389</v>
      </c>
      <c r="AU28" s="36">
        <f t="shared" si="4"/>
        <v>381.56882903087541</v>
      </c>
      <c r="AV28" s="5">
        <v>716310755073</v>
      </c>
      <c r="AW28" s="5">
        <v>190385666106</v>
      </c>
      <c r="AX28" s="5">
        <v>487043058641</v>
      </c>
      <c r="AY28" s="5">
        <v>130780120790</v>
      </c>
      <c r="AZ28" s="5">
        <v>400513270074</v>
      </c>
      <c r="BA28" s="5">
        <v>867925453916</v>
      </c>
      <c r="BB28" s="5">
        <v>219169550886</v>
      </c>
      <c r="BC28" s="5">
        <v>1818731806602</v>
      </c>
      <c r="BD28" s="5">
        <v>672071536528</v>
      </c>
      <c r="BE28" s="5">
        <v>400513270074</v>
      </c>
      <c r="BF28" s="5">
        <v>746147000000</v>
      </c>
      <c r="BG28" s="5">
        <v>973291983029</v>
      </c>
      <c r="BH28" s="5">
        <v>762716929997</v>
      </c>
      <c r="BI28" s="5">
        <v>0</v>
      </c>
      <c r="BJ28" s="48">
        <v>0</v>
      </c>
      <c r="BK28" s="5">
        <v>41800000000</v>
      </c>
      <c r="BL28" s="5">
        <v>0</v>
      </c>
      <c r="BM28" s="5">
        <v>0</v>
      </c>
      <c r="BN28" s="5">
        <v>0</v>
      </c>
    </row>
    <row r="29" spans="1:66" x14ac:dyDescent="0.25">
      <c r="A29" s="17" t="s">
        <v>572</v>
      </c>
      <c r="B29" s="4">
        <v>1202</v>
      </c>
      <c r="C29" s="4" t="s">
        <v>79</v>
      </c>
      <c r="D29" s="5">
        <v>1378196271227</v>
      </c>
      <c r="E29" s="5">
        <v>65908798851</v>
      </c>
      <c r="F29" s="5">
        <v>0</v>
      </c>
      <c r="G29" s="5">
        <v>0</v>
      </c>
      <c r="H29" s="5">
        <v>1444105070078</v>
      </c>
      <c r="I29" s="5">
        <v>105258002858</v>
      </c>
      <c r="J29" s="5">
        <v>1080968521</v>
      </c>
      <c r="K29" s="5">
        <v>1337766098699</v>
      </c>
      <c r="L29" s="5">
        <v>712717490345</v>
      </c>
      <c r="M29" s="5">
        <f t="shared" si="0"/>
        <v>731387579733</v>
      </c>
      <c r="N29" s="36">
        <f t="shared" si="1"/>
        <v>102.61956380205606</v>
      </c>
      <c r="O29" s="5">
        <v>1156239308427</v>
      </c>
      <c r="P29" s="36">
        <v>91.13</v>
      </c>
      <c r="Q29" s="6">
        <v>86.43</v>
      </c>
      <c r="R29" s="6">
        <v>0.81</v>
      </c>
      <c r="S29" s="5">
        <v>1277353144122</v>
      </c>
      <c r="T29" s="5">
        <v>10304819877</v>
      </c>
      <c r="U29" s="5">
        <v>8696019009</v>
      </c>
      <c r="V29" s="5">
        <v>659241157</v>
      </c>
      <c r="W29" s="5">
        <v>949559711</v>
      </c>
      <c r="X29" s="5">
        <v>1287657963999</v>
      </c>
      <c r="Y29" s="5">
        <v>304237564</v>
      </c>
      <c r="Z29" s="5">
        <v>28031523121</v>
      </c>
      <c r="AA29" s="5">
        <v>394630000</v>
      </c>
      <c r="AB29" s="5">
        <v>1316084117120</v>
      </c>
      <c r="AC29" s="5">
        <v>1019995088543</v>
      </c>
      <c r="AD29" s="36">
        <f t="shared" si="2"/>
        <v>26.241584735308859</v>
      </c>
      <c r="AE29" s="5">
        <v>1080700027411</v>
      </c>
      <c r="AF29" s="5">
        <v>1080700027411</v>
      </c>
      <c r="AG29" s="5">
        <v>357210146694</v>
      </c>
      <c r="AH29" s="5">
        <v>0</v>
      </c>
      <c r="AI29" s="5">
        <v>0</v>
      </c>
      <c r="AJ29" s="5">
        <v>0</v>
      </c>
      <c r="AK29" s="5">
        <v>0</v>
      </c>
      <c r="AL29" s="6">
        <v>25</v>
      </c>
      <c r="AM29" s="5">
        <v>1906680984928</v>
      </c>
      <c r="AN29" s="6">
        <v>78</v>
      </c>
      <c r="AO29" s="5">
        <v>452106502821</v>
      </c>
      <c r="AP29" s="6">
        <v>11</v>
      </c>
      <c r="AQ29" s="5">
        <v>115828200000</v>
      </c>
      <c r="AR29" s="5">
        <v>10304819877</v>
      </c>
      <c r="AS29" s="5">
        <v>3464640129</v>
      </c>
      <c r="AT29" s="5">
        <f t="shared" si="3"/>
        <v>6840179748</v>
      </c>
      <c r="AU29" s="36">
        <f t="shared" si="4"/>
        <v>197.4282896150107</v>
      </c>
      <c r="AV29" s="5">
        <v>855985760430</v>
      </c>
      <c r="AW29" s="5">
        <v>44229709011</v>
      </c>
      <c r="AX29" s="5">
        <v>535816137121</v>
      </c>
      <c r="AY29" s="5">
        <v>161554023558</v>
      </c>
      <c r="AZ29" s="5">
        <v>411961106688</v>
      </c>
      <c r="BA29" s="5">
        <v>354800521164</v>
      </c>
      <c r="BB29" s="5">
        <v>355544063760</v>
      </c>
      <c r="BC29" s="5">
        <v>1444105070078</v>
      </c>
      <c r="BD29" s="5">
        <v>763278959530</v>
      </c>
      <c r="BE29" s="5">
        <v>411961106688</v>
      </c>
      <c r="BF29" s="5">
        <v>268865003860</v>
      </c>
      <c r="BG29" s="5">
        <v>436592167651</v>
      </c>
      <c r="BH29" s="5">
        <v>644107859760</v>
      </c>
      <c r="BI29" s="5">
        <v>0</v>
      </c>
      <c r="BJ29" s="48">
        <v>0</v>
      </c>
      <c r="BK29" s="5">
        <v>279966076570</v>
      </c>
      <c r="BL29" s="5">
        <v>0</v>
      </c>
      <c r="BM29" s="5">
        <v>0</v>
      </c>
      <c r="BN29" s="5">
        <v>0</v>
      </c>
    </row>
    <row r="30" spans="1:66" x14ac:dyDescent="0.25">
      <c r="A30" s="17" t="s">
        <v>572</v>
      </c>
      <c r="B30" s="4">
        <v>1203</v>
      </c>
      <c r="C30" s="4" t="s">
        <v>80</v>
      </c>
      <c r="D30" s="5">
        <v>2091804944172</v>
      </c>
      <c r="E30" s="5">
        <v>21527846555</v>
      </c>
      <c r="F30" s="5">
        <v>0</v>
      </c>
      <c r="G30" s="5">
        <v>0</v>
      </c>
      <c r="H30" s="5">
        <v>2113332790727</v>
      </c>
      <c r="I30" s="5">
        <v>181367515833</v>
      </c>
      <c r="J30" s="5">
        <v>27516537971</v>
      </c>
      <c r="K30" s="5">
        <v>1904448736923</v>
      </c>
      <c r="L30" s="5">
        <v>1360640630706</v>
      </c>
      <c r="M30" s="5">
        <f t="shared" si="0"/>
        <v>752692160021</v>
      </c>
      <c r="N30" s="36">
        <f t="shared" si="1"/>
        <v>55.318953663058565</v>
      </c>
      <c r="O30" s="5">
        <v>1098081772954</v>
      </c>
      <c r="P30" s="36">
        <v>58.96</v>
      </c>
      <c r="Q30" s="6">
        <v>57.66</v>
      </c>
      <c r="R30" s="6">
        <v>5.53</v>
      </c>
      <c r="S30" s="5">
        <v>1142896841034</v>
      </c>
      <c r="T30" s="5">
        <v>46055768549</v>
      </c>
      <c r="U30" s="5">
        <v>26796064908</v>
      </c>
      <c r="V30" s="5">
        <v>6799595246</v>
      </c>
      <c r="W30" s="5">
        <v>12460108395</v>
      </c>
      <c r="X30" s="5">
        <v>1188952609583</v>
      </c>
      <c r="Y30" s="5">
        <v>22903133094</v>
      </c>
      <c r="Z30" s="5">
        <v>53387566013</v>
      </c>
      <c r="AA30" s="5">
        <v>3700000000</v>
      </c>
      <c r="AB30" s="5">
        <v>1246040175596</v>
      </c>
      <c r="AC30" s="5">
        <v>1093514148728</v>
      </c>
      <c r="AD30" s="36">
        <f t="shared" si="2"/>
        <v>8.7276841333983786</v>
      </c>
      <c r="AE30" s="5">
        <v>665065992738</v>
      </c>
      <c r="AF30" s="5">
        <v>625525992738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6">
        <v>0</v>
      </c>
      <c r="AM30" s="5">
        <v>0</v>
      </c>
      <c r="AN30" s="6">
        <v>38</v>
      </c>
      <c r="AO30" s="5">
        <v>277117001634</v>
      </c>
      <c r="AP30" s="6">
        <v>22</v>
      </c>
      <c r="AQ30" s="5">
        <v>85856707218</v>
      </c>
      <c r="AR30" s="5">
        <v>46055768549</v>
      </c>
      <c r="AS30" s="5">
        <v>28115161532</v>
      </c>
      <c r="AT30" s="5">
        <f t="shared" si="3"/>
        <v>17940607017</v>
      </c>
      <c r="AU30" s="36">
        <f t="shared" si="4"/>
        <v>63.811146866719703</v>
      </c>
      <c r="AV30" s="5">
        <v>535711701654</v>
      </c>
      <c r="AW30" s="5">
        <v>158683748987</v>
      </c>
      <c r="AX30" s="5">
        <v>287770742146</v>
      </c>
      <c r="AY30" s="5">
        <v>265243893892</v>
      </c>
      <c r="AZ30" s="5">
        <v>468274808134</v>
      </c>
      <c r="BA30" s="5">
        <v>1199696716612</v>
      </c>
      <c r="BB30" s="5">
        <v>229203074721</v>
      </c>
      <c r="BC30" s="5">
        <v>2113332790727</v>
      </c>
      <c r="BD30" s="5">
        <v>574542482593</v>
      </c>
      <c r="BE30" s="5">
        <v>468274808134</v>
      </c>
      <c r="BF30" s="5">
        <v>1070515500000</v>
      </c>
      <c r="BG30" s="5">
        <v>517467548765</v>
      </c>
      <c r="BH30" s="5">
        <v>147598443973</v>
      </c>
      <c r="BI30" s="5">
        <v>0</v>
      </c>
      <c r="BJ30" s="48">
        <v>0</v>
      </c>
      <c r="BK30" s="5">
        <v>0</v>
      </c>
      <c r="BL30" s="5">
        <v>0</v>
      </c>
      <c r="BM30" s="5">
        <v>0</v>
      </c>
      <c r="BN30" s="5">
        <v>0</v>
      </c>
    </row>
    <row r="31" spans="1:66" x14ac:dyDescent="0.25">
      <c r="A31" s="17" t="s">
        <v>572</v>
      </c>
      <c r="B31" s="4">
        <v>1204</v>
      </c>
      <c r="C31" s="4" t="s">
        <v>81</v>
      </c>
      <c r="D31" s="5">
        <v>3050491244844</v>
      </c>
      <c r="E31" s="5">
        <v>52002097842</v>
      </c>
      <c r="F31" s="5">
        <v>0</v>
      </c>
      <c r="G31" s="5">
        <v>0</v>
      </c>
      <c r="H31" s="5">
        <v>3102493342686</v>
      </c>
      <c r="I31" s="5">
        <v>248145908727</v>
      </c>
      <c r="J31" s="5">
        <v>3549234345</v>
      </c>
      <c r="K31" s="5">
        <v>2850798199614</v>
      </c>
      <c r="L31" s="5">
        <v>1873669865597</v>
      </c>
      <c r="M31" s="5">
        <f t="shared" si="0"/>
        <v>1228823477089</v>
      </c>
      <c r="N31" s="36">
        <f t="shared" si="1"/>
        <v>65.583777572121278</v>
      </c>
      <c r="O31" s="5">
        <v>2015709489429</v>
      </c>
      <c r="P31" s="36">
        <v>73.72</v>
      </c>
      <c r="Q31" s="6">
        <v>70.709999999999994</v>
      </c>
      <c r="R31" s="6">
        <v>3.24</v>
      </c>
      <c r="S31" s="5">
        <v>2128820162070</v>
      </c>
      <c r="T31" s="5">
        <v>73863861701</v>
      </c>
      <c r="U31" s="5">
        <v>32108762261</v>
      </c>
      <c r="V31" s="5">
        <v>37797160353</v>
      </c>
      <c r="W31" s="5">
        <v>3957939087</v>
      </c>
      <c r="X31" s="5">
        <v>2202684023771</v>
      </c>
      <c r="Y31" s="5">
        <v>317519043</v>
      </c>
      <c r="Z31" s="5">
        <v>82571587260</v>
      </c>
      <c r="AA31" s="5">
        <v>2000000000</v>
      </c>
      <c r="AB31" s="5">
        <v>2287255611031</v>
      </c>
      <c r="AC31" s="5">
        <v>1685263258649</v>
      </c>
      <c r="AD31" s="36">
        <f t="shared" si="2"/>
        <v>30.702666925569421</v>
      </c>
      <c r="AE31" s="5">
        <v>1355945347694</v>
      </c>
      <c r="AF31" s="5">
        <v>1336197233202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6">
        <v>0</v>
      </c>
      <c r="AM31" s="5">
        <v>0</v>
      </c>
      <c r="AN31" s="6">
        <v>60</v>
      </c>
      <c r="AO31" s="5">
        <v>581841022354</v>
      </c>
      <c r="AP31" s="6">
        <v>62</v>
      </c>
      <c r="AQ31" s="5">
        <v>495863004810</v>
      </c>
      <c r="AR31" s="5">
        <v>73863861701</v>
      </c>
      <c r="AS31" s="5">
        <v>11286577664</v>
      </c>
      <c r="AT31" s="5">
        <f t="shared" si="3"/>
        <v>62577284037</v>
      </c>
      <c r="AU31" s="36">
        <f t="shared" si="4"/>
        <v>554.43984793192305</v>
      </c>
      <c r="AV31" s="5">
        <v>781997164532</v>
      </c>
      <c r="AW31" s="5">
        <v>148872971749</v>
      </c>
      <c r="AX31" s="5">
        <v>619450044049</v>
      </c>
      <c r="AY31" s="5">
        <v>493151316473</v>
      </c>
      <c r="AZ31" s="5">
        <v>647347605341</v>
      </c>
      <c r="BA31" s="5">
        <v>1358555809433</v>
      </c>
      <c r="BB31" s="5">
        <v>573356019112</v>
      </c>
      <c r="BC31" s="5">
        <v>3102493342686</v>
      </c>
      <c r="BD31" s="5">
        <v>1164603458364</v>
      </c>
      <c r="BE31" s="5">
        <v>647347605341</v>
      </c>
      <c r="BF31" s="5">
        <v>1290542278981</v>
      </c>
      <c r="BG31" s="5">
        <v>739977927568</v>
      </c>
      <c r="BH31" s="5">
        <v>615967420126</v>
      </c>
      <c r="BI31" s="5">
        <v>0</v>
      </c>
      <c r="BJ31" s="48">
        <v>0</v>
      </c>
      <c r="BK31" s="5">
        <v>0</v>
      </c>
      <c r="BL31" s="5">
        <v>0</v>
      </c>
      <c r="BM31" s="5">
        <v>0</v>
      </c>
      <c r="BN31" s="5">
        <v>0</v>
      </c>
    </row>
    <row r="32" spans="1:66" x14ac:dyDescent="0.25">
      <c r="A32" s="17" t="s">
        <v>572</v>
      </c>
      <c r="B32" s="4">
        <v>1205</v>
      </c>
      <c r="C32" s="4" t="s">
        <v>82</v>
      </c>
      <c r="D32" s="5">
        <v>1496678553824</v>
      </c>
      <c r="E32" s="5">
        <v>2533942464</v>
      </c>
      <c r="F32" s="5">
        <v>0</v>
      </c>
      <c r="G32" s="5">
        <v>0</v>
      </c>
      <c r="H32" s="5">
        <v>1499212496288</v>
      </c>
      <c r="I32" s="5">
        <v>141802979970</v>
      </c>
      <c r="J32" s="5">
        <v>2700786546</v>
      </c>
      <c r="K32" s="5">
        <v>1354708729772</v>
      </c>
      <c r="L32" s="5">
        <v>1327063099927</v>
      </c>
      <c r="M32" s="5">
        <f t="shared" si="0"/>
        <v>172149396361</v>
      </c>
      <c r="N32" s="36">
        <f t="shared" si="1"/>
        <v>12.972208809850091</v>
      </c>
      <c r="O32" s="5">
        <v>1723680529438</v>
      </c>
      <c r="P32" s="36">
        <v>134.16999999999999</v>
      </c>
      <c r="Q32" s="6">
        <v>127.24</v>
      </c>
      <c r="R32" s="6">
        <v>3.44</v>
      </c>
      <c r="S32" s="5">
        <v>1864306864816</v>
      </c>
      <c r="T32" s="5">
        <v>69118831937</v>
      </c>
      <c r="U32" s="5">
        <v>63975757035</v>
      </c>
      <c r="V32" s="5">
        <v>5143074902</v>
      </c>
      <c r="W32" s="5">
        <v>0</v>
      </c>
      <c r="X32" s="5">
        <v>1933425696753</v>
      </c>
      <c r="Y32" s="5">
        <v>0</v>
      </c>
      <c r="Z32" s="5">
        <v>78017657320</v>
      </c>
      <c r="AA32" s="5">
        <v>0</v>
      </c>
      <c r="AB32" s="5">
        <v>2011443354073</v>
      </c>
      <c r="AC32" s="5">
        <v>1415046164320</v>
      </c>
      <c r="AD32" s="36">
        <f t="shared" si="2"/>
        <v>36.633400768384625</v>
      </c>
      <c r="AE32" s="5">
        <v>1275558699781</v>
      </c>
      <c r="AF32" s="5">
        <v>951814678991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6">
        <v>0</v>
      </c>
      <c r="AM32" s="5">
        <v>0</v>
      </c>
      <c r="AN32" s="6">
        <v>0</v>
      </c>
      <c r="AO32" s="5">
        <v>0</v>
      </c>
      <c r="AP32" s="6">
        <v>0</v>
      </c>
      <c r="AQ32" s="5">
        <v>0</v>
      </c>
      <c r="AR32" s="5">
        <v>69118831937</v>
      </c>
      <c r="AS32" s="5">
        <v>1880925551</v>
      </c>
      <c r="AT32" s="5">
        <f t="shared" si="3"/>
        <v>67237906386</v>
      </c>
      <c r="AU32" s="36">
        <f t="shared" si="4"/>
        <v>3574.724494026505</v>
      </c>
      <c r="AV32" s="5">
        <v>590165828159</v>
      </c>
      <c r="AW32" s="5">
        <v>153979074760</v>
      </c>
      <c r="AX32" s="5">
        <v>216298577436</v>
      </c>
      <c r="AY32" s="5">
        <v>301877919102</v>
      </c>
      <c r="AZ32" s="5">
        <v>327853457286</v>
      </c>
      <c r="BA32" s="5">
        <v>667915144708</v>
      </c>
      <c r="BB32" s="5">
        <v>279434406581</v>
      </c>
      <c r="BC32" s="5">
        <v>1499212496288</v>
      </c>
      <c r="BD32" s="5">
        <v>520710439002</v>
      </c>
      <c r="BE32" s="5">
        <v>327853457286</v>
      </c>
      <c r="BF32" s="5">
        <v>650648600000</v>
      </c>
      <c r="BG32" s="5">
        <v>806904973289</v>
      </c>
      <c r="BH32" s="5">
        <v>468653726492</v>
      </c>
      <c r="BI32" s="5">
        <v>0</v>
      </c>
      <c r="BJ32" s="48">
        <v>0</v>
      </c>
      <c r="BK32" s="5">
        <v>0</v>
      </c>
      <c r="BL32" s="5">
        <v>0</v>
      </c>
      <c r="BM32" s="5">
        <v>0</v>
      </c>
      <c r="BN32" s="5">
        <v>0</v>
      </c>
    </row>
    <row r="33" spans="1:66" x14ac:dyDescent="0.25">
      <c r="A33" s="17" t="s">
        <v>572</v>
      </c>
      <c r="B33" s="4">
        <v>1206</v>
      </c>
      <c r="C33" s="4" t="s">
        <v>83</v>
      </c>
      <c r="D33" s="5">
        <v>1478746867395</v>
      </c>
      <c r="E33" s="5">
        <v>14234303724</v>
      </c>
      <c r="F33" s="5">
        <v>0</v>
      </c>
      <c r="G33" s="5">
        <v>0</v>
      </c>
      <c r="H33" s="5">
        <v>1492981171119</v>
      </c>
      <c r="I33" s="5">
        <v>125878913043</v>
      </c>
      <c r="J33" s="5">
        <v>1568941453</v>
      </c>
      <c r="K33" s="5">
        <v>1365533316623</v>
      </c>
      <c r="L33" s="5">
        <v>1072925403864</v>
      </c>
      <c r="M33" s="5">
        <f t="shared" si="0"/>
        <v>420055767255</v>
      </c>
      <c r="N33" s="36">
        <f t="shared" si="1"/>
        <v>39.150509974153309</v>
      </c>
      <c r="O33" s="5">
        <v>1173571566927</v>
      </c>
      <c r="P33" s="36">
        <v>93.14</v>
      </c>
      <c r="Q33" s="6">
        <v>85.94</v>
      </c>
      <c r="R33" s="6">
        <v>3.91</v>
      </c>
      <c r="S33" s="5">
        <v>1264740061607</v>
      </c>
      <c r="T33" s="5">
        <v>54118359218</v>
      </c>
      <c r="U33" s="5">
        <v>43919136565</v>
      </c>
      <c r="V33" s="5">
        <v>10199222653</v>
      </c>
      <c r="W33" s="5">
        <v>0</v>
      </c>
      <c r="X33" s="5">
        <v>1318858420825</v>
      </c>
      <c r="Y33" s="5">
        <v>225928211</v>
      </c>
      <c r="Z33" s="5">
        <v>55710422701</v>
      </c>
      <c r="AA33" s="5">
        <v>15990370000</v>
      </c>
      <c r="AB33" s="5">
        <v>1390559213526</v>
      </c>
      <c r="AC33" s="5">
        <v>916514470551</v>
      </c>
      <c r="AD33" s="36">
        <f t="shared" si="2"/>
        <v>43.899356006033877</v>
      </c>
      <c r="AE33" s="5">
        <v>885442431659</v>
      </c>
      <c r="AF33" s="5">
        <v>766565488484</v>
      </c>
      <c r="AG33" s="5">
        <v>0</v>
      </c>
      <c r="AH33" s="5">
        <v>4152119241</v>
      </c>
      <c r="AI33" s="5">
        <v>0</v>
      </c>
      <c r="AJ33" s="5">
        <v>0</v>
      </c>
      <c r="AK33" s="5">
        <v>0</v>
      </c>
      <c r="AL33" s="6">
        <v>0</v>
      </c>
      <c r="AM33" s="5">
        <v>0</v>
      </c>
      <c r="AN33" s="6">
        <v>12</v>
      </c>
      <c r="AO33" s="5">
        <v>191968244974</v>
      </c>
      <c r="AP33" s="6">
        <v>6</v>
      </c>
      <c r="AQ33" s="5">
        <v>28918590117</v>
      </c>
      <c r="AR33" s="5">
        <v>54118359218</v>
      </c>
      <c r="AS33" s="5">
        <v>14899829948</v>
      </c>
      <c r="AT33" s="5">
        <f t="shared" si="3"/>
        <v>39218529270</v>
      </c>
      <c r="AU33" s="36">
        <f t="shared" si="4"/>
        <v>263.21460987723754</v>
      </c>
      <c r="AV33" s="5">
        <v>461148096678</v>
      </c>
      <c r="AW33" s="5">
        <v>155097285674</v>
      </c>
      <c r="AX33" s="5">
        <v>166604221587</v>
      </c>
      <c r="AY33" s="5">
        <v>257931026101</v>
      </c>
      <c r="AZ33" s="5">
        <v>447575408634</v>
      </c>
      <c r="BA33" s="5">
        <v>683699406317</v>
      </c>
      <c r="BB33" s="5">
        <v>352468133008</v>
      </c>
      <c r="BC33" s="5">
        <v>1492981171119</v>
      </c>
      <c r="BD33" s="5">
        <v>438769551412</v>
      </c>
      <c r="BE33" s="5">
        <v>447575408634</v>
      </c>
      <c r="BF33" s="5">
        <v>606636211073</v>
      </c>
      <c r="BG33" s="5">
        <v>300498822114</v>
      </c>
      <c r="BH33" s="5">
        <v>584943609545</v>
      </c>
      <c r="BI33" s="5">
        <v>0</v>
      </c>
      <c r="BJ33" s="48">
        <v>0</v>
      </c>
      <c r="BK33" s="5">
        <v>0</v>
      </c>
      <c r="BL33" s="5">
        <v>0</v>
      </c>
      <c r="BM33" s="5">
        <v>0</v>
      </c>
      <c r="BN33" s="5">
        <v>4152119241</v>
      </c>
    </row>
    <row r="34" spans="1:66" x14ac:dyDescent="0.25">
      <c r="A34" s="17" t="s">
        <v>572</v>
      </c>
      <c r="B34" s="4">
        <v>1207</v>
      </c>
      <c r="C34" s="4" t="s">
        <v>84</v>
      </c>
      <c r="D34" s="5">
        <v>1664375964085</v>
      </c>
      <c r="E34" s="5">
        <v>11725528871</v>
      </c>
      <c r="F34" s="5">
        <v>0</v>
      </c>
      <c r="G34" s="5">
        <v>0</v>
      </c>
      <c r="H34" s="5">
        <v>1676101492956</v>
      </c>
      <c r="I34" s="5">
        <v>134912357696</v>
      </c>
      <c r="J34" s="5">
        <v>1380313725</v>
      </c>
      <c r="K34" s="5">
        <v>1539808821535</v>
      </c>
      <c r="L34" s="5">
        <v>1105349274555</v>
      </c>
      <c r="M34" s="5">
        <f t="shared" si="0"/>
        <v>570752218401</v>
      </c>
      <c r="N34" s="36">
        <f t="shared" si="1"/>
        <v>51.635463245839453</v>
      </c>
      <c r="O34" s="5">
        <v>1086805510755</v>
      </c>
      <c r="P34" s="36">
        <v>72.87</v>
      </c>
      <c r="Q34" s="6">
        <v>70.58</v>
      </c>
      <c r="R34" s="6">
        <v>1.55</v>
      </c>
      <c r="S34" s="5">
        <v>1081840235628</v>
      </c>
      <c r="T34" s="5">
        <v>17854696183</v>
      </c>
      <c r="U34" s="5">
        <v>12921723253</v>
      </c>
      <c r="V34" s="5">
        <v>3860929278</v>
      </c>
      <c r="W34" s="5">
        <v>1072043652</v>
      </c>
      <c r="X34" s="5">
        <v>1099694931811</v>
      </c>
      <c r="Y34" s="5">
        <v>1051937210</v>
      </c>
      <c r="Z34" s="5">
        <v>85667438640</v>
      </c>
      <c r="AA34" s="5">
        <v>36060020000</v>
      </c>
      <c r="AB34" s="5">
        <v>1221422390451</v>
      </c>
      <c r="AC34" s="5">
        <v>753852333173</v>
      </c>
      <c r="AD34" s="36">
        <f t="shared" si="2"/>
        <v>45.876703356787694</v>
      </c>
      <c r="AE34" s="5">
        <v>707956947997</v>
      </c>
      <c r="AF34" s="5">
        <v>673590802338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6">
        <v>0</v>
      </c>
      <c r="AM34" s="5">
        <v>0</v>
      </c>
      <c r="AN34" s="6">
        <v>10</v>
      </c>
      <c r="AO34" s="5">
        <v>144910474002</v>
      </c>
      <c r="AP34" s="6">
        <v>7</v>
      </c>
      <c r="AQ34" s="5">
        <v>15089001475</v>
      </c>
      <c r="AR34" s="5">
        <v>17854696183</v>
      </c>
      <c r="AS34" s="5">
        <v>12566485717</v>
      </c>
      <c r="AT34" s="5">
        <f t="shared" si="3"/>
        <v>5288210466</v>
      </c>
      <c r="AU34" s="36">
        <f t="shared" si="4"/>
        <v>42.081856336701073</v>
      </c>
      <c r="AV34" s="5">
        <v>308741304743</v>
      </c>
      <c r="AW34" s="5">
        <v>98800800500</v>
      </c>
      <c r="AX34" s="5">
        <v>392359701647</v>
      </c>
      <c r="AY34" s="5">
        <v>206835322705</v>
      </c>
      <c r="AZ34" s="5">
        <v>395458439733</v>
      </c>
      <c r="BA34" s="5">
        <v>799771762616</v>
      </c>
      <c r="BB34" s="5">
        <v>235756218292</v>
      </c>
      <c r="BC34" s="5">
        <v>1676101492956</v>
      </c>
      <c r="BD34" s="5">
        <v>610920553223</v>
      </c>
      <c r="BE34" s="5">
        <v>395458439733</v>
      </c>
      <c r="BF34" s="5">
        <v>669722500000</v>
      </c>
      <c r="BG34" s="5">
        <v>398205442428</v>
      </c>
      <c r="BH34" s="5">
        <v>309751505569</v>
      </c>
      <c r="BI34" s="5">
        <v>0</v>
      </c>
      <c r="BJ34" s="48">
        <v>0</v>
      </c>
      <c r="BK34" s="5">
        <v>0</v>
      </c>
      <c r="BL34" s="5">
        <v>0</v>
      </c>
      <c r="BM34" s="5">
        <v>0</v>
      </c>
      <c r="BN34" s="5">
        <v>0</v>
      </c>
    </row>
    <row r="35" spans="1:66" x14ac:dyDescent="0.25">
      <c r="A35" s="17" t="s">
        <v>572</v>
      </c>
      <c r="B35" s="4">
        <v>1208</v>
      </c>
      <c r="C35" s="4" t="s">
        <v>85</v>
      </c>
      <c r="D35" s="5">
        <v>1730976555776</v>
      </c>
      <c r="E35" s="5">
        <v>9396054228</v>
      </c>
      <c r="F35" s="5">
        <v>0</v>
      </c>
      <c r="G35" s="5">
        <v>0</v>
      </c>
      <c r="H35" s="5">
        <v>1740372610004</v>
      </c>
      <c r="I35" s="5">
        <v>107709568477</v>
      </c>
      <c r="J35" s="5">
        <v>2039694266</v>
      </c>
      <c r="K35" s="5">
        <v>1630623347261</v>
      </c>
      <c r="L35" s="5">
        <v>949921532058</v>
      </c>
      <c r="M35" s="5">
        <f t="shared" si="0"/>
        <v>790451077946</v>
      </c>
      <c r="N35" s="36">
        <f t="shared" si="1"/>
        <v>83.212249777462347</v>
      </c>
      <c r="O35" s="5">
        <v>1146447127076</v>
      </c>
      <c r="P35" s="36">
        <v>77.33</v>
      </c>
      <c r="Q35" s="6">
        <v>70.31</v>
      </c>
      <c r="R35" s="6">
        <v>1.82</v>
      </c>
      <c r="S35" s="5">
        <v>1296129373458</v>
      </c>
      <c r="T35" s="5">
        <v>24523758078</v>
      </c>
      <c r="U35" s="5">
        <v>23945793967</v>
      </c>
      <c r="V35" s="5">
        <v>577964111</v>
      </c>
      <c r="W35" s="5">
        <v>0</v>
      </c>
      <c r="X35" s="5">
        <v>1320653131536</v>
      </c>
      <c r="Y35" s="5">
        <v>0</v>
      </c>
      <c r="Z35" s="5">
        <v>24154343079</v>
      </c>
      <c r="AA35" s="5">
        <v>1000000000</v>
      </c>
      <c r="AB35" s="5">
        <v>1345807474615</v>
      </c>
      <c r="AC35" s="5">
        <v>893506547382</v>
      </c>
      <c r="AD35" s="36">
        <f t="shared" si="2"/>
        <v>47.805646797502696</v>
      </c>
      <c r="AE35" s="5">
        <v>811828385999</v>
      </c>
      <c r="AF35" s="5">
        <v>800215586000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6">
        <v>0</v>
      </c>
      <c r="AM35" s="5">
        <v>0</v>
      </c>
      <c r="AN35" s="6">
        <v>33</v>
      </c>
      <c r="AO35" s="5">
        <v>226324284598</v>
      </c>
      <c r="AP35" s="6">
        <v>27</v>
      </c>
      <c r="AQ35" s="5">
        <v>36019446112</v>
      </c>
      <c r="AR35" s="5">
        <v>24523758078</v>
      </c>
      <c r="AS35" s="5">
        <v>4962239459</v>
      </c>
      <c r="AT35" s="5">
        <f t="shared" si="3"/>
        <v>19561518619</v>
      </c>
      <c r="AU35" s="36">
        <f t="shared" si="4"/>
        <v>394.20746984552164</v>
      </c>
      <c r="AV35" s="5">
        <v>432837035192</v>
      </c>
      <c r="AW35" s="5">
        <v>63607331485</v>
      </c>
      <c r="AX35" s="5">
        <v>133826902146</v>
      </c>
      <c r="AY35" s="5">
        <v>190589595505</v>
      </c>
      <c r="AZ35" s="5">
        <v>570349058125</v>
      </c>
      <c r="BA35" s="5">
        <v>882645757208</v>
      </c>
      <c r="BB35" s="5">
        <v>500817777854</v>
      </c>
      <c r="BC35" s="5">
        <v>1740372610004</v>
      </c>
      <c r="BD35" s="5">
        <v>333812551879</v>
      </c>
      <c r="BE35" s="5">
        <v>570349058125</v>
      </c>
      <c r="BF35" s="5">
        <v>836211000000</v>
      </c>
      <c r="BG35" s="5">
        <v>574700905999</v>
      </c>
      <c r="BH35" s="5">
        <v>237127480000</v>
      </c>
      <c r="BI35" s="5">
        <v>0</v>
      </c>
      <c r="BJ35" s="48">
        <v>0</v>
      </c>
      <c r="BK35" s="5">
        <v>0</v>
      </c>
      <c r="BL35" s="5">
        <v>0</v>
      </c>
      <c r="BM35" s="5">
        <v>0</v>
      </c>
      <c r="BN35" s="5">
        <v>0</v>
      </c>
    </row>
    <row r="36" spans="1:66" x14ac:dyDescent="0.25">
      <c r="A36" s="17" t="s">
        <v>572</v>
      </c>
      <c r="B36" s="4">
        <v>1209</v>
      </c>
      <c r="C36" s="4" t="s">
        <v>86</v>
      </c>
      <c r="D36" s="5">
        <v>3068731867921</v>
      </c>
      <c r="E36" s="5">
        <v>13868567505</v>
      </c>
      <c r="F36" s="5">
        <v>0</v>
      </c>
      <c r="G36" s="5">
        <v>0</v>
      </c>
      <c r="H36" s="5">
        <v>3082600435426</v>
      </c>
      <c r="I36" s="5">
        <v>171600072096</v>
      </c>
      <c r="J36" s="5">
        <v>1179592359</v>
      </c>
      <c r="K36" s="5">
        <v>2909820770971</v>
      </c>
      <c r="L36" s="5">
        <v>999305441437</v>
      </c>
      <c r="M36" s="5">
        <f t="shared" si="0"/>
        <v>2083294993989</v>
      </c>
      <c r="N36" s="36">
        <f t="shared" si="1"/>
        <v>208.47429700705166</v>
      </c>
      <c r="O36" s="5">
        <v>946279846132</v>
      </c>
      <c r="P36" s="36">
        <v>32.1</v>
      </c>
      <c r="Q36" s="6">
        <v>32.520000000000003</v>
      </c>
      <c r="R36" s="6">
        <v>3.56</v>
      </c>
      <c r="S36" s="5">
        <v>947003241555</v>
      </c>
      <c r="T36" s="5">
        <v>35017461878</v>
      </c>
      <c r="U36" s="5">
        <v>18632466625</v>
      </c>
      <c r="V36" s="5">
        <v>13855792454</v>
      </c>
      <c r="W36" s="5">
        <v>2529202799</v>
      </c>
      <c r="X36" s="5">
        <v>982020703433</v>
      </c>
      <c r="Y36" s="5">
        <v>160748289</v>
      </c>
      <c r="Z36" s="5">
        <v>7512744710</v>
      </c>
      <c r="AA36" s="5">
        <v>0</v>
      </c>
      <c r="AB36" s="5">
        <v>989533448143</v>
      </c>
      <c r="AC36" s="5">
        <v>720552591849</v>
      </c>
      <c r="AD36" s="36">
        <f t="shared" si="2"/>
        <v>36.287165509050531</v>
      </c>
      <c r="AE36" s="5">
        <v>517350000000</v>
      </c>
      <c r="AF36" s="5">
        <v>517350000000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6">
        <v>0</v>
      </c>
      <c r="AM36" s="5">
        <v>0</v>
      </c>
      <c r="AN36" s="6">
        <v>2</v>
      </c>
      <c r="AO36" s="5">
        <v>1067500000</v>
      </c>
      <c r="AP36" s="6">
        <v>4</v>
      </c>
      <c r="AQ36" s="5">
        <v>226362427866</v>
      </c>
      <c r="AR36" s="5">
        <v>35017461878</v>
      </c>
      <c r="AS36" s="5">
        <v>12121499368</v>
      </c>
      <c r="AT36" s="5">
        <f t="shared" si="3"/>
        <v>22895962510</v>
      </c>
      <c r="AU36" s="36">
        <f t="shared" si="4"/>
        <v>188.88721448473535</v>
      </c>
      <c r="AV36" s="5">
        <v>248804246289</v>
      </c>
      <c r="AW36" s="5">
        <v>56430208733</v>
      </c>
      <c r="AX36" s="5">
        <v>157000814742</v>
      </c>
      <c r="AY36" s="5">
        <v>288636285049</v>
      </c>
      <c r="AZ36" s="5">
        <v>2193976268130</v>
      </c>
      <c r="BA36" s="5">
        <v>439260222668</v>
      </c>
      <c r="BB36" s="5">
        <v>2118966032252</v>
      </c>
      <c r="BC36" s="5">
        <v>3082600435426</v>
      </c>
      <c r="BD36" s="5">
        <v>459505667296</v>
      </c>
      <c r="BE36" s="5">
        <v>2193976268130</v>
      </c>
      <c r="BF36" s="5">
        <v>429118500000</v>
      </c>
      <c r="BG36" s="5">
        <v>312230000000</v>
      </c>
      <c r="BH36" s="5">
        <v>205120000000</v>
      </c>
      <c r="BI36" s="5">
        <v>0</v>
      </c>
      <c r="BJ36" s="48">
        <v>0</v>
      </c>
      <c r="BK36" s="5">
        <v>0</v>
      </c>
      <c r="BL36" s="5">
        <v>0</v>
      </c>
      <c r="BM36" s="5">
        <v>0</v>
      </c>
      <c r="BN36" s="5">
        <v>0</v>
      </c>
    </row>
    <row r="37" spans="1:66" x14ac:dyDescent="0.25">
      <c r="A37" s="17" t="s">
        <v>572</v>
      </c>
      <c r="B37" s="4">
        <v>1210</v>
      </c>
      <c r="C37" s="4" t="s">
        <v>87</v>
      </c>
      <c r="D37" s="5">
        <v>3255676479532</v>
      </c>
      <c r="E37" s="5">
        <v>80814655803</v>
      </c>
      <c r="F37" s="5">
        <v>0</v>
      </c>
      <c r="G37" s="5">
        <v>0</v>
      </c>
      <c r="H37" s="5">
        <v>3336491135335</v>
      </c>
      <c r="I37" s="5">
        <v>244754466295</v>
      </c>
      <c r="J37" s="5">
        <v>1991942500</v>
      </c>
      <c r="K37" s="5">
        <v>3089744726540</v>
      </c>
      <c r="L37" s="5">
        <v>1942181743054</v>
      </c>
      <c r="M37" s="5">
        <f t="shared" si="0"/>
        <v>1394309392281</v>
      </c>
      <c r="N37" s="36">
        <f t="shared" si="1"/>
        <v>71.790881428455123</v>
      </c>
      <c r="O37" s="5">
        <v>3134185290372</v>
      </c>
      <c r="P37" s="36">
        <v>110.83</v>
      </c>
      <c r="Q37" s="6">
        <v>101.44</v>
      </c>
      <c r="R37" s="6">
        <v>1.79</v>
      </c>
      <c r="S37" s="5">
        <v>3483287218071</v>
      </c>
      <c r="T37" s="5">
        <v>66152126402</v>
      </c>
      <c r="U37" s="5">
        <v>44043264472</v>
      </c>
      <c r="V37" s="5">
        <v>22108860549</v>
      </c>
      <c r="W37" s="5">
        <v>1381</v>
      </c>
      <c r="X37" s="5">
        <v>3549439344473</v>
      </c>
      <c r="Y37" s="5">
        <v>1887</v>
      </c>
      <c r="Z37" s="5">
        <v>134670474574</v>
      </c>
      <c r="AA37" s="5">
        <v>13864525000</v>
      </c>
      <c r="AB37" s="5">
        <v>3697974344047</v>
      </c>
      <c r="AC37" s="5">
        <v>2312447592551</v>
      </c>
      <c r="AD37" s="36">
        <f t="shared" si="2"/>
        <v>53.492747507302433</v>
      </c>
      <c r="AE37" s="5">
        <v>2726784624691</v>
      </c>
      <c r="AF37" s="5">
        <v>2034617003030</v>
      </c>
      <c r="AG37" s="5">
        <v>310770343260</v>
      </c>
      <c r="AH37" s="5">
        <v>44206887350</v>
      </c>
      <c r="AI37" s="5">
        <v>0</v>
      </c>
      <c r="AJ37" s="5">
        <v>0</v>
      </c>
      <c r="AK37" s="5">
        <v>0</v>
      </c>
      <c r="AL37" s="6">
        <v>20</v>
      </c>
      <c r="AM37" s="5">
        <v>1075528392539</v>
      </c>
      <c r="AN37" s="6">
        <v>99</v>
      </c>
      <c r="AO37" s="5">
        <v>2839472488169</v>
      </c>
      <c r="AP37" s="6">
        <v>34</v>
      </c>
      <c r="AQ37" s="5">
        <v>255549394000</v>
      </c>
      <c r="AR37" s="5">
        <v>66152126402</v>
      </c>
      <c r="AS37" s="5">
        <v>3662188785</v>
      </c>
      <c r="AT37" s="5">
        <f t="shared" si="3"/>
        <v>62489937617</v>
      </c>
      <c r="AU37" s="36">
        <f t="shared" si="4"/>
        <v>1706.3548955464348</v>
      </c>
      <c r="AV37" s="5">
        <v>1284350745563</v>
      </c>
      <c r="AW37" s="5">
        <v>264971919901</v>
      </c>
      <c r="AX37" s="5">
        <v>820084320663</v>
      </c>
      <c r="AY37" s="5">
        <v>559199578888</v>
      </c>
      <c r="AZ37" s="5">
        <v>1647861579981</v>
      </c>
      <c r="BA37" s="5">
        <v>232082003008</v>
      </c>
      <c r="BB37" s="5">
        <v>1496636168744</v>
      </c>
      <c r="BC37" s="5">
        <v>3336491135335</v>
      </c>
      <c r="BD37" s="5">
        <v>1460098555354</v>
      </c>
      <c r="BE37" s="5">
        <v>1647861579981</v>
      </c>
      <c r="BF37" s="5">
        <v>228531000000</v>
      </c>
      <c r="BG37" s="5">
        <v>1547778409667</v>
      </c>
      <c r="BH37" s="5">
        <v>1179006215024</v>
      </c>
      <c r="BI37" s="5">
        <v>0</v>
      </c>
      <c r="BJ37" s="48">
        <v>0</v>
      </c>
      <c r="BK37" s="5">
        <v>303780902606</v>
      </c>
      <c r="BL37" s="5">
        <v>0</v>
      </c>
      <c r="BM37" s="5">
        <v>0</v>
      </c>
      <c r="BN37" s="5">
        <v>44206887350</v>
      </c>
    </row>
    <row r="38" spans="1:66" x14ac:dyDescent="0.25">
      <c r="A38" s="17" t="s">
        <v>572</v>
      </c>
      <c r="B38" s="4">
        <v>1211</v>
      </c>
      <c r="C38" s="4" t="s">
        <v>88</v>
      </c>
      <c r="D38" s="5">
        <v>1852945386803</v>
      </c>
      <c r="E38" s="5">
        <v>108858047670</v>
      </c>
      <c r="F38" s="5">
        <v>0</v>
      </c>
      <c r="G38" s="5">
        <v>0</v>
      </c>
      <c r="H38" s="5">
        <v>1961803434473</v>
      </c>
      <c r="I38" s="5">
        <v>178623235118</v>
      </c>
      <c r="J38" s="5">
        <v>494558566</v>
      </c>
      <c r="K38" s="5">
        <v>1782685640789</v>
      </c>
      <c r="L38" s="5">
        <v>1348895036858</v>
      </c>
      <c r="M38" s="5">
        <f t="shared" si="0"/>
        <v>612908397615</v>
      </c>
      <c r="N38" s="36">
        <f t="shared" si="1"/>
        <v>45.437812495971222</v>
      </c>
      <c r="O38" s="5">
        <v>1355916333831</v>
      </c>
      <c r="P38" s="36">
        <v>76.209999999999994</v>
      </c>
      <c r="Q38" s="6">
        <v>76.06</v>
      </c>
      <c r="R38" s="6">
        <v>19.100000000000001</v>
      </c>
      <c r="S38" s="5">
        <v>1121438560660</v>
      </c>
      <c r="T38" s="5">
        <v>285583329042</v>
      </c>
      <c r="U38" s="5">
        <v>194371281626</v>
      </c>
      <c r="V38" s="5">
        <v>91211650927</v>
      </c>
      <c r="W38" s="5">
        <v>396489</v>
      </c>
      <c r="X38" s="5">
        <v>1407021889702</v>
      </c>
      <c r="Y38" s="5">
        <v>471354</v>
      </c>
      <c r="Z38" s="5">
        <v>85605529603</v>
      </c>
      <c r="AA38" s="5">
        <v>2400000000</v>
      </c>
      <c r="AB38" s="5">
        <v>1495027419305</v>
      </c>
      <c r="AC38" s="5">
        <v>1079067179776</v>
      </c>
      <c r="AD38" s="36">
        <f t="shared" si="2"/>
        <v>30.39242746629353</v>
      </c>
      <c r="AE38" s="5">
        <v>1722726193944</v>
      </c>
      <c r="AF38" s="5">
        <v>1701094314723</v>
      </c>
      <c r="AG38" s="5">
        <v>603247444838</v>
      </c>
      <c r="AH38" s="5">
        <v>0</v>
      </c>
      <c r="AI38" s="5">
        <v>0</v>
      </c>
      <c r="AJ38" s="5">
        <v>0</v>
      </c>
      <c r="AK38" s="5">
        <v>0</v>
      </c>
      <c r="AL38" s="6">
        <v>2</v>
      </c>
      <c r="AM38" s="5">
        <v>228053690000</v>
      </c>
      <c r="AN38" s="6">
        <v>31</v>
      </c>
      <c r="AO38" s="5">
        <v>401384758316</v>
      </c>
      <c r="AP38" s="6">
        <v>36</v>
      </c>
      <c r="AQ38" s="5">
        <v>3119082660945</v>
      </c>
      <c r="AR38" s="5">
        <v>285583329042</v>
      </c>
      <c r="AS38" s="5">
        <v>4911070075</v>
      </c>
      <c r="AT38" s="5">
        <f t="shared" si="3"/>
        <v>280672258967</v>
      </c>
      <c r="AU38" s="36">
        <f t="shared" si="4"/>
        <v>5715.0937510701269</v>
      </c>
      <c r="AV38" s="5">
        <v>1297094806845</v>
      </c>
      <c r="AW38" s="5">
        <v>743525001235</v>
      </c>
      <c r="AX38" s="5">
        <v>410184821170</v>
      </c>
      <c r="AY38" s="5">
        <v>221746939634</v>
      </c>
      <c r="AZ38" s="5">
        <v>338940294682</v>
      </c>
      <c r="BA38" s="5">
        <v>995234587805</v>
      </c>
      <c r="BB38" s="5">
        <v>255184992692</v>
      </c>
      <c r="BC38" s="5">
        <v>1961803434473</v>
      </c>
      <c r="BD38" s="5">
        <v>740789808474</v>
      </c>
      <c r="BE38" s="5">
        <v>338940294682</v>
      </c>
      <c r="BF38" s="5">
        <v>882073331317</v>
      </c>
      <c r="BG38" s="5">
        <v>363882495141</v>
      </c>
      <c r="BH38" s="5">
        <v>1358843698803</v>
      </c>
      <c r="BI38" s="5">
        <v>0</v>
      </c>
      <c r="BJ38" s="48">
        <v>1</v>
      </c>
      <c r="BK38" s="5">
        <v>795437748443</v>
      </c>
      <c r="BL38" s="5">
        <v>0</v>
      </c>
      <c r="BM38" s="5">
        <v>0</v>
      </c>
      <c r="BN38" s="5">
        <v>0</v>
      </c>
    </row>
    <row r="39" spans="1:66" x14ac:dyDescent="0.25">
      <c r="A39" s="17" t="s">
        <v>572</v>
      </c>
      <c r="B39" s="4">
        <v>1212</v>
      </c>
      <c r="C39" s="4" t="s">
        <v>89</v>
      </c>
      <c r="D39" s="5">
        <v>1840196928033</v>
      </c>
      <c r="E39" s="5">
        <v>281906983144</v>
      </c>
      <c r="F39" s="5">
        <v>0</v>
      </c>
      <c r="G39" s="5">
        <v>0</v>
      </c>
      <c r="H39" s="5">
        <v>2122103911177</v>
      </c>
      <c r="I39" s="5">
        <v>182820064968</v>
      </c>
      <c r="J39" s="5">
        <v>7253159114</v>
      </c>
      <c r="K39" s="5">
        <v>1932030687095</v>
      </c>
      <c r="L39" s="5">
        <v>1892731235219</v>
      </c>
      <c r="M39" s="5">
        <f t="shared" si="0"/>
        <v>229372675958</v>
      </c>
      <c r="N39" s="36">
        <f t="shared" si="1"/>
        <v>12.118607845104867</v>
      </c>
      <c r="O39" s="5">
        <v>1798431616220</v>
      </c>
      <c r="P39" s="36">
        <v>98.04</v>
      </c>
      <c r="Q39" s="6">
        <v>93.09</v>
      </c>
      <c r="R39" s="6">
        <v>0.76</v>
      </c>
      <c r="S39" s="5">
        <v>1973435184240</v>
      </c>
      <c r="T39" s="5">
        <v>15535511761</v>
      </c>
      <c r="U39" s="5">
        <v>14711376118</v>
      </c>
      <c r="V39" s="5">
        <v>0</v>
      </c>
      <c r="W39" s="5">
        <v>824135643</v>
      </c>
      <c r="X39" s="5">
        <v>1988970696001</v>
      </c>
      <c r="Y39" s="5">
        <v>328108924</v>
      </c>
      <c r="Z39" s="5">
        <v>90438224316</v>
      </c>
      <c r="AA39" s="5">
        <v>1000000000</v>
      </c>
      <c r="AB39" s="5">
        <v>2080408920317</v>
      </c>
      <c r="AC39" s="5">
        <v>850318987825</v>
      </c>
      <c r="AD39" s="36">
        <f t="shared" si="2"/>
        <v>133.90877123519442</v>
      </c>
      <c r="AE39" s="5">
        <v>1618156011988</v>
      </c>
      <c r="AF39" s="5">
        <v>1346276521876</v>
      </c>
      <c r="AG39" s="5">
        <v>229978360000</v>
      </c>
      <c r="AH39" s="5">
        <v>280636831</v>
      </c>
      <c r="AI39" s="5">
        <v>0</v>
      </c>
      <c r="AJ39" s="5">
        <v>0</v>
      </c>
      <c r="AK39" s="5">
        <v>0</v>
      </c>
      <c r="AL39" s="6">
        <v>6</v>
      </c>
      <c r="AM39" s="5">
        <v>883330702723</v>
      </c>
      <c r="AN39" s="6">
        <v>179</v>
      </c>
      <c r="AO39" s="5">
        <v>6102012445546</v>
      </c>
      <c r="AP39" s="6">
        <v>168</v>
      </c>
      <c r="AQ39" s="5">
        <v>3072031059625</v>
      </c>
      <c r="AR39" s="5">
        <v>15535511761</v>
      </c>
      <c r="AS39" s="5">
        <v>4989866752</v>
      </c>
      <c r="AT39" s="5">
        <f t="shared" si="3"/>
        <v>10545645009</v>
      </c>
      <c r="AU39" s="36">
        <f t="shared" si="4"/>
        <v>211.34121476837385</v>
      </c>
      <c r="AV39" s="5">
        <v>543185801613</v>
      </c>
      <c r="AW39" s="5">
        <v>71092748852</v>
      </c>
      <c r="AX39" s="5">
        <v>410394175191</v>
      </c>
      <c r="AY39" s="5">
        <v>44862163926</v>
      </c>
      <c r="AZ39" s="5">
        <v>394532288916</v>
      </c>
      <c r="BA39" s="5">
        <v>1066089051608</v>
      </c>
      <c r="BB39" s="5">
        <v>219371265432</v>
      </c>
      <c r="BC39" s="5">
        <v>2122103911177</v>
      </c>
      <c r="BD39" s="5">
        <v>737163322261</v>
      </c>
      <c r="BE39" s="5">
        <v>394532288916</v>
      </c>
      <c r="BF39" s="5">
        <v>990408300000</v>
      </c>
      <c r="BG39" s="5">
        <v>807185331181</v>
      </c>
      <c r="BH39" s="5">
        <v>810970680807</v>
      </c>
      <c r="BI39" s="5">
        <v>0</v>
      </c>
      <c r="BJ39" s="48">
        <v>0</v>
      </c>
      <c r="BK39" s="5">
        <v>0</v>
      </c>
      <c r="BL39" s="5">
        <v>0</v>
      </c>
      <c r="BM39" s="5">
        <v>0</v>
      </c>
      <c r="BN39" s="5">
        <v>280636831</v>
      </c>
    </row>
    <row r="40" spans="1:66" x14ac:dyDescent="0.25">
      <c r="A40" s="17" t="s">
        <v>572</v>
      </c>
      <c r="B40" s="4">
        <v>1213</v>
      </c>
      <c r="C40" s="4" t="s">
        <v>90</v>
      </c>
      <c r="D40" s="5">
        <v>1091631841886</v>
      </c>
      <c r="E40" s="5">
        <v>13228269730</v>
      </c>
      <c r="F40" s="5">
        <v>0</v>
      </c>
      <c r="G40" s="5">
        <v>0</v>
      </c>
      <c r="H40" s="5">
        <v>1104860111616</v>
      </c>
      <c r="I40" s="5">
        <v>85797571898</v>
      </c>
      <c r="J40" s="5">
        <v>4224392317</v>
      </c>
      <c r="K40" s="5">
        <v>1014838147401</v>
      </c>
      <c r="L40" s="5">
        <v>915261593436</v>
      </c>
      <c r="M40" s="5">
        <f t="shared" si="0"/>
        <v>189598518180</v>
      </c>
      <c r="N40" s="36">
        <f t="shared" si="1"/>
        <v>20.71522715907097</v>
      </c>
      <c r="O40" s="5">
        <v>1310079105264</v>
      </c>
      <c r="P40" s="36">
        <v>143.80000000000001</v>
      </c>
      <c r="Q40" s="6">
        <v>129.09</v>
      </c>
      <c r="R40" s="6">
        <v>0.28999999999999998</v>
      </c>
      <c r="S40" s="5">
        <v>1539888170933</v>
      </c>
      <c r="T40" s="5">
        <v>4064417938</v>
      </c>
      <c r="U40" s="5">
        <v>3864443662</v>
      </c>
      <c r="V40" s="5">
        <v>0</v>
      </c>
      <c r="W40" s="5">
        <v>199974276</v>
      </c>
      <c r="X40" s="5">
        <v>1543952588871</v>
      </c>
      <c r="Y40" s="5">
        <v>478390766</v>
      </c>
      <c r="Z40" s="5">
        <v>44142844224</v>
      </c>
      <c r="AA40" s="5">
        <v>726542000</v>
      </c>
      <c r="AB40" s="5">
        <v>1588821975095</v>
      </c>
      <c r="AC40" s="5">
        <v>2227873386759</v>
      </c>
      <c r="AD40" s="36">
        <f t="shared" si="2"/>
        <v>-30.698369214012388</v>
      </c>
      <c r="AE40" s="5">
        <v>257123833341</v>
      </c>
      <c r="AF40" s="5">
        <v>243333833341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6">
        <v>0</v>
      </c>
      <c r="AM40" s="5">
        <v>0</v>
      </c>
      <c r="AN40" s="6">
        <v>5</v>
      </c>
      <c r="AO40" s="5">
        <v>33932664103</v>
      </c>
      <c r="AP40" s="6">
        <v>11</v>
      </c>
      <c r="AQ40" s="5">
        <v>66269471826</v>
      </c>
      <c r="AR40" s="5">
        <v>4064417938</v>
      </c>
      <c r="AS40" s="5">
        <v>934523718</v>
      </c>
      <c r="AT40" s="5">
        <f t="shared" si="3"/>
        <v>3129894220</v>
      </c>
      <c r="AU40" s="36">
        <f t="shared" si="4"/>
        <v>334.91864997266981</v>
      </c>
      <c r="AV40" s="5">
        <v>663353608269</v>
      </c>
      <c r="AW40" s="5">
        <v>30860271550</v>
      </c>
      <c r="AX40" s="5">
        <v>202389629466</v>
      </c>
      <c r="AY40" s="5">
        <v>58946519981</v>
      </c>
      <c r="AZ40" s="5">
        <v>191946552125</v>
      </c>
      <c r="BA40" s="5">
        <v>653416012890</v>
      </c>
      <c r="BB40" s="5">
        <v>119722616489</v>
      </c>
      <c r="BC40" s="5">
        <v>1104860111616</v>
      </c>
      <c r="BD40" s="5">
        <v>274564419177</v>
      </c>
      <c r="BE40" s="5">
        <v>191946552125</v>
      </c>
      <c r="BF40" s="5">
        <v>638349140314</v>
      </c>
      <c r="BG40" s="5">
        <v>193702762312</v>
      </c>
      <c r="BH40" s="5">
        <v>63421071029</v>
      </c>
      <c r="BI40" s="5">
        <v>0</v>
      </c>
      <c r="BJ40" s="48">
        <v>0</v>
      </c>
      <c r="BK40" s="5">
        <v>0</v>
      </c>
      <c r="BL40" s="5">
        <v>0</v>
      </c>
      <c r="BM40" s="5">
        <v>0</v>
      </c>
      <c r="BN40" s="5">
        <v>0</v>
      </c>
    </row>
    <row r="41" spans="1:66" x14ac:dyDescent="0.25">
      <c r="A41" s="17" t="s">
        <v>572</v>
      </c>
      <c r="B41" s="4">
        <v>1299</v>
      </c>
      <c r="C41" s="4" t="s">
        <v>91</v>
      </c>
      <c r="D41" s="5">
        <v>0</v>
      </c>
      <c r="E41" s="5">
        <v>3120989383</v>
      </c>
      <c r="F41" s="5">
        <v>0</v>
      </c>
      <c r="G41" s="5">
        <v>0</v>
      </c>
      <c r="H41" s="5">
        <v>3120989383</v>
      </c>
      <c r="I41" s="5">
        <v>89235613</v>
      </c>
      <c r="J41" s="5">
        <v>2896635000</v>
      </c>
      <c r="K41" s="5">
        <v>135118770</v>
      </c>
      <c r="L41" s="5">
        <v>665232383</v>
      </c>
      <c r="M41" s="5">
        <f t="shared" si="0"/>
        <v>2455757000</v>
      </c>
      <c r="N41" s="36">
        <f t="shared" si="1"/>
        <v>369.15776543006928</v>
      </c>
      <c r="O41" s="5">
        <v>0</v>
      </c>
      <c r="P41" s="36">
        <v>0</v>
      </c>
      <c r="Q41" s="6">
        <v>0</v>
      </c>
      <c r="R41" s="6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36">
        <f t="shared" si="2"/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6">
        <v>0</v>
      </c>
      <c r="AM41" s="5">
        <v>0</v>
      </c>
      <c r="AN41" s="6">
        <v>0</v>
      </c>
      <c r="AO41" s="5">
        <v>0</v>
      </c>
      <c r="AP41" s="6">
        <v>0</v>
      </c>
      <c r="AQ41" s="5">
        <v>0</v>
      </c>
      <c r="AR41" s="5">
        <v>0</v>
      </c>
      <c r="AS41" s="5">
        <v>0</v>
      </c>
      <c r="AT41" s="5">
        <f t="shared" si="3"/>
        <v>0</v>
      </c>
      <c r="AU41" s="36">
        <f t="shared" si="4"/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3120989383</v>
      </c>
      <c r="BD41" s="5">
        <v>3120989383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48">
        <v>0</v>
      </c>
      <c r="BK41" s="5">
        <v>0</v>
      </c>
      <c r="BL41" s="5">
        <v>0</v>
      </c>
      <c r="BM41" s="5">
        <v>0</v>
      </c>
      <c r="BN41" s="5">
        <v>0</v>
      </c>
    </row>
    <row r="42" spans="1:66" x14ac:dyDescent="0.25">
      <c r="A42" s="30" t="s">
        <v>573</v>
      </c>
      <c r="B42" s="13" t="s">
        <v>625</v>
      </c>
      <c r="C42" s="13" t="s">
        <v>625</v>
      </c>
      <c r="D42" s="14">
        <v>29410761898260</v>
      </c>
      <c r="E42" s="14">
        <v>857872168963</v>
      </c>
      <c r="F42" s="14">
        <v>5610000000</v>
      </c>
      <c r="G42" s="14">
        <v>313752400</v>
      </c>
      <c r="H42" s="14">
        <v>30274557819623</v>
      </c>
      <c r="I42" s="14">
        <v>2352318224261</v>
      </c>
      <c r="J42" s="14">
        <v>88229470184</v>
      </c>
      <c r="K42" s="14">
        <v>27834010125178</v>
      </c>
      <c r="L42" s="14">
        <v>19910729919367</v>
      </c>
      <c r="M42" s="14">
        <f t="shared" si="0"/>
        <v>10363827900256</v>
      </c>
      <c r="N42" s="41">
        <f t="shared" si="1"/>
        <v>52.051471453968098</v>
      </c>
      <c r="O42" s="14">
        <v>28530246184417</v>
      </c>
      <c r="P42" s="41">
        <v>115.31</v>
      </c>
      <c r="Q42" s="15">
        <v>102.5</v>
      </c>
      <c r="R42" s="15">
        <v>2.71</v>
      </c>
      <c r="S42" s="14">
        <v>32747543122667</v>
      </c>
      <c r="T42" s="14">
        <v>917376409646</v>
      </c>
      <c r="U42" s="14">
        <v>641581577465</v>
      </c>
      <c r="V42" s="14">
        <v>249687264425</v>
      </c>
      <c r="W42" s="14">
        <v>26107567756</v>
      </c>
      <c r="X42" s="14">
        <v>33664919532313</v>
      </c>
      <c r="Y42" s="14">
        <v>28681196577</v>
      </c>
      <c r="Z42" s="14">
        <v>1149172732841</v>
      </c>
      <c r="AA42" s="14">
        <v>94661668169</v>
      </c>
      <c r="AB42" s="14">
        <v>34908753933323</v>
      </c>
      <c r="AC42" s="14">
        <v>24569463273764</v>
      </c>
      <c r="AD42" s="41">
        <f t="shared" si="2"/>
        <v>37.019352670440291</v>
      </c>
      <c r="AE42" s="14">
        <v>20084267294432</v>
      </c>
      <c r="AF42" s="14">
        <v>17839239540169</v>
      </c>
      <c r="AG42" s="14">
        <v>2048774659043</v>
      </c>
      <c r="AH42" s="14">
        <v>48662424672</v>
      </c>
      <c r="AI42" s="14">
        <v>0</v>
      </c>
      <c r="AJ42" s="14">
        <v>0</v>
      </c>
      <c r="AK42" s="14">
        <v>0</v>
      </c>
      <c r="AL42" s="15">
        <v>57</v>
      </c>
      <c r="AM42" s="14">
        <v>5138343034057</v>
      </c>
      <c r="AN42" s="15">
        <v>667</v>
      </c>
      <c r="AO42" s="14">
        <v>13757189415823</v>
      </c>
      <c r="AP42" s="15">
        <v>408</v>
      </c>
      <c r="AQ42" s="14">
        <v>7614417520872</v>
      </c>
      <c r="AR42" s="14">
        <v>917376409646</v>
      </c>
      <c r="AS42" s="14">
        <v>158608582418</v>
      </c>
      <c r="AT42" s="14">
        <f t="shared" si="3"/>
        <v>758767827228</v>
      </c>
      <c r="AU42" s="41">
        <f t="shared" si="4"/>
        <v>478.39014488404496</v>
      </c>
      <c r="AV42" s="14">
        <v>11966245154505</v>
      </c>
      <c r="AW42" s="14">
        <v>2643984824259</v>
      </c>
      <c r="AX42" s="14">
        <v>5575035391032</v>
      </c>
      <c r="AY42" s="14">
        <v>3401925806683</v>
      </c>
      <c r="AZ42" s="14">
        <v>9396276462230</v>
      </c>
      <c r="BA42" s="14">
        <v>11974927843999</v>
      </c>
      <c r="BB42" s="14">
        <v>7536466709844</v>
      </c>
      <c r="BC42" s="14">
        <v>30274557819623</v>
      </c>
      <c r="BD42" s="14">
        <v>9793104804022</v>
      </c>
      <c r="BE42" s="14">
        <v>9401886462230</v>
      </c>
      <c r="BF42" s="14">
        <v>11079566553371</v>
      </c>
      <c r="BG42" s="14">
        <v>11824200687808</v>
      </c>
      <c r="BH42" s="14">
        <v>8260066606624</v>
      </c>
      <c r="BI42" s="14">
        <v>0</v>
      </c>
      <c r="BJ42" s="49">
        <v>1</v>
      </c>
      <c r="BK42" s="14">
        <v>2244206803578</v>
      </c>
      <c r="BL42" s="14">
        <v>0</v>
      </c>
      <c r="BM42" s="14">
        <v>0</v>
      </c>
      <c r="BN42" s="14">
        <v>48662424672</v>
      </c>
    </row>
    <row r="43" spans="1:66" x14ac:dyDescent="0.25">
      <c r="A43" s="17" t="s">
        <v>92</v>
      </c>
      <c r="B43" s="4">
        <v>1300</v>
      </c>
      <c r="C43" s="4" t="s">
        <v>92</v>
      </c>
      <c r="D43" s="5">
        <v>3039141518611</v>
      </c>
      <c r="E43" s="5">
        <v>379082193723</v>
      </c>
      <c r="F43" s="5">
        <v>4600000000</v>
      </c>
      <c r="G43" s="5">
        <v>272471600</v>
      </c>
      <c r="H43" s="5">
        <v>3423096183934</v>
      </c>
      <c r="I43" s="5">
        <v>277531122406</v>
      </c>
      <c r="J43" s="5">
        <v>159284289494</v>
      </c>
      <c r="K43" s="5">
        <v>2986280772034</v>
      </c>
      <c r="L43" s="5">
        <v>2721796536848</v>
      </c>
      <c r="M43" s="5">
        <f t="shared" si="0"/>
        <v>701299647086</v>
      </c>
      <c r="N43" s="36">
        <f t="shared" si="1"/>
        <v>25.766056999181362</v>
      </c>
      <c r="O43" s="5">
        <v>7212801616007</v>
      </c>
      <c r="P43" s="36">
        <v>304.81</v>
      </c>
      <c r="Q43" s="6">
        <v>241.53</v>
      </c>
      <c r="R43" s="6">
        <v>1.22</v>
      </c>
      <c r="S43" s="5">
        <v>9944117850437</v>
      </c>
      <c r="T43" s="5">
        <v>125354247375</v>
      </c>
      <c r="U43" s="5">
        <v>62714241324</v>
      </c>
      <c r="V43" s="5">
        <v>30658861853</v>
      </c>
      <c r="W43" s="5">
        <v>31981144198</v>
      </c>
      <c r="X43" s="5">
        <v>10069472097812</v>
      </c>
      <c r="Y43" s="5">
        <v>1796585927</v>
      </c>
      <c r="Z43" s="5">
        <v>317406922346</v>
      </c>
      <c r="AA43" s="5">
        <v>46899855944</v>
      </c>
      <c r="AB43" s="5">
        <v>10433778876102</v>
      </c>
      <c r="AC43" s="5">
        <v>8160442957697</v>
      </c>
      <c r="AD43" s="36">
        <f t="shared" si="2"/>
        <v>23.393695048310917</v>
      </c>
      <c r="AE43" s="5">
        <v>4738831088131</v>
      </c>
      <c r="AF43" s="5">
        <v>4319717320436</v>
      </c>
      <c r="AG43" s="5">
        <v>133143453760</v>
      </c>
      <c r="AH43" s="5">
        <v>84646154564</v>
      </c>
      <c r="AI43" s="5">
        <v>0</v>
      </c>
      <c r="AJ43" s="5">
        <v>0</v>
      </c>
      <c r="AK43" s="5">
        <v>0</v>
      </c>
      <c r="AL43" s="6">
        <v>4</v>
      </c>
      <c r="AM43" s="5">
        <v>188700000000</v>
      </c>
      <c r="AN43" s="6">
        <v>14</v>
      </c>
      <c r="AO43" s="5">
        <v>1287141585937</v>
      </c>
      <c r="AP43" s="6">
        <v>21</v>
      </c>
      <c r="AQ43" s="5">
        <v>290852689033</v>
      </c>
      <c r="AR43" s="5">
        <v>125354247375</v>
      </c>
      <c r="AS43" s="5">
        <v>75946462241</v>
      </c>
      <c r="AT43" s="5">
        <f t="shared" si="3"/>
        <v>49407785134</v>
      </c>
      <c r="AU43" s="36">
        <f t="shared" si="4"/>
        <v>65.056071969771111</v>
      </c>
      <c r="AV43" s="5">
        <v>3030337564193</v>
      </c>
      <c r="AW43" s="5">
        <v>888628706014</v>
      </c>
      <c r="AX43" s="5">
        <v>459426082326</v>
      </c>
      <c r="AY43" s="5">
        <v>641155627869</v>
      </c>
      <c r="AZ43" s="5">
        <v>883020208006</v>
      </c>
      <c r="BA43" s="5">
        <v>1125751765902</v>
      </c>
      <c r="BB43" s="5">
        <v>238881190187</v>
      </c>
      <c r="BC43" s="5">
        <v>3423096183934</v>
      </c>
      <c r="BD43" s="5">
        <v>1177358621721</v>
      </c>
      <c r="BE43" s="5">
        <v>887620208006</v>
      </c>
      <c r="BF43" s="5">
        <v>1358117354207</v>
      </c>
      <c r="BG43" s="5">
        <v>3122223974232</v>
      </c>
      <c r="BH43" s="5">
        <v>1616607113899</v>
      </c>
      <c r="BI43" s="5">
        <v>0</v>
      </c>
      <c r="BJ43" s="48">
        <v>0</v>
      </c>
      <c r="BK43" s="5">
        <v>183003040645</v>
      </c>
      <c r="BL43" s="5">
        <v>0</v>
      </c>
      <c r="BM43" s="5">
        <v>27401919805</v>
      </c>
      <c r="BN43" s="5">
        <v>72536654564</v>
      </c>
    </row>
    <row r="44" spans="1:66" x14ac:dyDescent="0.25">
      <c r="A44" s="17" t="s">
        <v>92</v>
      </c>
      <c r="B44" s="4">
        <v>1301</v>
      </c>
      <c r="C44" s="4" t="s">
        <v>93</v>
      </c>
      <c r="D44" s="5">
        <v>2038845291663</v>
      </c>
      <c r="E44" s="5">
        <v>50312657675</v>
      </c>
      <c r="F44" s="5">
        <v>0</v>
      </c>
      <c r="G44" s="5">
        <v>0</v>
      </c>
      <c r="H44" s="5">
        <v>2089157949338</v>
      </c>
      <c r="I44" s="5">
        <v>169381964886</v>
      </c>
      <c r="J44" s="5">
        <v>12929366105</v>
      </c>
      <c r="K44" s="5">
        <v>1906846618347</v>
      </c>
      <c r="L44" s="5">
        <v>1575822613292</v>
      </c>
      <c r="M44" s="5">
        <f t="shared" si="0"/>
        <v>513335336046</v>
      </c>
      <c r="N44" s="36">
        <f t="shared" si="1"/>
        <v>32.575705648341199</v>
      </c>
      <c r="O44" s="5">
        <v>2620759478891</v>
      </c>
      <c r="P44" s="36">
        <v>140.93</v>
      </c>
      <c r="Q44" s="6">
        <v>137.44</v>
      </c>
      <c r="R44" s="6">
        <v>4.03</v>
      </c>
      <c r="S44" s="5">
        <v>2679382967749</v>
      </c>
      <c r="T44" s="5">
        <v>107589925518</v>
      </c>
      <c r="U44" s="5">
        <v>81977354274</v>
      </c>
      <c r="V44" s="5">
        <v>21303490178</v>
      </c>
      <c r="W44" s="5">
        <v>4309081066</v>
      </c>
      <c r="X44" s="5">
        <v>2786972893267</v>
      </c>
      <c r="Y44" s="5">
        <v>10934253205</v>
      </c>
      <c r="Z44" s="5">
        <v>142582144552</v>
      </c>
      <c r="AA44" s="5">
        <v>14671120007</v>
      </c>
      <c r="AB44" s="5">
        <v>2944226157826</v>
      </c>
      <c r="AC44" s="5">
        <v>2087468739290</v>
      </c>
      <c r="AD44" s="36">
        <f t="shared" si="2"/>
        <v>33.509682842719776</v>
      </c>
      <c r="AE44" s="5">
        <v>1492229236719</v>
      </c>
      <c r="AF44" s="5">
        <v>1492229236719</v>
      </c>
      <c r="AG44" s="5">
        <v>0</v>
      </c>
      <c r="AH44" s="5">
        <v>3974208987</v>
      </c>
      <c r="AI44" s="5">
        <v>153709854581</v>
      </c>
      <c r="AJ44" s="5">
        <v>0</v>
      </c>
      <c r="AK44" s="5">
        <v>0</v>
      </c>
      <c r="AL44" s="6">
        <v>0</v>
      </c>
      <c r="AM44" s="5">
        <v>0</v>
      </c>
      <c r="AN44" s="6">
        <v>90</v>
      </c>
      <c r="AO44" s="5">
        <v>558357747923</v>
      </c>
      <c r="AP44" s="6">
        <v>110</v>
      </c>
      <c r="AQ44" s="5">
        <v>335616638063</v>
      </c>
      <c r="AR44" s="5">
        <v>107589925518</v>
      </c>
      <c r="AS44" s="5">
        <v>70202600547</v>
      </c>
      <c r="AT44" s="5">
        <f t="shared" si="3"/>
        <v>37387324971</v>
      </c>
      <c r="AU44" s="36">
        <f t="shared" si="4"/>
        <v>53.256324808038315</v>
      </c>
      <c r="AV44" s="5">
        <v>746847308892</v>
      </c>
      <c r="AW44" s="5">
        <v>282445172395</v>
      </c>
      <c r="AX44" s="5">
        <v>442522134162</v>
      </c>
      <c r="AY44" s="5">
        <v>429204542565</v>
      </c>
      <c r="AZ44" s="5">
        <v>901776515960</v>
      </c>
      <c r="BA44" s="5">
        <v>288566737224</v>
      </c>
      <c r="BB44" s="5">
        <v>524634642382</v>
      </c>
      <c r="BC44" s="5">
        <v>2089157949338</v>
      </c>
      <c r="BD44" s="5">
        <v>921120071963</v>
      </c>
      <c r="BE44" s="5">
        <v>901776515960</v>
      </c>
      <c r="BF44" s="5">
        <v>266261361415</v>
      </c>
      <c r="BG44" s="5">
        <v>881942125267</v>
      </c>
      <c r="BH44" s="5">
        <v>610287111452</v>
      </c>
      <c r="BI44" s="5">
        <v>0</v>
      </c>
      <c r="BJ44" s="48">
        <v>0</v>
      </c>
      <c r="BK44" s="5">
        <v>0</v>
      </c>
      <c r="BL44" s="5">
        <v>0</v>
      </c>
      <c r="BM44" s="5">
        <v>2783136180</v>
      </c>
      <c r="BN44" s="5">
        <v>58938598078</v>
      </c>
    </row>
    <row r="45" spans="1:66" x14ac:dyDescent="0.25">
      <c r="A45" s="17" t="s">
        <v>92</v>
      </c>
      <c r="B45" s="4">
        <v>1302</v>
      </c>
      <c r="C45" s="4" t="s">
        <v>94</v>
      </c>
      <c r="D45" s="5">
        <v>1495204786142</v>
      </c>
      <c r="E45" s="5">
        <v>35527084968</v>
      </c>
      <c r="F45" s="5">
        <v>0</v>
      </c>
      <c r="G45" s="5">
        <v>0</v>
      </c>
      <c r="H45" s="5">
        <v>1530731871110</v>
      </c>
      <c r="I45" s="5">
        <v>120263676781</v>
      </c>
      <c r="J45" s="5">
        <v>6666476318</v>
      </c>
      <c r="K45" s="5">
        <v>1403801718011</v>
      </c>
      <c r="L45" s="5">
        <v>1153748756059</v>
      </c>
      <c r="M45" s="5">
        <f t="shared" si="0"/>
        <v>376983115051</v>
      </c>
      <c r="N45" s="36">
        <f t="shared" si="1"/>
        <v>32.674628082695151</v>
      </c>
      <c r="O45" s="5">
        <v>1673848739553</v>
      </c>
      <c r="P45" s="36">
        <v>126.57</v>
      </c>
      <c r="Q45" s="6">
        <v>119.24</v>
      </c>
      <c r="R45" s="6">
        <v>7.54</v>
      </c>
      <c r="S45" s="5">
        <v>1703115831497</v>
      </c>
      <c r="T45" s="5">
        <v>145570391132</v>
      </c>
      <c r="U45" s="5">
        <v>45085649280</v>
      </c>
      <c r="V45" s="5">
        <v>92403262558</v>
      </c>
      <c r="W45" s="5">
        <v>8081479294</v>
      </c>
      <c r="X45" s="5">
        <v>1848686222629</v>
      </c>
      <c r="Y45" s="5">
        <v>595808712</v>
      </c>
      <c r="Z45" s="5">
        <v>78751047442</v>
      </c>
      <c r="AA45" s="5">
        <v>10000000000</v>
      </c>
      <c r="AB45" s="5">
        <v>1937437270071</v>
      </c>
      <c r="AC45" s="5">
        <v>1399531283756</v>
      </c>
      <c r="AD45" s="36">
        <f t="shared" si="2"/>
        <v>32.093240364558191</v>
      </c>
      <c r="AE45" s="5">
        <v>998465563563</v>
      </c>
      <c r="AF45" s="5">
        <v>998465563563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6">
        <v>0</v>
      </c>
      <c r="AM45" s="5">
        <v>0</v>
      </c>
      <c r="AN45" s="6">
        <v>70</v>
      </c>
      <c r="AO45" s="5">
        <v>383592126892</v>
      </c>
      <c r="AP45" s="6">
        <v>23</v>
      </c>
      <c r="AQ45" s="5">
        <v>105365204000</v>
      </c>
      <c r="AR45" s="5">
        <v>145570391132</v>
      </c>
      <c r="AS45" s="5">
        <v>24053089906</v>
      </c>
      <c r="AT45" s="5">
        <f t="shared" si="3"/>
        <v>121517301226</v>
      </c>
      <c r="AU45" s="36">
        <f t="shared" si="4"/>
        <v>505.20453588662519</v>
      </c>
      <c r="AV45" s="5">
        <v>529631060738</v>
      </c>
      <c r="AW45" s="5">
        <v>125274513771</v>
      </c>
      <c r="AX45" s="5">
        <v>255888728786</v>
      </c>
      <c r="AY45" s="5">
        <v>366794784483</v>
      </c>
      <c r="AZ45" s="5">
        <v>439616330667</v>
      </c>
      <c r="BA45" s="5">
        <v>535574976022</v>
      </c>
      <c r="BB45" s="5">
        <v>293695267332</v>
      </c>
      <c r="BC45" s="5">
        <v>1530731871110</v>
      </c>
      <c r="BD45" s="5">
        <v>656144194831</v>
      </c>
      <c r="BE45" s="5">
        <v>439616330667</v>
      </c>
      <c r="BF45" s="5">
        <v>434971345612</v>
      </c>
      <c r="BG45" s="5">
        <v>788808268571</v>
      </c>
      <c r="BH45" s="5">
        <v>209657294992</v>
      </c>
      <c r="BI45" s="5">
        <v>0</v>
      </c>
      <c r="BJ45" s="48">
        <v>0</v>
      </c>
      <c r="BK45" s="5">
        <v>0</v>
      </c>
      <c r="BL45" s="5">
        <v>0</v>
      </c>
      <c r="BM45" s="5">
        <v>0</v>
      </c>
      <c r="BN45" s="5">
        <v>0</v>
      </c>
    </row>
    <row r="46" spans="1:66" x14ac:dyDescent="0.25">
      <c r="A46" s="17" t="s">
        <v>92</v>
      </c>
      <c r="B46" s="4">
        <v>1303</v>
      </c>
      <c r="C46" s="4" t="s">
        <v>95</v>
      </c>
      <c r="D46" s="5">
        <v>1354595058903</v>
      </c>
      <c r="E46" s="5">
        <v>16597058955</v>
      </c>
      <c r="F46" s="5">
        <v>0</v>
      </c>
      <c r="G46" s="5">
        <v>0</v>
      </c>
      <c r="H46" s="5">
        <v>1371192117858</v>
      </c>
      <c r="I46" s="5">
        <v>116183807293</v>
      </c>
      <c r="J46" s="5">
        <v>12175765768</v>
      </c>
      <c r="K46" s="5">
        <v>1242832544797</v>
      </c>
      <c r="L46" s="5">
        <v>984910089382</v>
      </c>
      <c r="M46" s="5">
        <f t="shared" si="0"/>
        <v>386282028476</v>
      </c>
      <c r="N46" s="36">
        <f t="shared" si="1"/>
        <v>39.220029588526174</v>
      </c>
      <c r="O46" s="5">
        <v>1314929987925</v>
      </c>
      <c r="P46" s="36">
        <v>113.12</v>
      </c>
      <c r="Q46" s="6">
        <v>105.8</v>
      </c>
      <c r="R46" s="6">
        <v>1.59</v>
      </c>
      <c r="S46" s="5">
        <v>1431510806689</v>
      </c>
      <c r="T46" s="5">
        <v>24624889059</v>
      </c>
      <c r="U46" s="5">
        <v>21108380651</v>
      </c>
      <c r="V46" s="5">
        <v>3516508408</v>
      </c>
      <c r="W46" s="5">
        <v>0</v>
      </c>
      <c r="X46" s="5">
        <v>1456135695748</v>
      </c>
      <c r="Y46" s="5">
        <v>0</v>
      </c>
      <c r="Z46" s="5">
        <v>82975019991</v>
      </c>
      <c r="AA46" s="5">
        <v>11991720000</v>
      </c>
      <c r="AB46" s="5">
        <v>1551102435739</v>
      </c>
      <c r="AC46" s="5">
        <v>991960389815</v>
      </c>
      <c r="AD46" s="36">
        <f t="shared" si="2"/>
        <v>46.793733973547916</v>
      </c>
      <c r="AE46" s="5">
        <v>831628840988</v>
      </c>
      <c r="AF46" s="5">
        <v>774156425270</v>
      </c>
      <c r="AG46" s="5">
        <v>0</v>
      </c>
      <c r="AH46" s="5">
        <v>361999000</v>
      </c>
      <c r="AI46" s="5">
        <v>3991089218</v>
      </c>
      <c r="AJ46" s="5">
        <v>46670000000</v>
      </c>
      <c r="AK46" s="5">
        <v>0</v>
      </c>
      <c r="AL46" s="6">
        <v>0</v>
      </c>
      <c r="AM46" s="5">
        <v>0</v>
      </c>
      <c r="AN46" s="6">
        <v>61</v>
      </c>
      <c r="AO46" s="5">
        <v>140564353515</v>
      </c>
      <c r="AP46" s="6">
        <v>39</v>
      </c>
      <c r="AQ46" s="5">
        <v>36349843757</v>
      </c>
      <c r="AR46" s="5">
        <v>24624889059</v>
      </c>
      <c r="AS46" s="5">
        <v>6774912405</v>
      </c>
      <c r="AT46" s="5">
        <f t="shared" si="3"/>
        <v>17849976654</v>
      </c>
      <c r="AU46" s="36">
        <f t="shared" si="4"/>
        <v>263.4716965613668</v>
      </c>
      <c r="AV46" s="5">
        <v>351570017450</v>
      </c>
      <c r="AW46" s="5">
        <v>73561916606</v>
      </c>
      <c r="AX46" s="5">
        <v>207936170485</v>
      </c>
      <c r="AY46" s="5">
        <v>269384952856</v>
      </c>
      <c r="AZ46" s="5">
        <v>400688135562</v>
      </c>
      <c r="BA46" s="5">
        <v>541800219144</v>
      </c>
      <c r="BB46" s="5">
        <v>251473488105</v>
      </c>
      <c r="BC46" s="5">
        <v>1371192117858</v>
      </c>
      <c r="BD46" s="5">
        <v>492810271323</v>
      </c>
      <c r="BE46" s="5">
        <v>400688135562</v>
      </c>
      <c r="BF46" s="5">
        <v>477693710973</v>
      </c>
      <c r="BG46" s="5">
        <v>667713313123</v>
      </c>
      <c r="BH46" s="5">
        <v>163915527865</v>
      </c>
      <c r="BI46" s="5">
        <v>0</v>
      </c>
      <c r="BJ46" s="48">
        <v>0</v>
      </c>
      <c r="BK46" s="5">
        <v>0</v>
      </c>
      <c r="BL46" s="5">
        <v>0</v>
      </c>
      <c r="BM46" s="5">
        <v>0</v>
      </c>
      <c r="BN46" s="5">
        <v>361999000</v>
      </c>
    </row>
    <row r="47" spans="1:66" x14ac:dyDescent="0.25">
      <c r="A47" s="17" t="s">
        <v>92</v>
      </c>
      <c r="B47" s="4">
        <v>1304</v>
      </c>
      <c r="C47" s="4" t="s">
        <v>96</v>
      </c>
      <c r="D47" s="5">
        <v>911971356161</v>
      </c>
      <c r="E47" s="5">
        <v>13051216316</v>
      </c>
      <c r="F47" s="5">
        <v>0</v>
      </c>
      <c r="G47" s="5">
        <v>0</v>
      </c>
      <c r="H47" s="5">
        <v>925022572477</v>
      </c>
      <c r="I47" s="5">
        <v>80968629438</v>
      </c>
      <c r="J47" s="5">
        <v>1666099858</v>
      </c>
      <c r="K47" s="5">
        <v>842387843181</v>
      </c>
      <c r="L47" s="5">
        <v>788646971875</v>
      </c>
      <c r="M47" s="5">
        <f t="shared" si="0"/>
        <v>136375600602</v>
      </c>
      <c r="N47" s="36">
        <f t="shared" si="1"/>
        <v>17.292350755848133</v>
      </c>
      <c r="O47" s="5">
        <v>1318865705661</v>
      </c>
      <c r="P47" s="36">
        <v>158.91</v>
      </c>
      <c r="Q47" s="6">
        <v>156.56</v>
      </c>
      <c r="R47" s="6">
        <v>2.92</v>
      </c>
      <c r="S47" s="5">
        <v>1352684405369</v>
      </c>
      <c r="T47" s="5">
        <v>36241917746</v>
      </c>
      <c r="U47" s="5">
        <v>18473138532</v>
      </c>
      <c r="V47" s="5">
        <v>15850191715</v>
      </c>
      <c r="W47" s="5">
        <v>1918587499</v>
      </c>
      <c r="X47" s="5">
        <v>1388926323115</v>
      </c>
      <c r="Y47" s="5">
        <v>6698798200</v>
      </c>
      <c r="Z47" s="5">
        <v>70874145745</v>
      </c>
      <c r="AA47" s="5">
        <v>10148000000</v>
      </c>
      <c r="AB47" s="5">
        <v>1469948468860</v>
      </c>
      <c r="AC47" s="5">
        <v>987651436023</v>
      </c>
      <c r="AD47" s="36">
        <f t="shared" si="2"/>
        <v>40.629200997046425</v>
      </c>
      <c r="AE47" s="5">
        <v>763908816914</v>
      </c>
      <c r="AF47" s="5">
        <v>763908816914</v>
      </c>
      <c r="AG47" s="5">
        <v>0</v>
      </c>
      <c r="AH47" s="5">
        <v>768099400</v>
      </c>
      <c r="AI47" s="5">
        <v>109159398191</v>
      </c>
      <c r="AJ47" s="5">
        <v>0</v>
      </c>
      <c r="AK47" s="5">
        <v>0</v>
      </c>
      <c r="AL47" s="6">
        <v>0</v>
      </c>
      <c r="AM47" s="5">
        <v>0</v>
      </c>
      <c r="AN47" s="6">
        <v>32</v>
      </c>
      <c r="AO47" s="5">
        <v>215620954570</v>
      </c>
      <c r="AP47" s="6">
        <v>31</v>
      </c>
      <c r="AQ47" s="5">
        <v>172646485970</v>
      </c>
      <c r="AR47" s="5">
        <v>36241917746</v>
      </c>
      <c r="AS47" s="5">
        <v>27508290978</v>
      </c>
      <c r="AT47" s="5">
        <f t="shared" si="3"/>
        <v>8733626768</v>
      </c>
      <c r="AU47" s="36">
        <f t="shared" si="4"/>
        <v>31.749070761919729</v>
      </c>
      <c r="AV47" s="5">
        <v>359318512716</v>
      </c>
      <c r="AW47" s="5">
        <v>96237320790</v>
      </c>
      <c r="AX47" s="5">
        <v>136277517475</v>
      </c>
      <c r="AY47" s="5">
        <v>324171565513</v>
      </c>
      <c r="AZ47" s="5">
        <v>151587196709</v>
      </c>
      <c r="BA47" s="5">
        <v>495631225588</v>
      </c>
      <c r="BB47" s="5">
        <v>100265137580</v>
      </c>
      <c r="BC47" s="5">
        <v>925022572477</v>
      </c>
      <c r="BD47" s="5">
        <v>471179637004</v>
      </c>
      <c r="BE47" s="5">
        <v>151587196709</v>
      </c>
      <c r="BF47" s="5">
        <v>302255738764</v>
      </c>
      <c r="BG47" s="5">
        <v>593638887342</v>
      </c>
      <c r="BH47" s="5">
        <v>170269929572</v>
      </c>
      <c r="BI47" s="5">
        <v>0</v>
      </c>
      <c r="BJ47" s="48">
        <v>0</v>
      </c>
      <c r="BK47" s="5">
        <v>0</v>
      </c>
      <c r="BL47" s="5">
        <v>116838860</v>
      </c>
      <c r="BM47" s="5">
        <v>138144730</v>
      </c>
      <c r="BN47" s="5">
        <v>2201708369</v>
      </c>
    </row>
    <row r="48" spans="1:66" x14ac:dyDescent="0.25">
      <c r="A48" s="17" t="s">
        <v>92</v>
      </c>
      <c r="B48" s="4">
        <v>1305</v>
      </c>
      <c r="C48" s="4" t="s">
        <v>97</v>
      </c>
      <c r="D48" s="5">
        <v>865495631132</v>
      </c>
      <c r="E48" s="5">
        <v>19269883123</v>
      </c>
      <c r="F48" s="5">
        <v>0</v>
      </c>
      <c r="G48" s="5">
        <v>0</v>
      </c>
      <c r="H48" s="5">
        <v>884765514255</v>
      </c>
      <c r="I48" s="5">
        <v>66995846608</v>
      </c>
      <c r="J48" s="5">
        <v>9057738503</v>
      </c>
      <c r="K48" s="5">
        <v>808711929144</v>
      </c>
      <c r="L48" s="5">
        <v>632250599489</v>
      </c>
      <c r="M48" s="5">
        <f t="shared" si="0"/>
        <v>252514914766</v>
      </c>
      <c r="N48" s="36">
        <f t="shared" si="1"/>
        <v>39.939055015541079</v>
      </c>
      <c r="O48" s="5">
        <v>1335053639621</v>
      </c>
      <c r="P48" s="36">
        <v>170.89</v>
      </c>
      <c r="Q48" s="6">
        <v>165.08</v>
      </c>
      <c r="R48" s="6">
        <v>2.4</v>
      </c>
      <c r="S48" s="5">
        <v>1370464215064</v>
      </c>
      <c r="T48" s="5">
        <v>35658666672</v>
      </c>
      <c r="U48" s="5">
        <v>25203543621</v>
      </c>
      <c r="V48" s="5">
        <v>10099122445</v>
      </c>
      <c r="W48" s="5">
        <v>356000606</v>
      </c>
      <c r="X48" s="5">
        <v>1406122881736</v>
      </c>
      <c r="Y48" s="5">
        <v>649246231</v>
      </c>
      <c r="Z48" s="5">
        <v>92771299245</v>
      </c>
      <c r="AA48" s="5">
        <v>13085820000</v>
      </c>
      <c r="AB48" s="5">
        <v>1511980000981</v>
      </c>
      <c r="AC48" s="5">
        <v>1202600027111</v>
      </c>
      <c r="AD48" s="36">
        <f t="shared" si="2"/>
        <v>16.923569768572342</v>
      </c>
      <c r="AE48" s="5">
        <v>724595432306</v>
      </c>
      <c r="AF48" s="5">
        <v>691046062445</v>
      </c>
      <c r="AG48" s="5">
        <v>0</v>
      </c>
      <c r="AH48" s="5">
        <v>2450000000</v>
      </c>
      <c r="AI48" s="5">
        <v>19268185873</v>
      </c>
      <c r="AJ48" s="5">
        <v>0</v>
      </c>
      <c r="AK48" s="5">
        <v>14150000000</v>
      </c>
      <c r="AL48" s="6">
        <v>0</v>
      </c>
      <c r="AM48" s="5">
        <v>0</v>
      </c>
      <c r="AN48" s="6">
        <v>50</v>
      </c>
      <c r="AO48" s="5">
        <v>214368038414</v>
      </c>
      <c r="AP48" s="6">
        <v>55</v>
      </c>
      <c r="AQ48" s="5">
        <v>117161464171</v>
      </c>
      <c r="AR48" s="5">
        <v>35658666672</v>
      </c>
      <c r="AS48" s="5">
        <v>34067560235</v>
      </c>
      <c r="AT48" s="5">
        <f t="shared" si="3"/>
        <v>1591106437</v>
      </c>
      <c r="AU48" s="36">
        <f t="shared" si="4"/>
        <v>4.670444334799603</v>
      </c>
      <c r="AV48" s="5">
        <v>527528893236</v>
      </c>
      <c r="AW48" s="5">
        <v>307917066544</v>
      </c>
      <c r="AX48" s="5">
        <v>159149292553</v>
      </c>
      <c r="AY48" s="5">
        <v>229183882089</v>
      </c>
      <c r="AZ48" s="5">
        <v>201557429402</v>
      </c>
      <c r="BA48" s="5">
        <v>287493212684</v>
      </c>
      <c r="BB48" s="5">
        <v>130333925464</v>
      </c>
      <c r="BC48" s="5">
        <v>884765514255</v>
      </c>
      <c r="BD48" s="5">
        <v>407603057765</v>
      </c>
      <c r="BE48" s="5">
        <v>201557429402</v>
      </c>
      <c r="BF48" s="5">
        <v>275605027088</v>
      </c>
      <c r="BG48" s="5">
        <v>314355487032</v>
      </c>
      <c r="BH48" s="5">
        <v>410239945274</v>
      </c>
      <c r="BI48" s="5">
        <v>0</v>
      </c>
      <c r="BJ48" s="48">
        <v>0</v>
      </c>
      <c r="BK48" s="5">
        <v>0</v>
      </c>
      <c r="BL48" s="5">
        <v>0</v>
      </c>
      <c r="BM48" s="5">
        <v>0</v>
      </c>
      <c r="BN48" s="5">
        <v>2450000000</v>
      </c>
    </row>
    <row r="49" spans="1:66" x14ac:dyDescent="0.25">
      <c r="A49" s="17" t="s">
        <v>92</v>
      </c>
      <c r="B49" s="4">
        <v>1306</v>
      </c>
      <c r="C49" s="4" t="s">
        <v>98</v>
      </c>
      <c r="D49" s="5">
        <v>907950721585</v>
      </c>
      <c r="E49" s="5">
        <v>6944829927</v>
      </c>
      <c r="F49" s="5">
        <v>0</v>
      </c>
      <c r="G49" s="5">
        <v>0</v>
      </c>
      <c r="H49" s="5">
        <v>914895551512</v>
      </c>
      <c r="I49" s="5">
        <v>57379902516</v>
      </c>
      <c r="J49" s="5">
        <v>5140503509</v>
      </c>
      <c r="K49" s="5">
        <v>852375145487</v>
      </c>
      <c r="L49" s="5">
        <v>496936888728</v>
      </c>
      <c r="M49" s="5">
        <f t="shared" si="0"/>
        <v>417958662784</v>
      </c>
      <c r="N49" s="36">
        <f t="shared" si="1"/>
        <v>84.106990699330225</v>
      </c>
      <c r="O49" s="5">
        <v>941383253494</v>
      </c>
      <c r="P49" s="36">
        <v>122.6</v>
      </c>
      <c r="Q49" s="6">
        <v>110.44</v>
      </c>
      <c r="R49" s="6">
        <v>10.87</v>
      </c>
      <c r="S49" s="5">
        <v>926020591682</v>
      </c>
      <c r="T49" s="5">
        <v>118442343322</v>
      </c>
      <c r="U49" s="5">
        <v>14003659704</v>
      </c>
      <c r="V49" s="5">
        <v>80917485870</v>
      </c>
      <c r="W49" s="5">
        <v>23521197748</v>
      </c>
      <c r="X49" s="5">
        <v>1044462935004</v>
      </c>
      <c r="Y49" s="5">
        <v>3532247819</v>
      </c>
      <c r="Z49" s="5">
        <v>70995222344</v>
      </c>
      <c r="AA49" s="5">
        <v>6200000000</v>
      </c>
      <c r="AB49" s="5">
        <v>1121658157348</v>
      </c>
      <c r="AC49" s="5">
        <v>706593250611</v>
      </c>
      <c r="AD49" s="36">
        <f t="shared" si="2"/>
        <v>47.816715500868405</v>
      </c>
      <c r="AE49" s="5">
        <v>557041572770</v>
      </c>
      <c r="AF49" s="5">
        <v>527188593321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6">
        <v>0</v>
      </c>
      <c r="AM49" s="5">
        <v>0</v>
      </c>
      <c r="AN49" s="6">
        <v>3</v>
      </c>
      <c r="AO49" s="5">
        <v>12375000000</v>
      </c>
      <c r="AP49" s="6">
        <v>9</v>
      </c>
      <c r="AQ49" s="5">
        <v>9476500000</v>
      </c>
      <c r="AR49" s="5">
        <v>118442343322</v>
      </c>
      <c r="AS49" s="5">
        <v>41098133364</v>
      </c>
      <c r="AT49" s="5">
        <f t="shared" si="3"/>
        <v>77344209958</v>
      </c>
      <c r="AU49" s="36">
        <f t="shared" si="4"/>
        <v>188.19397288186775</v>
      </c>
      <c r="AV49" s="5">
        <v>165021993483</v>
      </c>
      <c r="AW49" s="5">
        <v>54112465704</v>
      </c>
      <c r="AX49" s="5">
        <v>171770013254</v>
      </c>
      <c r="AY49" s="5">
        <v>274200109266</v>
      </c>
      <c r="AZ49" s="5">
        <v>185047982995</v>
      </c>
      <c r="BA49" s="5">
        <v>408470105706</v>
      </c>
      <c r="BB49" s="5">
        <v>119242814801</v>
      </c>
      <c r="BC49" s="5">
        <v>914895551512</v>
      </c>
      <c r="BD49" s="5">
        <v>452914952447</v>
      </c>
      <c r="BE49" s="5">
        <v>185047982995</v>
      </c>
      <c r="BF49" s="5">
        <v>276932616070</v>
      </c>
      <c r="BG49" s="5">
        <v>320403050993</v>
      </c>
      <c r="BH49" s="5">
        <v>236638521777</v>
      </c>
      <c r="BI49" s="5">
        <v>0</v>
      </c>
      <c r="BJ49" s="48">
        <v>0</v>
      </c>
      <c r="BK49" s="5">
        <v>0</v>
      </c>
      <c r="BL49" s="5">
        <v>0</v>
      </c>
      <c r="BM49" s="5">
        <v>0</v>
      </c>
      <c r="BN49" s="5">
        <v>0</v>
      </c>
    </row>
    <row r="50" spans="1:66" x14ac:dyDescent="0.25">
      <c r="A50" s="17" t="s">
        <v>92</v>
      </c>
      <c r="B50" s="4">
        <v>1307</v>
      </c>
      <c r="C50" s="4" t="s">
        <v>99</v>
      </c>
      <c r="D50" s="5">
        <v>1244105406672</v>
      </c>
      <c r="E50" s="5">
        <v>8635614755</v>
      </c>
      <c r="F50" s="5">
        <v>0</v>
      </c>
      <c r="G50" s="5">
        <v>0</v>
      </c>
      <c r="H50" s="5">
        <v>1252741021427</v>
      </c>
      <c r="I50" s="5">
        <v>98726985572</v>
      </c>
      <c r="J50" s="5">
        <v>5937981243</v>
      </c>
      <c r="K50" s="5">
        <v>1148076054612</v>
      </c>
      <c r="L50" s="5">
        <v>791943953050</v>
      </c>
      <c r="M50" s="5">
        <f t="shared" si="0"/>
        <v>460797068377</v>
      </c>
      <c r="N50" s="36">
        <f t="shared" si="1"/>
        <v>58.185565607558502</v>
      </c>
      <c r="O50" s="5">
        <v>1059334499656</v>
      </c>
      <c r="P50" s="36">
        <v>101.77</v>
      </c>
      <c r="Q50" s="6">
        <v>92.27</v>
      </c>
      <c r="R50" s="6">
        <v>2.58</v>
      </c>
      <c r="S50" s="5">
        <v>1174430313633</v>
      </c>
      <c r="T50" s="5">
        <v>30810369339</v>
      </c>
      <c r="U50" s="5">
        <v>8515058210</v>
      </c>
      <c r="V50" s="5">
        <v>1333639537</v>
      </c>
      <c r="W50" s="5">
        <v>20961671592</v>
      </c>
      <c r="X50" s="5">
        <v>1205240682972</v>
      </c>
      <c r="Y50" s="5">
        <v>2140686450</v>
      </c>
      <c r="Z50" s="5">
        <v>58523839871</v>
      </c>
      <c r="AA50" s="5">
        <v>11099900000</v>
      </c>
      <c r="AB50" s="5">
        <v>1274864422843</v>
      </c>
      <c r="AC50" s="5">
        <v>753492438414</v>
      </c>
      <c r="AD50" s="36">
        <f t="shared" si="2"/>
        <v>59.953918782366166</v>
      </c>
      <c r="AE50" s="5">
        <v>772988525382</v>
      </c>
      <c r="AF50" s="5">
        <v>646667477440</v>
      </c>
      <c r="AG50" s="5">
        <v>0</v>
      </c>
      <c r="AH50" s="5">
        <v>0</v>
      </c>
      <c r="AI50" s="5">
        <v>15189631964</v>
      </c>
      <c r="AJ50" s="5">
        <v>0</v>
      </c>
      <c r="AK50" s="5">
        <v>0</v>
      </c>
      <c r="AL50" s="6">
        <v>0</v>
      </c>
      <c r="AM50" s="5">
        <v>0</v>
      </c>
      <c r="AN50" s="6">
        <v>9</v>
      </c>
      <c r="AO50" s="5">
        <v>138400000000</v>
      </c>
      <c r="AP50" s="6">
        <v>5</v>
      </c>
      <c r="AQ50" s="5">
        <v>1360080000</v>
      </c>
      <c r="AR50" s="5">
        <v>30810369339</v>
      </c>
      <c r="AS50" s="5">
        <v>52413322847</v>
      </c>
      <c r="AT50" s="5">
        <f t="shared" si="3"/>
        <v>-21602953508</v>
      </c>
      <c r="AU50" s="36">
        <f t="shared" si="4"/>
        <v>-41.21653109279351</v>
      </c>
      <c r="AV50" s="5">
        <v>278743119983</v>
      </c>
      <c r="AW50" s="5">
        <v>55541472735</v>
      </c>
      <c r="AX50" s="5">
        <v>247806092645</v>
      </c>
      <c r="AY50" s="5">
        <v>345516345510</v>
      </c>
      <c r="AZ50" s="5">
        <v>253266618517</v>
      </c>
      <c r="BA50" s="5">
        <v>449538958904</v>
      </c>
      <c r="BB50" s="5">
        <v>141242411277</v>
      </c>
      <c r="BC50" s="5">
        <v>1252741021427</v>
      </c>
      <c r="BD50" s="5">
        <v>600102348463</v>
      </c>
      <c r="BE50" s="5">
        <v>253266618517</v>
      </c>
      <c r="BF50" s="5">
        <v>399372054447</v>
      </c>
      <c r="BG50" s="5">
        <v>464636024013</v>
      </c>
      <c r="BH50" s="5">
        <v>308352501369</v>
      </c>
      <c r="BI50" s="5">
        <v>0</v>
      </c>
      <c r="BJ50" s="48">
        <v>0</v>
      </c>
      <c r="BK50" s="5">
        <v>0</v>
      </c>
      <c r="BL50" s="5">
        <v>0</v>
      </c>
      <c r="BM50" s="5">
        <v>0</v>
      </c>
      <c r="BN50" s="5">
        <v>0</v>
      </c>
    </row>
    <row r="51" spans="1:66" x14ac:dyDescent="0.25">
      <c r="A51" s="17" t="s">
        <v>92</v>
      </c>
      <c r="B51" s="4">
        <v>1308</v>
      </c>
      <c r="C51" s="4" t="s">
        <v>100</v>
      </c>
      <c r="D51" s="5">
        <v>936286813360</v>
      </c>
      <c r="E51" s="5">
        <v>92479808033</v>
      </c>
      <c r="F51" s="5">
        <v>0</v>
      </c>
      <c r="G51" s="5">
        <v>0</v>
      </c>
      <c r="H51" s="5">
        <v>1028766621393</v>
      </c>
      <c r="I51" s="5">
        <v>81936448855</v>
      </c>
      <c r="J51" s="5">
        <v>5608499887</v>
      </c>
      <c r="K51" s="5">
        <v>941221672651</v>
      </c>
      <c r="L51" s="5">
        <v>738234388291</v>
      </c>
      <c r="M51" s="5">
        <f t="shared" si="0"/>
        <v>290532233102</v>
      </c>
      <c r="N51" s="36">
        <f t="shared" si="1"/>
        <v>39.355012135722525</v>
      </c>
      <c r="O51" s="5">
        <v>704284944550</v>
      </c>
      <c r="P51" s="36">
        <v>85.88</v>
      </c>
      <c r="Q51" s="6">
        <v>74.83</v>
      </c>
      <c r="R51" s="6">
        <v>0.4</v>
      </c>
      <c r="S51" s="5">
        <v>833516400122</v>
      </c>
      <c r="T51" s="5">
        <v>3544407836</v>
      </c>
      <c r="U51" s="5">
        <v>3124194293</v>
      </c>
      <c r="V51" s="5">
        <v>420213543</v>
      </c>
      <c r="W51" s="5">
        <v>0</v>
      </c>
      <c r="X51" s="5">
        <v>837060807958</v>
      </c>
      <c r="Y51" s="5">
        <v>0</v>
      </c>
      <c r="Z51" s="5">
        <v>42232961457</v>
      </c>
      <c r="AA51" s="5">
        <v>4200000000</v>
      </c>
      <c r="AB51" s="5">
        <v>883493769415</v>
      </c>
      <c r="AC51" s="5">
        <v>570866680862</v>
      </c>
      <c r="AD51" s="36">
        <f t="shared" si="2"/>
        <v>46.629823743444078</v>
      </c>
      <c r="AE51" s="5">
        <v>425264760136</v>
      </c>
      <c r="AF51" s="5">
        <v>355264760136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6">
        <v>0</v>
      </c>
      <c r="AM51" s="5">
        <v>0</v>
      </c>
      <c r="AN51" s="6">
        <v>67</v>
      </c>
      <c r="AO51" s="5">
        <v>892957832536</v>
      </c>
      <c r="AP51" s="6">
        <v>44</v>
      </c>
      <c r="AQ51" s="5">
        <v>521648011729</v>
      </c>
      <c r="AR51" s="5">
        <v>3544407836</v>
      </c>
      <c r="AS51" s="5">
        <v>3405278959</v>
      </c>
      <c r="AT51" s="5">
        <f t="shared" si="3"/>
        <v>139128877</v>
      </c>
      <c r="AU51" s="36">
        <f t="shared" si="4"/>
        <v>4.085682220902596</v>
      </c>
      <c r="AV51" s="5">
        <v>193755657221</v>
      </c>
      <c r="AW51" s="5">
        <v>35000019068</v>
      </c>
      <c r="AX51" s="5">
        <v>237658709176</v>
      </c>
      <c r="AY51" s="5">
        <v>109539282650</v>
      </c>
      <c r="AZ51" s="5">
        <v>164697821534</v>
      </c>
      <c r="BA51" s="5">
        <v>475393110376</v>
      </c>
      <c r="BB51" s="5">
        <v>60840152057</v>
      </c>
      <c r="BC51" s="5">
        <v>1028766621393</v>
      </c>
      <c r="BD51" s="5">
        <v>439353781324</v>
      </c>
      <c r="BE51" s="5">
        <v>164697821534</v>
      </c>
      <c r="BF51" s="5">
        <v>424715018535</v>
      </c>
      <c r="BG51" s="5">
        <v>319387116300</v>
      </c>
      <c r="BH51" s="5">
        <v>105877643836</v>
      </c>
      <c r="BI51" s="5">
        <v>0</v>
      </c>
      <c r="BJ51" s="48">
        <v>0</v>
      </c>
      <c r="BK51" s="5">
        <v>0</v>
      </c>
      <c r="BL51" s="5">
        <v>0</v>
      </c>
      <c r="BM51" s="5">
        <v>0</v>
      </c>
      <c r="BN51" s="5">
        <v>0</v>
      </c>
    </row>
    <row r="52" spans="1:66" x14ac:dyDescent="0.25">
      <c r="A52" s="17" t="s">
        <v>92</v>
      </c>
      <c r="B52" s="4">
        <v>1309</v>
      </c>
      <c r="C52" s="4" t="s">
        <v>101</v>
      </c>
      <c r="D52" s="5">
        <v>1874300455208</v>
      </c>
      <c r="E52" s="5">
        <v>698739391800</v>
      </c>
      <c r="F52" s="5">
        <v>0</v>
      </c>
      <c r="G52" s="5">
        <v>0</v>
      </c>
      <c r="H52" s="5">
        <v>2573039847008</v>
      </c>
      <c r="I52" s="5">
        <v>223743548068</v>
      </c>
      <c r="J52" s="5">
        <v>9106249398</v>
      </c>
      <c r="K52" s="5">
        <v>2340190049542</v>
      </c>
      <c r="L52" s="5">
        <v>1921465031766</v>
      </c>
      <c r="M52" s="5">
        <f t="shared" si="0"/>
        <v>651574815242</v>
      </c>
      <c r="N52" s="36">
        <f t="shared" si="1"/>
        <v>33.910313457182397</v>
      </c>
      <c r="O52" s="5">
        <v>1271790165911</v>
      </c>
      <c r="P52" s="36">
        <v>57.81</v>
      </c>
      <c r="Q52" s="6">
        <v>54.35</v>
      </c>
      <c r="R52" s="6">
        <v>3.39</v>
      </c>
      <c r="S52" s="5">
        <v>1375723666235</v>
      </c>
      <c r="T52" s="5">
        <v>47687322043</v>
      </c>
      <c r="U52" s="5">
        <v>21811113640</v>
      </c>
      <c r="V52" s="5">
        <v>16838170097</v>
      </c>
      <c r="W52" s="5">
        <v>9038038306</v>
      </c>
      <c r="X52" s="5">
        <v>1423410988278</v>
      </c>
      <c r="Y52" s="5">
        <v>2801581741</v>
      </c>
      <c r="Z52" s="5">
        <v>55180265727</v>
      </c>
      <c r="AA52" s="5">
        <v>8772800000</v>
      </c>
      <c r="AB52" s="5">
        <v>1487364054005</v>
      </c>
      <c r="AC52" s="5">
        <v>1999476592017</v>
      </c>
      <c r="AD52" s="36">
        <f t="shared" si="2"/>
        <v>-28.810820093566875</v>
      </c>
      <c r="AE52" s="5">
        <v>800827857275</v>
      </c>
      <c r="AF52" s="5">
        <v>790008473714</v>
      </c>
      <c r="AG52" s="5">
        <v>0</v>
      </c>
      <c r="AH52" s="5">
        <v>2502244232</v>
      </c>
      <c r="AI52" s="5">
        <v>2343068493</v>
      </c>
      <c r="AJ52" s="5">
        <v>0</v>
      </c>
      <c r="AK52" s="5">
        <v>0</v>
      </c>
      <c r="AL52" s="6">
        <v>0</v>
      </c>
      <c r="AM52" s="5">
        <v>0</v>
      </c>
      <c r="AN52" s="6">
        <v>4</v>
      </c>
      <c r="AO52" s="5">
        <v>1000401899284</v>
      </c>
      <c r="AP52" s="6">
        <v>28</v>
      </c>
      <c r="AQ52" s="5">
        <v>7016270808091</v>
      </c>
      <c r="AR52" s="5">
        <v>47687322043</v>
      </c>
      <c r="AS52" s="5">
        <v>28227677714</v>
      </c>
      <c r="AT52" s="5">
        <f t="shared" si="3"/>
        <v>19459644329</v>
      </c>
      <c r="AU52" s="36">
        <f t="shared" si="4"/>
        <v>68.938169573009745</v>
      </c>
      <c r="AV52" s="5">
        <v>1403399427019</v>
      </c>
      <c r="AW52" s="5">
        <v>701708204907</v>
      </c>
      <c r="AX52" s="5">
        <v>709161211020</v>
      </c>
      <c r="AY52" s="5">
        <v>485398969207</v>
      </c>
      <c r="AZ52" s="5">
        <v>259767726239</v>
      </c>
      <c r="BA52" s="5">
        <v>434851707666</v>
      </c>
      <c r="BB52" s="5">
        <v>121317517632</v>
      </c>
      <c r="BC52" s="5">
        <v>2573039847008</v>
      </c>
      <c r="BD52" s="5">
        <v>1893299572027</v>
      </c>
      <c r="BE52" s="5">
        <v>259767726239</v>
      </c>
      <c r="BF52" s="5">
        <v>419972548742</v>
      </c>
      <c r="BG52" s="5">
        <v>152069083561</v>
      </c>
      <c r="BH52" s="5">
        <v>648758773714</v>
      </c>
      <c r="BI52" s="5">
        <v>0</v>
      </c>
      <c r="BJ52" s="48">
        <v>0</v>
      </c>
      <c r="BK52" s="5">
        <v>0</v>
      </c>
      <c r="BL52" s="5">
        <v>0</v>
      </c>
      <c r="BM52" s="5">
        <v>270000000</v>
      </c>
      <c r="BN52" s="5">
        <v>2502244232</v>
      </c>
    </row>
    <row r="53" spans="1:66" x14ac:dyDescent="0.25">
      <c r="A53" s="17" t="s">
        <v>92</v>
      </c>
      <c r="B53" s="4">
        <v>1310</v>
      </c>
      <c r="C53" s="4" t="s">
        <v>102</v>
      </c>
      <c r="D53" s="5">
        <v>1152038014212</v>
      </c>
      <c r="E53" s="5">
        <v>27658873946</v>
      </c>
      <c r="F53" s="5">
        <v>0</v>
      </c>
      <c r="G53" s="5">
        <v>0</v>
      </c>
      <c r="H53" s="5">
        <v>1179696888158</v>
      </c>
      <c r="I53" s="5">
        <v>93912428510</v>
      </c>
      <c r="J53" s="5">
        <v>3783650703</v>
      </c>
      <c r="K53" s="5">
        <v>1082000808945</v>
      </c>
      <c r="L53" s="5">
        <v>827630216551</v>
      </c>
      <c r="M53" s="5">
        <f t="shared" si="0"/>
        <v>352066671607</v>
      </c>
      <c r="N53" s="36">
        <f t="shared" si="1"/>
        <v>42.539127325990407</v>
      </c>
      <c r="O53" s="5">
        <v>1251240224798</v>
      </c>
      <c r="P53" s="36">
        <v>124.28</v>
      </c>
      <c r="Q53" s="6">
        <v>115.64</v>
      </c>
      <c r="R53" s="6">
        <v>3.05</v>
      </c>
      <c r="S53" s="5">
        <v>1342874468546</v>
      </c>
      <c r="T53" s="5">
        <v>41624862975</v>
      </c>
      <c r="U53" s="5">
        <v>35031035682</v>
      </c>
      <c r="V53" s="5">
        <v>6593827293</v>
      </c>
      <c r="W53" s="5">
        <v>0</v>
      </c>
      <c r="X53" s="5">
        <v>1384499331521</v>
      </c>
      <c r="Y53" s="5">
        <v>3160937863</v>
      </c>
      <c r="Z53" s="5">
        <v>67618254570</v>
      </c>
      <c r="AA53" s="5">
        <v>14064199999</v>
      </c>
      <c r="AB53" s="5">
        <v>1466181786090</v>
      </c>
      <c r="AC53" s="5">
        <v>760793172838</v>
      </c>
      <c r="AD53" s="36">
        <f t="shared" si="2"/>
        <v>81.981040439200854</v>
      </c>
      <c r="AE53" s="5">
        <v>1028631950745</v>
      </c>
      <c r="AF53" s="5">
        <v>1013769856554</v>
      </c>
      <c r="AG53" s="5">
        <v>0</v>
      </c>
      <c r="AH53" s="5">
        <v>0</v>
      </c>
      <c r="AI53" s="5">
        <v>133399271711</v>
      </c>
      <c r="AJ53" s="5">
        <v>0</v>
      </c>
      <c r="AK53" s="5">
        <v>0</v>
      </c>
      <c r="AL53" s="6">
        <v>0</v>
      </c>
      <c r="AM53" s="5">
        <v>0</v>
      </c>
      <c r="AN53" s="6">
        <v>98</v>
      </c>
      <c r="AO53" s="5">
        <v>1083758829411</v>
      </c>
      <c r="AP53" s="6">
        <v>21</v>
      </c>
      <c r="AQ53" s="5">
        <v>59280565096</v>
      </c>
      <c r="AR53" s="5">
        <v>41624862975</v>
      </c>
      <c r="AS53" s="5">
        <v>5580964359</v>
      </c>
      <c r="AT53" s="5">
        <f t="shared" si="3"/>
        <v>36043898616</v>
      </c>
      <c r="AU53" s="36">
        <f t="shared" si="4"/>
        <v>645.83638771809615</v>
      </c>
      <c r="AV53" s="5">
        <v>374308293096</v>
      </c>
      <c r="AW53" s="5">
        <v>156131543247</v>
      </c>
      <c r="AX53" s="5">
        <v>53797276514</v>
      </c>
      <c r="AY53" s="5">
        <v>418996825132</v>
      </c>
      <c r="AZ53" s="5">
        <v>424628912566</v>
      </c>
      <c r="BA53" s="5">
        <v>284022780752</v>
      </c>
      <c r="BB53" s="5">
        <v>416960520910</v>
      </c>
      <c r="BC53" s="5">
        <v>1179696888158</v>
      </c>
      <c r="BD53" s="5">
        <v>500452975592</v>
      </c>
      <c r="BE53" s="5">
        <v>424628912566</v>
      </c>
      <c r="BF53" s="5">
        <v>254615000000</v>
      </c>
      <c r="BG53" s="5">
        <v>562270471732</v>
      </c>
      <c r="BH53" s="5">
        <v>466361479013</v>
      </c>
      <c r="BI53" s="5">
        <v>0</v>
      </c>
      <c r="BJ53" s="48">
        <v>0</v>
      </c>
      <c r="BK53" s="5">
        <v>0</v>
      </c>
      <c r="BL53" s="5">
        <v>0</v>
      </c>
      <c r="BM53" s="5">
        <v>0</v>
      </c>
      <c r="BN53" s="5">
        <v>0</v>
      </c>
    </row>
    <row r="54" spans="1:66" x14ac:dyDescent="0.25">
      <c r="A54" s="17" t="s">
        <v>92</v>
      </c>
      <c r="B54" s="4">
        <v>1399</v>
      </c>
      <c r="C54" s="4" t="s">
        <v>103</v>
      </c>
      <c r="D54" s="5">
        <v>0</v>
      </c>
      <c r="E54" s="5">
        <v>561333781</v>
      </c>
      <c r="F54" s="5">
        <v>0</v>
      </c>
      <c r="G54" s="5">
        <v>0</v>
      </c>
      <c r="H54" s="5">
        <v>561333781</v>
      </c>
      <c r="I54" s="5">
        <v>28924518</v>
      </c>
      <c r="J54" s="5">
        <v>22875000000</v>
      </c>
      <c r="K54" s="5">
        <v>-22342590737</v>
      </c>
      <c r="L54" s="5">
        <v>1247941305</v>
      </c>
      <c r="M54" s="5">
        <f t="shared" si="0"/>
        <v>-686607524</v>
      </c>
      <c r="N54" s="36">
        <f t="shared" si="1"/>
        <v>-55.019216148150498</v>
      </c>
      <c r="O54" s="5">
        <v>0</v>
      </c>
      <c r="P54" s="36">
        <v>0</v>
      </c>
      <c r="Q54" s="6">
        <v>0</v>
      </c>
      <c r="R54" s="6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36">
        <f t="shared" si="2"/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6">
        <v>0</v>
      </c>
      <c r="AM54" s="5">
        <v>0</v>
      </c>
      <c r="AN54" s="6">
        <v>0</v>
      </c>
      <c r="AO54" s="5">
        <v>0</v>
      </c>
      <c r="AP54" s="6">
        <v>0</v>
      </c>
      <c r="AQ54" s="5">
        <v>0</v>
      </c>
      <c r="AR54" s="5">
        <v>0</v>
      </c>
      <c r="AS54" s="5">
        <v>0</v>
      </c>
      <c r="AT54" s="5">
        <f t="shared" si="3"/>
        <v>0</v>
      </c>
      <c r="AU54" s="36">
        <f t="shared" si="4"/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561333781</v>
      </c>
      <c r="BD54" s="5">
        <v>561333781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48">
        <v>0</v>
      </c>
      <c r="BK54" s="5">
        <v>0</v>
      </c>
      <c r="BL54" s="5">
        <v>0</v>
      </c>
      <c r="BM54" s="5">
        <v>0</v>
      </c>
      <c r="BN54" s="5">
        <v>0</v>
      </c>
    </row>
    <row r="55" spans="1:66" x14ac:dyDescent="0.25">
      <c r="A55" s="30" t="s">
        <v>574</v>
      </c>
      <c r="B55" s="13" t="s">
        <v>625</v>
      </c>
      <c r="C55" s="13" t="s">
        <v>625</v>
      </c>
      <c r="D55" s="14">
        <v>15819935053649</v>
      </c>
      <c r="E55" s="14">
        <v>1348859947002</v>
      </c>
      <c r="F55" s="14">
        <v>4600000000</v>
      </c>
      <c r="G55" s="14">
        <v>272471600</v>
      </c>
      <c r="H55" s="14">
        <v>17173667472251</v>
      </c>
      <c r="I55" s="14">
        <v>1387053285451</v>
      </c>
      <c r="J55" s="14">
        <v>254231620786</v>
      </c>
      <c r="K55" s="14">
        <v>15532382566014</v>
      </c>
      <c r="L55" s="14">
        <v>12634633986636</v>
      </c>
      <c r="M55" s="14">
        <f t="shared" si="0"/>
        <v>4539033485615</v>
      </c>
      <c r="N55" s="41">
        <f t="shared" si="1"/>
        <v>35.925326292918818</v>
      </c>
      <c r="O55" s="14">
        <v>20704292256067</v>
      </c>
      <c r="P55" s="41">
        <v>151.87</v>
      </c>
      <c r="Q55" s="15">
        <v>133.30000000000001</v>
      </c>
      <c r="R55" s="15">
        <v>2.87</v>
      </c>
      <c r="S55" s="14">
        <v>24133841517023</v>
      </c>
      <c r="T55" s="14">
        <v>717149343017</v>
      </c>
      <c r="U55" s="14">
        <v>337047369211</v>
      </c>
      <c r="V55" s="14">
        <v>279934773497</v>
      </c>
      <c r="W55" s="14">
        <v>100167200309</v>
      </c>
      <c r="X55" s="14">
        <v>24850990860040</v>
      </c>
      <c r="Y55" s="14">
        <v>32310146148</v>
      </c>
      <c r="Z55" s="14">
        <v>1079911123290</v>
      </c>
      <c r="AA55" s="14">
        <v>151133415950</v>
      </c>
      <c r="AB55" s="14">
        <v>26082035399280</v>
      </c>
      <c r="AC55" s="14">
        <v>19620876968434</v>
      </c>
      <c r="AD55" s="41">
        <f t="shared" si="2"/>
        <v>26.655862018910721</v>
      </c>
      <c r="AE55" s="14">
        <v>13134413644929</v>
      </c>
      <c r="AF55" s="14">
        <v>12372422586512</v>
      </c>
      <c r="AG55" s="14">
        <v>133143453760</v>
      </c>
      <c r="AH55" s="14">
        <v>94702706183</v>
      </c>
      <c r="AI55" s="14">
        <v>437060500031</v>
      </c>
      <c r="AJ55" s="14">
        <v>46670000000</v>
      </c>
      <c r="AK55" s="14">
        <v>14150000000</v>
      </c>
      <c r="AL55" s="15">
        <v>4</v>
      </c>
      <c r="AM55" s="14">
        <v>188700000000</v>
      </c>
      <c r="AN55" s="15">
        <v>498</v>
      </c>
      <c r="AO55" s="14">
        <v>5927538368482</v>
      </c>
      <c r="AP55" s="15">
        <v>386</v>
      </c>
      <c r="AQ55" s="14">
        <v>8666028289910</v>
      </c>
      <c r="AR55" s="14">
        <v>717149343017</v>
      </c>
      <c r="AS55" s="14">
        <v>369278293555</v>
      </c>
      <c r="AT55" s="14">
        <f t="shared" si="3"/>
        <v>347871049462</v>
      </c>
      <c r="AU55" s="41">
        <f t="shared" si="4"/>
        <v>94.202950872927047</v>
      </c>
      <c r="AV55" s="14">
        <v>7960461848027</v>
      </c>
      <c r="AW55" s="14">
        <v>2776558401781</v>
      </c>
      <c r="AX55" s="14">
        <v>3081393228396</v>
      </c>
      <c r="AY55" s="14">
        <v>3893546887140</v>
      </c>
      <c r="AZ55" s="14">
        <v>4265654878157</v>
      </c>
      <c r="BA55" s="14">
        <v>5327094799968</v>
      </c>
      <c r="BB55" s="14">
        <v>2398887067727</v>
      </c>
      <c r="BC55" s="14">
        <v>17173667472251</v>
      </c>
      <c r="BD55" s="14">
        <v>8012900818241</v>
      </c>
      <c r="BE55" s="14">
        <v>4270254878157</v>
      </c>
      <c r="BF55" s="14">
        <v>4890511775853</v>
      </c>
      <c r="BG55" s="14">
        <v>8187447802166</v>
      </c>
      <c r="BH55" s="14">
        <v>4946965842763</v>
      </c>
      <c r="BI55" s="14">
        <v>0</v>
      </c>
      <c r="BJ55" s="49">
        <v>0</v>
      </c>
      <c r="BK55" s="14">
        <v>183003040645</v>
      </c>
      <c r="BL55" s="14">
        <v>116838860</v>
      </c>
      <c r="BM55" s="14">
        <v>30593200715</v>
      </c>
      <c r="BN55" s="14">
        <v>138991204243</v>
      </c>
    </row>
    <row r="56" spans="1:66" x14ac:dyDescent="0.25">
      <c r="A56" s="17" t="s">
        <v>104</v>
      </c>
      <c r="B56" s="4">
        <v>1400</v>
      </c>
      <c r="C56" s="4" t="s">
        <v>104</v>
      </c>
      <c r="D56" s="5">
        <v>9057375764676</v>
      </c>
      <c r="E56" s="5">
        <v>590021564197</v>
      </c>
      <c r="F56" s="5">
        <v>91200000000</v>
      </c>
      <c r="G56" s="5">
        <v>197078655777</v>
      </c>
      <c r="H56" s="5">
        <v>9935675984650</v>
      </c>
      <c r="I56" s="5">
        <v>900890855121</v>
      </c>
      <c r="J56" s="5">
        <v>243294067760</v>
      </c>
      <c r="K56" s="5">
        <v>8791491061769</v>
      </c>
      <c r="L56" s="5">
        <v>12262440565967</v>
      </c>
      <c r="M56" s="5">
        <f t="shared" si="0"/>
        <v>-2326764581317</v>
      </c>
      <c r="N56" s="36">
        <f t="shared" si="1"/>
        <v>-18.974726676960774</v>
      </c>
      <c r="O56" s="5">
        <v>16064575161189</v>
      </c>
      <c r="P56" s="36">
        <v>225.14</v>
      </c>
      <c r="Q56" s="6">
        <v>182.73</v>
      </c>
      <c r="R56" s="6">
        <v>15.06</v>
      </c>
      <c r="S56" s="5">
        <v>17834961728169</v>
      </c>
      <c r="T56" s="5">
        <v>3074083203921</v>
      </c>
      <c r="U56" s="5">
        <v>79324663435</v>
      </c>
      <c r="V56" s="5">
        <v>2206744981757</v>
      </c>
      <c r="W56" s="5">
        <v>788013558729</v>
      </c>
      <c r="X56" s="5">
        <v>20909044932090</v>
      </c>
      <c r="Y56" s="5">
        <v>295837173177</v>
      </c>
      <c r="Z56" s="5">
        <v>1434061661863</v>
      </c>
      <c r="AA56" s="5">
        <v>26391436519</v>
      </c>
      <c r="AB56" s="5">
        <v>22369498030472</v>
      </c>
      <c r="AC56" s="5">
        <v>14194512226146</v>
      </c>
      <c r="AD56" s="36">
        <f t="shared" si="2"/>
        <v>47.30372272726617</v>
      </c>
      <c r="AE56" s="5">
        <v>19992491887504</v>
      </c>
      <c r="AF56" s="5">
        <v>19360692360305</v>
      </c>
      <c r="AG56" s="5">
        <v>7887277319773</v>
      </c>
      <c r="AH56" s="5">
        <v>672131147794</v>
      </c>
      <c r="AI56" s="5">
        <v>0</v>
      </c>
      <c r="AJ56" s="5">
        <v>0</v>
      </c>
      <c r="AK56" s="5">
        <v>21941088554</v>
      </c>
      <c r="AL56" s="6">
        <v>8</v>
      </c>
      <c r="AM56" s="5">
        <v>5316377506675</v>
      </c>
      <c r="AN56" s="6">
        <v>42</v>
      </c>
      <c r="AO56" s="5">
        <v>2654455938201</v>
      </c>
      <c r="AP56" s="6">
        <v>51</v>
      </c>
      <c r="AQ56" s="5">
        <v>1592942095931</v>
      </c>
      <c r="AR56" s="5">
        <v>3074083203921</v>
      </c>
      <c r="AS56" s="5">
        <v>2517578784373</v>
      </c>
      <c r="AT56" s="5">
        <f t="shared" si="3"/>
        <v>556504419548</v>
      </c>
      <c r="AU56" s="36">
        <f t="shared" si="4"/>
        <v>22.104746949819756</v>
      </c>
      <c r="AV56" s="5">
        <v>15323338015951</v>
      </c>
      <c r="AW56" s="5">
        <v>544544721989</v>
      </c>
      <c r="AX56" s="5">
        <v>1436032361414</v>
      </c>
      <c r="AY56" s="5">
        <v>2152953378706</v>
      </c>
      <c r="AZ56" s="5">
        <v>4738316508114</v>
      </c>
      <c r="BA56" s="5">
        <v>1034336604494</v>
      </c>
      <c r="BB56" s="5">
        <v>4036936839254</v>
      </c>
      <c r="BC56" s="5">
        <v>9935675984650</v>
      </c>
      <c r="BD56" s="5">
        <v>4131402746944</v>
      </c>
      <c r="BE56" s="5">
        <v>4829516508114</v>
      </c>
      <c r="BF56" s="5">
        <v>974756729592</v>
      </c>
      <c r="BG56" s="5">
        <v>17240159877552</v>
      </c>
      <c r="BH56" s="5">
        <v>2752332009952</v>
      </c>
      <c r="BI56" s="5">
        <v>0</v>
      </c>
      <c r="BJ56" s="48">
        <v>378177926075</v>
      </c>
      <c r="BK56" s="5">
        <v>8386699831477</v>
      </c>
      <c r="BL56" s="5">
        <v>0</v>
      </c>
      <c r="BM56" s="5">
        <v>326843378967</v>
      </c>
      <c r="BN56" s="5">
        <v>510131147794</v>
      </c>
    </row>
    <row r="57" spans="1:66" x14ac:dyDescent="0.25">
      <c r="A57" s="17" t="s">
        <v>104</v>
      </c>
      <c r="B57" s="4">
        <v>1401</v>
      </c>
      <c r="C57" s="4" t="s">
        <v>105</v>
      </c>
      <c r="D57" s="5">
        <v>2831299098612</v>
      </c>
      <c r="E57" s="5">
        <v>631320524417</v>
      </c>
      <c r="F57" s="5">
        <v>0</v>
      </c>
      <c r="G57" s="5">
        <v>156876200</v>
      </c>
      <c r="H57" s="5">
        <v>3462776499229</v>
      </c>
      <c r="I57" s="5">
        <v>237799645077</v>
      </c>
      <c r="J57" s="5">
        <v>2467792731</v>
      </c>
      <c r="K57" s="5">
        <v>3222509061421</v>
      </c>
      <c r="L57" s="5">
        <v>2918754897085</v>
      </c>
      <c r="M57" s="5">
        <f t="shared" si="0"/>
        <v>544021602144</v>
      </c>
      <c r="N57" s="36">
        <f t="shared" si="1"/>
        <v>18.638824475714689</v>
      </c>
      <c r="O57" s="5">
        <v>1365671597814</v>
      </c>
      <c r="P57" s="36">
        <v>44.13</v>
      </c>
      <c r="Q57" s="6">
        <v>42.38</v>
      </c>
      <c r="R57" s="6">
        <v>0.38</v>
      </c>
      <c r="S57" s="5">
        <v>1505554202748</v>
      </c>
      <c r="T57" s="5">
        <v>5733168513</v>
      </c>
      <c r="U57" s="5">
        <v>5733168513</v>
      </c>
      <c r="V57" s="5">
        <v>0</v>
      </c>
      <c r="W57" s="5">
        <v>0</v>
      </c>
      <c r="X57" s="5">
        <v>1511287371261</v>
      </c>
      <c r="Y57" s="5">
        <v>0</v>
      </c>
      <c r="Z57" s="5">
        <v>16712249057</v>
      </c>
      <c r="AA57" s="5">
        <v>0</v>
      </c>
      <c r="AB57" s="5">
        <v>1527999620318</v>
      </c>
      <c r="AC57" s="5">
        <v>1862730975187</v>
      </c>
      <c r="AD57" s="36">
        <f t="shared" si="2"/>
        <v>-18.867115466886919</v>
      </c>
      <c r="AE57" s="5">
        <v>2104658998112</v>
      </c>
      <c r="AF57" s="5">
        <v>2104658998112</v>
      </c>
      <c r="AG57" s="5">
        <v>736913063039</v>
      </c>
      <c r="AH57" s="5">
        <v>0</v>
      </c>
      <c r="AI57" s="5">
        <v>0</v>
      </c>
      <c r="AJ57" s="5">
        <v>0</v>
      </c>
      <c r="AK57" s="5">
        <v>0</v>
      </c>
      <c r="AL57" s="6">
        <v>44</v>
      </c>
      <c r="AM57" s="5">
        <v>2216174144854</v>
      </c>
      <c r="AN57" s="6">
        <v>120</v>
      </c>
      <c r="AO57" s="5">
        <v>8045582710988</v>
      </c>
      <c r="AP57" s="6">
        <v>159</v>
      </c>
      <c r="AQ57" s="5">
        <v>8046647728020</v>
      </c>
      <c r="AR57" s="5">
        <v>5733168513</v>
      </c>
      <c r="AS57" s="5">
        <v>0</v>
      </c>
      <c r="AT57" s="5">
        <f t="shared" si="3"/>
        <v>5733168513</v>
      </c>
      <c r="AU57" s="36">
        <f t="shared" si="4"/>
        <v>0</v>
      </c>
      <c r="AV57" s="5">
        <v>2640660187730</v>
      </c>
      <c r="AW57" s="5">
        <v>100601894779</v>
      </c>
      <c r="AX57" s="5">
        <v>1533927853528</v>
      </c>
      <c r="AY57" s="5">
        <v>230180394417</v>
      </c>
      <c r="AZ57" s="5">
        <v>531394050667</v>
      </c>
      <c r="BA57" s="5">
        <v>640113735912</v>
      </c>
      <c r="BB57" s="5">
        <v>199677415435</v>
      </c>
      <c r="BC57" s="5">
        <v>3462776499229</v>
      </c>
      <c r="BD57" s="5">
        <v>2395585648562</v>
      </c>
      <c r="BE57" s="5">
        <v>531394050667</v>
      </c>
      <c r="BF57" s="5">
        <v>535796800000</v>
      </c>
      <c r="BG57" s="5">
        <v>1621678610979</v>
      </c>
      <c r="BH57" s="5">
        <v>482980387133</v>
      </c>
      <c r="BI57" s="5">
        <v>0</v>
      </c>
      <c r="BJ57" s="48">
        <v>0</v>
      </c>
      <c r="BK57" s="5">
        <v>1328308548483</v>
      </c>
      <c r="BL57" s="5">
        <v>0</v>
      </c>
      <c r="BM57" s="5">
        <v>0</v>
      </c>
      <c r="BN57" s="5">
        <v>0</v>
      </c>
    </row>
    <row r="58" spans="1:66" x14ac:dyDescent="0.25">
      <c r="A58" s="17" t="s">
        <v>104</v>
      </c>
      <c r="B58" s="4">
        <v>1402</v>
      </c>
      <c r="C58" s="4" t="s">
        <v>106</v>
      </c>
      <c r="D58" s="5">
        <v>1622440304490</v>
      </c>
      <c r="E58" s="5">
        <v>76040818426</v>
      </c>
      <c r="F58" s="5">
        <v>0</v>
      </c>
      <c r="G58" s="5">
        <v>0</v>
      </c>
      <c r="H58" s="5">
        <v>1698481122916</v>
      </c>
      <c r="I58" s="5">
        <v>141724451637</v>
      </c>
      <c r="J58" s="5">
        <v>2162727032</v>
      </c>
      <c r="K58" s="5">
        <v>1554593944247</v>
      </c>
      <c r="L58" s="5">
        <v>1131619370462</v>
      </c>
      <c r="M58" s="5">
        <f t="shared" si="0"/>
        <v>566861752454</v>
      </c>
      <c r="N58" s="36">
        <f t="shared" si="1"/>
        <v>50.092970061352915</v>
      </c>
      <c r="O58" s="5">
        <v>938174430689</v>
      </c>
      <c r="P58" s="36">
        <v>62.91</v>
      </c>
      <c r="Q58" s="6">
        <v>60.35</v>
      </c>
      <c r="R58" s="6">
        <v>1.48</v>
      </c>
      <c r="S58" s="5">
        <v>1017489821423</v>
      </c>
      <c r="T58" s="5">
        <v>15572749700</v>
      </c>
      <c r="U58" s="5">
        <v>14558494140</v>
      </c>
      <c r="V58" s="5">
        <v>1014255560</v>
      </c>
      <c r="W58" s="5">
        <v>0</v>
      </c>
      <c r="X58" s="5">
        <v>1033062571123</v>
      </c>
      <c r="Y58" s="5">
        <v>250074657</v>
      </c>
      <c r="Z58" s="5">
        <v>35495932843</v>
      </c>
      <c r="AA58" s="5">
        <v>0</v>
      </c>
      <c r="AB58" s="5">
        <v>1068558503966</v>
      </c>
      <c r="AC58" s="5">
        <v>761360029267</v>
      </c>
      <c r="AD58" s="36">
        <f t="shared" si="2"/>
        <v>35.686473076027099</v>
      </c>
      <c r="AE58" s="5">
        <v>1299327017168</v>
      </c>
      <c r="AF58" s="5">
        <v>1299327017168</v>
      </c>
      <c r="AG58" s="5">
        <v>724177907141</v>
      </c>
      <c r="AH58" s="5">
        <v>641249999</v>
      </c>
      <c r="AI58" s="5">
        <v>0</v>
      </c>
      <c r="AJ58" s="5">
        <v>0</v>
      </c>
      <c r="AK58" s="5">
        <v>0</v>
      </c>
      <c r="AL58" s="6">
        <v>4</v>
      </c>
      <c r="AM58" s="5">
        <v>896327470554</v>
      </c>
      <c r="AN58" s="6">
        <v>55</v>
      </c>
      <c r="AO58" s="5">
        <v>402677249934</v>
      </c>
      <c r="AP58" s="6">
        <v>62</v>
      </c>
      <c r="AQ58" s="5">
        <v>712835751844</v>
      </c>
      <c r="AR58" s="5">
        <v>15572749700</v>
      </c>
      <c r="AS58" s="5">
        <v>6213319364</v>
      </c>
      <c r="AT58" s="5">
        <f t="shared" si="3"/>
        <v>9359430336</v>
      </c>
      <c r="AU58" s="36">
        <f t="shared" si="4"/>
        <v>150.63494708204735</v>
      </c>
      <c r="AV58" s="5">
        <v>1054693865197</v>
      </c>
      <c r="AW58" s="5">
        <v>59613730764</v>
      </c>
      <c r="AX58" s="5">
        <v>510334576831</v>
      </c>
      <c r="AY58" s="5">
        <v>155566412867</v>
      </c>
      <c r="AZ58" s="5">
        <v>526427014792</v>
      </c>
      <c r="BA58" s="5">
        <v>614147386676</v>
      </c>
      <c r="BB58" s="5">
        <v>242069188256</v>
      </c>
      <c r="BC58" s="5">
        <v>1698481122916</v>
      </c>
      <c r="BD58" s="5">
        <v>741941808124</v>
      </c>
      <c r="BE58" s="5">
        <v>525993014792</v>
      </c>
      <c r="BF58" s="5">
        <v>430546300000</v>
      </c>
      <c r="BG58" s="5">
        <v>1170507017168</v>
      </c>
      <c r="BH58" s="5">
        <v>128820000000</v>
      </c>
      <c r="BI58" s="5">
        <v>0</v>
      </c>
      <c r="BJ58" s="48">
        <v>0</v>
      </c>
      <c r="BK58" s="5">
        <v>668960276421</v>
      </c>
      <c r="BL58" s="5">
        <v>0</v>
      </c>
      <c r="BM58" s="5">
        <v>0</v>
      </c>
      <c r="BN58" s="5">
        <v>641249999</v>
      </c>
    </row>
    <row r="59" spans="1:66" x14ac:dyDescent="0.25">
      <c r="A59" s="17" t="s">
        <v>104</v>
      </c>
      <c r="B59" s="4">
        <v>1403</v>
      </c>
      <c r="C59" s="4" t="s">
        <v>107</v>
      </c>
      <c r="D59" s="5">
        <v>2905526791962</v>
      </c>
      <c r="E59" s="5">
        <v>45747714464</v>
      </c>
      <c r="F59" s="5">
        <v>0</v>
      </c>
      <c r="G59" s="5">
        <v>0</v>
      </c>
      <c r="H59" s="5">
        <v>2951274506426</v>
      </c>
      <c r="I59" s="5">
        <v>220008873902</v>
      </c>
      <c r="J59" s="5">
        <v>3414139706</v>
      </c>
      <c r="K59" s="5">
        <v>2727851492818</v>
      </c>
      <c r="L59" s="5">
        <v>1909312041682</v>
      </c>
      <c r="M59" s="5">
        <f t="shared" si="0"/>
        <v>1041962464744</v>
      </c>
      <c r="N59" s="36">
        <f t="shared" si="1"/>
        <v>54.572665022637565</v>
      </c>
      <c r="O59" s="5">
        <v>2146827074811</v>
      </c>
      <c r="P59" s="36">
        <v>83.18</v>
      </c>
      <c r="Q59" s="6">
        <v>78.7</v>
      </c>
      <c r="R59" s="6">
        <v>2.86</v>
      </c>
      <c r="S59" s="5">
        <v>2340241652566</v>
      </c>
      <c r="T59" s="5">
        <v>63619795877</v>
      </c>
      <c r="U59" s="5">
        <v>43669385711</v>
      </c>
      <c r="V59" s="5">
        <v>14793203545</v>
      </c>
      <c r="W59" s="5">
        <v>5157206621</v>
      </c>
      <c r="X59" s="5">
        <v>2403861448443</v>
      </c>
      <c r="Y59" s="5">
        <v>6554903673</v>
      </c>
      <c r="Z59" s="5">
        <v>51001753186</v>
      </c>
      <c r="AA59" s="5">
        <v>10000000</v>
      </c>
      <c r="AB59" s="5">
        <v>2454873201629</v>
      </c>
      <c r="AC59" s="5">
        <v>1458679669397</v>
      </c>
      <c r="AD59" s="36">
        <f t="shared" si="2"/>
        <v>64.797076347593602</v>
      </c>
      <c r="AE59" s="5">
        <v>1781165758137</v>
      </c>
      <c r="AF59" s="5">
        <v>1748125758137</v>
      </c>
      <c r="AG59" s="5">
        <v>0</v>
      </c>
      <c r="AH59" s="5">
        <v>0</v>
      </c>
      <c r="AI59" s="5">
        <v>3500000000</v>
      </c>
      <c r="AJ59" s="5">
        <v>0</v>
      </c>
      <c r="AK59" s="5">
        <v>0</v>
      </c>
      <c r="AL59" s="6">
        <v>0</v>
      </c>
      <c r="AM59" s="5">
        <v>0</v>
      </c>
      <c r="AN59" s="6">
        <v>50</v>
      </c>
      <c r="AO59" s="5">
        <v>533695529800</v>
      </c>
      <c r="AP59" s="6">
        <v>31</v>
      </c>
      <c r="AQ59" s="5">
        <v>441437958258</v>
      </c>
      <c r="AR59" s="5">
        <v>63619795877</v>
      </c>
      <c r="AS59" s="5">
        <v>28743210871</v>
      </c>
      <c r="AT59" s="5">
        <f t="shared" si="3"/>
        <v>34876585006</v>
      </c>
      <c r="AU59" s="36">
        <f t="shared" si="4"/>
        <v>121.3385142061083</v>
      </c>
      <c r="AV59" s="5">
        <v>899148364455</v>
      </c>
      <c r="AW59" s="5">
        <v>209841342240</v>
      </c>
      <c r="AX59" s="5">
        <v>869063871516</v>
      </c>
      <c r="AY59" s="5">
        <v>582949529033</v>
      </c>
      <c r="AZ59" s="5">
        <v>487227454203</v>
      </c>
      <c r="BA59" s="5">
        <v>1200606503690</v>
      </c>
      <c r="BB59" s="5">
        <v>291562681835</v>
      </c>
      <c r="BC59" s="5">
        <v>2951274506426</v>
      </c>
      <c r="BD59" s="5">
        <v>1497761115013</v>
      </c>
      <c r="BE59" s="5">
        <v>487077454203</v>
      </c>
      <c r="BF59" s="5">
        <v>966435937210</v>
      </c>
      <c r="BG59" s="5">
        <v>1572276058137</v>
      </c>
      <c r="BH59" s="5">
        <v>208889700000</v>
      </c>
      <c r="BI59" s="5">
        <v>0</v>
      </c>
      <c r="BJ59" s="48">
        <v>0</v>
      </c>
      <c r="BK59" s="5">
        <v>0</v>
      </c>
      <c r="BL59" s="5">
        <v>0</v>
      </c>
      <c r="BM59" s="5">
        <v>0</v>
      </c>
      <c r="BN59" s="5">
        <v>0</v>
      </c>
    </row>
    <row r="60" spans="1:66" x14ac:dyDescent="0.25">
      <c r="A60" s="17" t="s">
        <v>104</v>
      </c>
      <c r="B60" s="4">
        <v>1404</v>
      </c>
      <c r="C60" s="4" t="s">
        <v>108</v>
      </c>
      <c r="D60" s="5">
        <v>3113047424709</v>
      </c>
      <c r="E60" s="5">
        <v>926623588260</v>
      </c>
      <c r="F60" s="5">
        <v>0</v>
      </c>
      <c r="G60" s="5">
        <v>9689520436</v>
      </c>
      <c r="H60" s="5">
        <v>4049360533405</v>
      </c>
      <c r="I60" s="5">
        <v>311546441766</v>
      </c>
      <c r="J60" s="5">
        <v>7329050139</v>
      </c>
      <c r="K60" s="5">
        <v>3730485041500</v>
      </c>
      <c r="L60" s="5">
        <v>2882699919476</v>
      </c>
      <c r="M60" s="5">
        <f t="shared" si="0"/>
        <v>1166660613929</v>
      </c>
      <c r="N60" s="36">
        <f t="shared" si="1"/>
        <v>40.471108562040989</v>
      </c>
      <c r="O60" s="5">
        <v>2872849817737</v>
      </c>
      <c r="P60" s="36">
        <v>102.17</v>
      </c>
      <c r="Q60" s="6">
        <v>77.010000000000005</v>
      </c>
      <c r="R60" s="6">
        <v>33.17</v>
      </c>
      <c r="S60" s="5">
        <v>2677362315508</v>
      </c>
      <c r="T60" s="5">
        <v>513100753631</v>
      </c>
      <c r="U60" s="5">
        <v>35661158551</v>
      </c>
      <c r="V60" s="5">
        <v>146787130</v>
      </c>
      <c r="W60" s="5">
        <v>477292807950</v>
      </c>
      <c r="X60" s="5">
        <v>3190463069139</v>
      </c>
      <c r="Y60" s="5">
        <v>859215562181</v>
      </c>
      <c r="Z60" s="5">
        <v>945784210277</v>
      </c>
      <c r="AA60" s="5">
        <v>1000000000</v>
      </c>
      <c r="AB60" s="5">
        <v>4137247279416</v>
      </c>
      <c r="AC60" s="5">
        <v>2373397608730</v>
      </c>
      <c r="AD60" s="36">
        <f t="shared" si="2"/>
        <v>34.425983130833693</v>
      </c>
      <c r="AE60" s="5">
        <v>4370949345157</v>
      </c>
      <c r="AF60" s="5">
        <v>4132597353168</v>
      </c>
      <c r="AG60" s="5">
        <v>2203726362886</v>
      </c>
      <c r="AH60" s="5">
        <v>22065890596</v>
      </c>
      <c r="AI60" s="5">
        <v>0</v>
      </c>
      <c r="AJ60" s="5">
        <v>0</v>
      </c>
      <c r="AK60" s="5">
        <v>0</v>
      </c>
      <c r="AL60" s="6">
        <v>21</v>
      </c>
      <c r="AM60" s="5">
        <v>6017879105197</v>
      </c>
      <c r="AN60" s="6">
        <v>306</v>
      </c>
      <c r="AO60" s="5">
        <v>10047038252288</v>
      </c>
      <c r="AP60" s="6">
        <v>127</v>
      </c>
      <c r="AQ60" s="5">
        <v>4825604266963</v>
      </c>
      <c r="AR60" s="5">
        <v>513100753631</v>
      </c>
      <c r="AS60" s="5">
        <v>160208206350</v>
      </c>
      <c r="AT60" s="5">
        <f t="shared" si="3"/>
        <v>352892547281</v>
      </c>
      <c r="AU60" s="36">
        <f t="shared" si="4"/>
        <v>220.27120540258142</v>
      </c>
      <c r="AV60" s="5">
        <v>3735622893096</v>
      </c>
      <c r="AW60" s="5">
        <v>149333176861</v>
      </c>
      <c r="AX60" s="5">
        <v>1713510159839</v>
      </c>
      <c r="AY60" s="5">
        <v>355068440779</v>
      </c>
      <c r="AZ60" s="5">
        <v>252187804645</v>
      </c>
      <c r="BA60" s="5">
        <v>834354804794</v>
      </c>
      <c r="BB60" s="5">
        <v>145127408649</v>
      </c>
      <c r="BC60" s="5">
        <v>4049360533405</v>
      </c>
      <c r="BD60" s="5">
        <v>2851054467197</v>
      </c>
      <c r="BE60" s="5">
        <v>252187804645</v>
      </c>
      <c r="BF60" s="5">
        <v>946118261563</v>
      </c>
      <c r="BG60" s="5">
        <v>1854883633786</v>
      </c>
      <c r="BH60" s="5">
        <v>2516065711371</v>
      </c>
      <c r="BI60" s="5">
        <v>0</v>
      </c>
      <c r="BJ60" s="48">
        <v>471244605775</v>
      </c>
      <c r="BK60" s="5">
        <v>2203726362886</v>
      </c>
      <c r="BL60" s="5">
        <v>0</v>
      </c>
      <c r="BM60" s="5">
        <v>0</v>
      </c>
      <c r="BN60" s="5">
        <v>22065890596</v>
      </c>
    </row>
    <row r="61" spans="1:66" x14ac:dyDescent="0.25">
      <c r="A61" s="17" t="s">
        <v>104</v>
      </c>
      <c r="B61" s="4">
        <v>1405</v>
      </c>
      <c r="C61" s="4" t="s">
        <v>109</v>
      </c>
      <c r="D61" s="5">
        <v>1086355405965</v>
      </c>
      <c r="E61" s="5">
        <v>21077378427</v>
      </c>
      <c r="F61" s="5">
        <v>0</v>
      </c>
      <c r="G61" s="5">
        <v>0</v>
      </c>
      <c r="H61" s="5">
        <v>1107432784392</v>
      </c>
      <c r="I61" s="5">
        <v>90720677085</v>
      </c>
      <c r="J61" s="5">
        <v>2074712093</v>
      </c>
      <c r="K61" s="5">
        <v>1014637395214</v>
      </c>
      <c r="L61" s="5">
        <v>878628314531</v>
      </c>
      <c r="M61" s="5">
        <f t="shared" si="0"/>
        <v>228804469861</v>
      </c>
      <c r="N61" s="36">
        <f t="shared" si="1"/>
        <v>26.041099071924712</v>
      </c>
      <c r="O61" s="5">
        <v>933992969718</v>
      </c>
      <c r="P61" s="36">
        <v>94.98</v>
      </c>
      <c r="Q61" s="6">
        <v>92.05</v>
      </c>
      <c r="R61" s="6">
        <v>2.3199999999999998</v>
      </c>
      <c r="S61" s="5">
        <v>977866651454</v>
      </c>
      <c r="T61" s="5">
        <v>22448953523</v>
      </c>
      <c r="U61" s="5">
        <v>16744467713</v>
      </c>
      <c r="V61" s="5">
        <v>734423907</v>
      </c>
      <c r="W61" s="5">
        <v>4970061903</v>
      </c>
      <c r="X61" s="5">
        <v>1000315604977</v>
      </c>
      <c r="Y61" s="5">
        <v>1979446849</v>
      </c>
      <c r="Z61" s="5">
        <v>47912796806</v>
      </c>
      <c r="AA61" s="5">
        <v>3579534000</v>
      </c>
      <c r="AB61" s="5">
        <v>1051807935783</v>
      </c>
      <c r="AC61" s="5">
        <v>979711868308</v>
      </c>
      <c r="AD61" s="36">
        <f t="shared" si="2"/>
        <v>2.1030404280580415</v>
      </c>
      <c r="AE61" s="5">
        <v>674224203124</v>
      </c>
      <c r="AF61" s="5">
        <v>674224203124</v>
      </c>
      <c r="AG61" s="5">
        <v>165285109313</v>
      </c>
      <c r="AH61" s="5">
        <v>0</v>
      </c>
      <c r="AI61" s="5">
        <v>0</v>
      </c>
      <c r="AJ61" s="5">
        <v>0</v>
      </c>
      <c r="AK61" s="5">
        <v>0</v>
      </c>
      <c r="AL61" s="6">
        <v>2</v>
      </c>
      <c r="AM61" s="5">
        <v>185678658351</v>
      </c>
      <c r="AN61" s="6">
        <v>14</v>
      </c>
      <c r="AO61" s="5">
        <v>105708245300</v>
      </c>
      <c r="AP61" s="6">
        <v>12</v>
      </c>
      <c r="AQ61" s="5">
        <v>83459772000</v>
      </c>
      <c r="AR61" s="5">
        <v>22448953523</v>
      </c>
      <c r="AS61" s="5">
        <v>10251844274</v>
      </c>
      <c r="AT61" s="5">
        <f t="shared" si="3"/>
        <v>12197109249</v>
      </c>
      <c r="AU61" s="36">
        <f t="shared" si="4"/>
        <v>118.97478076148155</v>
      </c>
      <c r="AV61" s="5">
        <v>677378225823</v>
      </c>
      <c r="AW61" s="5">
        <v>66960987407</v>
      </c>
      <c r="AX61" s="5">
        <v>246541982508</v>
      </c>
      <c r="AY61" s="5">
        <v>235890216963</v>
      </c>
      <c r="AZ61" s="5">
        <v>333178185293</v>
      </c>
      <c r="BA61" s="5">
        <v>364633997053</v>
      </c>
      <c r="BB61" s="5">
        <v>253550178227</v>
      </c>
      <c r="BC61" s="5">
        <v>1107432784392</v>
      </c>
      <c r="BD61" s="5">
        <v>503509577898</v>
      </c>
      <c r="BE61" s="5">
        <v>333178185293</v>
      </c>
      <c r="BF61" s="5">
        <v>270745021201</v>
      </c>
      <c r="BG61" s="5">
        <v>342323638826</v>
      </c>
      <c r="BH61" s="5">
        <v>331900564298</v>
      </c>
      <c r="BI61" s="5">
        <v>0</v>
      </c>
      <c r="BJ61" s="48">
        <v>0</v>
      </c>
      <c r="BK61" s="5">
        <v>284406283688</v>
      </c>
      <c r="BL61" s="5">
        <v>0</v>
      </c>
      <c r="BM61" s="5">
        <v>418957515</v>
      </c>
      <c r="BN61" s="5">
        <v>0</v>
      </c>
    </row>
    <row r="62" spans="1:66" x14ac:dyDescent="0.25">
      <c r="A62" s="17" t="s">
        <v>104</v>
      </c>
      <c r="B62" s="4">
        <v>1406</v>
      </c>
      <c r="C62" s="4" t="s">
        <v>110</v>
      </c>
      <c r="D62" s="5">
        <v>1741856251685</v>
      </c>
      <c r="E62" s="5">
        <v>121192537464</v>
      </c>
      <c r="F62" s="5">
        <v>0</v>
      </c>
      <c r="G62" s="5">
        <v>0</v>
      </c>
      <c r="H62" s="5">
        <v>1863048789149</v>
      </c>
      <c r="I62" s="5">
        <v>159749285958</v>
      </c>
      <c r="J62" s="5">
        <v>708249244</v>
      </c>
      <c r="K62" s="5">
        <v>1702591253947</v>
      </c>
      <c r="L62" s="5">
        <v>1025803291717</v>
      </c>
      <c r="M62" s="5">
        <f t="shared" si="0"/>
        <v>837245497432</v>
      </c>
      <c r="N62" s="36">
        <f t="shared" si="1"/>
        <v>81.618523180073836</v>
      </c>
      <c r="O62" s="5">
        <v>2295863295515</v>
      </c>
      <c r="P62" s="36">
        <v>144.30000000000001</v>
      </c>
      <c r="Q62" s="6">
        <v>134.85</v>
      </c>
      <c r="R62" s="6">
        <v>0.62</v>
      </c>
      <c r="S62" s="5">
        <v>2504878824355</v>
      </c>
      <c r="T62" s="5">
        <v>13978237750</v>
      </c>
      <c r="U62" s="5">
        <v>12928617771</v>
      </c>
      <c r="V62" s="5">
        <v>1049619979</v>
      </c>
      <c r="W62" s="5">
        <v>0</v>
      </c>
      <c r="X62" s="5">
        <v>2518857062105</v>
      </c>
      <c r="Y62" s="5">
        <v>2696271132</v>
      </c>
      <c r="Z62" s="5">
        <v>166556486951</v>
      </c>
      <c r="AA62" s="5">
        <v>3000000000</v>
      </c>
      <c r="AB62" s="5">
        <v>2688413549056</v>
      </c>
      <c r="AC62" s="5">
        <v>1380336424907</v>
      </c>
      <c r="AD62" s="36">
        <f t="shared" si="2"/>
        <v>82.481387627998572</v>
      </c>
      <c r="AE62" s="5">
        <v>1880910086991</v>
      </c>
      <c r="AF62" s="5">
        <v>1880910086991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6">
        <v>0</v>
      </c>
      <c r="AM62" s="5">
        <v>0</v>
      </c>
      <c r="AN62" s="6">
        <v>110</v>
      </c>
      <c r="AO62" s="5">
        <v>1190611501295</v>
      </c>
      <c r="AP62" s="6">
        <v>99</v>
      </c>
      <c r="AQ62" s="5">
        <v>1138752849731</v>
      </c>
      <c r="AR62" s="5">
        <v>13978237750</v>
      </c>
      <c r="AS62" s="5">
        <v>3828103387</v>
      </c>
      <c r="AT62" s="5">
        <f t="shared" si="3"/>
        <v>10150134363</v>
      </c>
      <c r="AU62" s="36">
        <f t="shared" si="4"/>
        <v>265.14786401718465</v>
      </c>
      <c r="AV62" s="5">
        <v>859990222586</v>
      </c>
      <c r="AW62" s="5">
        <v>131997207807</v>
      </c>
      <c r="AX62" s="5">
        <v>476044481575</v>
      </c>
      <c r="AY62" s="5">
        <v>181627968059</v>
      </c>
      <c r="AZ62" s="5">
        <v>537378802051</v>
      </c>
      <c r="BA62" s="5">
        <v>654565081352</v>
      </c>
      <c r="BB62" s="5">
        <v>438854169219</v>
      </c>
      <c r="BC62" s="5">
        <v>1863048789149</v>
      </c>
      <c r="BD62" s="5">
        <v>776678672748</v>
      </c>
      <c r="BE62" s="5">
        <v>537378802051</v>
      </c>
      <c r="BF62" s="5">
        <v>548991314350</v>
      </c>
      <c r="BG62" s="5">
        <v>1684403666991</v>
      </c>
      <c r="BH62" s="5">
        <v>196506420000</v>
      </c>
      <c r="BI62" s="5">
        <v>0</v>
      </c>
      <c r="BJ62" s="48">
        <v>0</v>
      </c>
      <c r="BK62" s="5">
        <v>0</v>
      </c>
      <c r="BL62" s="5">
        <v>0</v>
      </c>
      <c r="BM62" s="5">
        <v>0</v>
      </c>
      <c r="BN62" s="5">
        <v>0</v>
      </c>
    </row>
    <row r="63" spans="1:66" x14ac:dyDescent="0.25">
      <c r="A63" s="17" t="s">
        <v>104</v>
      </c>
      <c r="B63" s="4">
        <v>1407</v>
      </c>
      <c r="C63" s="4" t="s">
        <v>111</v>
      </c>
      <c r="D63" s="5">
        <v>2978987277604</v>
      </c>
      <c r="E63" s="5">
        <v>139065850553</v>
      </c>
      <c r="F63" s="5">
        <v>0</v>
      </c>
      <c r="G63" s="5">
        <v>0</v>
      </c>
      <c r="H63" s="5">
        <v>3118053128157</v>
      </c>
      <c r="I63" s="5">
        <v>256990520950</v>
      </c>
      <c r="J63" s="5">
        <v>2399756306</v>
      </c>
      <c r="K63" s="5">
        <v>2858662850901</v>
      </c>
      <c r="L63" s="5">
        <v>1768084877022</v>
      </c>
      <c r="M63" s="5">
        <f t="shared" si="0"/>
        <v>1349968251135</v>
      </c>
      <c r="N63" s="36">
        <f t="shared" si="1"/>
        <v>76.352004854470707</v>
      </c>
      <c r="O63" s="5">
        <v>2828881174953</v>
      </c>
      <c r="P63" s="36">
        <v>106.82</v>
      </c>
      <c r="Q63" s="6">
        <v>98.96</v>
      </c>
      <c r="R63" s="6">
        <v>0.67</v>
      </c>
      <c r="S63" s="5">
        <v>3265431231040</v>
      </c>
      <c r="T63" s="5">
        <v>22303664477</v>
      </c>
      <c r="U63" s="5">
        <v>19164018917</v>
      </c>
      <c r="V63" s="5">
        <v>2316801169</v>
      </c>
      <c r="W63" s="5">
        <v>822844391</v>
      </c>
      <c r="X63" s="5">
        <v>3287734895517</v>
      </c>
      <c r="Y63" s="5">
        <v>146340148</v>
      </c>
      <c r="Z63" s="5">
        <v>42717361519</v>
      </c>
      <c r="AA63" s="5">
        <v>350000000</v>
      </c>
      <c r="AB63" s="5">
        <v>3330802257036</v>
      </c>
      <c r="AC63" s="5">
        <v>2219994518694</v>
      </c>
      <c r="AD63" s="36">
        <f t="shared" si="2"/>
        <v>48.096532123473025</v>
      </c>
      <c r="AE63" s="5">
        <v>2213671678270</v>
      </c>
      <c r="AF63" s="5">
        <v>2213671678270</v>
      </c>
      <c r="AG63" s="5">
        <v>345822849345</v>
      </c>
      <c r="AH63" s="5">
        <v>0</v>
      </c>
      <c r="AI63" s="5">
        <v>0</v>
      </c>
      <c r="AJ63" s="5">
        <v>0</v>
      </c>
      <c r="AK63" s="5">
        <v>0</v>
      </c>
      <c r="AL63" s="6">
        <v>19</v>
      </c>
      <c r="AM63" s="5">
        <v>1619613794295</v>
      </c>
      <c r="AN63" s="6">
        <v>75</v>
      </c>
      <c r="AO63" s="5">
        <v>1100955265212</v>
      </c>
      <c r="AP63" s="6">
        <v>37</v>
      </c>
      <c r="AQ63" s="5">
        <v>238357544500</v>
      </c>
      <c r="AR63" s="5">
        <v>22303664477</v>
      </c>
      <c r="AS63" s="5">
        <v>6594132503</v>
      </c>
      <c r="AT63" s="5">
        <f t="shared" si="3"/>
        <v>15709531974</v>
      </c>
      <c r="AU63" s="36">
        <f t="shared" si="4"/>
        <v>238.23500614907195</v>
      </c>
      <c r="AV63" s="5">
        <v>1291209517058</v>
      </c>
      <c r="AW63" s="5">
        <v>101418329367</v>
      </c>
      <c r="AX63" s="5">
        <v>1203591491822</v>
      </c>
      <c r="AY63" s="5">
        <v>598380637062</v>
      </c>
      <c r="AZ63" s="5">
        <v>290568525915</v>
      </c>
      <c r="BA63" s="5">
        <v>951666227409</v>
      </c>
      <c r="BB63" s="5">
        <v>210716942525</v>
      </c>
      <c r="BC63" s="5">
        <v>3118053128157</v>
      </c>
      <c r="BD63" s="5">
        <v>1940990762479</v>
      </c>
      <c r="BE63" s="5">
        <v>290568525915</v>
      </c>
      <c r="BF63" s="5">
        <v>886493839763</v>
      </c>
      <c r="BG63" s="5">
        <v>1714607860931</v>
      </c>
      <c r="BH63" s="5">
        <v>499063817339</v>
      </c>
      <c r="BI63" s="5">
        <v>0</v>
      </c>
      <c r="BJ63" s="48">
        <v>0</v>
      </c>
      <c r="BK63" s="5">
        <v>348861032493</v>
      </c>
      <c r="BL63" s="5">
        <v>0</v>
      </c>
      <c r="BM63" s="5">
        <v>0</v>
      </c>
      <c r="BN63" s="5">
        <v>0</v>
      </c>
    </row>
    <row r="64" spans="1:66" x14ac:dyDescent="0.25">
      <c r="A64" s="17" t="s">
        <v>104</v>
      </c>
      <c r="B64" s="4">
        <v>1408</v>
      </c>
      <c r="C64" s="4" t="s">
        <v>112</v>
      </c>
      <c r="D64" s="5">
        <v>3014901806622</v>
      </c>
      <c r="E64" s="5">
        <v>46683465618</v>
      </c>
      <c r="F64" s="5">
        <v>0</v>
      </c>
      <c r="G64" s="5">
        <v>0</v>
      </c>
      <c r="H64" s="5">
        <v>3061585272240</v>
      </c>
      <c r="I64" s="5">
        <v>251090982785</v>
      </c>
      <c r="J64" s="5">
        <v>721004682</v>
      </c>
      <c r="K64" s="5">
        <v>2809773284773</v>
      </c>
      <c r="L64" s="5">
        <v>1480775772658</v>
      </c>
      <c r="M64" s="5">
        <f t="shared" si="0"/>
        <v>1580809499582</v>
      </c>
      <c r="N64" s="36">
        <f t="shared" si="1"/>
        <v>106.75549457055466</v>
      </c>
      <c r="O64" s="5">
        <v>1198271811002</v>
      </c>
      <c r="P64" s="36">
        <v>44.3</v>
      </c>
      <c r="Q64" s="6">
        <v>42.65</v>
      </c>
      <c r="R64" s="6">
        <v>2.46</v>
      </c>
      <c r="S64" s="5">
        <v>1236552566670</v>
      </c>
      <c r="T64" s="5">
        <v>33374704968</v>
      </c>
      <c r="U64" s="5">
        <v>32166227025</v>
      </c>
      <c r="V64" s="5">
        <v>774371881</v>
      </c>
      <c r="W64" s="5">
        <v>434106062</v>
      </c>
      <c r="X64" s="5">
        <v>1269927271638</v>
      </c>
      <c r="Y64" s="5">
        <v>30255427</v>
      </c>
      <c r="Z64" s="5">
        <v>78852954758</v>
      </c>
      <c r="AA64" s="5">
        <v>7359124150</v>
      </c>
      <c r="AB64" s="5">
        <v>1356139350546</v>
      </c>
      <c r="AC64" s="5">
        <v>1143742386947</v>
      </c>
      <c r="AD64" s="36">
        <f t="shared" si="2"/>
        <v>11.032631659986498</v>
      </c>
      <c r="AE64" s="5">
        <v>783402076012</v>
      </c>
      <c r="AF64" s="5">
        <v>783402076012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6">
        <v>0</v>
      </c>
      <c r="AM64" s="5">
        <v>0</v>
      </c>
      <c r="AN64" s="6">
        <v>31</v>
      </c>
      <c r="AO64" s="5">
        <v>247514386226</v>
      </c>
      <c r="AP64" s="6">
        <v>21</v>
      </c>
      <c r="AQ64" s="5">
        <v>65302696300</v>
      </c>
      <c r="AR64" s="5">
        <v>33374704968</v>
      </c>
      <c r="AS64" s="5">
        <v>21549050657</v>
      </c>
      <c r="AT64" s="5">
        <f t="shared" si="3"/>
        <v>11825654311</v>
      </c>
      <c r="AU64" s="36">
        <f t="shared" si="4"/>
        <v>54.877843572930438</v>
      </c>
      <c r="AV64" s="5">
        <v>644701571171</v>
      </c>
      <c r="AW64" s="5">
        <v>136250226990</v>
      </c>
      <c r="AX64" s="5">
        <v>626633833024</v>
      </c>
      <c r="AY64" s="5">
        <v>312982062981</v>
      </c>
      <c r="AZ64" s="5">
        <v>428039910617</v>
      </c>
      <c r="BA64" s="5">
        <v>1935889445440</v>
      </c>
      <c r="BB64" s="5">
        <v>239055909433</v>
      </c>
      <c r="BC64" s="5">
        <v>3061585272240</v>
      </c>
      <c r="BD64" s="5">
        <v>986299361623</v>
      </c>
      <c r="BE64" s="5">
        <v>428039910617</v>
      </c>
      <c r="BF64" s="5">
        <v>1647246000000</v>
      </c>
      <c r="BG64" s="5">
        <v>630859705871</v>
      </c>
      <c r="BH64" s="5">
        <v>152542370141</v>
      </c>
      <c r="BI64" s="5">
        <v>0</v>
      </c>
      <c r="BJ64" s="48">
        <v>0</v>
      </c>
      <c r="BK64" s="5">
        <v>0</v>
      </c>
      <c r="BL64" s="5">
        <v>0</v>
      </c>
      <c r="BM64" s="5">
        <v>0</v>
      </c>
      <c r="BN64" s="5">
        <v>0</v>
      </c>
    </row>
    <row r="65" spans="1:66" x14ac:dyDescent="0.25">
      <c r="A65" s="17" t="s">
        <v>104</v>
      </c>
      <c r="B65" s="4">
        <v>1409</v>
      </c>
      <c r="C65" s="4" t="s">
        <v>113</v>
      </c>
      <c r="D65" s="5">
        <v>1407429082969</v>
      </c>
      <c r="E65" s="5">
        <v>2665325619</v>
      </c>
      <c r="F65" s="5">
        <v>0</v>
      </c>
      <c r="G65" s="5">
        <v>0</v>
      </c>
      <c r="H65" s="5">
        <v>1410094408588</v>
      </c>
      <c r="I65" s="5">
        <v>122027371979</v>
      </c>
      <c r="J65" s="5">
        <v>2620814271</v>
      </c>
      <c r="K65" s="5">
        <v>1285446222338</v>
      </c>
      <c r="L65" s="5">
        <v>942553935810</v>
      </c>
      <c r="M65" s="5">
        <f t="shared" si="0"/>
        <v>467540472778</v>
      </c>
      <c r="N65" s="36">
        <f t="shared" si="1"/>
        <v>49.603577579484728</v>
      </c>
      <c r="O65" s="5">
        <v>756471289690</v>
      </c>
      <c r="P65" s="36">
        <v>62.12</v>
      </c>
      <c r="Q65" s="6">
        <v>58.85</v>
      </c>
      <c r="R65" s="6">
        <v>1.58</v>
      </c>
      <c r="S65" s="5">
        <v>774035249363</v>
      </c>
      <c r="T65" s="5">
        <v>13830901844</v>
      </c>
      <c r="U65" s="5">
        <v>12139145636</v>
      </c>
      <c r="V65" s="5">
        <v>1691756208</v>
      </c>
      <c r="W65" s="5">
        <v>0</v>
      </c>
      <c r="X65" s="5">
        <v>787866151207</v>
      </c>
      <c r="Y65" s="5">
        <v>44486257</v>
      </c>
      <c r="Z65" s="5">
        <v>74823324295</v>
      </c>
      <c r="AA65" s="5">
        <v>13201182240</v>
      </c>
      <c r="AB65" s="5">
        <v>875890657742</v>
      </c>
      <c r="AC65" s="5">
        <v>779424296616</v>
      </c>
      <c r="AD65" s="36">
        <f t="shared" si="2"/>
        <v>1.0830884574232178</v>
      </c>
      <c r="AE65" s="5">
        <v>323005716315</v>
      </c>
      <c r="AF65" s="5">
        <v>323005716315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6">
        <v>0</v>
      </c>
      <c r="AM65" s="5">
        <v>0</v>
      </c>
      <c r="AN65" s="6">
        <v>5</v>
      </c>
      <c r="AO65" s="5">
        <v>11740000000</v>
      </c>
      <c r="AP65" s="6">
        <v>1</v>
      </c>
      <c r="AQ65" s="5">
        <v>820000000</v>
      </c>
      <c r="AR65" s="5">
        <v>13830901844</v>
      </c>
      <c r="AS65" s="5">
        <v>5503964524</v>
      </c>
      <c r="AT65" s="5">
        <f t="shared" si="3"/>
        <v>8326937320</v>
      </c>
      <c r="AU65" s="36">
        <f t="shared" si="4"/>
        <v>151.28980725966613</v>
      </c>
      <c r="AV65" s="5">
        <v>280858816659</v>
      </c>
      <c r="AW65" s="5">
        <v>107410489363</v>
      </c>
      <c r="AX65" s="5">
        <v>120273694319</v>
      </c>
      <c r="AY65" s="5">
        <v>200526848681</v>
      </c>
      <c r="AZ65" s="5">
        <v>164713339969</v>
      </c>
      <c r="BA65" s="5">
        <v>1026800462328</v>
      </c>
      <c r="BB65" s="5">
        <v>85704739513</v>
      </c>
      <c r="BC65" s="5">
        <v>1410094408588</v>
      </c>
      <c r="BD65" s="5">
        <v>323259860950</v>
      </c>
      <c r="BE65" s="5">
        <v>164713339969</v>
      </c>
      <c r="BF65" s="5">
        <v>922121207669</v>
      </c>
      <c r="BG65" s="5">
        <v>303655716315</v>
      </c>
      <c r="BH65" s="5">
        <v>19350000000</v>
      </c>
      <c r="BI65" s="5">
        <v>0</v>
      </c>
      <c r="BJ65" s="48">
        <v>0</v>
      </c>
      <c r="BK65" s="5">
        <v>0</v>
      </c>
      <c r="BL65" s="5">
        <v>0</v>
      </c>
      <c r="BM65" s="5">
        <v>0</v>
      </c>
      <c r="BN65" s="5">
        <v>0</v>
      </c>
    </row>
    <row r="66" spans="1:66" x14ac:dyDescent="0.25">
      <c r="A66" s="17" t="s">
        <v>104</v>
      </c>
      <c r="B66" s="4">
        <v>1410</v>
      </c>
      <c r="C66" s="4" t="s">
        <v>114</v>
      </c>
      <c r="D66" s="5">
        <v>1468316086931</v>
      </c>
      <c r="E66" s="5">
        <v>11373873656</v>
      </c>
      <c r="F66" s="5">
        <v>0</v>
      </c>
      <c r="G66" s="5">
        <v>0</v>
      </c>
      <c r="H66" s="5">
        <v>1479689960587</v>
      </c>
      <c r="I66" s="5">
        <v>110032266828</v>
      </c>
      <c r="J66" s="5">
        <v>1059845901</v>
      </c>
      <c r="K66" s="5">
        <v>1368597847858</v>
      </c>
      <c r="L66" s="5">
        <v>810302808630</v>
      </c>
      <c r="M66" s="5">
        <f t="shared" si="0"/>
        <v>669387151957</v>
      </c>
      <c r="N66" s="36">
        <f t="shared" si="1"/>
        <v>82.609506573073617</v>
      </c>
      <c r="O66" s="5">
        <v>693848319562</v>
      </c>
      <c r="P66" s="36">
        <v>54.84</v>
      </c>
      <c r="Q66" s="6">
        <v>50.7</v>
      </c>
      <c r="R66" s="6">
        <v>2.76</v>
      </c>
      <c r="S66" s="5">
        <v>742213126744</v>
      </c>
      <c r="T66" s="5">
        <v>22343643178</v>
      </c>
      <c r="U66" s="5">
        <v>19993571944</v>
      </c>
      <c r="V66" s="5">
        <v>1959867482</v>
      </c>
      <c r="W66" s="5">
        <v>390203752</v>
      </c>
      <c r="X66" s="5">
        <v>764556769922</v>
      </c>
      <c r="Y66" s="5">
        <v>78018740</v>
      </c>
      <c r="Z66" s="5">
        <v>38870626651</v>
      </c>
      <c r="AA66" s="5">
        <v>7999240500</v>
      </c>
      <c r="AB66" s="5">
        <v>811426637073</v>
      </c>
      <c r="AC66" s="5">
        <v>570684519200</v>
      </c>
      <c r="AD66" s="36">
        <f t="shared" si="2"/>
        <v>33.971878367013538</v>
      </c>
      <c r="AE66" s="5">
        <v>444291368644</v>
      </c>
      <c r="AF66" s="5">
        <v>444291368644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6">
        <v>0</v>
      </c>
      <c r="AM66" s="5">
        <v>0</v>
      </c>
      <c r="AN66" s="6">
        <v>13</v>
      </c>
      <c r="AO66" s="5">
        <v>83623574209</v>
      </c>
      <c r="AP66" s="6">
        <v>13</v>
      </c>
      <c r="AQ66" s="5">
        <v>34528490000</v>
      </c>
      <c r="AR66" s="5">
        <v>22343643178</v>
      </c>
      <c r="AS66" s="5">
        <v>8213297512</v>
      </c>
      <c r="AT66" s="5">
        <f t="shared" si="3"/>
        <v>14130345666</v>
      </c>
      <c r="AU66" s="36">
        <f t="shared" si="4"/>
        <v>172.04229659713317</v>
      </c>
      <c r="AV66" s="5">
        <v>288767767474</v>
      </c>
      <c r="AW66" s="5">
        <v>83108815455</v>
      </c>
      <c r="AX66" s="5">
        <v>174735600654</v>
      </c>
      <c r="AY66" s="5">
        <v>387909974547</v>
      </c>
      <c r="AZ66" s="5">
        <v>426899511730</v>
      </c>
      <c r="BA66" s="5">
        <v>497444878552</v>
      </c>
      <c r="BB66" s="5">
        <v>275214027526</v>
      </c>
      <c r="BC66" s="5">
        <v>1479689960587</v>
      </c>
      <c r="BD66" s="5">
        <v>574019448857</v>
      </c>
      <c r="BE66" s="5">
        <v>426529511730</v>
      </c>
      <c r="BF66" s="5">
        <v>479141000000</v>
      </c>
      <c r="BG66" s="5">
        <v>426441368644</v>
      </c>
      <c r="BH66" s="5">
        <v>17850000000</v>
      </c>
      <c r="BI66" s="5">
        <v>0</v>
      </c>
      <c r="BJ66" s="48">
        <v>0</v>
      </c>
      <c r="BK66" s="5">
        <v>0</v>
      </c>
      <c r="BL66" s="5">
        <v>0</v>
      </c>
      <c r="BM66" s="5">
        <v>0</v>
      </c>
      <c r="BN66" s="5">
        <v>0</v>
      </c>
    </row>
    <row r="67" spans="1:66" x14ac:dyDescent="0.25">
      <c r="A67" s="17" t="s">
        <v>104</v>
      </c>
      <c r="B67" s="4">
        <v>1411</v>
      </c>
      <c r="C67" s="4" t="s">
        <v>115</v>
      </c>
      <c r="D67" s="5">
        <v>3849383857720</v>
      </c>
      <c r="E67" s="5">
        <v>29152717891</v>
      </c>
      <c r="F67" s="5">
        <v>0</v>
      </c>
      <c r="G67" s="5">
        <v>0</v>
      </c>
      <c r="H67" s="5">
        <v>3878536575611</v>
      </c>
      <c r="I67" s="5">
        <v>262453432798</v>
      </c>
      <c r="J67" s="5">
        <v>602315400</v>
      </c>
      <c r="K67" s="5">
        <v>3615480827413</v>
      </c>
      <c r="L67" s="5">
        <v>959242492919</v>
      </c>
      <c r="M67" s="5">
        <f t="shared" si="0"/>
        <v>2919294082692</v>
      </c>
      <c r="N67" s="36">
        <f t="shared" si="1"/>
        <v>304.33327383240834</v>
      </c>
      <c r="O67" s="5">
        <v>1047727819871</v>
      </c>
      <c r="P67" s="36">
        <v>30.56</v>
      </c>
      <c r="Q67" s="6">
        <v>28.98</v>
      </c>
      <c r="R67" s="6">
        <v>1.1000000000000001</v>
      </c>
      <c r="S67" s="5">
        <v>1094652501879</v>
      </c>
      <c r="T67" s="5">
        <v>13015842895</v>
      </c>
      <c r="U67" s="5">
        <v>8634160592</v>
      </c>
      <c r="V67" s="5">
        <v>4381682303</v>
      </c>
      <c r="W67" s="5">
        <v>0</v>
      </c>
      <c r="X67" s="5">
        <v>1107668344774</v>
      </c>
      <c r="Y67" s="5">
        <v>0</v>
      </c>
      <c r="Z67" s="5">
        <v>59050533168</v>
      </c>
      <c r="AA67" s="5">
        <v>18501060000</v>
      </c>
      <c r="AB67" s="5">
        <v>1185219937942</v>
      </c>
      <c r="AC67" s="5">
        <v>1098854319630</v>
      </c>
      <c r="AD67" s="36">
        <f t="shared" si="2"/>
        <v>0.80211043325268161</v>
      </c>
      <c r="AE67" s="5">
        <v>650150662852</v>
      </c>
      <c r="AF67" s="5">
        <v>650150662852</v>
      </c>
      <c r="AG67" s="5">
        <v>0</v>
      </c>
      <c r="AH67" s="5">
        <v>806917808</v>
      </c>
      <c r="AI67" s="5">
        <v>0</v>
      </c>
      <c r="AJ67" s="5">
        <v>0</v>
      </c>
      <c r="AK67" s="5">
        <v>0</v>
      </c>
      <c r="AL67" s="6">
        <v>1</v>
      </c>
      <c r="AM67" s="5">
        <v>191563900000</v>
      </c>
      <c r="AN67" s="6">
        <v>13</v>
      </c>
      <c r="AO67" s="5">
        <v>110456051598</v>
      </c>
      <c r="AP67" s="6">
        <v>14</v>
      </c>
      <c r="AQ67" s="5">
        <v>125401327752</v>
      </c>
      <c r="AR67" s="5">
        <v>13015842895</v>
      </c>
      <c r="AS67" s="5">
        <v>4436891582</v>
      </c>
      <c r="AT67" s="5">
        <f t="shared" si="3"/>
        <v>8578951313</v>
      </c>
      <c r="AU67" s="36">
        <f t="shared" si="4"/>
        <v>193.35499086351123</v>
      </c>
      <c r="AV67" s="5">
        <v>667703946034</v>
      </c>
      <c r="AW67" s="5">
        <v>70608998432</v>
      </c>
      <c r="AX67" s="5">
        <v>587264761552</v>
      </c>
      <c r="AY67" s="5">
        <v>124467944804</v>
      </c>
      <c r="AZ67" s="5">
        <v>327651051364</v>
      </c>
      <c r="BA67" s="5">
        <v>2871969458276</v>
      </c>
      <c r="BB67" s="5">
        <v>182889940423</v>
      </c>
      <c r="BC67" s="5">
        <v>3878536575611</v>
      </c>
      <c r="BD67" s="5">
        <v>740885424247</v>
      </c>
      <c r="BE67" s="5">
        <v>327651051364</v>
      </c>
      <c r="BF67" s="5">
        <v>2810000100000</v>
      </c>
      <c r="BG67" s="5">
        <v>573951651399</v>
      </c>
      <c r="BH67" s="5">
        <v>76199011453</v>
      </c>
      <c r="BI67" s="5">
        <v>0</v>
      </c>
      <c r="BJ67" s="48">
        <v>0</v>
      </c>
      <c r="BK67" s="5">
        <v>0</v>
      </c>
      <c r="BL67" s="5">
        <v>0</v>
      </c>
      <c r="BM67" s="5">
        <v>0</v>
      </c>
      <c r="BN67" s="5">
        <v>806917808</v>
      </c>
    </row>
    <row r="68" spans="1:66" x14ac:dyDescent="0.25">
      <c r="A68" s="17" t="s">
        <v>104</v>
      </c>
      <c r="B68" s="4">
        <v>1412</v>
      </c>
      <c r="C68" s="4" t="s">
        <v>116</v>
      </c>
      <c r="D68" s="5">
        <v>2085221250180</v>
      </c>
      <c r="E68" s="5">
        <v>62739952542</v>
      </c>
      <c r="F68" s="5">
        <v>0</v>
      </c>
      <c r="G68" s="5">
        <v>0</v>
      </c>
      <c r="H68" s="5">
        <v>2147961202722</v>
      </c>
      <c r="I68" s="5">
        <v>182973380090</v>
      </c>
      <c r="J68" s="5">
        <v>1228585805</v>
      </c>
      <c r="K68" s="5">
        <v>1963759236827</v>
      </c>
      <c r="L68" s="5">
        <v>1254622418810</v>
      </c>
      <c r="M68" s="5">
        <f t="shared" ref="M68:M131" si="5">H68-L68</f>
        <v>893338783912</v>
      </c>
      <c r="N68" s="36">
        <f t="shared" ref="N68:N131" si="6">IFERROR(M68/L68*100,0)</f>
        <v>71.203795701285586</v>
      </c>
      <c r="O68" s="5">
        <v>993534343144</v>
      </c>
      <c r="P68" s="36">
        <v>52.67</v>
      </c>
      <c r="Q68" s="6">
        <v>50.59</v>
      </c>
      <c r="R68" s="6">
        <v>1.65</v>
      </c>
      <c r="S68" s="5">
        <v>1092290299933</v>
      </c>
      <c r="T68" s="5">
        <v>18185498905</v>
      </c>
      <c r="U68" s="5">
        <v>14878221273</v>
      </c>
      <c r="V68" s="5">
        <v>1633975448</v>
      </c>
      <c r="W68" s="5">
        <v>1673302184</v>
      </c>
      <c r="X68" s="5">
        <v>1110475798838</v>
      </c>
      <c r="Y68" s="5">
        <v>430648131</v>
      </c>
      <c r="Z68" s="5">
        <v>20820964879</v>
      </c>
      <c r="AA68" s="5">
        <v>0</v>
      </c>
      <c r="AB68" s="5">
        <v>1131296763717</v>
      </c>
      <c r="AC68" s="5">
        <v>979847796908</v>
      </c>
      <c r="AD68" s="36">
        <f t="shared" ref="AD68:AD131" si="7">IFERROR((X68-AC68)/AC68*100,0)</f>
        <v>13.331458451221579</v>
      </c>
      <c r="AE68" s="5">
        <v>850978000000</v>
      </c>
      <c r="AF68" s="5">
        <v>850978000000</v>
      </c>
      <c r="AG68" s="5">
        <v>0</v>
      </c>
      <c r="AH68" s="5">
        <v>2268000000</v>
      </c>
      <c r="AI68" s="5">
        <v>0</v>
      </c>
      <c r="AJ68" s="5">
        <v>0</v>
      </c>
      <c r="AK68" s="5">
        <v>0</v>
      </c>
      <c r="AL68" s="6">
        <v>0</v>
      </c>
      <c r="AM68" s="5">
        <v>0</v>
      </c>
      <c r="AN68" s="6">
        <v>16</v>
      </c>
      <c r="AO68" s="5">
        <v>246855290569</v>
      </c>
      <c r="AP68" s="6">
        <v>4</v>
      </c>
      <c r="AQ68" s="5">
        <v>176812500000</v>
      </c>
      <c r="AR68" s="5">
        <v>18185498905</v>
      </c>
      <c r="AS68" s="5">
        <v>6395495480</v>
      </c>
      <c r="AT68" s="5">
        <f t="shared" ref="AT68:AT131" si="8">AR68-AS68</f>
        <v>11790003425</v>
      </c>
      <c r="AU68" s="36">
        <f t="shared" ref="AU68:AU131" si="9">IFERROR(AT68/AS68*100,0)</f>
        <v>184.34855378867377</v>
      </c>
      <c r="AV68" s="5">
        <v>726369267566</v>
      </c>
      <c r="AW68" s="5">
        <v>110933273769</v>
      </c>
      <c r="AX68" s="5">
        <v>382304533656</v>
      </c>
      <c r="AY68" s="5">
        <v>411298566158</v>
      </c>
      <c r="AZ68" s="5">
        <v>339013950366</v>
      </c>
      <c r="BA68" s="5">
        <v>1007743270364</v>
      </c>
      <c r="BB68" s="5">
        <v>150451842808</v>
      </c>
      <c r="BC68" s="5">
        <v>2147961202722</v>
      </c>
      <c r="BD68" s="5">
        <v>856343052356</v>
      </c>
      <c r="BE68" s="5">
        <v>338011150366</v>
      </c>
      <c r="BF68" s="5">
        <v>953607000000</v>
      </c>
      <c r="BG68" s="5">
        <v>679730000000</v>
      </c>
      <c r="BH68" s="5">
        <v>171248000000</v>
      </c>
      <c r="BI68" s="5">
        <v>0</v>
      </c>
      <c r="BJ68" s="48">
        <v>0</v>
      </c>
      <c r="BK68" s="5">
        <v>0</v>
      </c>
      <c r="BL68" s="5">
        <v>0</v>
      </c>
      <c r="BM68" s="5">
        <v>0</v>
      </c>
      <c r="BN68" s="5">
        <v>2268000000</v>
      </c>
    </row>
    <row r="69" spans="1:66" x14ac:dyDescent="0.25">
      <c r="A69" s="17" t="s">
        <v>104</v>
      </c>
      <c r="B69" s="4">
        <v>1413</v>
      </c>
      <c r="C69" s="4" t="s">
        <v>117</v>
      </c>
      <c r="D69" s="5">
        <v>1909790416818</v>
      </c>
      <c r="E69" s="5">
        <v>11226814490</v>
      </c>
      <c r="F69" s="5">
        <v>0</v>
      </c>
      <c r="G69" s="5">
        <v>0</v>
      </c>
      <c r="H69" s="5">
        <v>1921017231308</v>
      </c>
      <c r="I69" s="5">
        <v>182351013929</v>
      </c>
      <c r="J69" s="5">
        <v>569977800</v>
      </c>
      <c r="K69" s="5">
        <v>1738096239579</v>
      </c>
      <c r="L69" s="5">
        <v>1371785198066</v>
      </c>
      <c r="M69" s="5">
        <f t="shared" si="5"/>
        <v>549232033242</v>
      </c>
      <c r="N69" s="36">
        <f t="shared" si="6"/>
        <v>40.037757661792114</v>
      </c>
      <c r="O69" s="5">
        <v>1310875612039</v>
      </c>
      <c r="P69" s="36">
        <v>77.19</v>
      </c>
      <c r="Q69" s="6">
        <v>75.42</v>
      </c>
      <c r="R69" s="6">
        <v>2.88</v>
      </c>
      <c r="S69" s="5">
        <v>1377114330927</v>
      </c>
      <c r="T69" s="5">
        <v>42647093292</v>
      </c>
      <c r="U69" s="5">
        <v>37516948348</v>
      </c>
      <c r="V69" s="5">
        <v>5130144944</v>
      </c>
      <c r="W69" s="5">
        <v>0</v>
      </c>
      <c r="X69" s="5">
        <v>1419761424219</v>
      </c>
      <c r="Y69" s="5">
        <v>0</v>
      </c>
      <c r="Z69" s="5">
        <v>57403009699</v>
      </c>
      <c r="AA69" s="5">
        <v>5647500000</v>
      </c>
      <c r="AB69" s="5">
        <v>1482811933918</v>
      </c>
      <c r="AC69" s="5">
        <v>1148718219909</v>
      </c>
      <c r="AD69" s="36">
        <f t="shared" si="7"/>
        <v>23.595273376222035</v>
      </c>
      <c r="AE69" s="5">
        <v>916930482304</v>
      </c>
      <c r="AF69" s="5">
        <v>916930482304</v>
      </c>
      <c r="AG69" s="5">
        <v>0</v>
      </c>
      <c r="AH69" s="5">
        <v>14446302304</v>
      </c>
      <c r="AI69" s="5">
        <v>0</v>
      </c>
      <c r="AJ69" s="5">
        <v>0</v>
      </c>
      <c r="AK69" s="5">
        <v>0</v>
      </c>
      <c r="AL69" s="6">
        <v>0</v>
      </c>
      <c r="AM69" s="5">
        <v>0</v>
      </c>
      <c r="AN69" s="6">
        <v>16</v>
      </c>
      <c r="AO69" s="5">
        <v>34044699030</v>
      </c>
      <c r="AP69" s="6">
        <v>21</v>
      </c>
      <c r="AQ69" s="5">
        <v>56776036196</v>
      </c>
      <c r="AR69" s="5">
        <v>42647093292</v>
      </c>
      <c r="AS69" s="5">
        <v>24763876783</v>
      </c>
      <c r="AT69" s="5">
        <f t="shared" si="8"/>
        <v>17883216509</v>
      </c>
      <c r="AU69" s="36">
        <f t="shared" si="9"/>
        <v>72.214930908057724</v>
      </c>
      <c r="AV69" s="5">
        <v>685748040140</v>
      </c>
      <c r="AW69" s="5">
        <v>145252247280</v>
      </c>
      <c r="AX69" s="5">
        <v>188522762718</v>
      </c>
      <c r="AY69" s="5">
        <v>279946310079</v>
      </c>
      <c r="AZ69" s="5">
        <v>373096344021</v>
      </c>
      <c r="BA69" s="5">
        <v>1360585383168</v>
      </c>
      <c r="BB69" s="5">
        <v>253697076005</v>
      </c>
      <c r="BC69" s="5">
        <v>1921017231308</v>
      </c>
      <c r="BD69" s="5">
        <v>479695887287</v>
      </c>
      <c r="BE69" s="5">
        <v>373096344021</v>
      </c>
      <c r="BF69" s="5">
        <v>1068225000000</v>
      </c>
      <c r="BG69" s="5">
        <v>312159240000</v>
      </c>
      <c r="BH69" s="5">
        <v>604771242304</v>
      </c>
      <c r="BI69" s="5">
        <v>0</v>
      </c>
      <c r="BJ69" s="48">
        <v>0</v>
      </c>
      <c r="BK69" s="5">
        <v>0</v>
      </c>
      <c r="BL69" s="5">
        <v>0</v>
      </c>
      <c r="BM69" s="5">
        <v>0</v>
      </c>
      <c r="BN69" s="5">
        <v>14446302304</v>
      </c>
    </row>
    <row r="70" spans="1:66" x14ac:dyDescent="0.25">
      <c r="A70" s="17" t="s">
        <v>104</v>
      </c>
      <c r="B70" s="4">
        <v>1414</v>
      </c>
      <c r="C70" s="4" t="s">
        <v>118</v>
      </c>
      <c r="D70" s="5">
        <v>2405497884834</v>
      </c>
      <c r="E70" s="5">
        <v>263546479347</v>
      </c>
      <c r="F70" s="5">
        <v>0</v>
      </c>
      <c r="G70" s="5">
        <v>0</v>
      </c>
      <c r="H70" s="5">
        <v>2669044364181</v>
      </c>
      <c r="I70" s="5">
        <v>221387754434</v>
      </c>
      <c r="J70" s="5">
        <v>101518411061</v>
      </c>
      <c r="K70" s="5">
        <v>2346138198686</v>
      </c>
      <c r="L70" s="5">
        <v>1582692830251</v>
      </c>
      <c r="M70" s="5">
        <f t="shared" si="5"/>
        <v>1086351533930</v>
      </c>
      <c r="N70" s="36">
        <f t="shared" si="6"/>
        <v>68.639442421541446</v>
      </c>
      <c r="O70" s="5">
        <v>4027800343033</v>
      </c>
      <c r="P70" s="36">
        <v>173.37</v>
      </c>
      <c r="Q70" s="6">
        <v>171.68</v>
      </c>
      <c r="R70" s="6">
        <v>1.23</v>
      </c>
      <c r="S70" s="5">
        <v>4483959471841</v>
      </c>
      <c r="T70" s="5">
        <v>56356778942</v>
      </c>
      <c r="U70" s="5">
        <v>9901987110</v>
      </c>
      <c r="V70" s="5">
        <v>10836692</v>
      </c>
      <c r="W70" s="5">
        <v>46443955140</v>
      </c>
      <c r="X70" s="5">
        <v>4540316250783</v>
      </c>
      <c r="Y70" s="5">
        <v>555134937</v>
      </c>
      <c r="Z70" s="5">
        <v>81950077509</v>
      </c>
      <c r="AA70" s="5">
        <v>4990462342</v>
      </c>
      <c r="AB70" s="5">
        <v>4627256790634</v>
      </c>
      <c r="AC70" s="5">
        <v>2343403397703</v>
      </c>
      <c r="AD70" s="36">
        <f t="shared" si="7"/>
        <v>93.748812314320702</v>
      </c>
      <c r="AE70" s="5">
        <v>6088865473378</v>
      </c>
      <c r="AF70" s="5">
        <v>5630021377197</v>
      </c>
      <c r="AG70" s="5">
        <v>516620749404</v>
      </c>
      <c r="AH70" s="5">
        <v>267191832370</v>
      </c>
      <c r="AI70" s="5">
        <v>0</v>
      </c>
      <c r="AJ70" s="5">
        <v>0</v>
      </c>
      <c r="AK70" s="5">
        <v>0</v>
      </c>
      <c r="AL70" s="6">
        <v>5</v>
      </c>
      <c r="AM70" s="5">
        <v>331219592062</v>
      </c>
      <c r="AN70" s="6">
        <v>158</v>
      </c>
      <c r="AO70" s="5">
        <v>1975139128397</v>
      </c>
      <c r="AP70" s="6">
        <v>72</v>
      </c>
      <c r="AQ70" s="5">
        <v>1346843084469</v>
      </c>
      <c r="AR70" s="5">
        <v>56356778942</v>
      </c>
      <c r="AS70" s="5">
        <v>997565932</v>
      </c>
      <c r="AT70" s="5">
        <f t="shared" si="8"/>
        <v>55359213010</v>
      </c>
      <c r="AU70" s="36">
        <f t="shared" si="9"/>
        <v>5549.4289885192275</v>
      </c>
      <c r="AV70" s="5">
        <v>3969694406459</v>
      </c>
      <c r="AW70" s="5">
        <v>153381106280</v>
      </c>
      <c r="AX70" s="5">
        <v>747054308750</v>
      </c>
      <c r="AY70" s="5">
        <v>631850571095</v>
      </c>
      <c r="AZ70" s="5">
        <v>267037884843</v>
      </c>
      <c r="BA70" s="5">
        <v>824392037802</v>
      </c>
      <c r="BB70" s="5">
        <v>148976762899</v>
      </c>
      <c r="BC70" s="5">
        <v>2669044364181</v>
      </c>
      <c r="BD70" s="5">
        <v>1642451359192</v>
      </c>
      <c r="BE70" s="5">
        <v>267037884843</v>
      </c>
      <c r="BF70" s="5">
        <v>759555120146</v>
      </c>
      <c r="BG70" s="5">
        <v>4730371805654</v>
      </c>
      <c r="BH70" s="5">
        <v>1358493667724</v>
      </c>
      <c r="BI70" s="5">
        <v>0</v>
      </c>
      <c r="BJ70" s="48">
        <v>0</v>
      </c>
      <c r="BK70" s="5">
        <v>782884799982</v>
      </c>
      <c r="BL70" s="5">
        <v>0</v>
      </c>
      <c r="BM70" s="5">
        <v>46027500000</v>
      </c>
      <c r="BN70" s="5">
        <v>221164332370</v>
      </c>
    </row>
    <row r="71" spans="1:66" x14ac:dyDescent="0.25">
      <c r="A71" s="17" t="s">
        <v>104</v>
      </c>
      <c r="B71" s="4">
        <v>1415</v>
      </c>
      <c r="C71" s="4" t="s">
        <v>119</v>
      </c>
      <c r="D71" s="5">
        <v>1297038758425</v>
      </c>
      <c r="E71" s="5">
        <v>6795903898</v>
      </c>
      <c r="F71" s="5">
        <v>0</v>
      </c>
      <c r="G71" s="5">
        <v>0</v>
      </c>
      <c r="H71" s="5">
        <v>1303834662323</v>
      </c>
      <c r="I71" s="5">
        <v>111855036627</v>
      </c>
      <c r="J71" s="5">
        <v>3326472814</v>
      </c>
      <c r="K71" s="5">
        <v>1188653152882</v>
      </c>
      <c r="L71" s="5">
        <v>759363526418</v>
      </c>
      <c r="M71" s="5">
        <f t="shared" si="5"/>
        <v>544471135905</v>
      </c>
      <c r="N71" s="36">
        <f t="shared" si="6"/>
        <v>71.700986018294728</v>
      </c>
      <c r="O71" s="5">
        <v>696516122663</v>
      </c>
      <c r="P71" s="36">
        <v>60.68</v>
      </c>
      <c r="Q71" s="6">
        <v>58.6</v>
      </c>
      <c r="R71" s="6">
        <v>3.6</v>
      </c>
      <c r="S71" s="5">
        <v>718051841309</v>
      </c>
      <c r="T71" s="5">
        <v>28460839666</v>
      </c>
      <c r="U71" s="5">
        <v>27453015514</v>
      </c>
      <c r="V71" s="5">
        <v>1007824152</v>
      </c>
      <c r="W71" s="5">
        <v>0</v>
      </c>
      <c r="X71" s="5">
        <v>746512680975</v>
      </c>
      <c r="Y71" s="5">
        <v>0</v>
      </c>
      <c r="Z71" s="5">
        <v>37716728357</v>
      </c>
      <c r="AA71" s="5">
        <v>6984001000</v>
      </c>
      <c r="AB71" s="5">
        <v>791213410332</v>
      </c>
      <c r="AC71" s="5">
        <v>727791373985</v>
      </c>
      <c r="AD71" s="36">
        <f t="shared" si="7"/>
        <v>2.5723452708008949</v>
      </c>
      <c r="AE71" s="5">
        <v>541037323941</v>
      </c>
      <c r="AF71" s="5">
        <v>524467603941</v>
      </c>
      <c r="AG71" s="5">
        <v>157509920000</v>
      </c>
      <c r="AH71" s="5">
        <v>0</v>
      </c>
      <c r="AI71" s="5">
        <v>0</v>
      </c>
      <c r="AJ71" s="5">
        <v>14600000000</v>
      </c>
      <c r="AK71" s="5">
        <v>0</v>
      </c>
      <c r="AL71" s="6">
        <v>0</v>
      </c>
      <c r="AM71" s="5">
        <v>0</v>
      </c>
      <c r="AN71" s="6">
        <v>6</v>
      </c>
      <c r="AO71" s="5">
        <v>34802677181</v>
      </c>
      <c r="AP71" s="6">
        <v>6</v>
      </c>
      <c r="AQ71" s="5">
        <v>19742500000</v>
      </c>
      <c r="AR71" s="5">
        <v>28460839666</v>
      </c>
      <c r="AS71" s="5">
        <v>47660739791</v>
      </c>
      <c r="AT71" s="5">
        <f t="shared" si="8"/>
        <v>-19199900125</v>
      </c>
      <c r="AU71" s="36">
        <f t="shared" si="9"/>
        <v>-40.284519730903561</v>
      </c>
      <c r="AV71" s="5">
        <v>482756441311</v>
      </c>
      <c r="AW71" s="5">
        <v>194073621921</v>
      </c>
      <c r="AX71" s="5">
        <v>186972475426</v>
      </c>
      <c r="AY71" s="5">
        <v>196872048816</v>
      </c>
      <c r="AZ71" s="5">
        <v>282746134183</v>
      </c>
      <c r="BA71" s="5">
        <v>678715398772</v>
      </c>
      <c r="BB71" s="5">
        <v>182040798008</v>
      </c>
      <c r="BC71" s="5">
        <v>1303834662323</v>
      </c>
      <c r="BD71" s="5">
        <v>390640428140</v>
      </c>
      <c r="BE71" s="5">
        <v>282746134183</v>
      </c>
      <c r="BF71" s="5">
        <v>630448100000</v>
      </c>
      <c r="BG71" s="5">
        <v>336057747384</v>
      </c>
      <c r="BH71" s="5">
        <v>204979576557</v>
      </c>
      <c r="BI71" s="5">
        <v>0</v>
      </c>
      <c r="BJ71" s="48">
        <v>0</v>
      </c>
      <c r="BK71" s="5">
        <v>157509920000</v>
      </c>
      <c r="BL71" s="5">
        <v>0</v>
      </c>
      <c r="BM71" s="5">
        <v>0</v>
      </c>
      <c r="BN71" s="5">
        <v>0</v>
      </c>
    </row>
    <row r="72" spans="1:66" x14ac:dyDescent="0.25">
      <c r="A72" s="17" t="s">
        <v>104</v>
      </c>
      <c r="B72" s="4">
        <v>1416</v>
      </c>
      <c r="C72" s="4" t="s">
        <v>120</v>
      </c>
      <c r="D72" s="5">
        <v>3708517745560</v>
      </c>
      <c r="E72" s="5">
        <v>39953431900</v>
      </c>
      <c r="F72" s="5">
        <v>0</v>
      </c>
      <c r="G72" s="5">
        <v>0</v>
      </c>
      <c r="H72" s="5">
        <v>3748471177460</v>
      </c>
      <c r="I72" s="5">
        <v>318231661942</v>
      </c>
      <c r="J72" s="5">
        <v>3237471472</v>
      </c>
      <c r="K72" s="5">
        <v>3427002044046</v>
      </c>
      <c r="L72" s="5">
        <v>2763982122151</v>
      </c>
      <c r="M72" s="5">
        <f t="shared" si="5"/>
        <v>984489055309</v>
      </c>
      <c r="N72" s="36">
        <f t="shared" si="6"/>
        <v>35.618503007640513</v>
      </c>
      <c r="O72" s="5">
        <v>1323939375523</v>
      </c>
      <c r="P72" s="36">
        <v>39.82</v>
      </c>
      <c r="Q72" s="6">
        <v>38.630000000000003</v>
      </c>
      <c r="R72" s="6">
        <v>9.6</v>
      </c>
      <c r="S72" s="5">
        <v>1314575949908</v>
      </c>
      <c r="T72" s="5">
        <v>143343629001</v>
      </c>
      <c r="U72" s="5">
        <v>49689407913</v>
      </c>
      <c r="V72" s="5">
        <v>93654221088</v>
      </c>
      <c r="W72" s="5">
        <v>0</v>
      </c>
      <c r="X72" s="5">
        <v>1457919578909</v>
      </c>
      <c r="Y72" s="5">
        <v>0</v>
      </c>
      <c r="Z72" s="5">
        <v>34549745419</v>
      </c>
      <c r="AA72" s="5">
        <v>0</v>
      </c>
      <c r="AB72" s="5">
        <v>1492469324328</v>
      </c>
      <c r="AC72" s="5">
        <v>1783544412138</v>
      </c>
      <c r="AD72" s="36">
        <f t="shared" si="7"/>
        <v>-18.257175487918552</v>
      </c>
      <c r="AE72" s="5">
        <v>631364042297</v>
      </c>
      <c r="AF72" s="5">
        <v>631364042297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6">
        <v>0</v>
      </c>
      <c r="AM72" s="5">
        <v>0</v>
      </c>
      <c r="AN72" s="6">
        <v>76</v>
      </c>
      <c r="AO72" s="5">
        <v>229401372495</v>
      </c>
      <c r="AP72" s="6">
        <v>73</v>
      </c>
      <c r="AQ72" s="5">
        <v>740922143208</v>
      </c>
      <c r="AR72" s="5">
        <v>143343629001</v>
      </c>
      <c r="AS72" s="5">
        <v>15678418881</v>
      </c>
      <c r="AT72" s="5">
        <f t="shared" si="8"/>
        <v>127665210120</v>
      </c>
      <c r="AU72" s="36">
        <f t="shared" si="9"/>
        <v>814.27349970035539</v>
      </c>
      <c r="AV72" s="5">
        <v>887407060313</v>
      </c>
      <c r="AW72" s="5">
        <v>320339938943</v>
      </c>
      <c r="AX72" s="5">
        <v>587318985280</v>
      </c>
      <c r="AY72" s="5">
        <v>185065367298</v>
      </c>
      <c r="AZ72" s="5">
        <v>325498756982</v>
      </c>
      <c r="BA72" s="5">
        <v>2632101403308</v>
      </c>
      <c r="BB72" s="5">
        <v>215963833117</v>
      </c>
      <c r="BC72" s="5">
        <v>3748471177460</v>
      </c>
      <c r="BD72" s="5">
        <v>812337784478</v>
      </c>
      <c r="BE72" s="5">
        <v>323133956982</v>
      </c>
      <c r="BF72" s="5">
        <v>2612999436000</v>
      </c>
      <c r="BG72" s="5">
        <v>504879270957</v>
      </c>
      <c r="BH72" s="5">
        <v>126484771340</v>
      </c>
      <c r="BI72" s="5">
        <v>0</v>
      </c>
      <c r="BJ72" s="48">
        <v>0</v>
      </c>
      <c r="BK72" s="5">
        <v>0</v>
      </c>
      <c r="BL72" s="5">
        <v>0</v>
      </c>
      <c r="BM72" s="5">
        <v>0</v>
      </c>
      <c r="BN72" s="5">
        <v>0</v>
      </c>
    </row>
    <row r="73" spans="1:66" x14ac:dyDescent="0.25">
      <c r="A73" s="17" t="s">
        <v>104</v>
      </c>
      <c r="B73" s="4">
        <v>1417</v>
      </c>
      <c r="C73" s="4" t="s">
        <v>121</v>
      </c>
      <c r="D73" s="5">
        <v>1406321907530</v>
      </c>
      <c r="E73" s="5">
        <v>273510066889</v>
      </c>
      <c r="F73" s="5">
        <v>0</v>
      </c>
      <c r="G73" s="5">
        <v>0</v>
      </c>
      <c r="H73" s="5">
        <v>1679831974419</v>
      </c>
      <c r="I73" s="5">
        <v>152031407257</v>
      </c>
      <c r="J73" s="5">
        <v>3089345082</v>
      </c>
      <c r="K73" s="5">
        <v>1524711222080</v>
      </c>
      <c r="L73" s="5">
        <v>1106031518980</v>
      </c>
      <c r="M73" s="5">
        <f t="shared" si="5"/>
        <v>573800455439</v>
      </c>
      <c r="N73" s="36">
        <f t="shared" si="6"/>
        <v>51.87921371066966</v>
      </c>
      <c r="O73" s="5">
        <v>2230722583309</v>
      </c>
      <c r="P73" s="36">
        <v>140.09</v>
      </c>
      <c r="Q73" s="6">
        <v>146.30000000000001</v>
      </c>
      <c r="R73" s="6">
        <v>1.82</v>
      </c>
      <c r="S73" s="5">
        <v>2241276772242</v>
      </c>
      <c r="T73" s="5">
        <v>42827675694</v>
      </c>
      <c r="U73" s="5">
        <v>41461631853</v>
      </c>
      <c r="V73" s="5">
        <v>1366043841</v>
      </c>
      <c r="W73" s="5">
        <v>0</v>
      </c>
      <c r="X73" s="5">
        <v>2284104447936</v>
      </c>
      <c r="Y73" s="5">
        <v>0</v>
      </c>
      <c r="Z73" s="5">
        <v>64510585942</v>
      </c>
      <c r="AA73" s="5">
        <v>4691257000</v>
      </c>
      <c r="AB73" s="5">
        <v>2353306290878</v>
      </c>
      <c r="AC73" s="5">
        <v>1256384724515</v>
      </c>
      <c r="AD73" s="36">
        <f t="shared" si="7"/>
        <v>81.799762713425935</v>
      </c>
      <c r="AE73" s="5">
        <v>6280040855231</v>
      </c>
      <c r="AF73" s="5">
        <v>6280040855231</v>
      </c>
      <c r="AG73" s="5">
        <v>5473998581693</v>
      </c>
      <c r="AH73" s="5">
        <v>2900000000</v>
      </c>
      <c r="AI73" s="5">
        <v>0</v>
      </c>
      <c r="AJ73" s="5">
        <v>0</v>
      </c>
      <c r="AK73" s="5">
        <v>0</v>
      </c>
      <c r="AL73" s="6">
        <v>26</v>
      </c>
      <c r="AM73" s="5">
        <v>7756215426726</v>
      </c>
      <c r="AN73" s="6">
        <v>42</v>
      </c>
      <c r="AO73" s="5">
        <v>1563839792843</v>
      </c>
      <c r="AP73" s="6">
        <v>48</v>
      </c>
      <c r="AQ73" s="5">
        <v>427937732121</v>
      </c>
      <c r="AR73" s="5">
        <v>42827675694</v>
      </c>
      <c r="AS73" s="5">
        <v>7340514905</v>
      </c>
      <c r="AT73" s="5">
        <f t="shared" si="8"/>
        <v>35487160789</v>
      </c>
      <c r="AU73" s="36">
        <f t="shared" si="9"/>
        <v>483.44239128004335</v>
      </c>
      <c r="AV73" s="5">
        <v>5065805014244</v>
      </c>
      <c r="AW73" s="5">
        <v>228795770460</v>
      </c>
      <c r="AX73" s="5">
        <v>728277236721</v>
      </c>
      <c r="AY73" s="5">
        <v>107530508959</v>
      </c>
      <c r="AZ73" s="5">
        <v>217274609590</v>
      </c>
      <c r="BA73" s="5">
        <v>407061515784</v>
      </c>
      <c r="BB73" s="5">
        <v>106460214713</v>
      </c>
      <c r="BC73" s="5">
        <v>1679831974419</v>
      </c>
      <c r="BD73" s="5">
        <v>1109317812569</v>
      </c>
      <c r="BE73" s="5">
        <v>217240609590</v>
      </c>
      <c r="BF73" s="5">
        <v>353273552260</v>
      </c>
      <c r="BG73" s="5">
        <v>6096051118660</v>
      </c>
      <c r="BH73" s="5">
        <v>183989736571</v>
      </c>
      <c r="BI73" s="5">
        <v>2351165938</v>
      </c>
      <c r="BJ73" s="48">
        <v>0</v>
      </c>
      <c r="BK73" s="5">
        <v>4463755076886</v>
      </c>
      <c r="BL73" s="5">
        <v>0</v>
      </c>
      <c r="BM73" s="5">
        <v>0</v>
      </c>
      <c r="BN73" s="5">
        <v>2900000000</v>
      </c>
    </row>
    <row r="74" spans="1:66" x14ac:dyDescent="0.25">
      <c r="A74" s="17" t="s">
        <v>104</v>
      </c>
      <c r="B74" s="4">
        <v>1418</v>
      </c>
      <c r="C74" s="4" t="s">
        <v>122</v>
      </c>
      <c r="D74" s="5">
        <v>3643471691483</v>
      </c>
      <c r="E74" s="5">
        <v>424466033658</v>
      </c>
      <c r="F74" s="5">
        <v>0</v>
      </c>
      <c r="G74" s="5">
        <v>0</v>
      </c>
      <c r="H74" s="5">
        <v>4067937725141</v>
      </c>
      <c r="I74" s="5">
        <v>300892557755</v>
      </c>
      <c r="J74" s="5">
        <v>4152669950</v>
      </c>
      <c r="K74" s="5">
        <v>3762892497436</v>
      </c>
      <c r="L74" s="5">
        <v>2915165990828</v>
      </c>
      <c r="M74" s="5">
        <f t="shared" si="5"/>
        <v>1152771734313</v>
      </c>
      <c r="N74" s="36">
        <f t="shared" si="6"/>
        <v>39.543948370006063</v>
      </c>
      <c r="O74" s="5">
        <v>1408908345097</v>
      </c>
      <c r="P74" s="36">
        <v>39.07</v>
      </c>
      <c r="Q74" s="6">
        <v>37.44</v>
      </c>
      <c r="R74" s="6">
        <v>2.87</v>
      </c>
      <c r="S74" s="5">
        <v>1470216665814</v>
      </c>
      <c r="T74" s="5">
        <v>45657282102</v>
      </c>
      <c r="U74" s="5">
        <v>358895033</v>
      </c>
      <c r="V74" s="5">
        <v>45298387069</v>
      </c>
      <c r="W74" s="5">
        <v>0</v>
      </c>
      <c r="X74" s="5">
        <v>1515873947916</v>
      </c>
      <c r="Y74" s="5">
        <v>0</v>
      </c>
      <c r="Z74" s="5">
        <v>70476334804</v>
      </c>
      <c r="AA74" s="5">
        <v>2999345068</v>
      </c>
      <c r="AB74" s="5">
        <v>1589349627788</v>
      </c>
      <c r="AC74" s="5">
        <v>1844844963452</v>
      </c>
      <c r="AD74" s="36">
        <f t="shared" si="7"/>
        <v>-17.831905772745401</v>
      </c>
      <c r="AE74" s="5">
        <v>5354360731503</v>
      </c>
      <c r="AF74" s="5">
        <v>5343060731503</v>
      </c>
      <c r="AG74" s="5">
        <v>4135258173078</v>
      </c>
      <c r="AH74" s="5">
        <v>173559128225</v>
      </c>
      <c r="AI74" s="5">
        <v>0</v>
      </c>
      <c r="AJ74" s="5">
        <v>60000000000</v>
      </c>
      <c r="AK74" s="5">
        <v>0</v>
      </c>
      <c r="AL74" s="6">
        <v>5</v>
      </c>
      <c r="AM74" s="5">
        <v>715300000000</v>
      </c>
      <c r="AN74" s="6">
        <v>214</v>
      </c>
      <c r="AO74" s="5">
        <v>4044932755354</v>
      </c>
      <c r="AP74" s="6">
        <v>225</v>
      </c>
      <c r="AQ74" s="5">
        <v>3166304712649</v>
      </c>
      <c r="AR74" s="5">
        <v>45657282102</v>
      </c>
      <c r="AS74" s="5">
        <v>0</v>
      </c>
      <c r="AT74" s="5">
        <f t="shared" si="8"/>
        <v>45657282102</v>
      </c>
      <c r="AU74" s="36">
        <f t="shared" si="9"/>
        <v>0</v>
      </c>
      <c r="AV74" s="5">
        <v>5851268376718</v>
      </c>
      <c r="AW74" s="5">
        <v>2399107634908</v>
      </c>
      <c r="AX74" s="5">
        <v>530503003184</v>
      </c>
      <c r="AY74" s="5">
        <v>159059589840</v>
      </c>
      <c r="AZ74" s="5">
        <v>655938098459</v>
      </c>
      <c r="BA74" s="5">
        <v>2501952477112</v>
      </c>
      <c r="BB74" s="5">
        <v>538244148777</v>
      </c>
      <c r="BC74" s="5">
        <v>4067937725141</v>
      </c>
      <c r="BD74" s="5">
        <v>1114028626682</v>
      </c>
      <c r="BE74" s="5">
        <v>655938098459</v>
      </c>
      <c r="BF74" s="5">
        <v>2297971000000</v>
      </c>
      <c r="BG74" s="5">
        <v>4734243750183</v>
      </c>
      <c r="BH74" s="5">
        <v>620116981320</v>
      </c>
      <c r="BI74" s="5">
        <v>0</v>
      </c>
      <c r="BJ74" s="48">
        <v>0</v>
      </c>
      <c r="BK74" s="5">
        <v>4992494293864</v>
      </c>
      <c r="BL74" s="5">
        <v>96442018782</v>
      </c>
      <c r="BM74" s="5">
        <v>0</v>
      </c>
      <c r="BN74" s="5">
        <v>77117109443</v>
      </c>
    </row>
    <row r="75" spans="1:66" x14ac:dyDescent="0.25">
      <c r="A75" s="17" t="s">
        <v>104</v>
      </c>
      <c r="B75" s="4">
        <v>1419</v>
      </c>
      <c r="C75" s="4" t="s">
        <v>123</v>
      </c>
      <c r="D75" s="5">
        <v>5478306645545</v>
      </c>
      <c r="E75" s="5">
        <v>180682283362</v>
      </c>
      <c r="F75" s="5">
        <v>0</v>
      </c>
      <c r="G75" s="5">
        <v>293112000</v>
      </c>
      <c r="H75" s="5">
        <v>5659282040907</v>
      </c>
      <c r="I75" s="5">
        <v>341892193056</v>
      </c>
      <c r="J75" s="5">
        <v>4454777773</v>
      </c>
      <c r="K75" s="5">
        <v>5312935070078</v>
      </c>
      <c r="L75" s="5">
        <v>4375088645989</v>
      </c>
      <c r="M75" s="5">
        <f t="shared" si="5"/>
        <v>1284193394918</v>
      </c>
      <c r="N75" s="36">
        <f t="shared" si="6"/>
        <v>29.35239714732008</v>
      </c>
      <c r="O75" s="5">
        <v>1963291540532</v>
      </c>
      <c r="P75" s="36">
        <v>37.47</v>
      </c>
      <c r="Q75" s="6">
        <v>36.950000000000003</v>
      </c>
      <c r="R75" s="6">
        <v>10.65</v>
      </c>
      <c r="S75" s="5">
        <v>1809664583262</v>
      </c>
      <c r="T75" s="5">
        <v>225532549072</v>
      </c>
      <c r="U75" s="5">
        <v>173534687535</v>
      </c>
      <c r="V75" s="5">
        <v>51751074489</v>
      </c>
      <c r="W75" s="5">
        <v>246787048</v>
      </c>
      <c r="X75" s="5">
        <v>2035197132334</v>
      </c>
      <c r="Y75" s="5">
        <v>280042622</v>
      </c>
      <c r="Z75" s="5">
        <v>85404259717</v>
      </c>
      <c r="AA75" s="5">
        <v>0</v>
      </c>
      <c r="AB75" s="5">
        <v>2120601392051</v>
      </c>
      <c r="AC75" s="5">
        <v>2752790325382</v>
      </c>
      <c r="AD75" s="36">
        <f t="shared" si="7"/>
        <v>-26.067847828127661</v>
      </c>
      <c r="AE75" s="5">
        <v>945467628665</v>
      </c>
      <c r="AF75" s="5">
        <v>938357354148</v>
      </c>
      <c r="AG75" s="5">
        <v>264491565320</v>
      </c>
      <c r="AH75" s="5">
        <v>0</v>
      </c>
      <c r="AI75" s="5">
        <v>0</v>
      </c>
      <c r="AJ75" s="5">
        <v>0</v>
      </c>
      <c r="AK75" s="5">
        <v>0</v>
      </c>
      <c r="AL75" s="6">
        <v>2</v>
      </c>
      <c r="AM75" s="5">
        <v>145852868108</v>
      </c>
      <c r="AN75" s="6">
        <v>11</v>
      </c>
      <c r="AO75" s="5">
        <v>243351116888</v>
      </c>
      <c r="AP75" s="6">
        <v>83</v>
      </c>
      <c r="AQ75" s="5">
        <v>901694257284</v>
      </c>
      <c r="AR75" s="5">
        <v>225532549072</v>
      </c>
      <c r="AS75" s="5">
        <v>13930494932</v>
      </c>
      <c r="AT75" s="5">
        <f t="shared" si="8"/>
        <v>211602054140</v>
      </c>
      <c r="AU75" s="36">
        <f t="shared" si="9"/>
        <v>1518.9844666173703</v>
      </c>
      <c r="AV75" s="5">
        <v>1619851349743</v>
      </c>
      <c r="AW75" s="5">
        <v>241700002118</v>
      </c>
      <c r="AX75" s="5">
        <v>2832826336399</v>
      </c>
      <c r="AY75" s="5">
        <v>351262387869</v>
      </c>
      <c r="AZ75" s="5">
        <v>352167404455</v>
      </c>
      <c r="BA75" s="5">
        <v>2157779135018</v>
      </c>
      <c r="BB75" s="5">
        <v>159057647082</v>
      </c>
      <c r="BC75" s="5">
        <v>5659282040907</v>
      </c>
      <c r="BD75" s="5">
        <v>3242738166652</v>
      </c>
      <c r="BE75" s="5">
        <v>352167404455</v>
      </c>
      <c r="BF75" s="5">
        <v>2064376469800</v>
      </c>
      <c r="BG75" s="5">
        <v>508718067165</v>
      </c>
      <c r="BH75" s="5">
        <v>436749561500</v>
      </c>
      <c r="BI75" s="5">
        <v>0</v>
      </c>
      <c r="BJ75" s="48">
        <v>0</v>
      </c>
      <c r="BK75" s="5">
        <v>264491565320</v>
      </c>
      <c r="BL75" s="5">
        <v>0</v>
      </c>
      <c r="BM75" s="5">
        <v>0</v>
      </c>
      <c r="BN75" s="5">
        <v>0</v>
      </c>
    </row>
    <row r="76" spans="1:66" x14ac:dyDescent="0.25">
      <c r="A76" s="17" t="s">
        <v>104</v>
      </c>
      <c r="B76" s="4">
        <v>1420</v>
      </c>
      <c r="C76" s="4" t="s">
        <v>124</v>
      </c>
      <c r="D76" s="5">
        <v>3685000372496</v>
      </c>
      <c r="E76" s="5">
        <v>683093808547</v>
      </c>
      <c r="F76" s="5">
        <v>0</v>
      </c>
      <c r="G76" s="5">
        <v>0</v>
      </c>
      <c r="H76" s="5">
        <v>4368094181043</v>
      </c>
      <c r="I76" s="5">
        <v>386686360034</v>
      </c>
      <c r="J76" s="5">
        <v>2752858383</v>
      </c>
      <c r="K76" s="5">
        <v>3978654962626</v>
      </c>
      <c r="L76" s="5">
        <v>3212226123181</v>
      </c>
      <c r="M76" s="5">
        <f t="shared" si="5"/>
        <v>1155868057862</v>
      </c>
      <c r="N76" s="36">
        <f t="shared" si="6"/>
        <v>35.983396359325042</v>
      </c>
      <c r="O76" s="5">
        <v>1442475267288</v>
      </c>
      <c r="P76" s="36">
        <v>36.450000000000003</v>
      </c>
      <c r="Q76" s="6">
        <v>36.26</v>
      </c>
      <c r="R76" s="6">
        <v>0.14000000000000001</v>
      </c>
      <c r="S76" s="5">
        <v>1557374708549</v>
      </c>
      <c r="T76" s="5">
        <v>2178434112</v>
      </c>
      <c r="U76" s="5">
        <v>2178434112</v>
      </c>
      <c r="V76" s="5">
        <v>0</v>
      </c>
      <c r="W76" s="5">
        <v>0</v>
      </c>
      <c r="X76" s="5">
        <v>1559553142661</v>
      </c>
      <c r="Y76" s="5">
        <v>13757680</v>
      </c>
      <c r="Z76" s="5">
        <v>32399586341</v>
      </c>
      <c r="AA76" s="5">
        <v>0</v>
      </c>
      <c r="AB76" s="5">
        <v>1591952729002</v>
      </c>
      <c r="AC76" s="5">
        <v>1587341656524</v>
      </c>
      <c r="AD76" s="36">
        <f t="shared" si="7"/>
        <v>-1.750632181092757</v>
      </c>
      <c r="AE76" s="5">
        <v>6109720823750</v>
      </c>
      <c r="AF76" s="5">
        <v>6109720823750</v>
      </c>
      <c r="AG76" s="5">
        <v>4824957987565</v>
      </c>
      <c r="AH76" s="5">
        <v>1262886185</v>
      </c>
      <c r="AI76" s="5">
        <v>0</v>
      </c>
      <c r="AJ76" s="5">
        <v>0</v>
      </c>
      <c r="AK76" s="5">
        <v>0</v>
      </c>
      <c r="AL76" s="6">
        <v>27</v>
      </c>
      <c r="AM76" s="5">
        <v>6946762834459</v>
      </c>
      <c r="AN76" s="6">
        <v>138</v>
      </c>
      <c r="AO76" s="5">
        <v>2874999168316</v>
      </c>
      <c r="AP76" s="6">
        <v>137</v>
      </c>
      <c r="AQ76" s="5">
        <v>2696295010171</v>
      </c>
      <c r="AR76" s="5">
        <v>2178434112</v>
      </c>
      <c r="AS76" s="5">
        <v>0</v>
      </c>
      <c r="AT76" s="5">
        <f t="shared" si="8"/>
        <v>2178434112</v>
      </c>
      <c r="AU76" s="36">
        <f t="shared" si="9"/>
        <v>0</v>
      </c>
      <c r="AV76" s="5">
        <v>6118172901837</v>
      </c>
      <c r="AW76" s="5">
        <v>89230274421</v>
      </c>
      <c r="AX76" s="5">
        <v>941570992509</v>
      </c>
      <c r="AY76" s="5">
        <v>369577643178</v>
      </c>
      <c r="AZ76" s="5">
        <v>757279736809</v>
      </c>
      <c r="BA76" s="5">
        <v>1674647077816</v>
      </c>
      <c r="BB76" s="5">
        <v>498362895362</v>
      </c>
      <c r="BC76" s="5">
        <v>4368094181043</v>
      </c>
      <c r="BD76" s="5">
        <v>1994242444234</v>
      </c>
      <c r="BE76" s="5">
        <v>757279736809</v>
      </c>
      <c r="BF76" s="5">
        <v>1616572000000</v>
      </c>
      <c r="BG76" s="5">
        <v>5872811981331</v>
      </c>
      <c r="BH76" s="5">
        <v>236908842419</v>
      </c>
      <c r="BI76" s="5">
        <v>0</v>
      </c>
      <c r="BJ76" s="48">
        <v>0</v>
      </c>
      <c r="BK76" s="5">
        <v>4746812219775</v>
      </c>
      <c r="BL76" s="5">
        <v>0</v>
      </c>
      <c r="BM76" s="5">
        <v>0</v>
      </c>
      <c r="BN76" s="5">
        <v>1262886185</v>
      </c>
    </row>
    <row r="77" spans="1:66" x14ac:dyDescent="0.25">
      <c r="A77" s="17" t="s">
        <v>104</v>
      </c>
      <c r="B77" s="4">
        <v>1421</v>
      </c>
      <c r="C77" s="4" t="s">
        <v>125</v>
      </c>
      <c r="D77" s="5">
        <v>3331799772373</v>
      </c>
      <c r="E77" s="5">
        <v>97365415282</v>
      </c>
      <c r="F77" s="5">
        <v>0</v>
      </c>
      <c r="G77" s="5">
        <v>1785374617570</v>
      </c>
      <c r="H77" s="5">
        <v>5214539805225</v>
      </c>
      <c r="I77" s="5">
        <v>353832122633</v>
      </c>
      <c r="J77" s="5">
        <v>723763636</v>
      </c>
      <c r="K77" s="5">
        <v>4859983918956</v>
      </c>
      <c r="L77" s="5">
        <v>2283633310303</v>
      </c>
      <c r="M77" s="5">
        <f t="shared" si="5"/>
        <v>2930906494922</v>
      </c>
      <c r="N77" s="36">
        <f t="shared" si="6"/>
        <v>128.34400696901366</v>
      </c>
      <c r="O77" s="5">
        <v>9149786574957</v>
      </c>
      <c r="P77" s="36">
        <v>197.66</v>
      </c>
      <c r="Q77" s="6">
        <v>188.27</v>
      </c>
      <c r="R77" s="6">
        <v>2.09</v>
      </c>
      <c r="S77" s="5">
        <v>9884403403874</v>
      </c>
      <c r="T77" s="5">
        <v>215026942148</v>
      </c>
      <c r="U77" s="5">
        <v>61024776636</v>
      </c>
      <c r="V77" s="5">
        <v>150412203775</v>
      </c>
      <c r="W77" s="5">
        <v>3589961737</v>
      </c>
      <c r="X77" s="5">
        <v>10099430346022</v>
      </c>
      <c r="Y77" s="5">
        <v>173949007</v>
      </c>
      <c r="Z77" s="5">
        <v>207777593409</v>
      </c>
      <c r="AA77" s="5">
        <v>0</v>
      </c>
      <c r="AB77" s="5">
        <v>10307207939431</v>
      </c>
      <c r="AC77" s="5">
        <v>2689968270791</v>
      </c>
      <c r="AD77" s="36">
        <f t="shared" si="7"/>
        <v>275.44793578744356</v>
      </c>
      <c r="AE77" s="5">
        <v>6978821624122</v>
      </c>
      <c r="AF77" s="5">
        <v>6510150631806</v>
      </c>
      <c r="AG77" s="5">
        <v>271832093780</v>
      </c>
      <c r="AH77" s="5">
        <v>365931068086</v>
      </c>
      <c r="AI77" s="5">
        <v>0</v>
      </c>
      <c r="AJ77" s="5">
        <v>0</v>
      </c>
      <c r="AK77" s="5">
        <v>0</v>
      </c>
      <c r="AL77" s="6">
        <v>0</v>
      </c>
      <c r="AM77" s="5">
        <v>0</v>
      </c>
      <c r="AN77" s="6">
        <v>49</v>
      </c>
      <c r="AO77" s="5">
        <v>2924187173162</v>
      </c>
      <c r="AP77" s="6">
        <v>31</v>
      </c>
      <c r="AQ77" s="5">
        <v>46460380146</v>
      </c>
      <c r="AR77" s="5">
        <v>215026942148</v>
      </c>
      <c r="AS77" s="5">
        <v>35050044135</v>
      </c>
      <c r="AT77" s="5">
        <f t="shared" si="8"/>
        <v>179976898013</v>
      </c>
      <c r="AU77" s="36">
        <f t="shared" si="9"/>
        <v>513.48551037423681</v>
      </c>
      <c r="AV77" s="5">
        <v>1577325067177</v>
      </c>
      <c r="AW77" s="5">
        <v>561786108253</v>
      </c>
      <c r="AX77" s="5">
        <v>704754953866</v>
      </c>
      <c r="AY77" s="5">
        <v>1198051449319</v>
      </c>
      <c r="AZ77" s="5">
        <v>573434043643</v>
      </c>
      <c r="BA77" s="5">
        <v>1016469334805</v>
      </c>
      <c r="BB77" s="5">
        <v>250665273097</v>
      </c>
      <c r="BC77" s="5">
        <v>5214539805225</v>
      </c>
      <c r="BD77" s="5">
        <v>3785546436037</v>
      </c>
      <c r="BE77" s="5">
        <v>572753043643</v>
      </c>
      <c r="BF77" s="5">
        <v>856240325545</v>
      </c>
      <c r="BG77" s="5">
        <v>1402082314489</v>
      </c>
      <c r="BH77" s="5">
        <v>5576739309633</v>
      </c>
      <c r="BI77" s="5">
        <v>1873364893700</v>
      </c>
      <c r="BJ77" s="48">
        <v>0</v>
      </c>
      <c r="BK77" s="5">
        <v>271832093780</v>
      </c>
      <c r="BL77" s="5">
        <v>127711463029</v>
      </c>
      <c r="BM77" s="5">
        <v>0</v>
      </c>
      <c r="BN77" s="5">
        <v>230039605057</v>
      </c>
    </row>
    <row r="78" spans="1:66" x14ac:dyDescent="0.25">
      <c r="A78" s="17" t="s">
        <v>104</v>
      </c>
      <c r="B78" s="4">
        <v>1422</v>
      </c>
      <c r="C78" s="4" t="s">
        <v>126</v>
      </c>
      <c r="D78" s="5">
        <v>1271891161941</v>
      </c>
      <c r="E78" s="5">
        <v>8543145084</v>
      </c>
      <c r="F78" s="5">
        <v>0</v>
      </c>
      <c r="G78" s="5">
        <v>0</v>
      </c>
      <c r="H78" s="5">
        <v>1280434307025</v>
      </c>
      <c r="I78" s="5">
        <v>83863829519</v>
      </c>
      <c r="J78" s="5">
        <v>2931359482</v>
      </c>
      <c r="K78" s="5">
        <v>1193639118024</v>
      </c>
      <c r="L78" s="5">
        <v>624286580836</v>
      </c>
      <c r="M78" s="5">
        <f t="shared" si="5"/>
        <v>656147726189</v>
      </c>
      <c r="N78" s="36">
        <f t="shared" si="6"/>
        <v>105.10360887628465</v>
      </c>
      <c r="O78" s="5">
        <v>653905929513</v>
      </c>
      <c r="P78" s="36">
        <v>61.24</v>
      </c>
      <c r="Q78" s="6">
        <v>54.78</v>
      </c>
      <c r="R78" s="6">
        <v>2.08</v>
      </c>
      <c r="S78" s="5">
        <v>698960762239</v>
      </c>
      <c r="T78" s="5">
        <v>16065969968</v>
      </c>
      <c r="U78" s="5">
        <v>14057835388</v>
      </c>
      <c r="V78" s="5">
        <v>724423638</v>
      </c>
      <c r="W78" s="5">
        <v>1283710942</v>
      </c>
      <c r="X78" s="5">
        <v>715026732207</v>
      </c>
      <c r="Y78" s="5">
        <v>207272910</v>
      </c>
      <c r="Z78" s="5">
        <v>69167512634</v>
      </c>
      <c r="AA78" s="5">
        <v>0</v>
      </c>
      <c r="AB78" s="5">
        <v>784194244841</v>
      </c>
      <c r="AC78" s="5">
        <v>540748681665</v>
      </c>
      <c r="AD78" s="36">
        <f t="shared" si="7"/>
        <v>32.229029205468734</v>
      </c>
      <c r="AE78" s="5">
        <v>433185076070</v>
      </c>
      <c r="AF78" s="5">
        <v>433185076070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6">
        <v>0</v>
      </c>
      <c r="AM78" s="5">
        <v>0</v>
      </c>
      <c r="AN78" s="6">
        <v>55</v>
      </c>
      <c r="AO78" s="5">
        <v>203249361252</v>
      </c>
      <c r="AP78" s="6">
        <v>13</v>
      </c>
      <c r="AQ78" s="5">
        <v>12572304188</v>
      </c>
      <c r="AR78" s="5">
        <v>16065969968</v>
      </c>
      <c r="AS78" s="5">
        <v>3699932533</v>
      </c>
      <c r="AT78" s="5">
        <f t="shared" si="8"/>
        <v>12366037435</v>
      </c>
      <c r="AU78" s="36">
        <f t="shared" si="9"/>
        <v>334.22332230942874</v>
      </c>
      <c r="AV78" s="5">
        <v>264152326699</v>
      </c>
      <c r="AW78" s="5">
        <v>107668948856</v>
      </c>
      <c r="AX78" s="5">
        <v>140991283958</v>
      </c>
      <c r="AY78" s="5">
        <v>364362978273</v>
      </c>
      <c r="AZ78" s="5">
        <v>209367899710</v>
      </c>
      <c r="BA78" s="5">
        <v>647167843760</v>
      </c>
      <c r="BB78" s="5">
        <v>165643505744</v>
      </c>
      <c r="BC78" s="5">
        <v>1280434307025</v>
      </c>
      <c r="BD78" s="5">
        <v>512081700209</v>
      </c>
      <c r="BE78" s="5">
        <v>209367899710</v>
      </c>
      <c r="BF78" s="5">
        <v>558984707106</v>
      </c>
      <c r="BG78" s="5">
        <v>216640000000</v>
      </c>
      <c r="BH78" s="5">
        <v>216545076070</v>
      </c>
      <c r="BI78" s="5">
        <v>0</v>
      </c>
      <c r="BJ78" s="48">
        <v>0</v>
      </c>
      <c r="BK78" s="5">
        <v>0</v>
      </c>
      <c r="BL78" s="5">
        <v>0</v>
      </c>
      <c r="BM78" s="5">
        <v>0</v>
      </c>
      <c r="BN78" s="5">
        <v>0</v>
      </c>
    </row>
    <row r="79" spans="1:66" x14ac:dyDescent="0.25">
      <c r="A79" s="17" t="s">
        <v>104</v>
      </c>
      <c r="B79" s="4">
        <v>1423</v>
      </c>
      <c r="C79" s="4" t="s">
        <v>127</v>
      </c>
      <c r="D79" s="5">
        <v>813641317689</v>
      </c>
      <c r="E79" s="5">
        <v>7136853945</v>
      </c>
      <c r="F79" s="5">
        <v>0</v>
      </c>
      <c r="G79" s="5">
        <v>0</v>
      </c>
      <c r="H79" s="5">
        <v>820778171634</v>
      </c>
      <c r="I79" s="5">
        <v>79157115654</v>
      </c>
      <c r="J79" s="5">
        <v>3749633244</v>
      </c>
      <c r="K79" s="5">
        <v>737871422736</v>
      </c>
      <c r="L79" s="5">
        <v>582886876448</v>
      </c>
      <c r="M79" s="5">
        <f t="shared" si="5"/>
        <v>237891295186</v>
      </c>
      <c r="N79" s="36">
        <f t="shared" si="6"/>
        <v>40.812601003416574</v>
      </c>
      <c r="O79" s="5">
        <v>552801213256</v>
      </c>
      <c r="P79" s="36">
        <v>76.010000000000005</v>
      </c>
      <c r="Q79" s="6">
        <v>74.92</v>
      </c>
      <c r="R79" s="6">
        <v>1.38</v>
      </c>
      <c r="S79" s="5">
        <v>542600233898</v>
      </c>
      <c r="T79" s="5">
        <v>8581150708</v>
      </c>
      <c r="U79" s="5">
        <v>8581150708</v>
      </c>
      <c r="V79" s="5">
        <v>0</v>
      </c>
      <c r="W79" s="5">
        <v>0</v>
      </c>
      <c r="X79" s="5">
        <v>551181384606</v>
      </c>
      <c r="Y79" s="5">
        <v>0</v>
      </c>
      <c r="Z79" s="5">
        <v>53651867579</v>
      </c>
      <c r="AA79" s="5">
        <v>19018710000</v>
      </c>
      <c r="AB79" s="5">
        <v>623851962185</v>
      </c>
      <c r="AC79" s="5">
        <v>359894615532</v>
      </c>
      <c r="AD79" s="36">
        <f t="shared" si="7"/>
        <v>53.150772703625449</v>
      </c>
      <c r="AE79" s="5">
        <v>409165940267</v>
      </c>
      <c r="AF79" s="5">
        <v>409165940267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6">
        <v>0</v>
      </c>
      <c r="AM79" s="5">
        <v>0</v>
      </c>
      <c r="AN79" s="6">
        <v>21</v>
      </c>
      <c r="AO79" s="5">
        <v>87528048434</v>
      </c>
      <c r="AP79" s="6">
        <v>6</v>
      </c>
      <c r="AQ79" s="5">
        <v>15399783152</v>
      </c>
      <c r="AR79" s="5">
        <v>8581150708</v>
      </c>
      <c r="AS79" s="5">
        <v>3931027030</v>
      </c>
      <c r="AT79" s="5">
        <f t="shared" si="8"/>
        <v>4650123678</v>
      </c>
      <c r="AU79" s="36">
        <f t="shared" si="9"/>
        <v>118.29284414765269</v>
      </c>
      <c r="AV79" s="5">
        <v>209981239687</v>
      </c>
      <c r="AW79" s="5">
        <v>45813293037</v>
      </c>
      <c r="AX79" s="5">
        <v>104424231300</v>
      </c>
      <c r="AY79" s="5">
        <v>104391354169</v>
      </c>
      <c r="AZ79" s="5">
        <v>147156232220</v>
      </c>
      <c r="BA79" s="5">
        <v>498157571680</v>
      </c>
      <c r="BB79" s="5">
        <v>83821402070</v>
      </c>
      <c r="BC79" s="5">
        <v>820778171634</v>
      </c>
      <c r="BD79" s="5">
        <v>214183263287</v>
      </c>
      <c r="BE79" s="5">
        <v>147156232220</v>
      </c>
      <c r="BF79" s="5">
        <v>459438676127</v>
      </c>
      <c r="BG79" s="5">
        <v>235945940267</v>
      </c>
      <c r="BH79" s="5">
        <v>173220000000</v>
      </c>
      <c r="BI79" s="5">
        <v>0</v>
      </c>
      <c r="BJ79" s="48">
        <v>0</v>
      </c>
      <c r="BK79" s="5">
        <v>0</v>
      </c>
      <c r="BL79" s="5">
        <v>0</v>
      </c>
      <c r="BM79" s="5">
        <v>0</v>
      </c>
      <c r="BN79" s="5">
        <v>0</v>
      </c>
    </row>
    <row r="80" spans="1:66" x14ac:dyDescent="0.25">
      <c r="A80" s="17" t="s">
        <v>104</v>
      </c>
      <c r="B80" s="4">
        <v>1424</v>
      </c>
      <c r="C80" s="4" t="s">
        <v>128</v>
      </c>
      <c r="D80" s="5">
        <v>1831977552861</v>
      </c>
      <c r="E80" s="5">
        <v>33080801887</v>
      </c>
      <c r="F80" s="5">
        <v>0</v>
      </c>
      <c r="G80" s="5">
        <v>0</v>
      </c>
      <c r="H80" s="5">
        <v>1865058354748</v>
      </c>
      <c r="I80" s="5">
        <v>146483821687</v>
      </c>
      <c r="J80" s="5">
        <v>684035945</v>
      </c>
      <c r="K80" s="5">
        <v>1717890497116</v>
      </c>
      <c r="L80" s="5">
        <v>1140367559247</v>
      </c>
      <c r="M80" s="5">
        <f t="shared" si="5"/>
        <v>724690795501</v>
      </c>
      <c r="N80" s="36">
        <f t="shared" si="6"/>
        <v>63.548878572056452</v>
      </c>
      <c r="O80" s="5">
        <v>614268144706</v>
      </c>
      <c r="P80" s="36">
        <v>37.200000000000003</v>
      </c>
      <c r="Q80" s="6">
        <v>35.76</v>
      </c>
      <c r="R80" s="6">
        <v>1.1000000000000001</v>
      </c>
      <c r="S80" s="5">
        <v>680997898099</v>
      </c>
      <c r="T80" s="5">
        <v>7652478162</v>
      </c>
      <c r="U80" s="5">
        <v>6978087199</v>
      </c>
      <c r="V80" s="5">
        <v>674390963</v>
      </c>
      <c r="W80" s="5">
        <v>0</v>
      </c>
      <c r="X80" s="5">
        <v>688650376261</v>
      </c>
      <c r="Y80" s="5">
        <v>0</v>
      </c>
      <c r="Z80" s="5">
        <v>5135274695</v>
      </c>
      <c r="AA80" s="5">
        <v>0</v>
      </c>
      <c r="AB80" s="5">
        <v>693785650956</v>
      </c>
      <c r="AC80" s="5">
        <v>615000069558</v>
      </c>
      <c r="AD80" s="36">
        <f t="shared" si="7"/>
        <v>11.975658272027905</v>
      </c>
      <c r="AE80" s="5">
        <v>440207823100</v>
      </c>
      <c r="AF80" s="5">
        <v>440207823100</v>
      </c>
      <c r="AG80" s="5">
        <v>0</v>
      </c>
      <c r="AH80" s="5">
        <v>0</v>
      </c>
      <c r="AI80" s="5">
        <v>20226423669</v>
      </c>
      <c r="AJ80" s="5">
        <v>0</v>
      </c>
      <c r="AK80" s="5">
        <v>0</v>
      </c>
      <c r="AL80" s="6">
        <v>0</v>
      </c>
      <c r="AM80" s="5">
        <v>0</v>
      </c>
      <c r="AN80" s="6">
        <v>14</v>
      </c>
      <c r="AO80" s="5">
        <v>164435529999</v>
      </c>
      <c r="AP80" s="6">
        <v>38</v>
      </c>
      <c r="AQ80" s="5">
        <v>401529908122</v>
      </c>
      <c r="AR80" s="5">
        <v>7652478162</v>
      </c>
      <c r="AS80" s="5">
        <v>1492448470</v>
      </c>
      <c r="AT80" s="5">
        <f t="shared" si="8"/>
        <v>6160029692</v>
      </c>
      <c r="AU80" s="36">
        <f t="shared" si="9"/>
        <v>412.74655814414814</v>
      </c>
      <c r="AV80" s="5">
        <v>364705442715</v>
      </c>
      <c r="AW80" s="5">
        <v>33646834612</v>
      </c>
      <c r="AX80" s="5">
        <v>683650131385</v>
      </c>
      <c r="AY80" s="5">
        <v>132677055315</v>
      </c>
      <c r="AZ80" s="5">
        <v>327856666161</v>
      </c>
      <c r="BA80" s="5">
        <v>736339976520</v>
      </c>
      <c r="BB80" s="5">
        <v>182026808333</v>
      </c>
      <c r="BC80" s="5">
        <v>1865058354748</v>
      </c>
      <c r="BD80" s="5">
        <v>849407988587</v>
      </c>
      <c r="BE80" s="5">
        <v>327856666161</v>
      </c>
      <c r="BF80" s="5">
        <v>687793700000</v>
      </c>
      <c r="BG80" s="5">
        <v>337278613100</v>
      </c>
      <c r="BH80" s="5">
        <v>102929210000</v>
      </c>
      <c r="BI80" s="5">
        <v>0</v>
      </c>
      <c r="BJ80" s="48">
        <v>0</v>
      </c>
      <c r="BK80" s="5">
        <v>0</v>
      </c>
      <c r="BL80" s="5">
        <v>0</v>
      </c>
      <c r="BM80" s="5">
        <v>0</v>
      </c>
      <c r="BN80" s="5">
        <v>0</v>
      </c>
    </row>
    <row r="81" spans="1:66" x14ac:dyDescent="0.25">
      <c r="A81" s="17" t="s">
        <v>104</v>
      </c>
      <c r="B81" s="4">
        <v>1425</v>
      </c>
      <c r="C81" s="4" t="s">
        <v>129</v>
      </c>
      <c r="D81" s="5">
        <v>2037310538020</v>
      </c>
      <c r="E81" s="5">
        <v>37588850513</v>
      </c>
      <c r="F81" s="5">
        <v>0</v>
      </c>
      <c r="G81" s="5">
        <v>0</v>
      </c>
      <c r="H81" s="5">
        <v>2074899388533</v>
      </c>
      <c r="I81" s="5">
        <v>177454180044</v>
      </c>
      <c r="J81" s="5">
        <v>3243923207</v>
      </c>
      <c r="K81" s="5">
        <v>1894201285282</v>
      </c>
      <c r="L81" s="5">
        <v>1679910395012</v>
      </c>
      <c r="M81" s="5">
        <f t="shared" si="5"/>
        <v>394988993521</v>
      </c>
      <c r="N81" s="36">
        <f t="shared" si="6"/>
        <v>23.512503684351479</v>
      </c>
      <c r="O81" s="5">
        <v>1032804320839</v>
      </c>
      <c r="P81" s="36">
        <v>59.43</v>
      </c>
      <c r="Q81" s="6">
        <v>54.52</v>
      </c>
      <c r="R81" s="6">
        <v>1.52</v>
      </c>
      <c r="S81" s="5">
        <v>1165551778323</v>
      </c>
      <c r="T81" s="5">
        <v>18706367397</v>
      </c>
      <c r="U81" s="5">
        <v>17549463496</v>
      </c>
      <c r="V81" s="5">
        <v>1156903901</v>
      </c>
      <c r="W81" s="5">
        <v>0</v>
      </c>
      <c r="X81" s="5">
        <v>1184258145720</v>
      </c>
      <c r="Y81" s="5">
        <v>0</v>
      </c>
      <c r="Z81" s="5">
        <v>48811690286</v>
      </c>
      <c r="AA81" s="5">
        <v>0</v>
      </c>
      <c r="AB81" s="5">
        <v>1233069836006</v>
      </c>
      <c r="AC81" s="5">
        <v>878423194692</v>
      </c>
      <c r="AD81" s="36">
        <f t="shared" si="7"/>
        <v>34.816356498331579</v>
      </c>
      <c r="AE81" s="5">
        <v>869325798300</v>
      </c>
      <c r="AF81" s="5">
        <v>743414565425</v>
      </c>
      <c r="AG81" s="5">
        <v>98828255056</v>
      </c>
      <c r="AH81" s="5">
        <v>15244524839</v>
      </c>
      <c r="AI81" s="5">
        <v>0</v>
      </c>
      <c r="AJ81" s="5">
        <v>0</v>
      </c>
      <c r="AK81" s="5">
        <v>0</v>
      </c>
      <c r="AL81" s="6">
        <v>0</v>
      </c>
      <c r="AM81" s="5">
        <v>0</v>
      </c>
      <c r="AN81" s="6">
        <v>74</v>
      </c>
      <c r="AO81" s="5">
        <v>300547321382</v>
      </c>
      <c r="AP81" s="6">
        <v>57</v>
      </c>
      <c r="AQ81" s="5">
        <v>379517857227</v>
      </c>
      <c r="AR81" s="5">
        <v>18706367397</v>
      </c>
      <c r="AS81" s="5">
        <v>4698817248</v>
      </c>
      <c r="AT81" s="5">
        <f t="shared" si="8"/>
        <v>14007550149</v>
      </c>
      <c r="AU81" s="36">
        <f t="shared" si="9"/>
        <v>298.10800058168172</v>
      </c>
      <c r="AV81" s="5">
        <v>508072014068</v>
      </c>
      <c r="AW81" s="5">
        <v>65115448148</v>
      </c>
      <c r="AX81" s="5">
        <v>445217672658</v>
      </c>
      <c r="AY81" s="5">
        <v>334692913713</v>
      </c>
      <c r="AZ81" s="5">
        <v>518484251649</v>
      </c>
      <c r="BA81" s="5">
        <v>906846822100</v>
      </c>
      <c r="BB81" s="5">
        <v>124080548291</v>
      </c>
      <c r="BC81" s="5">
        <v>2074899388533</v>
      </c>
      <c r="BD81" s="5">
        <v>817499436884</v>
      </c>
      <c r="BE81" s="5">
        <v>518484251649</v>
      </c>
      <c r="BF81" s="5">
        <v>738915700000</v>
      </c>
      <c r="BG81" s="5">
        <v>669156543163</v>
      </c>
      <c r="BH81" s="5">
        <v>200169255137</v>
      </c>
      <c r="BI81" s="5">
        <v>0</v>
      </c>
      <c r="BJ81" s="48">
        <v>0</v>
      </c>
      <c r="BK81" s="5">
        <v>99975360030</v>
      </c>
      <c r="BL81" s="5">
        <v>0</v>
      </c>
      <c r="BM81" s="5">
        <v>0</v>
      </c>
      <c r="BN81" s="5">
        <v>15244524839</v>
      </c>
    </row>
    <row r="82" spans="1:66" x14ac:dyDescent="0.25">
      <c r="A82" s="17" t="s">
        <v>104</v>
      </c>
      <c r="B82" s="4">
        <v>1426</v>
      </c>
      <c r="C82" s="4" t="s">
        <v>130</v>
      </c>
      <c r="D82" s="5">
        <v>1077568852778</v>
      </c>
      <c r="E82" s="5">
        <v>16120543690</v>
      </c>
      <c r="F82" s="5">
        <v>0</v>
      </c>
      <c r="G82" s="5">
        <v>0</v>
      </c>
      <c r="H82" s="5">
        <v>1093689396468</v>
      </c>
      <c r="I82" s="5">
        <v>86631118211</v>
      </c>
      <c r="J82" s="5">
        <v>1787165731</v>
      </c>
      <c r="K82" s="5">
        <v>1005271112526</v>
      </c>
      <c r="L82" s="5">
        <v>823169493448</v>
      </c>
      <c r="M82" s="5">
        <f t="shared" si="5"/>
        <v>270519903020</v>
      </c>
      <c r="N82" s="36">
        <f t="shared" si="6"/>
        <v>32.863208023766354</v>
      </c>
      <c r="O82" s="5">
        <v>826704938893</v>
      </c>
      <c r="P82" s="36">
        <v>84.88</v>
      </c>
      <c r="Q82" s="6">
        <v>82.24</v>
      </c>
      <c r="R82" s="6">
        <v>2.69</v>
      </c>
      <c r="S82" s="5">
        <v>833671001502</v>
      </c>
      <c r="T82" s="5">
        <v>24946037314</v>
      </c>
      <c r="U82" s="5">
        <v>24501845065</v>
      </c>
      <c r="V82" s="5">
        <v>444192249</v>
      </c>
      <c r="W82" s="5">
        <v>0</v>
      </c>
      <c r="X82" s="5">
        <v>858617038816</v>
      </c>
      <c r="Y82" s="5">
        <v>0</v>
      </c>
      <c r="Z82" s="5">
        <v>63755347070</v>
      </c>
      <c r="AA82" s="5">
        <v>5900000000</v>
      </c>
      <c r="AB82" s="5">
        <v>928272385886</v>
      </c>
      <c r="AC82" s="5">
        <v>779866999175</v>
      </c>
      <c r="AD82" s="36">
        <f t="shared" si="7"/>
        <v>10.097880757142887</v>
      </c>
      <c r="AE82" s="5">
        <v>513038590233</v>
      </c>
      <c r="AF82" s="5">
        <v>513038590233</v>
      </c>
      <c r="AG82" s="5">
        <v>0</v>
      </c>
      <c r="AH82" s="5">
        <v>5872500</v>
      </c>
      <c r="AI82" s="5">
        <v>0</v>
      </c>
      <c r="AJ82" s="5">
        <v>0</v>
      </c>
      <c r="AK82" s="5">
        <v>0</v>
      </c>
      <c r="AL82" s="6">
        <v>0</v>
      </c>
      <c r="AM82" s="5">
        <v>0</v>
      </c>
      <c r="AN82" s="6">
        <v>28</v>
      </c>
      <c r="AO82" s="5">
        <v>161698392910</v>
      </c>
      <c r="AP82" s="6">
        <v>30</v>
      </c>
      <c r="AQ82" s="5">
        <v>42148829382</v>
      </c>
      <c r="AR82" s="5">
        <v>24946037314</v>
      </c>
      <c r="AS82" s="5">
        <v>9854083770</v>
      </c>
      <c r="AT82" s="5">
        <f t="shared" si="8"/>
        <v>15091953544</v>
      </c>
      <c r="AU82" s="36">
        <f t="shared" si="9"/>
        <v>153.15430532411639</v>
      </c>
      <c r="AV82" s="5">
        <v>430952760533</v>
      </c>
      <c r="AW82" s="5">
        <v>77898268355</v>
      </c>
      <c r="AX82" s="5">
        <v>212734842675</v>
      </c>
      <c r="AY82" s="5">
        <v>147155294233</v>
      </c>
      <c r="AZ82" s="5">
        <v>232256615870</v>
      </c>
      <c r="BA82" s="5">
        <v>542837587304</v>
      </c>
      <c r="BB82" s="5">
        <v>129552407366</v>
      </c>
      <c r="BC82" s="5">
        <v>1093689396468</v>
      </c>
      <c r="BD82" s="5">
        <v>376010680598</v>
      </c>
      <c r="BE82" s="5">
        <v>232051615870</v>
      </c>
      <c r="BF82" s="5">
        <v>485627100000</v>
      </c>
      <c r="BG82" s="5">
        <v>349966060308</v>
      </c>
      <c r="BH82" s="5">
        <v>163072529925</v>
      </c>
      <c r="BI82" s="5">
        <v>0</v>
      </c>
      <c r="BJ82" s="48">
        <v>0</v>
      </c>
      <c r="BK82" s="5">
        <v>0</v>
      </c>
      <c r="BL82" s="5">
        <v>0</v>
      </c>
      <c r="BM82" s="5">
        <v>0</v>
      </c>
      <c r="BN82" s="5">
        <v>5872500</v>
      </c>
    </row>
    <row r="83" spans="1:66" x14ac:dyDescent="0.25">
      <c r="A83" s="17" t="s">
        <v>104</v>
      </c>
      <c r="B83" s="4">
        <v>1427</v>
      </c>
      <c r="C83" s="4" t="s">
        <v>131</v>
      </c>
      <c r="D83" s="5">
        <v>1465149216057</v>
      </c>
      <c r="E83" s="5">
        <v>6675957531</v>
      </c>
      <c r="F83" s="5">
        <v>0</v>
      </c>
      <c r="G83" s="5">
        <v>0</v>
      </c>
      <c r="H83" s="5">
        <v>1471825173588</v>
      </c>
      <c r="I83" s="5">
        <v>127849391993</v>
      </c>
      <c r="J83" s="5">
        <v>1337346402</v>
      </c>
      <c r="K83" s="5">
        <v>1342638435193</v>
      </c>
      <c r="L83" s="5">
        <v>1433891130677</v>
      </c>
      <c r="M83" s="5">
        <f t="shared" si="5"/>
        <v>37934042911</v>
      </c>
      <c r="N83" s="36">
        <f t="shared" si="6"/>
        <v>2.6455315957697398</v>
      </c>
      <c r="O83" s="5">
        <v>646214382392</v>
      </c>
      <c r="P83" s="36">
        <v>50.75</v>
      </c>
      <c r="Q83" s="6">
        <v>48.13</v>
      </c>
      <c r="R83" s="6">
        <v>5.79</v>
      </c>
      <c r="S83" s="5">
        <v>669636149652</v>
      </c>
      <c r="T83" s="5">
        <v>43228653463</v>
      </c>
      <c r="U83" s="5">
        <v>40439933645</v>
      </c>
      <c r="V83" s="5">
        <v>2788719818</v>
      </c>
      <c r="W83" s="5">
        <v>0</v>
      </c>
      <c r="X83" s="5">
        <v>712864803115</v>
      </c>
      <c r="Y83" s="5">
        <v>0</v>
      </c>
      <c r="Z83" s="5">
        <v>34023742960</v>
      </c>
      <c r="AA83" s="5">
        <v>0</v>
      </c>
      <c r="AB83" s="5">
        <v>746888546075</v>
      </c>
      <c r="AC83" s="5">
        <v>508917460871</v>
      </c>
      <c r="AD83" s="36">
        <f t="shared" si="7"/>
        <v>40.074738621651733</v>
      </c>
      <c r="AE83" s="5">
        <v>426121848714</v>
      </c>
      <c r="AF83" s="5">
        <v>426121848714</v>
      </c>
      <c r="AG83" s="5">
        <v>0</v>
      </c>
      <c r="AH83" s="5">
        <v>2850078714</v>
      </c>
      <c r="AI83" s="5">
        <v>0</v>
      </c>
      <c r="AJ83" s="5">
        <v>0</v>
      </c>
      <c r="AK83" s="5">
        <v>0</v>
      </c>
      <c r="AL83" s="6">
        <v>0</v>
      </c>
      <c r="AM83" s="5">
        <v>0</v>
      </c>
      <c r="AN83" s="6">
        <v>12</v>
      </c>
      <c r="AO83" s="5">
        <v>44237052267</v>
      </c>
      <c r="AP83" s="6">
        <v>10</v>
      </c>
      <c r="AQ83" s="5">
        <v>34757517000</v>
      </c>
      <c r="AR83" s="5">
        <v>43228653463</v>
      </c>
      <c r="AS83" s="5">
        <v>13429772559</v>
      </c>
      <c r="AT83" s="5">
        <f t="shared" si="8"/>
        <v>29798880904</v>
      </c>
      <c r="AU83" s="36">
        <f t="shared" si="9"/>
        <v>221.88671307043242</v>
      </c>
      <c r="AV83" s="5">
        <v>256886321887</v>
      </c>
      <c r="AW83" s="5">
        <v>73097274337</v>
      </c>
      <c r="AX83" s="5">
        <v>123046074239</v>
      </c>
      <c r="AY83" s="5">
        <v>172282951613</v>
      </c>
      <c r="AZ83" s="5">
        <v>218335090205</v>
      </c>
      <c r="BA83" s="5">
        <v>1143195704568</v>
      </c>
      <c r="BB83" s="5">
        <v>139392513656</v>
      </c>
      <c r="BC83" s="5">
        <v>1471825173588</v>
      </c>
      <c r="BD83" s="5">
        <v>302004983383</v>
      </c>
      <c r="BE83" s="5">
        <v>218335090205</v>
      </c>
      <c r="BF83" s="5">
        <v>951485100000</v>
      </c>
      <c r="BG83" s="5">
        <v>357954687808</v>
      </c>
      <c r="BH83" s="5">
        <v>68167160906</v>
      </c>
      <c r="BI83" s="5">
        <v>0</v>
      </c>
      <c r="BJ83" s="48">
        <v>0</v>
      </c>
      <c r="BK83" s="5">
        <v>0</v>
      </c>
      <c r="BL83" s="5">
        <v>0</v>
      </c>
      <c r="BM83" s="5">
        <v>0</v>
      </c>
      <c r="BN83" s="5">
        <v>2850078714</v>
      </c>
    </row>
    <row r="84" spans="1:66" x14ac:dyDescent="0.25">
      <c r="A84" s="17" t="s">
        <v>104</v>
      </c>
      <c r="B84" s="4">
        <v>1428</v>
      </c>
      <c r="C84" s="4" t="s">
        <v>132</v>
      </c>
      <c r="D84" s="5">
        <v>1075883039017</v>
      </c>
      <c r="E84" s="5">
        <v>12767911123</v>
      </c>
      <c r="F84" s="5">
        <v>0</v>
      </c>
      <c r="G84" s="5">
        <v>0</v>
      </c>
      <c r="H84" s="5">
        <v>1088650950140</v>
      </c>
      <c r="I84" s="5">
        <v>83117035372</v>
      </c>
      <c r="J84" s="5">
        <v>2144198134</v>
      </c>
      <c r="K84" s="5">
        <v>1003389716634</v>
      </c>
      <c r="L84" s="5">
        <v>616843035788</v>
      </c>
      <c r="M84" s="5">
        <f t="shared" si="5"/>
        <v>471807914352</v>
      </c>
      <c r="N84" s="36">
        <f t="shared" si="6"/>
        <v>76.487515782565069</v>
      </c>
      <c r="O84" s="5">
        <v>591655664807</v>
      </c>
      <c r="P84" s="36">
        <v>63.67</v>
      </c>
      <c r="Q84" s="6">
        <v>58.97</v>
      </c>
      <c r="R84" s="6">
        <v>2.1</v>
      </c>
      <c r="S84" s="5">
        <v>665601254314</v>
      </c>
      <c r="T84" s="5">
        <v>14570850584</v>
      </c>
      <c r="U84" s="5">
        <v>14233547542</v>
      </c>
      <c r="V84" s="5">
        <v>337303042</v>
      </c>
      <c r="W84" s="5">
        <v>0</v>
      </c>
      <c r="X84" s="5">
        <v>680172104898</v>
      </c>
      <c r="Y84" s="5">
        <v>0</v>
      </c>
      <c r="Z84" s="5">
        <v>12462686223</v>
      </c>
      <c r="AA84" s="5">
        <v>500000000</v>
      </c>
      <c r="AB84" s="5">
        <v>693134791121</v>
      </c>
      <c r="AC84" s="5">
        <v>393855345917</v>
      </c>
      <c r="AD84" s="36">
        <f t="shared" si="7"/>
        <v>72.695917917371006</v>
      </c>
      <c r="AE84" s="5">
        <v>423494047720</v>
      </c>
      <c r="AF84" s="5">
        <v>423494047720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6">
        <v>0</v>
      </c>
      <c r="AM84" s="5">
        <v>0</v>
      </c>
      <c r="AN84" s="6">
        <v>47</v>
      </c>
      <c r="AO84" s="5">
        <v>168148667229</v>
      </c>
      <c r="AP84" s="6">
        <v>13</v>
      </c>
      <c r="AQ84" s="5">
        <v>32757631716</v>
      </c>
      <c r="AR84" s="5">
        <v>14570850584</v>
      </c>
      <c r="AS84" s="5">
        <v>3262959946</v>
      </c>
      <c r="AT84" s="5">
        <f t="shared" si="8"/>
        <v>11307890638</v>
      </c>
      <c r="AU84" s="36">
        <f t="shared" si="9"/>
        <v>346.55315496171278</v>
      </c>
      <c r="AV84" s="5">
        <v>165125385848</v>
      </c>
      <c r="AW84" s="5">
        <v>36056716523</v>
      </c>
      <c r="AX84" s="5">
        <v>47716669046</v>
      </c>
      <c r="AY84" s="5">
        <v>173154582926</v>
      </c>
      <c r="AZ84" s="5">
        <v>304293287045</v>
      </c>
      <c r="BA84" s="5">
        <v>596938579164</v>
      </c>
      <c r="BB84" s="5">
        <v>290008857205</v>
      </c>
      <c r="BC84" s="5">
        <v>1088650950140</v>
      </c>
      <c r="BD84" s="5">
        <v>233639163095</v>
      </c>
      <c r="BE84" s="5">
        <v>304293287045</v>
      </c>
      <c r="BF84" s="5">
        <v>550718500000</v>
      </c>
      <c r="BG84" s="5">
        <v>389714047720</v>
      </c>
      <c r="BH84" s="5">
        <v>33780000000</v>
      </c>
      <c r="BI84" s="5">
        <v>0</v>
      </c>
      <c r="BJ84" s="48">
        <v>0</v>
      </c>
      <c r="BK84" s="5">
        <v>0</v>
      </c>
      <c r="BL84" s="5">
        <v>0</v>
      </c>
      <c r="BM84" s="5">
        <v>0</v>
      </c>
      <c r="BN84" s="5">
        <v>0</v>
      </c>
    </row>
    <row r="85" spans="1:66" x14ac:dyDescent="0.25">
      <c r="A85" s="17" t="s">
        <v>104</v>
      </c>
      <c r="B85" s="4">
        <v>1499</v>
      </c>
      <c r="C85" s="4" t="s">
        <v>133</v>
      </c>
      <c r="D85" s="5">
        <v>0</v>
      </c>
      <c r="E85" s="5">
        <v>8959351587</v>
      </c>
      <c r="F85" s="5">
        <v>0</v>
      </c>
      <c r="G85" s="5">
        <v>0</v>
      </c>
      <c r="H85" s="5">
        <v>8959351587</v>
      </c>
      <c r="I85" s="5">
        <v>783655985</v>
      </c>
      <c r="J85" s="5">
        <v>17691750000</v>
      </c>
      <c r="K85" s="5">
        <v>-9516054398</v>
      </c>
      <c r="L85" s="5">
        <v>7982091724</v>
      </c>
      <c r="M85" s="5">
        <f t="shared" si="5"/>
        <v>977259863</v>
      </c>
      <c r="N85" s="36">
        <f t="shared" si="6"/>
        <v>12.24315501238407</v>
      </c>
      <c r="O85" s="5">
        <v>0</v>
      </c>
      <c r="P85" s="36">
        <v>0</v>
      </c>
      <c r="Q85" s="6">
        <v>0</v>
      </c>
      <c r="R85" s="6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36">
        <f t="shared" si="7"/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6">
        <v>0</v>
      </c>
      <c r="AM85" s="5">
        <v>0</v>
      </c>
      <c r="AN85" s="6">
        <v>0</v>
      </c>
      <c r="AO85" s="5">
        <v>0</v>
      </c>
      <c r="AP85" s="6">
        <v>0</v>
      </c>
      <c r="AQ85" s="5">
        <v>0</v>
      </c>
      <c r="AR85" s="5">
        <v>0</v>
      </c>
      <c r="AS85" s="5">
        <v>0</v>
      </c>
      <c r="AT85" s="5">
        <f t="shared" si="8"/>
        <v>0</v>
      </c>
      <c r="AU85" s="36">
        <f t="shared" si="9"/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8959351587</v>
      </c>
      <c r="BD85" s="5">
        <v>8959351587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48">
        <v>0</v>
      </c>
      <c r="BK85" s="5">
        <v>0</v>
      </c>
      <c r="BL85" s="5">
        <v>0</v>
      </c>
      <c r="BM85" s="5">
        <v>0</v>
      </c>
      <c r="BN85" s="5">
        <v>0</v>
      </c>
    </row>
    <row r="86" spans="1:66" x14ac:dyDescent="0.25">
      <c r="A86" s="30" t="s">
        <v>575</v>
      </c>
      <c r="B86" s="13" t="s">
        <v>625</v>
      </c>
      <c r="C86" s="13" t="s">
        <v>625</v>
      </c>
      <c r="D86" s="14">
        <v>73601307277552</v>
      </c>
      <c r="E86" s="14">
        <v>4815218964267</v>
      </c>
      <c r="F86" s="14">
        <v>91200000000</v>
      </c>
      <c r="G86" s="14">
        <v>1992592781983</v>
      </c>
      <c r="H86" s="14">
        <v>80500319023802</v>
      </c>
      <c r="I86" s="14">
        <v>6402508442108</v>
      </c>
      <c r="J86" s="14">
        <v>427478221186</v>
      </c>
      <c r="K86" s="14">
        <v>73670332360508</v>
      </c>
      <c r="L86" s="14">
        <v>57504147136116</v>
      </c>
      <c r="M86" s="14">
        <f t="shared" si="5"/>
        <v>22996171887686</v>
      </c>
      <c r="N86" s="41">
        <f t="shared" si="6"/>
        <v>39.990458137310668</v>
      </c>
      <c r="O86" s="14">
        <v>62609359464542</v>
      </c>
      <c r="P86" s="41">
        <v>94.47</v>
      </c>
      <c r="Q86" s="15">
        <v>84.99</v>
      </c>
      <c r="R86" s="15">
        <v>7.81</v>
      </c>
      <c r="S86" s="14">
        <v>67177186977605</v>
      </c>
      <c r="T86" s="14">
        <v>4767373850807</v>
      </c>
      <c r="U86" s="14">
        <v>845056948318</v>
      </c>
      <c r="V86" s="14">
        <v>2591998396030</v>
      </c>
      <c r="W86" s="14">
        <v>1330318506459</v>
      </c>
      <c r="X86" s="14">
        <v>71944560828412</v>
      </c>
      <c r="Y86" s="14">
        <v>1168493337528</v>
      </c>
      <c r="Z86" s="14">
        <v>3971856898897</v>
      </c>
      <c r="AA86" s="14">
        <v>132122852819</v>
      </c>
      <c r="AB86" s="14">
        <v>76048540580128</v>
      </c>
      <c r="AC86" s="14">
        <v>50014770351746</v>
      </c>
      <c r="AD86" s="41">
        <f t="shared" si="7"/>
        <v>43.846628350859632</v>
      </c>
      <c r="AE86" s="14">
        <v>74730374907881</v>
      </c>
      <c r="AF86" s="14">
        <v>72738777072804</v>
      </c>
      <c r="AG86" s="14">
        <v>27806699937393</v>
      </c>
      <c r="AH86" s="14">
        <v>1541304899420</v>
      </c>
      <c r="AI86" s="14">
        <v>23726423669</v>
      </c>
      <c r="AJ86" s="14">
        <v>74600000000</v>
      </c>
      <c r="AK86" s="14">
        <v>21941088554</v>
      </c>
      <c r="AL86" s="15">
        <v>164</v>
      </c>
      <c r="AM86" s="14">
        <v>32338965301281</v>
      </c>
      <c r="AN86" s="16">
        <v>1811</v>
      </c>
      <c r="AO86" s="14">
        <v>39835456252759</v>
      </c>
      <c r="AP86" s="16">
        <v>1494</v>
      </c>
      <c r="AQ86" s="14">
        <v>27804562668330</v>
      </c>
      <c r="AR86" s="14">
        <v>4767373850807</v>
      </c>
      <c r="AS86" s="14">
        <v>2965306997792</v>
      </c>
      <c r="AT86" s="14">
        <f t="shared" si="8"/>
        <v>1802066853015</v>
      </c>
      <c r="AU86" s="41">
        <f t="shared" si="9"/>
        <v>60.771679099561652</v>
      </c>
      <c r="AV86" s="14">
        <v>57548346810179</v>
      </c>
      <c r="AW86" s="14">
        <v>6645586683675</v>
      </c>
      <c r="AX86" s="14">
        <v>19085841162352</v>
      </c>
      <c r="AY86" s="14">
        <v>10837735381752</v>
      </c>
      <c r="AZ86" s="14">
        <v>15145219165571</v>
      </c>
      <c r="BA86" s="14">
        <v>31959459705021</v>
      </c>
      <c r="BB86" s="14">
        <v>10219805974828</v>
      </c>
      <c r="BC86" s="14">
        <v>80500319023802</v>
      </c>
      <c r="BD86" s="14">
        <v>36204517459899</v>
      </c>
      <c r="BE86" s="14">
        <v>15231177565571</v>
      </c>
      <c r="BF86" s="14">
        <v>29064623998332</v>
      </c>
      <c r="BG86" s="14">
        <v>56869509994788</v>
      </c>
      <c r="BH86" s="14">
        <v>17860864913093</v>
      </c>
      <c r="BI86" s="14">
        <v>1875716059638</v>
      </c>
      <c r="BJ86" s="49">
        <v>849422531850</v>
      </c>
      <c r="BK86" s="14">
        <v>29000717665085</v>
      </c>
      <c r="BL86" s="14">
        <v>224153481811</v>
      </c>
      <c r="BM86" s="14">
        <v>373289836482</v>
      </c>
      <c r="BN86" s="14">
        <v>1100943917609</v>
      </c>
    </row>
    <row r="87" spans="1:66" x14ac:dyDescent="0.25">
      <c r="A87" s="17" t="s">
        <v>576</v>
      </c>
      <c r="B87" s="4">
        <v>1702</v>
      </c>
      <c r="C87" s="4" t="s">
        <v>134</v>
      </c>
      <c r="D87" s="5">
        <v>12645548831733</v>
      </c>
      <c r="E87" s="5">
        <v>444634490120</v>
      </c>
      <c r="F87" s="5">
        <v>0</v>
      </c>
      <c r="G87" s="5">
        <v>49046435570</v>
      </c>
      <c r="H87" s="5">
        <v>13139229757423</v>
      </c>
      <c r="I87" s="5">
        <v>1104749808850</v>
      </c>
      <c r="J87" s="5">
        <v>9452271281</v>
      </c>
      <c r="K87" s="5">
        <v>12025027677292</v>
      </c>
      <c r="L87" s="5">
        <v>8741740311063</v>
      </c>
      <c r="M87" s="5">
        <f t="shared" si="5"/>
        <v>4397489446360</v>
      </c>
      <c r="N87" s="36">
        <f t="shared" si="6"/>
        <v>50.304507911254383</v>
      </c>
      <c r="O87" s="5">
        <v>16481044620315</v>
      </c>
      <c r="P87" s="36">
        <v>146.33000000000001</v>
      </c>
      <c r="Q87" s="6">
        <v>137.06</v>
      </c>
      <c r="R87" s="6">
        <v>13.4</v>
      </c>
      <c r="S87" s="5">
        <v>15377441715979</v>
      </c>
      <c r="T87" s="5">
        <v>2364725521727</v>
      </c>
      <c r="U87" s="5">
        <v>28523837743</v>
      </c>
      <c r="V87" s="5">
        <v>18881980730</v>
      </c>
      <c r="W87" s="5">
        <v>2317319703254</v>
      </c>
      <c r="X87" s="5">
        <v>17742167237706</v>
      </c>
      <c r="Y87" s="5">
        <v>210858766262</v>
      </c>
      <c r="Z87" s="5">
        <v>1457431012920</v>
      </c>
      <c r="AA87" s="5">
        <v>26494382389</v>
      </c>
      <c r="AB87" s="5">
        <v>19226092633015</v>
      </c>
      <c r="AC87" s="5">
        <v>6943298382080</v>
      </c>
      <c r="AD87" s="36">
        <f t="shared" si="7"/>
        <v>155.52937899798266</v>
      </c>
      <c r="AE87" s="5">
        <v>14801784875280</v>
      </c>
      <c r="AF87" s="5">
        <v>14801784875280</v>
      </c>
      <c r="AG87" s="5">
        <v>1398163933840</v>
      </c>
      <c r="AH87" s="5">
        <v>500630584660</v>
      </c>
      <c r="AI87" s="5">
        <v>0</v>
      </c>
      <c r="AJ87" s="5">
        <v>0</v>
      </c>
      <c r="AK87" s="5">
        <v>0</v>
      </c>
      <c r="AL87" s="6">
        <v>4</v>
      </c>
      <c r="AM87" s="5">
        <v>410302442809</v>
      </c>
      <c r="AN87" s="6">
        <v>31</v>
      </c>
      <c r="AO87" s="5">
        <v>2127546898782</v>
      </c>
      <c r="AP87" s="6">
        <v>22</v>
      </c>
      <c r="AQ87" s="5">
        <v>1115539438750</v>
      </c>
      <c r="AR87" s="5">
        <v>2364725521727</v>
      </c>
      <c r="AS87" s="5">
        <v>1899524443727</v>
      </c>
      <c r="AT87" s="5">
        <f t="shared" si="8"/>
        <v>465201078000</v>
      </c>
      <c r="AU87" s="36">
        <f t="shared" si="9"/>
        <v>24.49039703259848</v>
      </c>
      <c r="AV87" s="5">
        <v>5398316932360</v>
      </c>
      <c r="AW87" s="5">
        <v>1331250401822</v>
      </c>
      <c r="AX87" s="5">
        <v>3014711988601</v>
      </c>
      <c r="AY87" s="5">
        <v>867431882383</v>
      </c>
      <c r="AZ87" s="5">
        <v>3240513500555</v>
      </c>
      <c r="BA87" s="5">
        <v>5568232085342</v>
      </c>
      <c r="BB87" s="5">
        <v>2736629493604</v>
      </c>
      <c r="BC87" s="5">
        <v>13139229757423</v>
      </c>
      <c r="BD87" s="5">
        <v>4276131218633</v>
      </c>
      <c r="BE87" s="5">
        <v>3240513500555</v>
      </c>
      <c r="BF87" s="5">
        <v>5622585038235</v>
      </c>
      <c r="BG87" s="5">
        <v>8076453989259</v>
      </c>
      <c r="BH87" s="5">
        <v>6725330886021</v>
      </c>
      <c r="BI87" s="5">
        <v>0</v>
      </c>
      <c r="BJ87" s="48">
        <v>181584526741</v>
      </c>
      <c r="BK87" s="5">
        <v>1573030676968</v>
      </c>
      <c r="BL87" s="5">
        <v>0</v>
      </c>
      <c r="BM87" s="5">
        <v>450000000000</v>
      </c>
      <c r="BN87" s="5">
        <v>50630584660</v>
      </c>
    </row>
    <row r="88" spans="1:66" x14ac:dyDescent="0.25">
      <c r="A88" s="17" t="s">
        <v>576</v>
      </c>
      <c r="B88" s="4">
        <v>1707</v>
      </c>
      <c r="C88" s="4" t="s">
        <v>135</v>
      </c>
      <c r="D88" s="5">
        <v>4113168015586</v>
      </c>
      <c r="E88" s="5">
        <v>382459118592</v>
      </c>
      <c r="F88" s="5">
        <v>0</v>
      </c>
      <c r="G88" s="5">
        <v>0</v>
      </c>
      <c r="H88" s="5">
        <v>4495627134178</v>
      </c>
      <c r="I88" s="5">
        <v>320492808432</v>
      </c>
      <c r="J88" s="5">
        <v>656060665</v>
      </c>
      <c r="K88" s="5">
        <v>4174478265081</v>
      </c>
      <c r="L88" s="5">
        <v>2866164284172</v>
      </c>
      <c r="M88" s="5">
        <f t="shared" si="5"/>
        <v>1629462850006</v>
      </c>
      <c r="N88" s="36">
        <f t="shared" si="6"/>
        <v>56.851690567930305</v>
      </c>
      <c r="O88" s="5">
        <v>3174907916998</v>
      </c>
      <c r="P88" s="36">
        <v>75.89</v>
      </c>
      <c r="Q88" s="6">
        <v>76.06</v>
      </c>
      <c r="R88" s="6">
        <v>0.74</v>
      </c>
      <c r="S88" s="5">
        <v>3256560730746</v>
      </c>
      <c r="T88" s="5">
        <v>24516338968</v>
      </c>
      <c r="U88" s="5">
        <v>14271893739</v>
      </c>
      <c r="V88" s="5">
        <v>9316234108</v>
      </c>
      <c r="W88" s="5">
        <v>928211121</v>
      </c>
      <c r="X88" s="5">
        <v>3281077069714</v>
      </c>
      <c r="Y88" s="5">
        <v>736006095</v>
      </c>
      <c r="Z88" s="5">
        <v>116271826976</v>
      </c>
      <c r="AA88" s="5">
        <v>14300011000</v>
      </c>
      <c r="AB88" s="5">
        <v>3411648907690</v>
      </c>
      <c r="AC88" s="5">
        <v>1702121848692</v>
      </c>
      <c r="AD88" s="36">
        <f t="shared" si="7"/>
        <v>92.763935921235742</v>
      </c>
      <c r="AE88" s="5">
        <v>6006951111557</v>
      </c>
      <c r="AF88" s="5">
        <v>6006951111557</v>
      </c>
      <c r="AG88" s="5">
        <v>3525875659403</v>
      </c>
      <c r="AH88" s="5">
        <v>17747611864</v>
      </c>
      <c r="AI88" s="5">
        <v>0</v>
      </c>
      <c r="AJ88" s="5">
        <v>0</v>
      </c>
      <c r="AK88" s="5">
        <v>0</v>
      </c>
      <c r="AL88" s="6">
        <v>18</v>
      </c>
      <c r="AM88" s="5">
        <v>5666283526801</v>
      </c>
      <c r="AN88" s="6">
        <v>135</v>
      </c>
      <c r="AO88" s="5">
        <v>2038211247386</v>
      </c>
      <c r="AP88" s="6">
        <v>103</v>
      </c>
      <c r="AQ88" s="5">
        <v>2109142919256</v>
      </c>
      <c r="AR88" s="5">
        <v>24516338968</v>
      </c>
      <c r="AS88" s="5">
        <v>10711599871</v>
      </c>
      <c r="AT88" s="5">
        <f t="shared" si="8"/>
        <v>13804739097</v>
      </c>
      <c r="AU88" s="36">
        <f t="shared" si="9"/>
        <v>128.87653817590962</v>
      </c>
      <c r="AV88" s="5">
        <v>4383244254476</v>
      </c>
      <c r="AW88" s="5">
        <v>1232530720328</v>
      </c>
      <c r="AX88" s="5">
        <v>959790077503</v>
      </c>
      <c r="AY88" s="5">
        <v>479986689945</v>
      </c>
      <c r="AZ88" s="5">
        <v>1242309278407</v>
      </c>
      <c r="BA88" s="5">
        <v>1452703263747</v>
      </c>
      <c r="BB88" s="5">
        <v>377465123380</v>
      </c>
      <c r="BC88" s="5">
        <v>4495627134178</v>
      </c>
      <c r="BD88" s="5">
        <v>1822235886040</v>
      </c>
      <c r="BE88" s="5">
        <v>1242309278407</v>
      </c>
      <c r="BF88" s="5">
        <v>1431081969731</v>
      </c>
      <c r="BG88" s="5">
        <v>677257550372</v>
      </c>
      <c r="BH88" s="5">
        <v>5329693561185</v>
      </c>
      <c r="BI88" s="5">
        <v>7469817157</v>
      </c>
      <c r="BJ88" s="48">
        <v>0</v>
      </c>
      <c r="BK88" s="5">
        <v>2802247888624</v>
      </c>
      <c r="BL88" s="5">
        <v>0</v>
      </c>
      <c r="BM88" s="5">
        <v>0</v>
      </c>
      <c r="BN88" s="5">
        <v>17747611864</v>
      </c>
    </row>
    <row r="89" spans="1:66" x14ac:dyDescent="0.25">
      <c r="A89" s="17" t="s">
        <v>576</v>
      </c>
      <c r="B89" s="4">
        <v>1712</v>
      </c>
      <c r="C89" s="4" t="s">
        <v>136</v>
      </c>
      <c r="D89" s="5">
        <v>4057603652495</v>
      </c>
      <c r="E89" s="5">
        <v>114255011434</v>
      </c>
      <c r="F89" s="5">
        <v>0</v>
      </c>
      <c r="G89" s="5">
        <v>0</v>
      </c>
      <c r="H89" s="5">
        <v>4171858663929</v>
      </c>
      <c r="I89" s="5">
        <v>320622373045</v>
      </c>
      <c r="J89" s="5">
        <v>828549785</v>
      </c>
      <c r="K89" s="5">
        <v>3850407741099</v>
      </c>
      <c r="L89" s="5">
        <v>2292618529687</v>
      </c>
      <c r="M89" s="5">
        <f t="shared" si="5"/>
        <v>1879240134242</v>
      </c>
      <c r="N89" s="36">
        <f t="shared" si="6"/>
        <v>81.969159278258275</v>
      </c>
      <c r="O89" s="5">
        <v>4452148745647</v>
      </c>
      <c r="P89" s="36">
        <v>120.22</v>
      </c>
      <c r="Q89" s="6">
        <v>115.63</v>
      </c>
      <c r="R89" s="6">
        <v>11.55</v>
      </c>
      <c r="S89" s="5">
        <v>4065223004506</v>
      </c>
      <c r="T89" s="5">
        <v>545487051278</v>
      </c>
      <c r="U89" s="5">
        <v>11487037050</v>
      </c>
      <c r="V89" s="5">
        <v>131049617019</v>
      </c>
      <c r="W89" s="5">
        <v>402950397209</v>
      </c>
      <c r="X89" s="5">
        <v>4610710055784</v>
      </c>
      <c r="Y89" s="5">
        <v>34047181348</v>
      </c>
      <c r="Z89" s="5">
        <v>387452615707</v>
      </c>
      <c r="AA89" s="5">
        <v>17307493645</v>
      </c>
      <c r="AB89" s="5">
        <v>5015470165136</v>
      </c>
      <c r="AC89" s="5">
        <v>2526584404567</v>
      </c>
      <c r="AD89" s="36">
        <f t="shared" si="7"/>
        <v>82.487869688809084</v>
      </c>
      <c r="AE89" s="5">
        <v>5441716139434</v>
      </c>
      <c r="AF89" s="5">
        <v>5407555714640</v>
      </c>
      <c r="AG89" s="5">
        <v>90020700000</v>
      </c>
      <c r="AH89" s="5">
        <v>489672661929</v>
      </c>
      <c r="AI89" s="5">
        <v>0</v>
      </c>
      <c r="AJ89" s="5">
        <v>0</v>
      </c>
      <c r="AK89" s="5">
        <v>0</v>
      </c>
      <c r="AL89" s="6">
        <v>17</v>
      </c>
      <c r="AM89" s="5">
        <v>1622444724525</v>
      </c>
      <c r="AN89" s="6">
        <v>10</v>
      </c>
      <c r="AO89" s="5">
        <v>300023558268</v>
      </c>
      <c r="AP89" s="6">
        <v>16</v>
      </c>
      <c r="AQ89" s="5">
        <v>730854944261</v>
      </c>
      <c r="AR89" s="5">
        <v>545487051278</v>
      </c>
      <c r="AS89" s="5">
        <v>92544117250</v>
      </c>
      <c r="AT89" s="5">
        <f t="shared" si="8"/>
        <v>452942934028</v>
      </c>
      <c r="AU89" s="36">
        <f t="shared" si="9"/>
        <v>489.43460425951599</v>
      </c>
      <c r="AV89" s="5">
        <v>3500915305338</v>
      </c>
      <c r="AW89" s="5">
        <v>140953910841</v>
      </c>
      <c r="AX89" s="5">
        <v>1067671280480</v>
      </c>
      <c r="AY89" s="5">
        <v>1018806593815</v>
      </c>
      <c r="AZ89" s="5">
        <v>775423178200</v>
      </c>
      <c r="BA89" s="5">
        <v>1228422852600</v>
      </c>
      <c r="BB89" s="5">
        <v>451816186436</v>
      </c>
      <c r="BC89" s="5">
        <v>4171858663929</v>
      </c>
      <c r="BD89" s="5">
        <v>2200732885729</v>
      </c>
      <c r="BE89" s="5">
        <v>775423178200</v>
      </c>
      <c r="BF89" s="5">
        <v>1195702600000</v>
      </c>
      <c r="BG89" s="5">
        <v>5096338470192</v>
      </c>
      <c r="BH89" s="5">
        <v>345377669242</v>
      </c>
      <c r="BI89" s="5">
        <v>0</v>
      </c>
      <c r="BJ89" s="48">
        <v>0</v>
      </c>
      <c r="BK89" s="5">
        <v>90020700000</v>
      </c>
      <c r="BL89" s="5">
        <v>0</v>
      </c>
      <c r="BM89" s="5">
        <v>383880000000</v>
      </c>
      <c r="BN89" s="5">
        <v>105792661929</v>
      </c>
    </row>
    <row r="90" spans="1:66" x14ac:dyDescent="0.25">
      <c r="A90" s="17" t="s">
        <v>576</v>
      </c>
      <c r="B90" s="4">
        <v>1713</v>
      </c>
      <c r="C90" s="4" t="s">
        <v>137</v>
      </c>
      <c r="D90" s="5">
        <v>3860242834029</v>
      </c>
      <c r="E90" s="5">
        <v>221335896688</v>
      </c>
      <c r="F90" s="5">
        <v>0</v>
      </c>
      <c r="G90" s="5">
        <v>0</v>
      </c>
      <c r="H90" s="5">
        <v>4081578730717</v>
      </c>
      <c r="I90" s="5">
        <v>322807105545</v>
      </c>
      <c r="J90" s="5">
        <v>358496608</v>
      </c>
      <c r="K90" s="5">
        <v>3758413128564</v>
      </c>
      <c r="L90" s="5">
        <v>2254817521090</v>
      </c>
      <c r="M90" s="5">
        <f t="shared" si="5"/>
        <v>1826761209627</v>
      </c>
      <c r="N90" s="36">
        <f t="shared" si="6"/>
        <v>81.015922243850866</v>
      </c>
      <c r="O90" s="5">
        <v>5545619744204</v>
      </c>
      <c r="P90" s="36">
        <v>165.07</v>
      </c>
      <c r="Q90" s="6">
        <v>147.55000000000001</v>
      </c>
      <c r="R90" s="6">
        <v>5.97</v>
      </c>
      <c r="S90" s="5">
        <v>6046505579159</v>
      </c>
      <c r="T90" s="5">
        <v>350291227078</v>
      </c>
      <c r="U90" s="5">
        <v>49551435598</v>
      </c>
      <c r="V90" s="5">
        <v>33279737814</v>
      </c>
      <c r="W90" s="5">
        <v>267460053666</v>
      </c>
      <c r="X90" s="5">
        <v>6396796806237</v>
      </c>
      <c r="Y90" s="5">
        <v>51779292502</v>
      </c>
      <c r="Z90" s="5">
        <v>316902524025</v>
      </c>
      <c r="AA90" s="5">
        <v>23850000000</v>
      </c>
      <c r="AB90" s="5">
        <v>6737549330262</v>
      </c>
      <c r="AC90" s="5">
        <v>3066950649087</v>
      </c>
      <c r="AD90" s="36">
        <f t="shared" si="7"/>
        <v>108.57188582872246</v>
      </c>
      <c r="AE90" s="5">
        <v>5712894339813</v>
      </c>
      <c r="AF90" s="5">
        <v>4375273528190</v>
      </c>
      <c r="AG90" s="5">
        <v>198000630712</v>
      </c>
      <c r="AH90" s="5">
        <v>0</v>
      </c>
      <c r="AI90" s="5">
        <v>0</v>
      </c>
      <c r="AJ90" s="5">
        <v>0</v>
      </c>
      <c r="AK90" s="5">
        <v>0</v>
      </c>
      <c r="AL90" s="6">
        <v>0</v>
      </c>
      <c r="AM90" s="5">
        <v>0</v>
      </c>
      <c r="AN90" s="6">
        <v>43</v>
      </c>
      <c r="AO90" s="5">
        <v>839365827366</v>
      </c>
      <c r="AP90" s="6">
        <v>86</v>
      </c>
      <c r="AQ90" s="5">
        <v>4194795670875</v>
      </c>
      <c r="AR90" s="5">
        <v>350291227078</v>
      </c>
      <c r="AS90" s="5">
        <v>136795239247</v>
      </c>
      <c r="AT90" s="5">
        <f t="shared" si="8"/>
        <v>213495987831</v>
      </c>
      <c r="AU90" s="36">
        <f t="shared" si="9"/>
        <v>156.06974994612767</v>
      </c>
      <c r="AV90" s="5">
        <v>2299470881839</v>
      </c>
      <c r="AW90" s="5">
        <v>322178123927</v>
      </c>
      <c r="AX90" s="5">
        <v>1400780372829</v>
      </c>
      <c r="AY90" s="5">
        <v>749347008927</v>
      </c>
      <c r="AZ90" s="5">
        <v>736882311802</v>
      </c>
      <c r="BA90" s="5">
        <v>993096563547</v>
      </c>
      <c r="BB90" s="5">
        <v>429618094162</v>
      </c>
      <c r="BC90" s="5">
        <v>4081578730717</v>
      </c>
      <c r="BD90" s="5">
        <v>2371463278444</v>
      </c>
      <c r="BE90" s="5">
        <v>736882311802</v>
      </c>
      <c r="BF90" s="5">
        <v>973233140471</v>
      </c>
      <c r="BG90" s="5">
        <v>5192346130606</v>
      </c>
      <c r="BH90" s="5">
        <v>520548209207</v>
      </c>
      <c r="BI90" s="5">
        <v>0</v>
      </c>
      <c r="BJ90" s="48">
        <v>264703505240</v>
      </c>
      <c r="BK90" s="5">
        <v>191876968800</v>
      </c>
      <c r="BL90" s="5">
        <v>0</v>
      </c>
      <c r="BM90" s="5">
        <v>0</v>
      </c>
      <c r="BN90" s="5">
        <v>0</v>
      </c>
    </row>
    <row r="91" spans="1:66" x14ac:dyDescent="0.25">
      <c r="A91" s="17" t="s">
        <v>576</v>
      </c>
      <c r="B91" s="4">
        <v>1717</v>
      </c>
      <c r="C91" s="4" t="s">
        <v>138</v>
      </c>
      <c r="D91" s="5">
        <v>10605708462424</v>
      </c>
      <c r="E91" s="5">
        <v>159772570820</v>
      </c>
      <c r="F91" s="5">
        <v>48648000000</v>
      </c>
      <c r="G91" s="5">
        <v>586224000</v>
      </c>
      <c r="H91" s="5">
        <v>10814715257244</v>
      </c>
      <c r="I91" s="5">
        <v>821985627693</v>
      </c>
      <c r="J91" s="5">
        <v>52867943632</v>
      </c>
      <c r="K91" s="5">
        <v>9939861685919</v>
      </c>
      <c r="L91" s="5">
        <v>6372537159164</v>
      </c>
      <c r="M91" s="5">
        <f t="shared" si="5"/>
        <v>4442178098080</v>
      </c>
      <c r="N91" s="36">
        <f t="shared" si="6"/>
        <v>69.708155278340669</v>
      </c>
      <c r="O91" s="5">
        <v>7659175728439</v>
      </c>
      <c r="P91" s="36">
        <v>94.06</v>
      </c>
      <c r="Q91" s="6">
        <v>77.06</v>
      </c>
      <c r="R91" s="6">
        <v>3.47</v>
      </c>
      <c r="S91" s="5">
        <v>9483272767964</v>
      </c>
      <c r="T91" s="5">
        <v>180863249319</v>
      </c>
      <c r="U91" s="5">
        <v>34750893134</v>
      </c>
      <c r="V91" s="5">
        <v>15559306165</v>
      </c>
      <c r="W91" s="5">
        <v>130553050020</v>
      </c>
      <c r="X91" s="5">
        <v>9664136017283</v>
      </c>
      <c r="Y91" s="5">
        <v>171882853798</v>
      </c>
      <c r="Z91" s="5">
        <v>437105024234</v>
      </c>
      <c r="AA91" s="5">
        <v>70968696093</v>
      </c>
      <c r="AB91" s="5">
        <v>10172209737610</v>
      </c>
      <c r="AC91" s="5">
        <v>7187309237999</v>
      </c>
      <c r="AD91" s="36">
        <f t="shared" si="7"/>
        <v>34.461113293819636</v>
      </c>
      <c r="AE91" s="5">
        <v>6308289253663</v>
      </c>
      <c r="AF91" s="5">
        <v>6308289253663</v>
      </c>
      <c r="AG91" s="5">
        <v>0</v>
      </c>
      <c r="AH91" s="5">
        <v>35997456562</v>
      </c>
      <c r="AI91" s="5">
        <v>483500000000</v>
      </c>
      <c r="AJ91" s="5">
        <v>0</v>
      </c>
      <c r="AK91" s="5">
        <v>0</v>
      </c>
      <c r="AL91" s="6">
        <v>2</v>
      </c>
      <c r="AM91" s="5">
        <v>76299381304</v>
      </c>
      <c r="AN91" s="6">
        <v>65</v>
      </c>
      <c r="AO91" s="5">
        <v>1284969290941</v>
      </c>
      <c r="AP91" s="6">
        <v>19</v>
      </c>
      <c r="AQ91" s="5">
        <v>241973280445</v>
      </c>
      <c r="AR91" s="5">
        <v>180863249319</v>
      </c>
      <c r="AS91" s="5">
        <v>150282055452</v>
      </c>
      <c r="AT91" s="5">
        <f t="shared" si="8"/>
        <v>30581193867</v>
      </c>
      <c r="AU91" s="36">
        <f t="shared" si="9"/>
        <v>20.349198562011694</v>
      </c>
      <c r="AV91" s="5">
        <v>4537620568726</v>
      </c>
      <c r="AW91" s="5">
        <v>772983147692</v>
      </c>
      <c r="AX91" s="5">
        <v>1578222727040</v>
      </c>
      <c r="AY91" s="5">
        <v>2916894747244</v>
      </c>
      <c r="AZ91" s="5">
        <v>2221456517981</v>
      </c>
      <c r="BA91" s="5">
        <v>3960893976915</v>
      </c>
      <c r="BB91" s="5">
        <v>1066778397258</v>
      </c>
      <c r="BC91" s="5">
        <v>10814715257244</v>
      </c>
      <c r="BD91" s="5">
        <v>4655476269104</v>
      </c>
      <c r="BE91" s="5">
        <v>2270104517981</v>
      </c>
      <c r="BF91" s="5">
        <v>3889134470159</v>
      </c>
      <c r="BG91" s="5">
        <v>5101147634932</v>
      </c>
      <c r="BH91" s="5">
        <v>1207141618731</v>
      </c>
      <c r="BI91" s="5">
        <v>66764</v>
      </c>
      <c r="BJ91" s="48">
        <v>34559826860</v>
      </c>
      <c r="BK91" s="5">
        <v>0</v>
      </c>
      <c r="BL91" s="5">
        <v>0</v>
      </c>
      <c r="BM91" s="5">
        <v>0</v>
      </c>
      <c r="BN91" s="5">
        <v>35997456562</v>
      </c>
    </row>
    <row r="92" spans="1:66" x14ac:dyDescent="0.25">
      <c r="A92" s="17" t="s">
        <v>576</v>
      </c>
      <c r="B92" s="4">
        <v>1721</v>
      </c>
      <c r="C92" s="4" t="s">
        <v>139</v>
      </c>
      <c r="D92" s="5">
        <v>2701560118351</v>
      </c>
      <c r="E92" s="5">
        <v>150692186214</v>
      </c>
      <c r="F92" s="5">
        <v>0</v>
      </c>
      <c r="G92" s="5">
        <v>0</v>
      </c>
      <c r="H92" s="5">
        <v>2852252304565</v>
      </c>
      <c r="I92" s="5">
        <v>207147959454</v>
      </c>
      <c r="J92" s="5">
        <v>2683830749</v>
      </c>
      <c r="K92" s="5">
        <v>2642420514362</v>
      </c>
      <c r="L92" s="5">
        <v>1870216080216</v>
      </c>
      <c r="M92" s="5">
        <f t="shared" si="5"/>
        <v>982036224349</v>
      </c>
      <c r="N92" s="36">
        <f t="shared" si="6"/>
        <v>52.509238624211804</v>
      </c>
      <c r="O92" s="5">
        <v>2106206550070</v>
      </c>
      <c r="P92" s="36">
        <v>83.59</v>
      </c>
      <c r="Q92" s="6">
        <v>79.709999999999994</v>
      </c>
      <c r="R92" s="6">
        <v>1.59</v>
      </c>
      <c r="S92" s="5">
        <v>2156370294658</v>
      </c>
      <c r="T92" s="5">
        <v>37676808679</v>
      </c>
      <c r="U92" s="5">
        <v>23942430359</v>
      </c>
      <c r="V92" s="5">
        <v>13662749179</v>
      </c>
      <c r="W92" s="5">
        <v>71629141</v>
      </c>
      <c r="X92" s="5">
        <v>2194047103337</v>
      </c>
      <c r="Y92" s="5">
        <v>156019752</v>
      </c>
      <c r="Z92" s="5">
        <v>157966017696</v>
      </c>
      <c r="AA92" s="5">
        <v>32148730962</v>
      </c>
      <c r="AB92" s="5">
        <v>2384161851995</v>
      </c>
      <c r="AC92" s="5">
        <v>1642956588487</v>
      </c>
      <c r="AD92" s="36">
        <f t="shared" si="7"/>
        <v>33.542609628992068</v>
      </c>
      <c r="AE92" s="5">
        <v>2434741868458</v>
      </c>
      <c r="AF92" s="5">
        <v>2412595553356</v>
      </c>
      <c r="AG92" s="5">
        <v>287239883313</v>
      </c>
      <c r="AH92" s="5">
        <v>63965539017</v>
      </c>
      <c r="AI92" s="5">
        <v>0</v>
      </c>
      <c r="AJ92" s="5">
        <v>0</v>
      </c>
      <c r="AK92" s="5">
        <v>0</v>
      </c>
      <c r="AL92" s="6">
        <v>5</v>
      </c>
      <c r="AM92" s="5">
        <v>185094366719</v>
      </c>
      <c r="AN92" s="6">
        <v>78</v>
      </c>
      <c r="AO92" s="5">
        <v>1070205920600</v>
      </c>
      <c r="AP92" s="6">
        <v>52</v>
      </c>
      <c r="AQ92" s="5">
        <v>966607952057</v>
      </c>
      <c r="AR92" s="5">
        <v>37676808679</v>
      </c>
      <c r="AS92" s="5">
        <v>12423738311</v>
      </c>
      <c r="AT92" s="5">
        <f t="shared" si="8"/>
        <v>25253070368</v>
      </c>
      <c r="AU92" s="36">
        <f t="shared" si="9"/>
        <v>203.26466749256048</v>
      </c>
      <c r="AV92" s="5">
        <v>1870204243672</v>
      </c>
      <c r="AW92" s="5">
        <v>229373742511</v>
      </c>
      <c r="AX92" s="5">
        <v>509639148777</v>
      </c>
      <c r="AY92" s="5">
        <v>970457678233</v>
      </c>
      <c r="AZ92" s="5">
        <v>725057713821</v>
      </c>
      <c r="BA92" s="5">
        <v>566897757852</v>
      </c>
      <c r="BB92" s="5">
        <v>416498313109</v>
      </c>
      <c r="BC92" s="5">
        <v>2852252304565</v>
      </c>
      <c r="BD92" s="5">
        <v>1630789013224</v>
      </c>
      <c r="BE92" s="5">
        <v>724747713821</v>
      </c>
      <c r="BF92" s="5">
        <v>496715577520</v>
      </c>
      <c r="BG92" s="5">
        <v>1968980424551</v>
      </c>
      <c r="BH92" s="5">
        <v>465761443907</v>
      </c>
      <c r="BI92" s="5">
        <v>0</v>
      </c>
      <c r="BJ92" s="48">
        <v>0</v>
      </c>
      <c r="BK92" s="5">
        <v>287239883313</v>
      </c>
      <c r="BL92" s="5">
        <v>0</v>
      </c>
      <c r="BM92" s="5">
        <v>0</v>
      </c>
      <c r="BN92" s="5">
        <v>63965539017</v>
      </c>
    </row>
    <row r="93" spans="1:66" x14ac:dyDescent="0.25">
      <c r="A93" s="17" t="s">
        <v>576</v>
      </c>
      <c r="B93" s="4">
        <v>4106</v>
      </c>
      <c r="C93" s="4" t="s">
        <v>140</v>
      </c>
      <c r="D93" s="5">
        <v>1376208100654</v>
      </c>
      <c r="E93" s="5">
        <v>265048810277</v>
      </c>
      <c r="F93" s="5">
        <v>0</v>
      </c>
      <c r="G93" s="5">
        <v>0</v>
      </c>
      <c r="H93" s="5">
        <v>1641256910931</v>
      </c>
      <c r="I93" s="5">
        <v>130213348845</v>
      </c>
      <c r="J93" s="5">
        <v>2857415261</v>
      </c>
      <c r="K93" s="5">
        <v>1508186146825</v>
      </c>
      <c r="L93" s="5">
        <v>2700190193212</v>
      </c>
      <c r="M93" s="5">
        <f t="shared" si="5"/>
        <v>-1058933282281</v>
      </c>
      <c r="N93" s="36">
        <f t="shared" si="6"/>
        <v>-39.216988675206998</v>
      </c>
      <c r="O93" s="5">
        <v>1503203310238</v>
      </c>
      <c r="P93" s="36">
        <v>101.59</v>
      </c>
      <c r="Q93" s="6">
        <v>99.67</v>
      </c>
      <c r="R93" s="6">
        <v>32.89</v>
      </c>
      <c r="S93" s="5">
        <v>980021315898</v>
      </c>
      <c r="T93" s="5">
        <v>541983844173</v>
      </c>
      <c r="U93" s="5">
        <v>21612050806</v>
      </c>
      <c r="V93" s="5">
        <v>12441658633</v>
      </c>
      <c r="W93" s="5">
        <v>507930134734</v>
      </c>
      <c r="X93" s="5">
        <v>1522005160071</v>
      </c>
      <c r="Y93" s="5">
        <v>6445634618</v>
      </c>
      <c r="Z93" s="5">
        <v>125087789525</v>
      </c>
      <c r="AA93" s="5">
        <v>20200801000</v>
      </c>
      <c r="AB93" s="5">
        <v>1667293750596</v>
      </c>
      <c r="AC93" s="5">
        <v>1238610327184</v>
      </c>
      <c r="AD93" s="36">
        <f t="shared" si="7"/>
        <v>22.880063783361358</v>
      </c>
      <c r="AE93" s="5">
        <v>2029561951466</v>
      </c>
      <c r="AF93" s="5">
        <v>2029561951466</v>
      </c>
      <c r="AG93" s="5">
        <v>876114153821</v>
      </c>
      <c r="AH93" s="5">
        <v>587885949547</v>
      </c>
      <c r="AI93" s="5">
        <v>0</v>
      </c>
      <c r="AJ93" s="5">
        <v>0</v>
      </c>
      <c r="AK93" s="5">
        <v>0</v>
      </c>
      <c r="AL93" s="6">
        <v>2</v>
      </c>
      <c r="AM93" s="5">
        <v>134000000000</v>
      </c>
      <c r="AN93" s="6">
        <v>133</v>
      </c>
      <c r="AO93" s="5">
        <v>2400714925774</v>
      </c>
      <c r="AP93" s="6">
        <v>87</v>
      </c>
      <c r="AQ93" s="5">
        <v>3525245473623</v>
      </c>
      <c r="AR93" s="5">
        <v>541983844173</v>
      </c>
      <c r="AS93" s="5">
        <v>60638869812</v>
      </c>
      <c r="AT93" s="5">
        <f t="shared" si="8"/>
        <v>481344974361</v>
      </c>
      <c r="AU93" s="36">
        <f t="shared" si="9"/>
        <v>793.78948824957365</v>
      </c>
      <c r="AV93" s="5">
        <v>1640282726803</v>
      </c>
      <c r="AW93" s="5">
        <v>76814081649</v>
      </c>
      <c r="AX93" s="5">
        <v>325427737327</v>
      </c>
      <c r="AY93" s="5">
        <v>250303458077</v>
      </c>
      <c r="AZ93" s="5">
        <v>512408681909</v>
      </c>
      <c r="BA93" s="5">
        <v>316921159873</v>
      </c>
      <c r="BB93" s="5">
        <v>257724770738</v>
      </c>
      <c r="BC93" s="5">
        <v>1641256910931</v>
      </c>
      <c r="BD93" s="5">
        <v>763857289455</v>
      </c>
      <c r="BE93" s="5">
        <v>512408681909</v>
      </c>
      <c r="BF93" s="5">
        <v>364990939567</v>
      </c>
      <c r="BG93" s="5">
        <v>327165862957</v>
      </c>
      <c r="BH93" s="5">
        <v>1702396088509</v>
      </c>
      <c r="BI93" s="5">
        <v>0</v>
      </c>
      <c r="BJ93" s="48">
        <v>0</v>
      </c>
      <c r="BK93" s="5">
        <v>884868103144</v>
      </c>
      <c r="BL93" s="5">
        <v>22595424657</v>
      </c>
      <c r="BM93" s="5">
        <v>471203251738</v>
      </c>
      <c r="BN93" s="5">
        <v>70216922652</v>
      </c>
    </row>
    <row r="94" spans="1:66" x14ac:dyDescent="0.25">
      <c r="A94" s="17" t="s">
        <v>576</v>
      </c>
      <c r="B94" s="4">
        <v>4107</v>
      </c>
      <c r="C94" s="4" t="s">
        <v>141</v>
      </c>
      <c r="D94" s="5">
        <v>2361110360703</v>
      </c>
      <c r="E94" s="5">
        <v>143370140625</v>
      </c>
      <c r="F94" s="5">
        <v>0</v>
      </c>
      <c r="G94" s="5">
        <v>0</v>
      </c>
      <c r="H94" s="5">
        <v>2504480501328</v>
      </c>
      <c r="I94" s="5">
        <v>157938429517</v>
      </c>
      <c r="J94" s="5">
        <v>1693104420</v>
      </c>
      <c r="K94" s="5">
        <v>2344848967391</v>
      </c>
      <c r="L94" s="5">
        <v>1308820185837</v>
      </c>
      <c r="M94" s="5">
        <f t="shared" si="5"/>
        <v>1195660315491</v>
      </c>
      <c r="N94" s="36">
        <f t="shared" si="6"/>
        <v>91.354055234590277</v>
      </c>
      <c r="O94" s="5">
        <v>2513193648827</v>
      </c>
      <c r="P94" s="36">
        <v>108.99</v>
      </c>
      <c r="Q94" s="6">
        <v>107.18</v>
      </c>
      <c r="R94" s="6">
        <v>17.55</v>
      </c>
      <c r="S94" s="5">
        <v>1731410391839</v>
      </c>
      <c r="T94" s="5">
        <v>476590828301</v>
      </c>
      <c r="U94" s="5">
        <v>17738994981</v>
      </c>
      <c r="V94" s="5">
        <v>448601892377</v>
      </c>
      <c r="W94" s="5">
        <v>10249940943</v>
      </c>
      <c r="X94" s="5">
        <v>2208001220140</v>
      </c>
      <c r="Y94" s="5">
        <v>2351366533</v>
      </c>
      <c r="Z94" s="5">
        <v>504660847960</v>
      </c>
      <c r="AA94" s="5">
        <v>17092220000</v>
      </c>
      <c r="AB94" s="5">
        <v>2729754288100</v>
      </c>
      <c r="AC94" s="5">
        <v>2095416834817</v>
      </c>
      <c r="AD94" s="36">
        <f t="shared" si="7"/>
        <v>5.3728873154172394</v>
      </c>
      <c r="AE94" s="5">
        <v>1249753491062</v>
      </c>
      <c r="AF94" s="5">
        <v>1145196454907</v>
      </c>
      <c r="AG94" s="5">
        <v>400703639616</v>
      </c>
      <c r="AH94" s="5">
        <v>0</v>
      </c>
      <c r="AI94" s="5">
        <v>0</v>
      </c>
      <c r="AJ94" s="5">
        <v>0</v>
      </c>
      <c r="AK94" s="5">
        <v>0</v>
      </c>
      <c r="AL94" s="6">
        <v>3</v>
      </c>
      <c r="AM94" s="5">
        <v>244300000000</v>
      </c>
      <c r="AN94" s="6">
        <v>169</v>
      </c>
      <c r="AO94" s="5">
        <v>1879270621571</v>
      </c>
      <c r="AP94" s="6">
        <v>66</v>
      </c>
      <c r="AQ94" s="5">
        <v>765410904219</v>
      </c>
      <c r="AR94" s="5">
        <v>476590828301</v>
      </c>
      <c r="AS94" s="5">
        <v>281278812568</v>
      </c>
      <c r="AT94" s="5">
        <f t="shared" si="8"/>
        <v>195312015733</v>
      </c>
      <c r="AU94" s="36">
        <f t="shared" si="9"/>
        <v>69.43715879267755</v>
      </c>
      <c r="AV94" s="5">
        <v>1097620105793</v>
      </c>
      <c r="AW94" s="5">
        <v>200985027659</v>
      </c>
      <c r="AX94" s="5">
        <v>320237952710</v>
      </c>
      <c r="AY94" s="5">
        <v>589053686798</v>
      </c>
      <c r="AZ94" s="5">
        <v>918214349865</v>
      </c>
      <c r="BA94" s="5">
        <v>548485604438</v>
      </c>
      <c r="BB94" s="5">
        <v>620655217404</v>
      </c>
      <c r="BC94" s="5">
        <v>2504480501328</v>
      </c>
      <c r="BD94" s="5">
        <v>1052661780133</v>
      </c>
      <c r="BE94" s="5">
        <v>918214349865</v>
      </c>
      <c r="BF94" s="5">
        <v>533604371330</v>
      </c>
      <c r="BG94" s="5">
        <v>635691650734</v>
      </c>
      <c r="BH94" s="5">
        <v>614061840328</v>
      </c>
      <c r="BI94" s="5">
        <v>0</v>
      </c>
      <c r="BJ94" s="48">
        <v>0</v>
      </c>
      <c r="BK94" s="5">
        <v>400703639616</v>
      </c>
      <c r="BL94" s="5">
        <v>0</v>
      </c>
      <c r="BM94" s="5">
        <v>0</v>
      </c>
      <c r="BN94" s="5">
        <v>0</v>
      </c>
    </row>
    <row r="95" spans="1:66" x14ac:dyDescent="0.25">
      <c r="A95" s="17" t="s">
        <v>576</v>
      </c>
      <c r="B95" s="4">
        <v>4108</v>
      </c>
      <c r="C95" s="4" t="s">
        <v>142</v>
      </c>
      <c r="D95" s="5">
        <v>2133884025505</v>
      </c>
      <c r="E95" s="5">
        <v>37224930660</v>
      </c>
      <c r="F95" s="5">
        <v>0</v>
      </c>
      <c r="G95" s="5">
        <v>0</v>
      </c>
      <c r="H95" s="5">
        <v>2171108956165</v>
      </c>
      <c r="I95" s="5">
        <v>164653129568</v>
      </c>
      <c r="J95" s="5">
        <v>1519974714</v>
      </c>
      <c r="K95" s="5">
        <v>2004935851883</v>
      </c>
      <c r="L95" s="5">
        <v>1592749912187</v>
      </c>
      <c r="M95" s="5">
        <f t="shared" si="5"/>
        <v>578359043978</v>
      </c>
      <c r="N95" s="36">
        <f t="shared" si="6"/>
        <v>36.311980905015837</v>
      </c>
      <c r="O95" s="5">
        <v>743880705082</v>
      </c>
      <c r="P95" s="36">
        <v>37.58</v>
      </c>
      <c r="Q95" s="6">
        <v>37.1</v>
      </c>
      <c r="R95" s="6">
        <v>1.4</v>
      </c>
      <c r="S95" s="5">
        <v>740144888205</v>
      </c>
      <c r="T95" s="5">
        <v>10675478417</v>
      </c>
      <c r="U95" s="5">
        <v>7504704852</v>
      </c>
      <c r="V95" s="5">
        <v>1099072087</v>
      </c>
      <c r="W95" s="5">
        <v>2071701478</v>
      </c>
      <c r="X95" s="5">
        <v>750820366622</v>
      </c>
      <c r="Y95" s="5">
        <v>711175840</v>
      </c>
      <c r="Z95" s="5">
        <v>54090044052</v>
      </c>
      <c r="AA95" s="5">
        <v>11057989069</v>
      </c>
      <c r="AB95" s="5">
        <v>815968399743</v>
      </c>
      <c r="AC95" s="5">
        <v>868023762237</v>
      </c>
      <c r="AD95" s="36">
        <f t="shared" si="7"/>
        <v>-13.502325709719395</v>
      </c>
      <c r="AE95" s="5">
        <v>486021156608</v>
      </c>
      <c r="AF95" s="5">
        <v>481300236061</v>
      </c>
      <c r="AG95" s="5">
        <v>0</v>
      </c>
      <c r="AH95" s="5">
        <v>457022250</v>
      </c>
      <c r="AI95" s="5">
        <v>0</v>
      </c>
      <c r="AJ95" s="5">
        <v>0</v>
      </c>
      <c r="AK95" s="5">
        <v>0</v>
      </c>
      <c r="AL95" s="6">
        <v>3</v>
      </c>
      <c r="AM95" s="5">
        <v>110114361885</v>
      </c>
      <c r="AN95" s="6">
        <v>27</v>
      </c>
      <c r="AO95" s="5">
        <v>198530648200</v>
      </c>
      <c r="AP95" s="6">
        <v>25</v>
      </c>
      <c r="AQ95" s="5">
        <v>105418279200</v>
      </c>
      <c r="AR95" s="5">
        <v>10675478417</v>
      </c>
      <c r="AS95" s="5">
        <v>6465196062</v>
      </c>
      <c r="AT95" s="5">
        <f t="shared" si="8"/>
        <v>4210282355</v>
      </c>
      <c r="AU95" s="36">
        <f t="shared" si="9"/>
        <v>65.122268754484679</v>
      </c>
      <c r="AV95" s="5">
        <v>592434994494</v>
      </c>
      <c r="AW95" s="5">
        <v>35945190593</v>
      </c>
      <c r="AX95" s="5">
        <v>523048028140</v>
      </c>
      <c r="AY95" s="5">
        <v>330874564786</v>
      </c>
      <c r="AZ95" s="5">
        <v>865975292283</v>
      </c>
      <c r="BA95" s="5">
        <v>459861904916</v>
      </c>
      <c r="BB95" s="5">
        <v>481900899303</v>
      </c>
      <c r="BC95" s="5">
        <v>2171108956165</v>
      </c>
      <c r="BD95" s="5">
        <v>888023530251</v>
      </c>
      <c r="BE95" s="5">
        <v>865975292283</v>
      </c>
      <c r="BF95" s="5">
        <v>417110133631</v>
      </c>
      <c r="BG95" s="5">
        <v>304884299616</v>
      </c>
      <c r="BH95" s="5">
        <v>181136856992</v>
      </c>
      <c r="BI95" s="5">
        <v>0</v>
      </c>
      <c r="BJ95" s="48">
        <v>0</v>
      </c>
      <c r="BK95" s="5">
        <v>3312201579</v>
      </c>
      <c r="BL95" s="5">
        <v>0</v>
      </c>
      <c r="BM95" s="5">
        <v>0</v>
      </c>
      <c r="BN95" s="5">
        <v>457022250</v>
      </c>
    </row>
    <row r="96" spans="1:66" x14ac:dyDescent="0.25">
      <c r="A96" s="17" t="s">
        <v>576</v>
      </c>
      <c r="B96" s="4">
        <v>4109</v>
      </c>
      <c r="C96" s="4" t="s">
        <v>143</v>
      </c>
      <c r="D96" s="5">
        <v>667886834488</v>
      </c>
      <c r="E96" s="5">
        <v>3160686269</v>
      </c>
      <c r="F96" s="5">
        <v>0</v>
      </c>
      <c r="G96" s="5">
        <v>0</v>
      </c>
      <c r="H96" s="5">
        <v>671047520757</v>
      </c>
      <c r="I96" s="5">
        <v>54831953961</v>
      </c>
      <c r="J96" s="5">
        <v>3517375433</v>
      </c>
      <c r="K96" s="5">
        <v>612698191363</v>
      </c>
      <c r="L96" s="5">
        <v>326669578375</v>
      </c>
      <c r="M96" s="5">
        <f t="shared" si="5"/>
        <v>344377942382</v>
      </c>
      <c r="N96" s="36">
        <f t="shared" si="6"/>
        <v>105.42087943881684</v>
      </c>
      <c r="O96" s="5">
        <v>146452041251</v>
      </c>
      <c r="P96" s="36">
        <v>24.28</v>
      </c>
      <c r="Q96" s="6">
        <v>23.9</v>
      </c>
      <c r="R96" s="6">
        <v>0.04</v>
      </c>
      <c r="S96" s="5">
        <v>134964334049</v>
      </c>
      <c r="T96" s="5">
        <v>57830706</v>
      </c>
      <c r="U96" s="5">
        <v>57830706</v>
      </c>
      <c r="V96" s="5">
        <v>0</v>
      </c>
      <c r="W96" s="5">
        <v>0</v>
      </c>
      <c r="X96" s="5">
        <v>135022164755</v>
      </c>
      <c r="Y96" s="5">
        <v>0</v>
      </c>
      <c r="Z96" s="5">
        <v>17524274010</v>
      </c>
      <c r="AA96" s="5">
        <v>10400000000</v>
      </c>
      <c r="AB96" s="5">
        <v>162946438765</v>
      </c>
      <c r="AC96" s="5">
        <v>34392137117</v>
      </c>
      <c r="AD96" s="36">
        <f t="shared" si="7"/>
        <v>292.59602942283766</v>
      </c>
      <c r="AE96" s="5">
        <v>148198290000</v>
      </c>
      <c r="AF96" s="5">
        <v>148198290000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6">
        <v>0</v>
      </c>
      <c r="AM96" s="5">
        <v>0</v>
      </c>
      <c r="AN96" s="6">
        <v>3</v>
      </c>
      <c r="AO96" s="5">
        <v>2082000000</v>
      </c>
      <c r="AP96" s="6">
        <v>0</v>
      </c>
      <c r="AQ96" s="5">
        <v>0</v>
      </c>
      <c r="AR96" s="5">
        <v>57830706</v>
      </c>
      <c r="AS96" s="5">
        <v>0</v>
      </c>
      <c r="AT96" s="5">
        <f t="shared" si="8"/>
        <v>57830706</v>
      </c>
      <c r="AU96" s="36">
        <f t="shared" si="9"/>
        <v>0</v>
      </c>
      <c r="AV96" s="5">
        <v>36277183994</v>
      </c>
      <c r="AW96" s="5">
        <v>894626228</v>
      </c>
      <c r="AX96" s="5">
        <v>34650420210</v>
      </c>
      <c r="AY96" s="5">
        <v>257931314159</v>
      </c>
      <c r="AZ96" s="5">
        <v>58779308915</v>
      </c>
      <c r="BA96" s="5">
        <v>318342776388</v>
      </c>
      <c r="BB96" s="5">
        <v>51435168593</v>
      </c>
      <c r="BC96" s="5">
        <v>671047520757</v>
      </c>
      <c r="BD96" s="5">
        <v>295742420638</v>
      </c>
      <c r="BE96" s="5">
        <v>58779308915</v>
      </c>
      <c r="BF96" s="5">
        <v>316525791204</v>
      </c>
      <c r="BG96" s="5">
        <v>57710000000</v>
      </c>
      <c r="BH96" s="5">
        <v>90488290000</v>
      </c>
      <c r="BI96" s="5">
        <v>0</v>
      </c>
      <c r="BJ96" s="48">
        <v>0</v>
      </c>
      <c r="BK96" s="5">
        <v>0</v>
      </c>
      <c r="BL96" s="5">
        <v>0</v>
      </c>
      <c r="BM96" s="5">
        <v>0</v>
      </c>
      <c r="BN96" s="5">
        <v>0</v>
      </c>
    </row>
    <row r="97" spans="1:66" x14ac:dyDescent="0.25">
      <c r="A97" s="17" t="s">
        <v>576</v>
      </c>
      <c r="B97" s="4">
        <v>4199</v>
      </c>
      <c r="C97" s="4" t="s">
        <v>144</v>
      </c>
      <c r="D97" s="5">
        <v>0</v>
      </c>
      <c r="E97" s="5">
        <v>77636964</v>
      </c>
      <c r="F97" s="5">
        <v>0</v>
      </c>
      <c r="G97" s="5">
        <v>0</v>
      </c>
      <c r="H97" s="5">
        <v>77636964</v>
      </c>
      <c r="I97" s="5">
        <v>6878127</v>
      </c>
      <c r="J97" s="5">
        <v>107907150000</v>
      </c>
      <c r="K97" s="5">
        <v>-107836391163</v>
      </c>
      <c r="L97" s="5">
        <v>1767960877</v>
      </c>
      <c r="M97" s="5">
        <f t="shared" si="5"/>
        <v>-1690323913</v>
      </c>
      <c r="N97" s="36">
        <f t="shared" si="6"/>
        <v>-95.608671831486461</v>
      </c>
      <c r="O97" s="5">
        <v>0</v>
      </c>
      <c r="P97" s="36">
        <v>0</v>
      </c>
      <c r="Q97" s="6">
        <v>0</v>
      </c>
      <c r="R97" s="6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36">
        <f t="shared" si="7"/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6">
        <v>0</v>
      </c>
      <c r="AM97" s="5">
        <v>0</v>
      </c>
      <c r="AN97" s="6">
        <v>0</v>
      </c>
      <c r="AO97" s="5">
        <v>0</v>
      </c>
      <c r="AP97" s="6">
        <v>0</v>
      </c>
      <c r="AQ97" s="5">
        <v>0</v>
      </c>
      <c r="AR97" s="5">
        <v>0</v>
      </c>
      <c r="AS97" s="5">
        <v>0</v>
      </c>
      <c r="AT97" s="5">
        <f t="shared" si="8"/>
        <v>0</v>
      </c>
      <c r="AU97" s="36">
        <f t="shared" si="9"/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77636964</v>
      </c>
      <c r="BD97" s="5">
        <v>77636964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48">
        <v>0</v>
      </c>
      <c r="BK97" s="5">
        <v>0</v>
      </c>
      <c r="BL97" s="5">
        <v>0</v>
      </c>
      <c r="BM97" s="5">
        <v>0</v>
      </c>
      <c r="BN97" s="5">
        <v>0</v>
      </c>
    </row>
    <row r="98" spans="1:66" x14ac:dyDescent="0.25">
      <c r="A98" s="30" t="s">
        <v>577</v>
      </c>
      <c r="B98" s="13" t="s">
        <v>625</v>
      </c>
      <c r="C98" s="13" t="s">
        <v>625</v>
      </c>
      <c r="D98" s="14">
        <v>44522921235968</v>
      </c>
      <c r="E98" s="14">
        <v>1922031478663</v>
      </c>
      <c r="F98" s="14">
        <v>48648000000</v>
      </c>
      <c r="G98" s="14">
        <v>49632659570</v>
      </c>
      <c r="H98" s="14">
        <v>46543233374201</v>
      </c>
      <c r="I98" s="14">
        <v>3605449423037</v>
      </c>
      <c r="J98" s="14">
        <v>184342172548</v>
      </c>
      <c r="K98" s="14">
        <v>42753441778616</v>
      </c>
      <c r="L98" s="14">
        <v>30328291715880</v>
      </c>
      <c r="M98" s="14">
        <f t="shared" si="5"/>
        <v>16214941658321</v>
      </c>
      <c r="N98" s="41">
        <f t="shared" si="6"/>
        <v>53.464737843545606</v>
      </c>
      <c r="O98" s="14">
        <v>44325833011071</v>
      </c>
      <c r="P98" s="41">
        <v>112.42</v>
      </c>
      <c r="Q98" s="15">
        <v>103.68</v>
      </c>
      <c r="R98" s="15">
        <v>9.58</v>
      </c>
      <c r="S98" s="14">
        <v>43971915023003</v>
      </c>
      <c r="T98" s="14">
        <v>4532868178646</v>
      </c>
      <c r="U98" s="14">
        <v>209441108968</v>
      </c>
      <c r="V98" s="14">
        <v>683892248112</v>
      </c>
      <c r="W98" s="14">
        <v>3639534821566</v>
      </c>
      <c r="X98" s="14">
        <v>48504783201649</v>
      </c>
      <c r="Y98" s="14">
        <v>478968296748</v>
      </c>
      <c r="Z98" s="14">
        <v>3574491977105</v>
      </c>
      <c r="AA98" s="14">
        <v>243820324158</v>
      </c>
      <c r="AB98" s="14">
        <v>52323095502912</v>
      </c>
      <c r="AC98" s="14">
        <v>27305664172267</v>
      </c>
      <c r="AD98" s="41">
        <f t="shared" si="7"/>
        <v>77.6363427589243</v>
      </c>
      <c r="AE98" s="14">
        <v>44619912477341</v>
      </c>
      <c r="AF98" s="14">
        <v>43116706969120</v>
      </c>
      <c r="AG98" s="14">
        <v>6776118600705</v>
      </c>
      <c r="AH98" s="14">
        <v>1696356825829</v>
      </c>
      <c r="AI98" s="14">
        <v>483500000000</v>
      </c>
      <c r="AJ98" s="14">
        <v>0</v>
      </c>
      <c r="AK98" s="14">
        <v>0</v>
      </c>
      <c r="AL98" s="15">
        <v>54</v>
      </c>
      <c r="AM98" s="14">
        <v>8448838804043</v>
      </c>
      <c r="AN98" s="15">
        <v>694</v>
      </c>
      <c r="AO98" s="14">
        <v>12140920938888</v>
      </c>
      <c r="AP98" s="15">
        <v>476</v>
      </c>
      <c r="AQ98" s="14">
        <v>13754988862686</v>
      </c>
      <c r="AR98" s="14">
        <v>4532868178646</v>
      </c>
      <c r="AS98" s="14">
        <v>2650664072300</v>
      </c>
      <c r="AT98" s="14">
        <f t="shared" si="8"/>
        <v>1882204106346</v>
      </c>
      <c r="AU98" s="41">
        <f t="shared" si="9"/>
        <v>71.008775725880582</v>
      </c>
      <c r="AV98" s="14">
        <v>25356387197495</v>
      </c>
      <c r="AW98" s="14">
        <v>4343908973250</v>
      </c>
      <c r="AX98" s="14">
        <v>9734179733617</v>
      </c>
      <c r="AY98" s="14">
        <v>8431087624367</v>
      </c>
      <c r="AZ98" s="14">
        <v>11297020133738</v>
      </c>
      <c r="BA98" s="14">
        <v>15413857945618</v>
      </c>
      <c r="BB98" s="14">
        <v>6890521663987</v>
      </c>
      <c r="BC98" s="14">
        <v>46543233374201</v>
      </c>
      <c r="BD98" s="14">
        <v>19957191208615</v>
      </c>
      <c r="BE98" s="14">
        <v>11345358133738</v>
      </c>
      <c r="BF98" s="14">
        <v>15240684031848</v>
      </c>
      <c r="BG98" s="14">
        <v>27437976013219</v>
      </c>
      <c r="BH98" s="14">
        <v>17181936464122</v>
      </c>
      <c r="BI98" s="14">
        <v>7469883921</v>
      </c>
      <c r="BJ98" s="49">
        <v>480847858841</v>
      </c>
      <c r="BK98" s="14">
        <v>6233300062044</v>
      </c>
      <c r="BL98" s="14">
        <v>22595424657</v>
      </c>
      <c r="BM98" s="14">
        <v>1305083251738</v>
      </c>
      <c r="BN98" s="14">
        <v>344807798934</v>
      </c>
    </row>
    <row r="99" spans="1:66" x14ac:dyDescent="0.25">
      <c r="A99" s="17" t="s">
        <v>145</v>
      </c>
      <c r="B99" s="4">
        <v>1500</v>
      </c>
      <c r="C99" s="4" t="s">
        <v>145</v>
      </c>
      <c r="D99" s="5">
        <v>2883852950922</v>
      </c>
      <c r="E99" s="5">
        <v>120682419105</v>
      </c>
      <c r="F99" s="5">
        <v>5699625000</v>
      </c>
      <c r="G99" s="5">
        <v>0</v>
      </c>
      <c r="H99" s="5">
        <v>3010234995027</v>
      </c>
      <c r="I99" s="5">
        <v>235493317883</v>
      </c>
      <c r="J99" s="5">
        <v>2926059058</v>
      </c>
      <c r="K99" s="5">
        <v>2771815618086</v>
      </c>
      <c r="L99" s="5">
        <v>1993322340630</v>
      </c>
      <c r="M99" s="5">
        <f t="shared" si="5"/>
        <v>1016912654397</v>
      </c>
      <c r="N99" s="36">
        <f t="shared" si="6"/>
        <v>51.015966342683917</v>
      </c>
      <c r="O99" s="5">
        <v>5538836566763</v>
      </c>
      <c r="P99" s="36">
        <v>260.56</v>
      </c>
      <c r="Q99" s="6">
        <v>199.83</v>
      </c>
      <c r="R99" s="6">
        <v>3.25</v>
      </c>
      <c r="S99" s="5">
        <v>7323494159289</v>
      </c>
      <c r="T99" s="5">
        <v>251064430347</v>
      </c>
      <c r="U99" s="5">
        <v>63530216138</v>
      </c>
      <c r="V99" s="5">
        <v>88090619864</v>
      </c>
      <c r="W99" s="5">
        <v>99443594345</v>
      </c>
      <c r="X99" s="5">
        <v>7574558589636</v>
      </c>
      <c r="Y99" s="5">
        <v>4194942980</v>
      </c>
      <c r="Z99" s="5">
        <v>243149091691</v>
      </c>
      <c r="AA99" s="5">
        <v>25811180861</v>
      </c>
      <c r="AB99" s="5">
        <v>7843518862188</v>
      </c>
      <c r="AC99" s="5">
        <v>4886663502438</v>
      </c>
      <c r="AD99" s="36">
        <f t="shared" si="7"/>
        <v>55.004709979661691</v>
      </c>
      <c r="AE99" s="5">
        <v>3753991184404</v>
      </c>
      <c r="AF99" s="5">
        <v>3511657931870</v>
      </c>
      <c r="AG99" s="5">
        <v>0</v>
      </c>
      <c r="AH99" s="5">
        <v>11371646330</v>
      </c>
      <c r="AI99" s="5">
        <v>25000000000</v>
      </c>
      <c r="AJ99" s="5">
        <v>14600000000</v>
      </c>
      <c r="AK99" s="5">
        <v>0</v>
      </c>
      <c r="AL99" s="6">
        <v>1</v>
      </c>
      <c r="AM99" s="5">
        <v>40214912518</v>
      </c>
      <c r="AN99" s="6">
        <v>68</v>
      </c>
      <c r="AO99" s="5">
        <v>452706169210</v>
      </c>
      <c r="AP99" s="6">
        <v>19</v>
      </c>
      <c r="AQ99" s="5">
        <v>272710858377</v>
      </c>
      <c r="AR99" s="5">
        <v>251064430347</v>
      </c>
      <c r="AS99" s="5">
        <v>73466829445</v>
      </c>
      <c r="AT99" s="5">
        <f t="shared" si="8"/>
        <v>177597600902</v>
      </c>
      <c r="AU99" s="36">
        <f t="shared" si="9"/>
        <v>241.73848557729875</v>
      </c>
      <c r="AV99" s="5">
        <v>1420459638677</v>
      </c>
      <c r="AW99" s="5">
        <v>271997466422</v>
      </c>
      <c r="AX99" s="5">
        <v>228682009991</v>
      </c>
      <c r="AY99" s="5">
        <v>548245304358</v>
      </c>
      <c r="AZ99" s="5">
        <v>683273136573</v>
      </c>
      <c r="BA99" s="5">
        <v>1860307641496</v>
      </c>
      <c r="BB99" s="5">
        <v>525975565526</v>
      </c>
      <c r="BC99" s="5">
        <v>3010234995027</v>
      </c>
      <c r="BD99" s="5">
        <v>800877936664</v>
      </c>
      <c r="BE99" s="5">
        <v>688972761573</v>
      </c>
      <c r="BF99" s="5">
        <v>1520384296790</v>
      </c>
      <c r="BG99" s="5">
        <v>3281914156216</v>
      </c>
      <c r="BH99" s="5">
        <v>472077028188</v>
      </c>
      <c r="BI99" s="5">
        <v>0</v>
      </c>
      <c r="BJ99" s="48">
        <v>0</v>
      </c>
      <c r="BK99" s="5">
        <v>0</v>
      </c>
      <c r="BL99" s="5">
        <v>0</v>
      </c>
      <c r="BM99" s="5">
        <v>2644791303</v>
      </c>
      <c r="BN99" s="5">
        <v>6151646330</v>
      </c>
    </row>
    <row r="100" spans="1:66" x14ac:dyDescent="0.25">
      <c r="A100" s="17" t="s">
        <v>145</v>
      </c>
      <c r="B100" s="4">
        <v>1501</v>
      </c>
      <c r="C100" s="4" t="s">
        <v>146</v>
      </c>
      <c r="D100" s="5">
        <v>1296361776180</v>
      </c>
      <c r="E100" s="5">
        <v>3686232698</v>
      </c>
      <c r="F100" s="5">
        <v>0</v>
      </c>
      <c r="G100" s="5">
        <v>0</v>
      </c>
      <c r="H100" s="5">
        <v>1300048008878</v>
      </c>
      <c r="I100" s="5">
        <v>107261159927</v>
      </c>
      <c r="J100" s="5">
        <v>5671673535</v>
      </c>
      <c r="K100" s="5">
        <v>1187115175416</v>
      </c>
      <c r="L100" s="5">
        <v>1232892436068</v>
      </c>
      <c r="M100" s="5">
        <f t="shared" si="5"/>
        <v>67155572810</v>
      </c>
      <c r="N100" s="36">
        <f t="shared" si="6"/>
        <v>5.4469936586013779</v>
      </c>
      <c r="O100" s="5">
        <v>2244639838678</v>
      </c>
      <c r="P100" s="36">
        <v>212.11</v>
      </c>
      <c r="Q100" s="6">
        <v>189.08</v>
      </c>
      <c r="R100" s="6">
        <v>5.26</v>
      </c>
      <c r="S100" s="5">
        <v>2401904438298</v>
      </c>
      <c r="T100" s="5">
        <v>144930488757</v>
      </c>
      <c r="U100" s="5">
        <v>106076830916</v>
      </c>
      <c r="V100" s="5">
        <v>34995954833</v>
      </c>
      <c r="W100" s="5">
        <v>3857703008</v>
      </c>
      <c r="X100" s="5">
        <v>2546834927055</v>
      </c>
      <c r="Y100" s="5">
        <v>254469591</v>
      </c>
      <c r="Z100" s="5">
        <v>167226668148</v>
      </c>
      <c r="AA100" s="5">
        <v>43492793000</v>
      </c>
      <c r="AB100" s="5">
        <v>2757554388203</v>
      </c>
      <c r="AC100" s="5">
        <v>1737029451703</v>
      </c>
      <c r="AD100" s="36">
        <f t="shared" si="7"/>
        <v>46.620134998750835</v>
      </c>
      <c r="AE100" s="5">
        <v>1364537942852</v>
      </c>
      <c r="AF100" s="5">
        <v>1155021275852</v>
      </c>
      <c r="AG100" s="5">
        <v>0</v>
      </c>
      <c r="AH100" s="5">
        <v>0</v>
      </c>
      <c r="AI100" s="5">
        <v>0</v>
      </c>
      <c r="AJ100" s="5">
        <v>39966000000</v>
      </c>
      <c r="AK100" s="5">
        <v>0</v>
      </c>
      <c r="AL100" s="6">
        <v>0</v>
      </c>
      <c r="AM100" s="5">
        <v>0</v>
      </c>
      <c r="AN100" s="6">
        <v>10</v>
      </c>
      <c r="AO100" s="5">
        <v>14209935919</v>
      </c>
      <c r="AP100" s="6">
        <v>6</v>
      </c>
      <c r="AQ100" s="5">
        <v>25305200000</v>
      </c>
      <c r="AR100" s="5">
        <v>144930488757</v>
      </c>
      <c r="AS100" s="5">
        <v>41866755494</v>
      </c>
      <c r="AT100" s="5">
        <f t="shared" si="8"/>
        <v>103063733263</v>
      </c>
      <c r="AU100" s="36">
        <f t="shared" si="9"/>
        <v>246.17081511790482</v>
      </c>
      <c r="AV100" s="5">
        <v>542140003117</v>
      </c>
      <c r="AW100" s="5">
        <v>254818527991</v>
      </c>
      <c r="AX100" s="5">
        <v>75834081667</v>
      </c>
      <c r="AY100" s="5">
        <v>334003140824</v>
      </c>
      <c r="AZ100" s="5">
        <v>288240553689</v>
      </c>
      <c r="BA100" s="5">
        <v>785233315196</v>
      </c>
      <c r="BB100" s="5">
        <v>205184052335</v>
      </c>
      <c r="BC100" s="5">
        <v>1300048008878</v>
      </c>
      <c r="BD100" s="5">
        <v>413523455189</v>
      </c>
      <c r="BE100" s="5">
        <v>288240553689</v>
      </c>
      <c r="BF100" s="5">
        <v>598284000000</v>
      </c>
      <c r="BG100" s="5">
        <v>1212339404530</v>
      </c>
      <c r="BH100" s="5">
        <v>152198538322</v>
      </c>
      <c r="BI100" s="5">
        <v>0</v>
      </c>
      <c r="BJ100" s="48">
        <v>0</v>
      </c>
      <c r="BK100" s="5">
        <v>0</v>
      </c>
      <c r="BL100" s="5">
        <v>0</v>
      </c>
      <c r="BM100" s="5">
        <v>0</v>
      </c>
      <c r="BN100" s="5">
        <v>0</v>
      </c>
    </row>
    <row r="101" spans="1:66" x14ac:dyDescent="0.25">
      <c r="A101" s="17" t="s">
        <v>145</v>
      </c>
      <c r="B101" s="4">
        <v>1502</v>
      </c>
      <c r="C101" s="4" t="s">
        <v>147</v>
      </c>
      <c r="D101" s="5">
        <v>520291961234</v>
      </c>
      <c r="E101" s="5">
        <v>987447821</v>
      </c>
      <c r="F101" s="5">
        <v>0</v>
      </c>
      <c r="G101" s="5">
        <v>0</v>
      </c>
      <c r="H101" s="5">
        <v>521279409055</v>
      </c>
      <c r="I101" s="5">
        <v>50026500598</v>
      </c>
      <c r="J101" s="5">
        <v>4483106597</v>
      </c>
      <c r="K101" s="5">
        <v>466769801860</v>
      </c>
      <c r="L101" s="5">
        <v>528024435849</v>
      </c>
      <c r="M101" s="5">
        <f t="shared" si="5"/>
        <v>-6745026794</v>
      </c>
      <c r="N101" s="36">
        <f t="shared" si="6"/>
        <v>-1.2774080773657388</v>
      </c>
      <c r="O101" s="5">
        <v>669552312026</v>
      </c>
      <c r="P101" s="36">
        <v>155.5</v>
      </c>
      <c r="Q101" s="6">
        <v>143.44</v>
      </c>
      <c r="R101" s="6">
        <v>5.38</v>
      </c>
      <c r="S101" s="5">
        <v>712334208457</v>
      </c>
      <c r="T101" s="5">
        <v>42762191254</v>
      </c>
      <c r="U101" s="5">
        <v>23931863528</v>
      </c>
      <c r="V101" s="5">
        <v>16087082659</v>
      </c>
      <c r="W101" s="5">
        <v>2743245067</v>
      </c>
      <c r="X101" s="5">
        <v>755096399711</v>
      </c>
      <c r="Y101" s="5">
        <v>854790727</v>
      </c>
      <c r="Z101" s="5">
        <v>52392242775</v>
      </c>
      <c r="AA101" s="5">
        <v>3100000000</v>
      </c>
      <c r="AB101" s="5">
        <v>810588642486</v>
      </c>
      <c r="AC101" s="5">
        <v>653804925178</v>
      </c>
      <c r="AD101" s="36">
        <f t="shared" si="7"/>
        <v>15.492614177756941</v>
      </c>
      <c r="AE101" s="5">
        <v>344684264573</v>
      </c>
      <c r="AF101" s="5">
        <v>338684264573</v>
      </c>
      <c r="AG101" s="5">
        <v>0</v>
      </c>
      <c r="AH101" s="5">
        <v>9000000000</v>
      </c>
      <c r="AI101" s="5">
        <v>0</v>
      </c>
      <c r="AJ101" s="5">
        <v>0</v>
      </c>
      <c r="AK101" s="5">
        <v>0</v>
      </c>
      <c r="AL101" s="6">
        <v>0</v>
      </c>
      <c r="AM101" s="5">
        <v>0</v>
      </c>
      <c r="AN101" s="6">
        <v>15</v>
      </c>
      <c r="AO101" s="5">
        <v>32794214180</v>
      </c>
      <c r="AP101" s="6">
        <v>4</v>
      </c>
      <c r="AQ101" s="5">
        <v>2505325000</v>
      </c>
      <c r="AR101" s="5">
        <v>42762191254</v>
      </c>
      <c r="AS101" s="5">
        <v>12697828575</v>
      </c>
      <c r="AT101" s="5">
        <f t="shared" si="8"/>
        <v>30064362679</v>
      </c>
      <c r="AU101" s="36">
        <f t="shared" si="9"/>
        <v>236.76774734691205</v>
      </c>
      <c r="AV101" s="5">
        <v>244382767739</v>
      </c>
      <c r="AW101" s="5">
        <v>103717108636</v>
      </c>
      <c r="AX101" s="5">
        <v>15631500688</v>
      </c>
      <c r="AY101" s="5">
        <v>139619045002</v>
      </c>
      <c r="AZ101" s="5">
        <v>190726415544</v>
      </c>
      <c r="BA101" s="5">
        <v>360478199460</v>
      </c>
      <c r="BB101" s="5">
        <v>99209413591</v>
      </c>
      <c r="BC101" s="5">
        <v>521279409055</v>
      </c>
      <c r="BD101" s="5">
        <v>156237993511</v>
      </c>
      <c r="BE101" s="5">
        <v>190726415544</v>
      </c>
      <c r="BF101" s="5">
        <v>174315000000</v>
      </c>
      <c r="BG101" s="5">
        <v>273924314573</v>
      </c>
      <c r="BH101" s="5">
        <v>70759950000</v>
      </c>
      <c r="BI101" s="5">
        <v>0</v>
      </c>
      <c r="BJ101" s="48">
        <v>0</v>
      </c>
      <c r="BK101" s="5">
        <v>0</v>
      </c>
      <c r="BL101" s="5">
        <v>0</v>
      </c>
      <c r="BM101" s="5">
        <v>0</v>
      </c>
      <c r="BN101" s="5">
        <v>9000000000</v>
      </c>
    </row>
    <row r="102" spans="1:66" x14ac:dyDescent="0.25">
      <c r="A102" s="17" t="s">
        <v>145</v>
      </c>
      <c r="B102" s="4">
        <v>1503</v>
      </c>
      <c r="C102" s="4" t="s">
        <v>148</v>
      </c>
      <c r="D102" s="5">
        <v>1168564052996</v>
      </c>
      <c r="E102" s="5">
        <v>4039838177</v>
      </c>
      <c r="F102" s="5">
        <v>0</v>
      </c>
      <c r="G102" s="5">
        <v>0</v>
      </c>
      <c r="H102" s="5">
        <v>1172603891173</v>
      </c>
      <c r="I102" s="5">
        <v>90817705036</v>
      </c>
      <c r="J102" s="5">
        <v>1698901112</v>
      </c>
      <c r="K102" s="5">
        <v>1080087285025</v>
      </c>
      <c r="L102" s="5">
        <v>819248186675</v>
      </c>
      <c r="M102" s="5">
        <f t="shared" si="5"/>
        <v>353355704498</v>
      </c>
      <c r="N102" s="36">
        <f t="shared" si="6"/>
        <v>43.131704194809288</v>
      </c>
      <c r="O102" s="5">
        <v>1137819910557</v>
      </c>
      <c r="P102" s="36">
        <v>116.82</v>
      </c>
      <c r="Q102" s="6">
        <v>105.35</v>
      </c>
      <c r="R102" s="6">
        <v>5</v>
      </c>
      <c r="S102" s="5">
        <v>1235982366101</v>
      </c>
      <c r="T102" s="5">
        <v>68404223722</v>
      </c>
      <c r="U102" s="5">
        <v>35477811883</v>
      </c>
      <c r="V102" s="5">
        <v>32575392394</v>
      </c>
      <c r="W102" s="5">
        <v>351019445</v>
      </c>
      <c r="X102" s="5">
        <v>1304386589823</v>
      </c>
      <c r="Y102" s="5">
        <v>106632436</v>
      </c>
      <c r="Z102" s="5">
        <v>52611019219</v>
      </c>
      <c r="AA102" s="5">
        <v>12867410000</v>
      </c>
      <c r="AB102" s="5">
        <v>1369865019042</v>
      </c>
      <c r="AC102" s="5">
        <v>944863831316</v>
      </c>
      <c r="AD102" s="36">
        <f t="shared" si="7"/>
        <v>38.050219152346969</v>
      </c>
      <c r="AE102" s="5">
        <v>732826216201</v>
      </c>
      <c r="AF102" s="5">
        <v>698006216201</v>
      </c>
      <c r="AG102" s="5">
        <v>0</v>
      </c>
      <c r="AH102" s="5">
        <v>4950000000</v>
      </c>
      <c r="AI102" s="5">
        <v>0</v>
      </c>
      <c r="AJ102" s="5">
        <v>0</v>
      </c>
      <c r="AK102" s="5">
        <v>0</v>
      </c>
      <c r="AL102" s="6">
        <v>0</v>
      </c>
      <c r="AM102" s="5">
        <v>0</v>
      </c>
      <c r="AN102" s="6">
        <v>2</v>
      </c>
      <c r="AO102" s="5">
        <v>2770000000</v>
      </c>
      <c r="AP102" s="6">
        <v>1</v>
      </c>
      <c r="AQ102" s="5">
        <v>280000000</v>
      </c>
      <c r="AR102" s="5">
        <v>68404223722</v>
      </c>
      <c r="AS102" s="5">
        <v>17622089396</v>
      </c>
      <c r="AT102" s="5">
        <f t="shared" si="8"/>
        <v>50782134326</v>
      </c>
      <c r="AU102" s="36">
        <f t="shared" si="9"/>
        <v>288.17317393434018</v>
      </c>
      <c r="AV102" s="5">
        <v>344668191792</v>
      </c>
      <c r="AW102" s="5">
        <v>164212181360</v>
      </c>
      <c r="AX102" s="5">
        <v>10059755744</v>
      </c>
      <c r="AY102" s="5">
        <v>422406832536</v>
      </c>
      <c r="AZ102" s="5">
        <v>112395464716</v>
      </c>
      <c r="BA102" s="5">
        <v>676557393780</v>
      </c>
      <c r="BB102" s="5">
        <v>63825265116</v>
      </c>
      <c r="BC102" s="5">
        <v>1172603891173</v>
      </c>
      <c r="BD102" s="5">
        <v>436506426457</v>
      </c>
      <c r="BE102" s="5">
        <v>112395464716</v>
      </c>
      <c r="BF102" s="5">
        <v>623702000000</v>
      </c>
      <c r="BG102" s="5">
        <v>657796216201</v>
      </c>
      <c r="BH102" s="5">
        <v>75030000000</v>
      </c>
      <c r="BI102" s="5">
        <v>0</v>
      </c>
      <c r="BJ102" s="48">
        <v>0</v>
      </c>
      <c r="BK102" s="5">
        <v>0</v>
      </c>
      <c r="BL102" s="5">
        <v>0</v>
      </c>
      <c r="BM102" s="5">
        <v>0</v>
      </c>
      <c r="BN102" s="5">
        <v>4950000000</v>
      </c>
    </row>
    <row r="103" spans="1:66" x14ac:dyDescent="0.25">
      <c r="A103" s="17" t="s">
        <v>145</v>
      </c>
      <c r="B103" s="4">
        <v>1504</v>
      </c>
      <c r="C103" s="4" t="s">
        <v>149</v>
      </c>
      <c r="D103" s="5">
        <v>1091688508693</v>
      </c>
      <c r="E103" s="5">
        <v>5094918943</v>
      </c>
      <c r="F103" s="5">
        <v>0</v>
      </c>
      <c r="G103" s="5">
        <v>0</v>
      </c>
      <c r="H103" s="5">
        <v>1096783427636</v>
      </c>
      <c r="I103" s="5">
        <v>90568377478</v>
      </c>
      <c r="J103" s="5">
        <v>4752443330</v>
      </c>
      <c r="K103" s="5">
        <v>1001462606828</v>
      </c>
      <c r="L103" s="5">
        <v>787220104237</v>
      </c>
      <c r="M103" s="5">
        <f t="shared" si="5"/>
        <v>309563323399</v>
      </c>
      <c r="N103" s="36">
        <f t="shared" si="6"/>
        <v>39.323604889262718</v>
      </c>
      <c r="O103" s="5">
        <v>1437077483501</v>
      </c>
      <c r="P103" s="36">
        <v>153.1</v>
      </c>
      <c r="Q103" s="6">
        <v>143.5</v>
      </c>
      <c r="R103" s="6">
        <v>5.72</v>
      </c>
      <c r="S103" s="5">
        <v>1458892290212</v>
      </c>
      <c r="T103" s="5">
        <v>96075298415</v>
      </c>
      <c r="U103" s="5">
        <v>71546133613</v>
      </c>
      <c r="V103" s="5">
        <v>23612697917</v>
      </c>
      <c r="W103" s="5">
        <v>916466885</v>
      </c>
      <c r="X103" s="5">
        <v>1554967588627</v>
      </c>
      <c r="Y103" s="5">
        <v>56118800</v>
      </c>
      <c r="Z103" s="5">
        <v>116139178908</v>
      </c>
      <c r="AA103" s="5">
        <v>8100000000</v>
      </c>
      <c r="AB103" s="5">
        <v>1679206767535</v>
      </c>
      <c r="AC103" s="5">
        <v>1084360626625</v>
      </c>
      <c r="AD103" s="36">
        <f t="shared" si="7"/>
        <v>43.39948818196514</v>
      </c>
      <c r="AE103" s="5">
        <v>960774681332</v>
      </c>
      <c r="AF103" s="5">
        <v>915594130311</v>
      </c>
      <c r="AG103" s="5">
        <v>0</v>
      </c>
      <c r="AH103" s="5">
        <v>0</v>
      </c>
      <c r="AI103" s="5">
        <v>0</v>
      </c>
      <c r="AJ103" s="5">
        <v>0</v>
      </c>
      <c r="AK103" s="5">
        <v>28934362957</v>
      </c>
      <c r="AL103" s="6">
        <v>0</v>
      </c>
      <c r="AM103" s="5">
        <v>0</v>
      </c>
      <c r="AN103" s="6">
        <v>13</v>
      </c>
      <c r="AO103" s="5">
        <v>29019313924</v>
      </c>
      <c r="AP103" s="6">
        <v>2</v>
      </c>
      <c r="AQ103" s="5">
        <v>6088977044</v>
      </c>
      <c r="AR103" s="5">
        <v>96075298415</v>
      </c>
      <c r="AS103" s="5">
        <v>60073437712</v>
      </c>
      <c r="AT103" s="5">
        <f t="shared" si="8"/>
        <v>36001860703</v>
      </c>
      <c r="AU103" s="36">
        <f t="shared" si="9"/>
        <v>59.929749443668726</v>
      </c>
      <c r="AV103" s="5">
        <v>395535552392</v>
      </c>
      <c r="AW103" s="5">
        <v>147849628188</v>
      </c>
      <c r="AX103" s="5">
        <v>31790122772</v>
      </c>
      <c r="AY103" s="5">
        <v>203291953710</v>
      </c>
      <c r="AZ103" s="5">
        <v>286037632211</v>
      </c>
      <c r="BA103" s="5">
        <v>646628090188</v>
      </c>
      <c r="BB103" s="5">
        <v>229650421352</v>
      </c>
      <c r="BC103" s="5">
        <v>1096783427636</v>
      </c>
      <c r="BD103" s="5">
        <v>240176995425</v>
      </c>
      <c r="BE103" s="5">
        <v>286037632211</v>
      </c>
      <c r="BF103" s="5">
        <v>570568800000</v>
      </c>
      <c r="BG103" s="5">
        <v>841719605895</v>
      </c>
      <c r="BH103" s="5">
        <v>119055075437</v>
      </c>
      <c r="BI103" s="5">
        <v>0</v>
      </c>
      <c r="BJ103" s="48">
        <v>0</v>
      </c>
      <c r="BK103" s="5">
        <v>0</v>
      </c>
      <c r="BL103" s="5">
        <v>0</v>
      </c>
      <c r="BM103" s="5">
        <v>0</v>
      </c>
      <c r="BN103" s="5">
        <v>0</v>
      </c>
    </row>
    <row r="104" spans="1:66" x14ac:dyDescent="0.25">
      <c r="A104" s="17" t="s">
        <v>145</v>
      </c>
      <c r="B104" s="4">
        <v>1505</v>
      </c>
      <c r="C104" s="4" t="s">
        <v>150</v>
      </c>
      <c r="D104" s="5">
        <v>965658171640</v>
      </c>
      <c r="E104" s="5">
        <v>16729350092</v>
      </c>
      <c r="F104" s="5">
        <v>0</v>
      </c>
      <c r="G104" s="5">
        <v>0</v>
      </c>
      <c r="H104" s="5">
        <v>982387521732</v>
      </c>
      <c r="I104" s="5">
        <v>90550158673</v>
      </c>
      <c r="J104" s="5">
        <v>1969310956</v>
      </c>
      <c r="K104" s="5">
        <v>889868052103</v>
      </c>
      <c r="L104" s="5">
        <v>917757658633</v>
      </c>
      <c r="M104" s="5">
        <f t="shared" si="5"/>
        <v>64629863099</v>
      </c>
      <c r="N104" s="36">
        <f t="shared" si="6"/>
        <v>7.0421491437365047</v>
      </c>
      <c r="O104" s="5">
        <v>902001889404</v>
      </c>
      <c r="P104" s="36">
        <v>106.67</v>
      </c>
      <c r="Q104" s="6">
        <v>101.36</v>
      </c>
      <c r="R104" s="6">
        <v>5.66</v>
      </c>
      <c r="S104" s="5">
        <v>925913227265</v>
      </c>
      <c r="T104" s="5">
        <v>58529226198</v>
      </c>
      <c r="U104" s="5">
        <v>32441782882</v>
      </c>
      <c r="V104" s="5">
        <v>20481911146</v>
      </c>
      <c r="W104" s="5">
        <v>5605532170</v>
      </c>
      <c r="X104" s="5">
        <v>984442453463</v>
      </c>
      <c r="Y104" s="5">
        <v>830205282</v>
      </c>
      <c r="Z104" s="5">
        <v>57145405635</v>
      </c>
      <c r="AA104" s="5">
        <v>6357800000</v>
      </c>
      <c r="AB104" s="5">
        <v>1047945659098</v>
      </c>
      <c r="AC104" s="5">
        <v>878324628945</v>
      </c>
      <c r="AD104" s="36">
        <f t="shared" si="7"/>
        <v>12.081845484108019</v>
      </c>
      <c r="AE104" s="5">
        <v>418829691885</v>
      </c>
      <c r="AF104" s="5">
        <v>418829691885</v>
      </c>
      <c r="AG104" s="5">
        <v>0</v>
      </c>
      <c r="AH104" s="5">
        <v>0</v>
      </c>
      <c r="AI104" s="5">
        <v>0</v>
      </c>
      <c r="AJ104" s="5">
        <v>0</v>
      </c>
      <c r="AK104" s="5">
        <v>2418433848</v>
      </c>
      <c r="AL104" s="6">
        <v>0</v>
      </c>
      <c r="AM104" s="5">
        <v>0</v>
      </c>
      <c r="AN104" s="6">
        <v>19</v>
      </c>
      <c r="AO104" s="5">
        <v>133166423229</v>
      </c>
      <c r="AP104" s="6">
        <v>19</v>
      </c>
      <c r="AQ104" s="5">
        <v>57862334601</v>
      </c>
      <c r="AR104" s="5">
        <v>58529226198</v>
      </c>
      <c r="AS104" s="5">
        <v>20238722788</v>
      </c>
      <c r="AT104" s="5">
        <f t="shared" si="8"/>
        <v>38290503410</v>
      </c>
      <c r="AU104" s="36">
        <f t="shared" si="9"/>
        <v>189.1942678947276</v>
      </c>
      <c r="AV104" s="5">
        <v>294373612087</v>
      </c>
      <c r="AW104" s="5">
        <v>89077571871</v>
      </c>
      <c r="AX104" s="5">
        <v>37389696469</v>
      </c>
      <c r="AY104" s="5">
        <v>164208927757</v>
      </c>
      <c r="AZ104" s="5">
        <v>230712547414</v>
      </c>
      <c r="BA104" s="5">
        <v>660912427276</v>
      </c>
      <c r="BB104" s="5">
        <v>183083955257</v>
      </c>
      <c r="BC104" s="5">
        <v>982387521732</v>
      </c>
      <c r="BD104" s="5">
        <v>218327974318</v>
      </c>
      <c r="BE104" s="5">
        <v>229992547414</v>
      </c>
      <c r="BF104" s="5">
        <v>534067000000</v>
      </c>
      <c r="BG104" s="5">
        <v>353503447638</v>
      </c>
      <c r="BH104" s="5">
        <v>65326244247</v>
      </c>
      <c r="BI104" s="5">
        <v>0</v>
      </c>
      <c r="BJ104" s="48">
        <v>0</v>
      </c>
      <c r="BK104" s="5">
        <v>0</v>
      </c>
      <c r="BL104" s="5">
        <v>0</v>
      </c>
      <c r="BM104" s="5">
        <v>0</v>
      </c>
      <c r="BN104" s="5">
        <v>0</v>
      </c>
    </row>
    <row r="105" spans="1:66" x14ac:dyDescent="0.25">
      <c r="A105" s="17" t="s">
        <v>145</v>
      </c>
      <c r="B105" s="4">
        <v>1506</v>
      </c>
      <c r="C105" s="4" t="s">
        <v>151</v>
      </c>
      <c r="D105" s="5">
        <v>954558069842</v>
      </c>
      <c r="E105" s="5">
        <v>17483707779</v>
      </c>
      <c r="F105" s="5">
        <v>0</v>
      </c>
      <c r="G105" s="5">
        <v>0</v>
      </c>
      <c r="H105" s="5">
        <v>972041777621</v>
      </c>
      <c r="I105" s="5">
        <v>94690429203</v>
      </c>
      <c r="J105" s="5">
        <v>2171240660</v>
      </c>
      <c r="K105" s="5">
        <v>875180107758</v>
      </c>
      <c r="L105" s="5">
        <v>761484894733</v>
      </c>
      <c r="M105" s="5">
        <f t="shared" si="5"/>
        <v>210556882888</v>
      </c>
      <c r="N105" s="36">
        <f t="shared" si="6"/>
        <v>27.650828577739251</v>
      </c>
      <c r="O105" s="5">
        <v>1513290384269</v>
      </c>
      <c r="P105" s="36">
        <v>184.95</v>
      </c>
      <c r="Q105" s="6">
        <v>172.91</v>
      </c>
      <c r="R105" s="6">
        <v>5.65</v>
      </c>
      <c r="S105" s="5">
        <v>1604153829173</v>
      </c>
      <c r="T105" s="5">
        <v>99074291090</v>
      </c>
      <c r="U105" s="5">
        <v>48918995152</v>
      </c>
      <c r="V105" s="5">
        <v>45183564664</v>
      </c>
      <c r="W105" s="5">
        <v>4971731274</v>
      </c>
      <c r="X105" s="5">
        <v>1703228120263</v>
      </c>
      <c r="Y105" s="5">
        <v>2469508514</v>
      </c>
      <c r="Z105" s="5">
        <v>83989217171</v>
      </c>
      <c r="AA105" s="5">
        <v>10557600000</v>
      </c>
      <c r="AB105" s="5">
        <v>1797774937434</v>
      </c>
      <c r="AC105" s="5">
        <v>1306152773207</v>
      </c>
      <c r="AD105" s="36">
        <f t="shared" si="7"/>
        <v>30.40037545386517</v>
      </c>
      <c r="AE105" s="5">
        <v>945124119759</v>
      </c>
      <c r="AF105" s="5">
        <v>882754119759</v>
      </c>
      <c r="AG105" s="5">
        <v>0</v>
      </c>
      <c r="AH105" s="5">
        <v>0</v>
      </c>
      <c r="AI105" s="5">
        <v>7842103164</v>
      </c>
      <c r="AJ105" s="5">
        <v>0</v>
      </c>
      <c r="AK105" s="5">
        <v>0</v>
      </c>
      <c r="AL105" s="6">
        <v>0</v>
      </c>
      <c r="AM105" s="5">
        <v>0</v>
      </c>
      <c r="AN105" s="6">
        <v>27</v>
      </c>
      <c r="AO105" s="5">
        <v>28139506010</v>
      </c>
      <c r="AP105" s="6">
        <v>11</v>
      </c>
      <c r="AQ105" s="5">
        <v>18233015647</v>
      </c>
      <c r="AR105" s="5">
        <v>99074291090</v>
      </c>
      <c r="AS105" s="5">
        <v>33387148338</v>
      </c>
      <c r="AT105" s="5">
        <f t="shared" si="8"/>
        <v>65687142752</v>
      </c>
      <c r="AU105" s="36">
        <f t="shared" si="9"/>
        <v>196.74379520828188</v>
      </c>
      <c r="AV105" s="5">
        <v>439345809910</v>
      </c>
      <c r="AW105" s="5">
        <v>198125401861</v>
      </c>
      <c r="AX105" s="5">
        <v>69838671784</v>
      </c>
      <c r="AY105" s="5">
        <v>367792351273</v>
      </c>
      <c r="AZ105" s="5">
        <v>139357446785</v>
      </c>
      <c r="BA105" s="5">
        <v>617702030048</v>
      </c>
      <c r="BB105" s="5">
        <v>80165274834</v>
      </c>
      <c r="BC105" s="5">
        <v>972041777621</v>
      </c>
      <c r="BD105" s="5">
        <v>454922896469</v>
      </c>
      <c r="BE105" s="5">
        <v>139357446785</v>
      </c>
      <c r="BF105" s="5">
        <v>377761434367</v>
      </c>
      <c r="BG105" s="5">
        <v>707584635766</v>
      </c>
      <c r="BH105" s="5">
        <v>237539483993</v>
      </c>
      <c r="BI105" s="5">
        <v>0</v>
      </c>
      <c r="BJ105" s="48">
        <v>0</v>
      </c>
      <c r="BK105" s="5">
        <v>0</v>
      </c>
      <c r="BL105" s="5">
        <v>0</v>
      </c>
      <c r="BM105" s="5">
        <v>0</v>
      </c>
      <c r="BN105" s="5">
        <v>0</v>
      </c>
    </row>
    <row r="106" spans="1:66" x14ac:dyDescent="0.25">
      <c r="A106" s="17" t="s">
        <v>145</v>
      </c>
      <c r="B106" s="4">
        <v>1507</v>
      </c>
      <c r="C106" s="4" t="s">
        <v>152</v>
      </c>
      <c r="D106" s="5">
        <v>1395934092000</v>
      </c>
      <c r="E106" s="5">
        <v>99187195604</v>
      </c>
      <c r="F106" s="5">
        <v>0</v>
      </c>
      <c r="G106" s="5">
        <v>0</v>
      </c>
      <c r="H106" s="5">
        <v>1495121287604</v>
      </c>
      <c r="I106" s="5">
        <v>120242749448</v>
      </c>
      <c r="J106" s="5">
        <v>2221608300</v>
      </c>
      <c r="K106" s="5">
        <v>1372656929856</v>
      </c>
      <c r="L106" s="5">
        <v>1278423580469</v>
      </c>
      <c r="M106" s="5">
        <f t="shared" si="5"/>
        <v>216697707135</v>
      </c>
      <c r="N106" s="36">
        <f t="shared" si="6"/>
        <v>16.950384085961765</v>
      </c>
      <c r="O106" s="5">
        <v>1851832922069</v>
      </c>
      <c r="P106" s="36">
        <v>150.81</v>
      </c>
      <c r="Q106" s="6">
        <v>134.91</v>
      </c>
      <c r="R106" s="6">
        <v>5.18</v>
      </c>
      <c r="S106" s="5">
        <v>2012621339972</v>
      </c>
      <c r="T106" s="5">
        <v>116656074843</v>
      </c>
      <c r="U106" s="5">
        <v>86359898154</v>
      </c>
      <c r="V106" s="5">
        <v>30296176689</v>
      </c>
      <c r="W106" s="5">
        <v>0</v>
      </c>
      <c r="X106" s="5">
        <v>2129277414815</v>
      </c>
      <c r="Y106" s="5">
        <v>68611095</v>
      </c>
      <c r="Z106" s="5">
        <v>107099729623</v>
      </c>
      <c r="AA106" s="5">
        <v>18387338000</v>
      </c>
      <c r="AB106" s="5">
        <v>2254764482438</v>
      </c>
      <c r="AC106" s="5">
        <v>1347723069518</v>
      </c>
      <c r="AD106" s="36">
        <f t="shared" si="7"/>
        <v>57.990722498837634</v>
      </c>
      <c r="AE106" s="5">
        <v>1417215259216</v>
      </c>
      <c r="AF106" s="5">
        <v>1248395259216</v>
      </c>
      <c r="AG106" s="5">
        <v>0</v>
      </c>
      <c r="AH106" s="5">
        <v>812500</v>
      </c>
      <c r="AI106" s="5">
        <v>5000000000</v>
      </c>
      <c r="AJ106" s="5">
        <v>0</v>
      </c>
      <c r="AK106" s="5">
        <v>3607500000</v>
      </c>
      <c r="AL106" s="6">
        <v>0</v>
      </c>
      <c r="AM106" s="5">
        <v>0</v>
      </c>
      <c r="AN106" s="6">
        <v>24</v>
      </c>
      <c r="AO106" s="5">
        <v>31573104347</v>
      </c>
      <c r="AP106" s="6">
        <v>15</v>
      </c>
      <c r="AQ106" s="5">
        <v>8930800000</v>
      </c>
      <c r="AR106" s="5">
        <v>116656074843</v>
      </c>
      <c r="AS106" s="5">
        <v>95057143209</v>
      </c>
      <c r="AT106" s="5">
        <f t="shared" si="8"/>
        <v>21598931634</v>
      </c>
      <c r="AU106" s="36">
        <f t="shared" si="9"/>
        <v>22.722050026804315</v>
      </c>
      <c r="AV106" s="5">
        <v>450439080945</v>
      </c>
      <c r="AW106" s="5">
        <v>160253250032</v>
      </c>
      <c r="AX106" s="5">
        <v>196706770340</v>
      </c>
      <c r="AY106" s="5">
        <v>203182377247</v>
      </c>
      <c r="AZ106" s="5">
        <v>290773782118</v>
      </c>
      <c r="BA106" s="5">
        <v>867884076619</v>
      </c>
      <c r="BB106" s="5">
        <v>184562775010</v>
      </c>
      <c r="BC106" s="5">
        <v>1495121287604</v>
      </c>
      <c r="BD106" s="5">
        <v>404079010420</v>
      </c>
      <c r="BE106" s="5">
        <v>290773782118</v>
      </c>
      <c r="BF106" s="5">
        <v>800268495066</v>
      </c>
      <c r="BG106" s="5">
        <v>1068803749020</v>
      </c>
      <c r="BH106" s="5">
        <v>348411510196</v>
      </c>
      <c r="BI106" s="5">
        <v>0</v>
      </c>
      <c r="BJ106" s="48">
        <v>0</v>
      </c>
      <c r="BK106" s="5">
        <v>0</v>
      </c>
      <c r="BL106" s="5">
        <v>0</v>
      </c>
      <c r="BM106" s="5">
        <v>0</v>
      </c>
      <c r="BN106" s="5">
        <v>812500</v>
      </c>
    </row>
    <row r="107" spans="1:66" x14ac:dyDescent="0.25">
      <c r="A107" s="17" t="s">
        <v>145</v>
      </c>
      <c r="B107" s="4">
        <v>1599</v>
      </c>
      <c r="C107" s="4" t="s">
        <v>153</v>
      </c>
      <c r="D107" s="5">
        <v>0</v>
      </c>
      <c r="E107" s="5">
        <v>280605000</v>
      </c>
      <c r="F107" s="5">
        <v>0</v>
      </c>
      <c r="G107" s="5">
        <v>0</v>
      </c>
      <c r="H107" s="5">
        <v>280605000</v>
      </c>
      <c r="I107" s="5">
        <v>24859768</v>
      </c>
      <c r="J107" s="5">
        <v>21326160000</v>
      </c>
      <c r="K107" s="5">
        <v>-21070414768</v>
      </c>
      <c r="L107" s="5">
        <v>207480000</v>
      </c>
      <c r="M107" s="5">
        <f t="shared" si="5"/>
        <v>73125000</v>
      </c>
      <c r="N107" s="36">
        <f t="shared" si="6"/>
        <v>35.244360902255636</v>
      </c>
      <c r="O107" s="5">
        <v>0</v>
      </c>
      <c r="P107" s="36">
        <v>0</v>
      </c>
      <c r="Q107" s="6">
        <v>0</v>
      </c>
      <c r="R107" s="6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36">
        <f t="shared" si="7"/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6">
        <v>0</v>
      </c>
      <c r="AM107" s="5">
        <v>0</v>
      </c>
      <c r="AN107" s="6">
        <v>0</v>
      </c>
      <c r="AO107" s="5">
        <v>0</v>
      </c>
      <c r="AP107" s="6">
        <v>0</v>
      </c>
      <c r="AQ107" s="5">
        <v>0</v>
      </c>
      <c r="AR107" s="5">
        <v>0</v>
      </c>
      <c r="AS107" s="5">
        <v>0</v>
      </c>
      <c r="AT107" s="5">
        <f t="shared" si="8"/>
        <v>0</v>
      </c>
      <c r="AU107" s="36">
        <f t="shared" si="9"/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280605000</v>
      </c>
      <c r="BD107" s="5">
        <v>280605000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48">
        <v>0</v>
      </c>
      <c r="BK107" s="5">
        <v>0</v>
      </c>
      <c r="BL107" s="5">
        <v>0</v>
      </c>
      <c r="BM107" s="5">
        <v>0</v>
      </c>
      <c r="BN107" s="5">
        <v>0</v>
      </c>
    </row>
    <row r="108" spans="1:66" x14ac:dyDescent="0.25">
      <c r="A108" s="30" t="s">
        <v>578</v>
      </c>
      <c r="B108" s="13" t="s">
        <v>625</v>
      </c>
      <c r="C108" s="13" t="s">
        <v>625</v>
      </c>
      <c r="D108" s="14">
        <v>10276909583507</v>
      </c>
      <c r="E108" s="14">
        <v>268171715219</v>
      </c>
      <c r="F108" s="14">
        <v>5699625000</v>
      </c>
      <c r="G108" s="14">
        <v>0</v>
      </c>
      <c r="H108" s="14">
        <v>10550780923726</v>
      </c>
      <c r="I108" s="14">
        <v>879675258014</v>
      </c>
      <c r="J108" s="14">
        <v>47220503548</v>
      </c>
      <c r="K108" s="14">
        <v>9623885162164</v>
      </c>
      <c r="L108" s="14">
        <v>8318581117294</v>
      </c>
      <c r="M108" s="14">
        <f t="shared" si="5"/>
        <v>2232199806432</v>
      </c>
      <c r="N108" s="41">
        <f t="shared" si="6"/>
        <v>26.833900817428407</v>
      </c>
      <c r="O108" s="14">
        <v>15295051307267</v>
      </c>
      <c r="P108" s="41">
        <v>185.4</v>
      </c>
      <c r="Q108" s="15">
        <v>158.93</v>
      </c>
      <c r="R108" s="15">
        <v>4.53</v>
      </c>
      <c r="S108" s="14">
        <v>17675295858767</v>
      </c>
      <c r="T108" s="14">
        <v>877496224626</v>
      </c>
      <c r="U108" s="14">
        <v>468283532266</v>
      </c>
      <c r="V108" s="14">
        <v>291323400166</v>
      </c>
      <c r="W108" s="14">
        <v>117889292194</v>
      </c>
      <c r="X108" s="14">
        <v>18552792083393</v>
      </c>
      <c r="Y108" s="14">
        <v>8835279425</v>
      </c>
      <c r="Z108" s="14">
        <v>879752553170</v>
      </c>
      <c r="AA108" s="14">
        <v>128674121861</v>
      </c>
      <c r="AB108" s="14">
        <v>19561218758424</v>
      </c>
      <c r="AC108" s="14">
        <v>12838922808930</v>
      </c>
      <c r="AD108" s="41">
        <f t="shared" si="7"/>
        <v>44.504273134883</v>
      </c>
      <c r="AE108" s="14">
        <v>9937983360222</v>
      </c>
      <c r="AF108" s="14">
        <v>9168942889667</v>
      </c>
      <c r="AG108" s="14">
        <v>0</v>
      </c>
      <c r="AH108" s="14">
        <v>25322458830</v>
      </c>
      <c r="AI108" s="14">
        <v>37842103164</v>
      </c>
      <c r="AJ108" s="14">
        <v>54566000000</v>
      </c>
      <c r="AK108" s="14">
        <v>34960296805</v>
      </c>
      <c r="AL108" s="15">
        <v>1</v>
      </c>
      <c r="AM108" s="14">
        <v>40214912518</v>
      </c>
      <c r="AN108" s="15">
        <v>178</v>
      </c>
      <c r="AO108" s="14">
        <v>724378666819</v>
      </c>
      <c r="AP108" s="15">
        <v>77</v>
      </c>
      <c r="AQ108" s="14">
        <v>391916510669</v>
      </c>
      <c r="AR108" s="14">
        <v>877496224626</v>
      </c>
      <c r="AS108" s="14">
        <v>354409954957</v>
      </c>
      <c r="AT108" s="14">
        <f t="shared" si="8"/>
        <v>523086269669</v>
      </c>
      <c r="AU108" s="41">
        <f t="shared" si="9"/>
        <v>147.5935600433304</v>
      </c>
      <c r="AV108" s="14">
        <v>4131344656659</v>
      </c>
      <c r="AW108" s="14">
        <v>1390051136361</v>
      </c>
      <c r="AX108" s="14">
        <v>665932609455</v>
      </c>
      <c r="AY108" s="14">
        <v>2382749932707</v>
      </c>
      <c r="AZ108" s="14">
        <v>2221516979050</v>
      </c>
      <c r="BA108" s="14">
        <v>6475703174063</v>
      </c>
      <c r="BB108" s="14">
        <v>1571656723021</v>
      </c>
      <c r="BC108" s="14">
        <v>10550780923726</v>
      </c>
      <c r="BD108" s="14">
        <v>3124933293453</v>
      </c>
      <c r="BE108" s="14">
        <v>2226496604050</v>
      </c>
      <c r="BF108" s="14">
        <v>5199351026223</v>
      </c>
      <c r="BG108" s="14">
        <v>8397585529839</v>
      </c>
      <c r="BH108" s="14">
        <v>1540397830383</v>
      </c>
      <c r="BI108" s="14">
        <v>0</v>
      </c>
      <c r="BJ108" s="49">
        <v>0</v>
      </c>
      <c r="BK108" s="14">
        <v>0</v>
      </c>
      <c r="BL108" s="14">
        <v>0</v>
      </c>
      <c r="BM108" s="14">
        <v>2644791303</v>
      </c>
      <c r="BN108" s="14">
        <v>20102458830</v>
      </c>
    </row>
    <row r="109" spans="1:66" x14ac:dyDescent="0.25">
      <c r="A109" s="17" t="s">
        <v>154</v>
      </c>
      <c r="B109" s="4">
        <v>1600</v>
      </c>
      <c r="C109" s="4" t="s">
        <v>154</v>
      </c>
      <c r="D109" s="5">
        <v>3589831511766</v>
      </c>
      <c r="E109" s="5">
        <v>239814808715</v>
      </c>
      <c r="F109" s="5">
        <v>87500000</v>
      </c>
      <c r="G109" s="5">
        <v>1233539376142</v>
      </c>
      <c r="H109" s="5">
        <v>5063273196623</v>
      </c>
      <c r="I109" s="5">
        <v>505107030203</v>
      </c>
      <c r="J109" s="5">
        <v>77515785631</v>
      </c>
      <c r="K109" s="5">
        <v>4480650380789</v>
      </c>
      <c r="L109" s="5">
        <v>4560238418298</v>
      </c>
      <c r="M109" s="5">
        <f t="shared" si="5"/>
        <v>503034778325</v>
      </c>
      <c r="N109" s="36">
        <f t="shared" si="6"/>
        <v>11.030887690138485</v>
      </c>
      <c r="O109" s="5">
        <v>5016250906947</v>
      </c>
      <c r="P109" s="36">
        <v>152</v>
      </c>
      <c r="Q109" s="6">
        <v>111.95</v>
      </c>
      <c r="R109" s="6">
        <v>3.59</v>
      </c>
      <c r="S109" s="5">
        <v>7168141276090</v>
      </c>
      <c r="T109" s="5">
        <v>232108548511</v>
      </c>
      <c r="U109" s="5">
        <v>188016146930</v>
      </c>
      <c r="V109" s="5">
        <v>6313682765</v>
      </c>
      <c r="W109" s="5">
        <v>37778718816</v>
      </c>
      <c r="X109" s="5">
        <v>7400249824601</v>
      </c>
      <c r="Y109" s="5">
        <v>44360282004</v>
      </c>
      <c r="Z109" s="5">
        <v>288431235987</v>
      </c>
      <c r="AA109" s="5">
        <v>7488785000</v>
      </c>
      <c r="AB109" s="5">
        <v>7696169845588</v>
      </c>
      <c r="AC109" s="5">
        <v>6044268074494</v>
      </c>
      <c r="AD109" s="36">
        <f t="shared" si="7"/>
        <v>22.434176204544283</v>
      </c>
      <c r="AE109" s="5">
        <v>2371152981550</v>
      </c>
      <c r="AF109" s="5">
        <v>2371152981550</v>
      </c>
      <c r="AG109" s="5">
        <v>0</v>
      </c>
      <c r="AH109" s="5">
        <v>8811256653</v>
      </c>
      <c r="AI109" s="5">
        <v>146549507579</v>
      </c>
      <c r="AJ109" s="5">
        <v>0</v>
      </c>
      <c r="AK109" s="5">
        <v>0</v>
      </c>
      <c r="AL109" s="6">
        <v>1</v>
      </c>
      <c r="AM109" s="5">
        <v>547050840830</v>
      </c>
      <c r="AN109" s="6">
        <v>34</v>
      </c>
      <c r="AO109" s="5">
        <v>556466070817</v>
      </c>
      <c r="AP109" s="6">
        <v>72</v>
      </c>
      <c r="AQ109" s="5">
        <v>80292677843</v>
      </c>
      <c r="AR109" s="5">
        <v>232108548511</v>
      </c>
      <c r="AS109" s="5">
        <v>105737903961</v>
      </c>
      <c r="AT109" s="5">
        <f t="shared" si="8"/>
        <v>126370644550</v>
      </c>
      <c r="AU109" s="36">
        <f t="shared" si="9"/>
        <v>119.51309777864532</v>
      </c>
      <c r="AV109" s="5">
        <v>1517262643912</v>
      </c>
      <c r="AW109" s="5">
        <v>306486189159</v>
      </c>
      <c r="AX109" s="5">
        <v>1113730178321</v>
      </c>
      <c r="AY109" s="5">
        <v>150972972934</v>
      </c>
      <c r="AZ109" s="5">
        <v>1037266360511</v>
      </c>
      <c r="BA109" s="5">
        <v>1336789926376</v>
      </c>
      <c r="BB109" s="5">
        <v>805253396799</v>
      </c>
      <c r="BC109" s="5">
        <v>5063273196623</v>
      </c>
      <c r="BD109" s="5">
        <v>2696858232021</v>
      </c>
      <c r="BE109" s="5">
        <v>1037353860511</v>
      </c>
      <c r="BF109" s="5">
        <v>1329061104091</v>
      </c>
      <c r="BG109" s="5">
        <v>1693377088033</v>
      </c>
      <c r="BH109" s="5">
        <v>677775893517</v>
      </c>
      <c r="BI109" s="5">
        <v>0</v>
      </c>
      <c r="BJ109" s="48">
        <v>0</v>
      </c>
      <c r="BK109" s="5">
        <v>0</v>
      </c>
      <c r="BL109" s="5">
        <v>0</v>
      </c>
      <c r="BM109" s="5">
        <v>0</v>
      </c>
      <c r="BN109" s="5">
        <v>8811256653</v>
      </c>
    </row>
    <row r="110" spans="1:66" x14ac:dyDescent="0.25">
      <c r="A110" s="17" t="s">
        <v>154</v>
      </c>
      <c r="B110" s="4">
        <v>1601</v>
      </c>
      <c r="C110" s="4" t="s">
        <v>155</v>
      </c>
      <c r="D110" s="5">
        <v>1387870291904</v>
      </c>
      <c r="E110" s="5">
        <v>12829872037</v>
      </c>
      <c r="F110" s="5">
        <v>0</v>
      </c>
      <c r="G110" s="5">
        <v>0</v>
      </c>
      <c r="H110" s="5">
        <v>1400700163941</v>
      </c>
      <c r="I110" s="5">
        <v>117769523255</v>
      </c>
      <c r="J110" s="5">
        <v>7294632046</v>
      </c>
      <c r="K110" s="5">
        <v>1275636008640</v>
      </c>
      <c r="L110" s="5">
        <v>1039666428794</v>
      </c>
      <c r="M110" s="5">
        <f t="shared" si="5"/>
        <v>361033735147</v>
      </c>
      <c r="N110" s="36">
        <f t="shared" si="6"/>
        <v>34.725920270965624</v>
      </c>
      <c r="O110" s="5">
        <v>1290966790613</v>
      </c>
      <c r="P110" s="36">
        <v>105.99</v>
      </c>
      <c r="Q110" s="6">
        <v>101.2</v>
      </c>
      <c r="R110" s="6">
        <v>3.77</v>
      </c>
      <c r="S110" s="5">
        <v>1380417281767</v>
      </c>
      <c r="T110" s="5">
        <v>35218926433</v>
      </c>
      <c r="U110" s="5">
        <v>20083259831</v>
      </c>
      <c r="V110" s="5">
        <v>5144175575</v>
      </c>
      <c r="W110" s="5">
        <v>9991491027</v>
      </c>
      <c r="X110" s="5">
        <v>1415636208200</v>
      </c>
      <c r="Y110" s="5">
        <v>20704049104</v>
      </c>
      <c r="Z110" s="5">
        <v>68988674745</v>
      </c>
      <c r="AA110" s="5">
        <v>0</v>
      </c>
      <c r="AB110" s="5">
        <v>1484624882945</v>
      </c>
      <c r="AC110" s="5">
        <v>1243836896708</v>
      </c>
      <c r="AD110" s="36">
        <f t="shared" si="7"/>
        <v>13.812044967205308</v>
      </c>
      <c r="AE110" s="5">
        <v>856144234769</v>
      </c>
      <c r="AF110" s="5">
        <v>819677846186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6">
        <v>0</v>
      </c>
      <c r="AM110" s="5">
        <v>0</v>
      </c>
      <c r="AN110" s="6">
        <v>15</v>
      </c>
      <c r="AO110" s="5">
        <v>26925920237</v>
      </c>
      <c r="AP110" s="6">
        <v>4</v>
      </c>
      <c r="AQ110" s="5">
        <v>6071044469</v>
      </c>
      <c r="AR110" s="5">
        <v>35218926433</v>
      </c>
      <c r="AS110" s="5">
        <v>45817332700</v>
      </c>
      <c r="AT110" s="5">
        <f t="shared" si="8"/>
        <v>-10598406267</v>
      </c>
      <c r="AU110" s="36">
        <f t="shared" si="9"/>
        <v>-23.131870937131179</v>
      </c>
      <c r="AV110" s="5">
        <v>632314513458</v>
      </c>
      <c r="AW110" s="5">
        <v>153109339803</v>
      </c>
      <c r="AX110" s="5">
        <v>261953568138</v>
      </c>
      <c r="AY110" s="5">
        <v>266234913238</v>
      </c>
      <c r="AZ110" s="5">
        <v>443804810528</v>
      </c>
      <c r="BA110" s="5">
        <v>569943239152</v>
      </c>
      <c r="BB110" s="5">
        <v>324509587555</v>
      </c>
      <c r="BC110" s="5">
        <v>1400700163941</v>
      </c>
      <c r="BD110" s="5">
        <v>535607962168</v>
      </c>
      <c r="BE110" s="5">
        <v>443804810528</v>
      </c>
      <c r="BF110" s="5">
        <v>421287391245</v>
      </c>
      <c r="BG110" s="5">
        <v>539145905871</v>
      </c>
      <c r="BH110" s="5">
        <v>316998328898</v>
      </c>
      <c r="BI110" s="5">
        <v>0</v>
      </c>
      <c r="BJ110" s="48">
        <v>0</v>
      </c>
      <c r="BK110" s="5">
        <v>0</v>
      </c>
      <c r="BL110" s="5">
        <v>0</v>
      </c>
      <c r="BM110" s="5">
        <v>0</v>
      </c>
      <c r="BN110" s="5">
        <v>0</v>
      </c>
    </row>
    <row r="111" spans="1:66" x14ac:dyDescent="0.25">
      <c r="A111" s="17" t="s">
        <v>154</v>
      </c>
      <c r="B111" s="4">
        <v>1602</v>
      </c>
      <c r="C111" s="4" t="s">
        <v>156</v>
      </c>
      <c r="D111" s="5">
        <v>1269611931849</v>
      </c>
      <c r="E111" s="5">
        <v>234651823204</v>
      </c>
      <c r="F111" s="5">
        <v>0</v>
      </c>
      <c r="G111" s="5">
        <v>0</v>
      </c>
      <c r="H111" s="5">
        <v>1504263755053</v>
      </c>
      <c r="I111" s="5">
        <v>115716529032</v>
      </c>
      <c r="J111" s="5">
        <v>9903974147</v>
      </c>
      <c r="K111" s="5">
        <v>1378643251874</v>
      </c>
      <c r="L111" s="5">
        <v>1320668484646</v>
      </c>
      <c r="M111" s="5">
        <f t="shared" si="5"/>
        <v>183595270407</v>
      </c>
      <c r="N111" s="36">
        <f t="shared" si="6"/>
        <v>13.901692403617247</v>
      </c>
      <c r="O111" s="5">
        <v>1379806603483</v>
      </c>
      <c r="P111" s="36">
        <v>112.09</v>
      </c>
      <c r="Q111" s="6">
        <v>100.08</v>
      </c>
      <c r="R111" s="6">
        <v>2.66</v>
      </c>
      <c r="S111" s="5">
        <v>1605356178631</v>
      </c>
      <c r="T111" s="5">
        <v>42449933581</v>
      </c>
      <c r="U111" s="5">
        <v>20833132038</v>
      </c>
      <c r="V111" s="5">
        <v>13225170430</v>
      </c>
      <c r="W111" s="5">
        <v>8391631113</v>
      </c>
      <c r="X111" s="5">
        <v>1647806112212</v>
      </c>
      <c r="Y111" s="5">
        <v>2346662520</v>
      </c>
      <c r="Z111" s="5">
        <v>36818304548</v>
      </c>
      <c r="AA111" s="5">
        <v>1500000000</v>
      </c>
      <c r="AB111" s="5">
        <v>1686124416760</v>
      </c>
      <c r="AC111" s="5">
        <v>1951388038917</v>
      </c>
      <c r="AD111" s="36">
        <f t="shared" si="7"/>
        <v>-15.557230066526634</v>
      </c>
      <c r="AE111" s="5">
        <v>509449130435</v>
      </c>
      <c r="AF111" s="5">
        <v>489449130435</v>
      </c>
      <c r="AG111" s="5">
        <v>0</v>
      </c>
      <c r="AH111" s="5">
        <v>0</v>
      </c>
      <c r="AI111" s="5">
        <v>0</v>
      </c>
      <c r="AJ111" s="5">
        <v>20000000000</v>
      </c>
      <c r="AK111" s="5">
        <v>0</v>
      </c>
      <c r="AL111" s="6">
        <v>0</v>
      </c>
      <c r="AM111" s="5">
        <v>0</v>
      </c>
      <c r="AN111" s="6">
        <v>54</v>
      </c>
      <c r="AO111" s="5">
        <v>317630705916</v>
      </c>
      <c r="AP111" s="6">
        <v>24</v>
      </c>
      <c r="AQ111" s="5">
        <v>120947835035</v>
      </c>
      <c r="AR111" s="5">
        <v>42449933581</v>
      </c>
      <c r="AS111" s="5">
        <v>31436261327</v>
      </c>
      <c r="AT111" s="5">
        <f t="shared" si="8"/>
        <v>11013672254</v>
      </c>
      <c r="AU111" s="36">
        <f t="shared" si="9"/>
        <v>35.034930329137353</v>
      </c>
      <c r="AV111" s="5">
        <v>672597027775</v>
      </c>
      <c r="AW111" s="5">
        <v>137001397408</v>
      </c>
      <c r="AX111" s="5">
        <v>226210665761</v>
      </c>
      <c r="AY111" s="5">
        <v>154378344658</v>
      </c>
      <c r="AZ111" s="5">
        <v>464091421430</v>
      </c>
      <c r="BA111" s="5">
        <v>433722928884</v>
      </c>
      <c r="BB111" s="5">
        <v>417142801045</v>
      </c>
      <c r="BC111" s="5">
        <v>1504263755053</v>
      </c>
      <c r="BD111" s="5">
        <v>612629455939</v>
      </c>
      <c r="BE111" s="5">
        <v>464091421430</v>
      </c>
      <c r="BF111" s="5">
        <v>427542877684</v>
      </c>
      <c r="BG111" s="5">
        <v>447549130435</v>
      </c>
      <c r="BH111" s="5">
        <v>61900000000</v>
      </c>
      <c r="BI111" s="5">
        <v>0</v>
      </c>
      <c r="BJ111" s="48">
        <v>0</v>
      </c>
      <c r="BK111" s="5">
        <v>0</v>
      </c>
      <c r="BL111" s="5">
        <v>0</v>
      </c>
      <c r="BM111" s="5">
        <v>0</v>
      </c>
      <c r="BN111" s="5">
        <v>0</v>
      </c>
    </row>
    <row r="112" spans="1:66" x14ac:dyDescent="0.25">
      <c r="A112" s="17" t="s">
        <v>154</v>
      </c>
      <c r="B112" s="4">
        <v>1603</v>
      </c>
      <c r="C112" s="4" t="s">
        <v>157</v>
      </c>
      <c r="D112" s="5">
        <v>1437318173315</v>
      </c>
      <c r="E112" s="5">
        <v>139188122366</v>
      </c>
      <c r="F112" s="5">
        <v>0</v>
      </c>
      <c r="G112" s="5">
        <v>0</v>
      </c>
      <c r="H112" s="5">
        <v>1576506295681</v>
      </c>
      <c r="I112" s="5">
        <v>142715552774</v>
      </c>
      <c r="J112" s="5">
        <v>16939540158</v>
      </c>
      <c r="K112" s="5">
        <v>1416851202749</v>
      </c>
      <c r="L112" s="5">
        <v>1693325617669</v>
      </c>
      <c r="M112" s="5">
        <f t="shared" si="5"/>
        <v>-116819321988</v>
      </c>
      <c r="N112" s="36">
        <f t="shared" si="6"/>
        <v>-6.8988102919514835</v>
      </c>
      <c r="O112" s="5">
        <v>1180413738426</v>
      </c>
      <c r="P112" s="36">
        <v>91.06</v>
      </c>
      <c r="Q112" s="6">
        <v>83.31</v>
      </c>
      <c r="R112" s="6">
        <v>3.57</v>
      </c>
      <c r="S112" s="5">
        <v>1317367587651</v>
      </c>
      <c r="T112" s="5">
        <v>49040020898</v>
      </c>
      <c r="U112" s="5">
        <v>25443264791</v>
      </c>
      <c r="V112" s="5">
        <v>11080788766</v>
      </c>
      <c r="W112" s="5">
        <v>12515967341</v>
      </c>
      <c r="X112" s="5">
        <v>1366407608549</v>
      </c>
      <c r="Y112" s="5">
        <v>2176403238</v>
      </c>
      <c r="Z112" s="5">
        <v>61909047180</v>
      </c>
      <c r="AA112" s="5">
        <v>7300000000</v>
      </c>
      <c r="AB112" s="5">
        <v>1435616655729</v>
      </c>
      <c r="AC112" s="5">
        <v>1428832011499</v>
      </c>
      <c r="AD112" s="36">
        <f t="shared" si="7"/>
        <v>-4.3689112819155014</v>
      </c>
      <c r="AE112" s="5">
        <v>633218821832</v>
      </c>
      <c r="AF112" s="5">
        <v>577870375504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6">
        <v>0</v>
      </c>
      <c r="AM112" s="5">
        <v>0</v>
      </c>
      <c r="AN112" s="6">
        <v>119</v>
      </c>
      <c r="AO112" s="5">
        <v>1151303131776</v>
      </c>
      <c r="AP112" s="6">
        <v>53</v>
      </c>
      <c r="AQ112" s="5">
        <v>1014869504094</v>
      </c>
      <c r="AR112" s="5">
        <v>49040020898</v>
      </c>
      <c r="AS112" s="5">
        <v>39316724090</v>
      </c>
      <c r="AT112" s="5">
        <f t="shared" si="8"/>
        <v>9723296808</v>
      </c>
      <c r="AU112" s="36">
        <f t="shared" si="9"/>
        <v>24.730689122884144</v>
      </c>
      <c r="AV112" s="5">
        <v>720351817333</v>
      </c>
      <c r="AW112" s="5">
        <v>169399466366</v>
      </c>
      <c r="AX112" s="5">
        <v>126068656536</v>
      </c>
      <c r="AY112" s="5">
        <v>199281353364</v>
      </c>
      <c r="AZ112" s="5">
        <v>543610163415</v>
      </c>
      <c r="BA112" s="5">
        <v>577182615828</v>
      </c>
      <c r="BB112" s="5">
        <v>364300626982</v>
      </c>
      <c r="BC112" s="5">
        <v>1576506295681</v>
      </c>
      <c r="BD112" s="5">
        <v>461767883480</v>
      </c>
      <c r="BE112" s="5">
        <v>543610163415</v>
      </c>
      <c r="BF112" s="5">
        <v>571128248786</v>
      </c>
      <c r="BG112" s="5">
        <v>416613880023</v>
      </c>
      <c r="BH112" s="5">
        <v>216604941809</v>
      </c>
      <c r="BI112" s="5">
        <v>0</v>
      </c>
      <c r="BJ112" s="48">
        <v>0</v>
      </c>
      <c r="BK112" s="5">
        <v>0</v>
      </c>
      <c r="BL112" s="5">
        <v>0</v>
      </c>
      <c r="BM112" s="5">
        <v>7364400000</v>
      </c>
      <c r="BN112" s="5">
        <v>0</v>
      </c>
    </row>
    <row r="113" spans="1:66" x14ac:dyDescent="0.25">
      <c r="A113" s="17" t="s">
        <v>154</v>
      </c>
      <c r="B113" s="4">
        <v>1604</v>
      </c>
      <c r="C113" s="4" t="s">
        <v>158</v>
      </c>
      <c r="D113" s="5">
        <v>2341013974783</v>
      </c>
      <c r="E113" s="5">
        <v>65269114702</v>
      </c>
      <c r="F113" s="5">
        <v>0</v>
      </c>
      <c r="G113" s="5">
        <v>0</v>
      </c>
      <c r="H113" s="5">
        <v>2406283089485</v>
      </c>
      <c r="I113" s="5">
        <v>188274657206</v>
      </c>
      <c r="J113" s="5">
        <v>5407197896</v>
      </c>
      <c r="K113" s="5">
        <v>2212601234383</v>
      </c>
      <c r="L113" s="5">
        <v>2819133280157</v>
      </c>
      <c r="M113" s="5">
        <f t="shared" si="5"/>
        <v>-412850190672</v>
      </c>
      <c r="N113" s="36">
        <f t="shared" si="6"/>
        <v>-14.644578657487525</v>
      </c>
      <c r="O113" s="5">
        <v>1429102159018</v>
      </c>
      <c r="P113" s="36">
        <v>67.13</v>
      </c>
      <c r="Q113" s="6">
        <v>64.59</v>
      </c>
      <c r="R113" s="6">
        <v>4.0999999999999996</v>
      </c>
      <c r="S113" s="5">
        <v>1481311870723</v>
      </c>
      <c r="T113" s="5">
        <v>60111954595</v>
      </c>
      <c r="U113" s="5">
        <v>29282443024</v>
      </c>
      <c r="V113" s="5">
        <v>13321606528</v>
      </c>
      <c r="W113" s="5">
        <v>17507905043</v>
      </c>
      <c r="X113" s="5">
        <v>1541423825318</v>
      </c>
      <c r="Y113" s="5">
        <v>6159527925</v>
      </c>
      <c r="Z113" s="5">
        <v>56979153214</v>
      </c>
      <c r="AA113" s="5">
        <v>16963475000</v>
      </c>
      <c r="AB113" s="5">
        <v>1615366453532</v>
      </c>
      <c r="AC113" s="5">
        <v>1595292008516</v>
      </c>
      <c r="AD113" s="36">
        <f t="shared" si="7"/>
        <v>-3.3766973638957913</v>
      </c>
      <c r="AE113" s="5">
        <v>675183828793</v>
      </c>
      <c r="AF113" s="5">
        <v>675183828793</v>
      </c>
      <c r="AG113" s="5">
        <v>0</v>
      </c>
      <c r="AH113" s="5">
        <v>990000000</v>
      </c>
      <c r="AI113" s="5">
        <v>0</v>
      </c>
      <c r="AJ113" s="5">
        <v>0</v>
      </c>
      <c r="AK113" s="5">
        <v>0</v>
      </c>
      <c r="AL113" s="6">
        <v>0</v>
      </c>
      <c r="AM113" s="5">
        <v>0</v>
      </c>
      <c r="AN113" s="6">
        <v>2</v>
      </c>
      <c r="AO113" s="5">
        <v>3585000000</v>
      </c>
      <c r="AP113" s="6">
        <v>32</v>
      </c>
      <c r="AQ113" s="5">
        <v>287024797221</v>
      </c>
      <c r="AR113" s="5">
        <v>60111954595</v>
      </c>
      <c r="AS113" s="5">
        <v>47030400944</v>
      </c>
      <c r="AT113" s="5">
        <f t="shared" si="8"/>
        <v>13081553651</v>
      </c>
      <c r="AU113" s="36">
        <f t="shared" si="9"/>
        <v>27.815101271572097</v>
      </c>
      <c r="AV113" s="5">
        <v>686821634011</v>
      </c>
      <c r="AW113" s="5">
        <v>123867689636</v>
      </c>
      <c r="AX113" s="5">
        <v>809367144341</v>
      </c>
      <c r="AY113" s="5">
        <v>331184351535</v>
      </c>
      <c r="AZ113" s="5">
        <v>802172478907</v>
      </c>
      <c r="BA113" s="5">
        <v>460975988848</v>
      </c>
      <c r="BB113" s="5">
        <v>705264006584</v>
      </c>
      <c r="BC113" s="5">
        <v>2406283089485</v>
      </c>
      <c r="BD113" s="5">
        <v>1204042523637</v>
      </c>
      <c r="BE113" s="5">
        <v>802172478907</v>
      </c>
      <c r="BF113" s="5">
        <v>400068086941</v>
      </c>
      <c r="BG113" s="5">
        <v>342880504755</v>
      </c>
      <c r="BH113" s="5">
        <v>332303324038</v>
      </c>
      <c r="BI113" s="5">
        <v>0</v>
      </c>
      <c r="BJ113" s="48">
        <v>0</v>
      </c>
      <c r="BK113" s="5">
        <v>0</v>
      </c>
      <c r="BL113" s="5">
        <v>0</v>
      </c>
      <c r="BM113" s="5">
        <v>9713850300</v>
      </c>
      <c r="BN113" s="5">
        <v>990000000</v>
      </c>
    </row>
    <row r="114" spans="1:66" x14ac:dyDescent="0.25">
      <c r="A114" s="17" t="s">
        <v>154</v>
      </c>
      <c r="B114" s="4">
        <v>1605</v>
      </c>
      <c r="C114" s="4" t="s">
        <v>159</v>
      </c>
      <c r="D114" s="5">
        <v>984034275663</v>
      </c>
      <c r="E114" s="5">
        <v>39848552487</v>
      </c>
      <c r="F114" s="5">
        <v>0</v>
      </c>
      <c r="G114" s="5">
        <v>0</v>
      </c>
      <c r="H114" s="5">
        <v>1023882828150</v>
      </c>
      <c r="I114" s="5">
        <v>88281738486</v>
      </c>
      <c r="J114" s="5">
        <v>6695300000</v>
      </c>
      <c r="K114" s="5">
        <v>928905789664</v>
      </c>
      <c r="L114" s="5">
        <v>764978545639</v>
      </c>
      <c r="M114" s="5">
        <f t="shared" si="5"/>
        <v>258904282511</v>
      </c>
      <c r="N114" s="36">
        <f t="shared" si="6"/>
        <v>33.844646230533527</v>
      </c>
      <c r="O114" s="5">
        <v>1367533482152</v>
      </c>
      <c r="P114" s="36">
        <v>155.71</v>
      </c>
      <c r="Q114" s="6">
        <v>147.22</v>
      </c>
      <c r="R114" s="6">
        <v>2.2000000000000002</v>
      </c>
      <c r="S114" s="5">
        <v>1456673199854</v>
      </c>
      <c r="T114" s="5">
        <v>35133523193</v>
      </c>
      <c r="U114" s="5">
        <v>27654685645</v>
      </c>
      <c r="V114" s="5">
        <v>7478837548</v>
      </c>
      <c r="W114" s="5">
        <v>0</v>
      </c>
      <c r="X114" s="5">
        <v>1491806723047</v>
      </c>
      <c r="Y114" s="5">
        <v>0</v>
      </c>
      <c r="Z114" s="5">
        <v>85803182659</v>
      </c>
      <c r="AA114" s="5">
        <v>16632272499</v>
      </c>
      <c r="AB114" s="5">
        <v>1594242178205</v>
      </c>
      <c r="AC114" s="5">
        <v>1146822271079</v>
      </c>
      <c r="AD114" s="36">
        <f t="shared" si="7"/>
        <v>30.081771227150799</v>
      </c>
      <c r="AE114" s="5">
        <v>899950652958</v>
      </c>
      <c r="AF114" s="5">
        <v>879016159808</v>
      </c>
      <c r="AG114" s="5">
        <v>0</v>
      </c>
      <c r="AH114" s="5">
        <v>0</v>
      </c>
      <c r="AI114" s="5">
        <v>0</v>
      </c>
      <c r="AJ114" s="5">
        <v>0</v>
      </c>
      <c r="AK114" s="5">
        <v>1500000000</v>
      </c>
      <c r="AL114" s="6">
        <v>0</v>
      </c>
      <c r="AM114" s="5">
        <v>0</v>
      </c>
      <c r="AN114" s="6">
        <v>59</v>
      </c>
      <c r="AO114" s="5">
        <v>533685330892</v>
      </c>
      <c r="AP114" s="6">
        <v>35</v>
      </c>
      <c r="AQ114" s="5">
        <v>417957175156</v>
      </c>
      <c r="AR114" s="5">
        <v>35133523193</v>
      </c>
      <c r="AS114" s="5">
        <v>13698302440</v>
      </c>
      <c r="AT114" s="5">
        <f t="shared" si="8"/>
        <v>21435220753</v>
      </c>
      <c r="AU114" s="36">
        <f t="shared" si="9"/>
        <v>156.48085481313115</v>
      </c>
      <c r="AV114" s="5">
        <v>459830960343</v>
      </c>
      <c r="AW114" s="5">
        <v>116508491733</v>
      </c>
      <c r="AX114" s="5">
        <v>352399005148</v>
      </c>
      <c r="AY114" s="5">
        <v>177384419856</v>
      </c>
      <c r="AZ114" s="5">
        <v>314509350659</v>
      </c>
      <c r="BA114" s="5">
        <v>422645678312</v>
      </c>
      <c r="BB114" s="5">
        <v>246586088335</v>
      </c>
      <c r="BC114" s="5">
        <v>1023882828150</v>
      </c>
      <c r="BD114" s="5">
        <v>569584726501</v>
      </c>
      <c r="BE114" s="5">
        <v>314509350659</v>
      </c>
      <c r="BF114" s="5">
        <v>139788750990</v>
      </c>
      <c r="BG114" s="5">
        <v>658588849388</v>
      </c>
      <c r="BH114" s="5">
        <v>241361803570</v>
      </c>
      <c r="BI114" s="5">
        <v>0</v>
      </c>
      <c r="BJ114" s="48">
        <v>0</v>
      </c>
      <c r="BK114" s="5">
        <v>0</v>
      </c>
      <c r="BL114" s="5">
        <v>0</v>
      </c>
      <c r="BM114" s="5">
        <v>0</v>
      </c>
      <c r="BN114" s="5">
        <v>0</v>
      </c>
    </row>
    <row r="115" spans="1:66" x14ac:dyDescent="0.25">
      <c r="A115" s="17" t="s">
        <v>154</v>
      </c>
      <c r="B115" s="4">
        <v>1606</v>
      </c>
      <c r="C115" s="4" t="s">
        <v>160</v>
      </c>
      <c r="D115" s="5">
        <v>2801773456817</v>
      </c>
      <c r="E115" s="5">
        <v>51359835543</v>
      </c>
      <c r="F115" s="5">
        <v>0</v>
      </c>
      <c r="G115" s="5">
        <v>0</v>
      </c>
      <c r="H115" s="5">
        <v>2853133292360</v>
      </c>
      <c r="I115" s="5">
        <v>219911532049</v>
      </c>
      <c r="J115" s="5">
        <v>10584418145</v>
      </c>
      <c r="K115" s="5">
        <v>2622637342166</v>
      </c>
      <c r="L115" s="5">
        <v>2579192529501</v>
      </c>
      <c r="M115" s="5">
        <f t="shared" si="5"/>
        <v>273940762859</v>
      </c>
      <c r="N115" s="36">
        <f t="shared" si="6"/>
        <v>10.621183169757385</v>
      </c>
      <c r="O115" s="5">
        <v>2795047916493</v>
      </c>
      <c r="P115" s="36">
        <v>121.54</v>
      </c>
      <c r="Q115" s="6">
        <v>106.57</v>
      </c>
      <c r="R115" s="6">
        <v>4.55</v>
      </c>
      <c r="S115" s="5">
        <v>3030392893522</v>
      </c>
      <c r="T115" s="5">
        <v>154628018038</v>
      </c>
      <c r="U115" s="5">
        <v>68605712309</v>
      </c>
      <c r="V115" s="5">
        <v>70849344684</v>
      </c>
      <c r="W115" s="5">
        <v>15172961045</v>
      </c>
      <c r="X115" s="5">
        <v>3185020911560</v>
      </c>
      <c r="Y115" s="5">
        <v>3145371476</v>
      </c>
      <c r="Z115" s="5">
        <v>252989990605</v>
      </c>
      <c r="AA115" s="5">
        <v>29578350000</v>
      </c>
      <c r="AB115" s="5">
        <v>3467589252165</v>
      </c>
      <c r="AC115" s="5">
        <v>2783448061548</v>
      </c>
      <c r="AD115" s="36">
        <f t="shared" si="7"/>
        <v>14.42717238232451</v>
      </c>
      <c r="AE115" s="5">
        <v>1539684351455</v>
      </c>
      <c r="AF115" s="5">
        <v>1178078174269</v>
      </c>
      <c r="AG115" s="5">
        <v>2350000000</v>
      </c>
      <c r="AH115" s="5">
        <v>0</v>
      </c>
      <c r="AI115" s="5">
        <v>0</v>
      </c>
      <c r="AJ115" s="5">
        <v>0</v>
      </c>
      <c r="AK115" s="5">
        <v>0</v>
      </c>
      <c r="AL115" s="6">
        <v>1</v>
      </c>
      <c r="AM115" s="5">
        <v>23500000000</v>
      </c>
      <c r="AN115" s="6">
        <v>82</v>
      </c>
      <c r="AO115" s="5">
        <v>466100305834</v>
      </c>
      <c r="AP115" s="6">
        <v>27</v>
      </c>
      <c r="AQ115" s="5">
        <v>197287627436</v>
      </c>
      <c r="AR115" s="5">
        <v>154628018038</v>
      </c>
      <c r="AS115" s="5">
        <v>38155428939</v>
      </c>
      <c r="AT115" s="5">
        <f t="shared" si="8"/>
        <v>116472589099</v>
      </c>
      <c r="AU115" s="36">
        <f t="shared" si="9"/>
        <v>305.25823542753909</v>
      </c>
      <c r="AV115" s="5">
        <v>1115058372290</v>
      </c>
      <c r="AW115" s="5">
        <v>328929683874</v>
      </c>
      <c r="AX115" s="5">
        <v>957322432612</v>
      </c>
      <c r="AY115" s="5">
        <v>349932873537</v>
      </c>
      <c r="AZ115" s="5">
        <v>903024562964</v>
      </c>
      <c r="BA115" s="5">
        <v>621139899616</v>
      </c>
      <c r="BB115" s="5">
        <v>719099235901</v>
      </c>
      <c r="BC115" s="5">
        <v>2853133292360</v>
      </c>
      <c r="BD115" s="5">
        <v>1358189142915</v>
      </c>
      <c r="BE115" s="5">
        <v>903024562964</v>
      </c>
      <c r="BF115" s="5">
        <v>591919586481</v>
      </c>
      <c r="BG115" s="5">
        <v>1127857113910</v>
      </c>
      <c r="BH115" s="5">
        <v>411827237545</v>
      </c>
      <c r="BI115" s="5">
        <v>0</v>
      </c>
      <c r="BJ115" s="48">
        <v>0</v>
      </c>
      <c r="BK115" s="5">
        <v>2350000000</v>
      </c>
      <c r="BL115" s="5">
        <v>0</v>
      </c>
      <c r="BM115" s="5">
        <v>986400000</v>
      </c>
      <c r="BN115" s="5">
        <v>0</v>
      </c>
    </row>
    <row r="116" spans="1:66" x14ac:dyDescent="0.25">
      <c r="A116" s="17" t="s">
        <v>154</v>
      </c>
      <c r="B116" s="4">
        <v>1607</v>
      </c>
      <c r="C116" s="4" t="s">
        <v>161</v>
      </c>
      <c r="D116" s="5">
        <v>706769176848</v>
      </c>
      <c r="E116" s="5">
        <v>7989139550</v>
      </c>
      <c r="F116" s="5">
        <v>0</v>
      </c>
      <c r="G116" s="5">
        <v>0</v>
      </c>
      <c r="H116" s="5">
        <v>714758316398</v>
      </c>
      <c r="I116" s="5">
        <v>50601849846</v>
      </c>
      <c r="J116" s="5">
        <v>3737195585</v>
      </c>
      <c r="K116" s="5">
        <v>660419270967</v>
      </c>
      <c r="L116" s="5">
        <v>392011395558</v>
      </c>
      <c r="M116" s="5">
        <f t="shared" si="5"/>
        <v>322746920840</v>
      </c>
      <c r="N116" s="36">
        <f t="shared" si="6"/>
        <v>82.331004786376937</v>
      </c>
      <c r="O116" s="5">
        <v>618569597311</v>
      </c>
      <c r="P116" s="36">
        <v>95.47</v>
      </c>
      <c r="Q116" s="6">
        <v>93.66</v>
      </c>
      <c r="R116" s="6">
        <v>2.57</v>
      </c>
      <c r="S116" s="5">
        <v>640203569959</v>
      </c>
      <c r="T116" s="5">
        <v>17502633448</v>
      </c>
      <c r="U116" s="5">
        <v>14824200471</v>
      </c>
      <c r="V116" s="5">
        <v>2423869144</v>
      </c>
      <c r="W116" s="5">
        <v>254563833</v>
      </c>
      <c r="X116" s="5">
        <v>657706203407</v>
      </c>
      <c r="Y116" s="5">
        <v>21943347</v>
      </c>
      <c r="Z116" s="5">
        <v>16694902808</v>
      </c>
      <c r="AA116" s="5">
        <v>8000000000</v>
      </c>
      <c r="AB116" s="5">
        <v>682401106215</v>
      </c>
      <c r="AC116" s="5">
        <v>378623152471</v>
      </c>
      <c r="AD116" s="36">
        <f t="shared" si="7"/>
        <v>73.709980257315593</v>
      </c>
      <c r="AE116" s="5">
        <v>473333812000</v>
      </c>
      <c r="AF116" s="5">
        <v>473333812000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6">
        <v>0</v>
      </c>
      <c r="AM116" s="5">
        <v>0</v>
      </c>
      <c r="AN116" s="6">
        <v>3</v>
      </c>
      <c r="AO116" s="5">
        <v>5550000000</v>
      </c>
      <c r="AP116" s="6">
        <v>0</v>
      </c>
      <c r="AQ116" s="5">
        <v>0</v>
      </c>
      <c r="AR116" s="5">
        <v>17502633448</v>
      </c>
      <c r="AS116" s="5">
        <v>8912547927</v>
      </c>
      <c r="AT116" s="5">
        <f t="shared" si="8"/>
        <v>8590085521</v>
      </c>
      <c r="AU116" s="36">
        <f t="shared" si="9"/>
        <v>96.381927944273698</v>
      </c>
      <c r="AV116" s="5">
        <v>126802598955</v>
      </c>
      <c r="AW116" s="5">
        <v>42764171656</v>
      </c>
      <c r="AX116" s="5">
        <v>175328882877</v>
      </c>
      <c r="AY116" s="5">
        <v>147305838155</v>
      </c>
      <c r="AZ116" s="5">
        <v>214857255816</v>
      </c>
      <c r="BA116" s="5">
        <v>170627493784</v>
      </c>
      <c r="BB116" s="5">
        <v>121997935277</v>
      </c>
      <c r="BC116" s="5">
        <v>714758316398</v>
      </c>
      <c r="BD116" s="5">
        <v>327254854331</v>
      </c>
      <c r="BE116" s="5">
        <v>214857255816</v>
      </c>
      <c r="BF116" s="5">
        <v>172646206251</v>
      </c>
      <c r="BG116" s="5">
        <v>139768812000</v>
      </c>
      <c r="BH116" s="5">
        <v>333565000000</v>
      </c>
      <c r="BI116" s="5">
        <v>0</v>
      </c>
      <c r="BJ116" s="48">
        <v>0</v>
      </c>
      <c r="BK116" s="5">
        <v>0</v>
      </c>
      <c r="BL116" s="5">
        <v>0</v>
      </c>
      <c r="BM116" s="5">
        <v>0</v>
      </c>
      <c r="BN116" s="5">
        <v>0</v>
      </c>
    </row>
    <row r="117" spans="1:66" x14ac:dyDescent="0.25">
      <c r="A117" s="17" t="s">
        <v>154</v>
      </c>
      <c r="B117" s="4">
        <v>1608</v>
      </c>
      <c r="C117" s="4" t="s">
        <v>162</v>
      </c>
      <c r="D117" s="5">
        <v>3096365601721</v>
      </c>
      <c r="E117" s="5">
        <v>453805496779</v>
      </c>
      <c r="F117" s="5">
        <v>0</v>
      </c>
      <c r="G117" s="5">
        <v>0</v>
      </c>
      <c r="H117" s="5">
        <v>3550171098500</v>
      </c>
      <c r="I117" s="5">
        <v>231562938377</v>
      </c>
      <c r="J117" s="5">
        <v>19787301120</v>
      </c>
      <c r="K117" s="5">
        <v>3298820859003</v>
      </c>
      <c r="L117" s="5">
        <v>2592836648541</v>
      </c>
      <c r="M117" s="5">
        <f t="shared" si="5"/>
        <v>957334449959</v>
      </c>
      <c r="N117" s="36">
        <f t="shared" si="6"/>
        <v>36.922281644610976</v>
      </c>
      <c r="O117" s="5">
        <v>3901220662575</v>
      </c>
      <c r="P117" s="36">
        <v>139.68</v>
      </c>
      <c r="Q117" s="6">
        <v>118.26</v>
      </c>
      <c r="R117" s="6">
        <v>5.19</v>
      </c>
      <c r="S117" s="5">
        <v>4500944979988</v>
      </c>
      <c r="T117" s="5">
        <v>255106144827</v>
      </c>
      <c r="U117" s="5">
        <v>77617518622</v>
      </c>
      <c r="V117" s="5">
        <v>164782144093</v>
      </c>
      <c r="W117" s="5">
        <v>12706482112</v>
      </c>
      <c r="X117" s="5">
        <v>4756051124815</v>
      </c>
      <c r="Y117" s="5">
        <v>2362614495</v>
      </c>
      <c r="Z117" s="5">
        <v>194502519499</v>
      </c>
      <c r="AA117" s="5">
        <v>8269300000</v>
      </c>
      <c r="AB117" s="5">
        <v>4958822944314</v>
      </c>
      <c r="AC117" s="5">
        <v>5213803410352</v>
      </c>
      <c r="AD117" s="36">
        <f t="shared" si="7"/>
        <v>-8.779623041178219</v>
      </c>
      <c r="AE117" s="5">
        <v>2189593567114</v>
      </c>
      <c r="AF117" s="5">
        <v>1545543567114</v>
      </c>
      <c r="AG117" s="5">
        <v>0</v>
      </c>
      <c r="AH117" s="5">
        <v>527085869</v>
      </c>
      <c r="AI117" s="5">
        <v>0</v>
      </c>
      <c r="AJ117" s="5">
        <v>0</v>
      </c>
      <c r="AK117" s="5">
        <v>0</v>
      </c>
      <c r="AL117" s="6">
        <v>0</v>
      </c>
      <c r="AM117" s="5">
        <v>0</v>
      </c>
      <c r="AN117" s="6">
        <v>391</v>
      </c>
      <c r="AO117" s="5">
        <v>3602682953003</v>
      </c>
      <c r="AP117" s="6">
        <v>314</v>
      </c>
      <c r="AQ117" s="5">
        <v>3768479204886</v>
      </c>
      <c r="AR117" s="5">
        <v>255106144827</v>
      </c>
      <c r="AS117" s="5">
        <v>107595350461</v>
      </c>
      <c r="AT117" s="5">
        <f t="shared" si="8"/>
        <v>147510794366</v>
      </c>
      <c r="AU117" s="36">
        <f t="shared" si="9"/>
        <v>137.09774050084823</v>
      </c>
      <c r="AV117" s="5">
        <v>2094045939034</v>
      </c>
      <c r="AW117" s="5">
        <v>674080927738</v>
      </c>
      <c r="AX117" s="5">
        <v>716123353792</v>
      </c>
      <c r="AY117" s="5">
        <v>612985670024</v>
      </c>
      <c r="AZ117" s="5">
        <v>976878577905</v>
      </c>
      <c r="BA117" s="5">
        <v>810973610028</v>
      </c>
      <c r="BB117" s="5">
        <v>807606326172</v>
      </c>
      <c r="BC117" s="5">
        <v>3550171098500</v>
      </c>
      <c r="BD117" s="5">
        <v>1734207581952</v>
      </c>
      <c r="BE117" s="5">
        <v>976878577905</v>
      </c>
      <c r="BF117" s="5">
        <v>839084938643</v>
      </c>
      <c r="BG117" s="5">
        <v>1613653288211</v>
      </c>
      <c r="BH117" s="5">
        <v>575940278903</v>
      </c>
      <c r="BI117" s="5">
        <v>0</v>
      </c>
      <c r="BJ117" s="48">
        <v>0</v>
      </c>
      <c r="BK117" s="5">
        <v>0</v>
      </c>
      <c r="BL117" s="5">
        <v>0</v>
      </c>
      <c r="BM117" s="5">
        <v>0</v>
      </c>
      <c r="BN117" s="5">
        <v>527085869</v>
      </c>
    </row>
    <row r="118" spans="1:66" x14ac:dyDescent="0.25">
      <c r="A118" s="17" t="s">
        <v>154</v>
      </c>
      <c r="B118" s="4">
        <v>1609</v>
      </c>
      <c r="C118" s="4" t="s">
        <v>163</v>
      </c>
      <c r="D118" s="5">
        <v>4935528943990</v>
      </c>
      <c r="E118" s="5">
        <v>159123688027</v>
      </c>
      <c r="F118" s="5">
        <v>0</v>
      </c>
      <c r="G118" s="5">
        <v>0</v>
      </c>
      <c r="H118" s="5">
        <v>5094652632017</v>
      </c>
      <c r="I118" s="5">
        <v>436809072716</v>
      </c>
      <c r="J118" s="5">
        <v>7633277348</v>
      </c>
      <c r="K118" s="5">
        <v>4650210281953</v>
      </c>
      <c r="L118" s="5">
        <v>3817810342172</v>
      </c>
      <c r="M118" s="5">
        <f t="shared" si="5"/>
        <v>1276842289845</v>
      </c>
      <c r="N118" s="36">
        <f t="shared" si="6"/>
        <v>33.444361437781332</v>
      </c>
      <c r="O118" s="5">
        <v>2018205896987</v>
      </c>
      <c r="P118" s="36">
        <v>48.52</v>
      </c>
      <c r="Q118" s="6">
        <v>43.4</v>
      </c>
      <c r="R118" s="6">
        <v>2.99</v>
      </c>
      <c r="S118" s="5">
        <v>2254730794446</v>
      </c>
      <c r="T118" s="5">
        <v>61786731521</v>
      </c>
      <c r="U118" s="5">
        <v>35468285444</v>
      </c>
      <c r="V118" s="5">
        <v>13177845477</v>
      </c>
      <c r="W118" s="5">
        <v>13140600600</v>
      </c>
      <c r="X118" s="5">
        <v>2316517525967</v>
      </c>
      <c r="Y118" s="5">
        <v>12176977923</v>
      </c>
      <c r="Z118" s="5">
        <v>151856072926</v>
      </c>
      <c r="AA118" s="5">
        <v>3718250000</v>
      </c>
      <c r="AB118" s="5">
        <v>2472091848893</v>
      </c>
      <c r="AC118" s="5">
        <v>1849461455828</v>
      </c>
      <c r="AD118" s="36">
        <f t="shared" si="7"/>
        <v>25.253625517158994</v>
      </c>
      <c r="AE118" s="5">
        <v>1295546422477</v>
      </c>
      <c r="AF118" s="5">
        <v>1255646379088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6">
        <v>0</v>
      </c>
      <c r="AM118" s="5">
        <v>0</v>
      </c>
      <c r="AN118" s="6">
        <v>90</v>
      </c>
      <c r="AO118" s="5">
        <v>2432394137366</v>
      </c>
      <c r="AP118" s="6">
        <v>109</v>
      </c>
      <c r="AQ118" s="5">
        <v>2462283432262</v>
      </c>
      <c r="AR118" s="5">
        <v>61786731521</v>
      </c>
      <c r="AS118" s="5">
        <v>40491764991</v>
      </c>
      <c r="AT118" s="5">
        <f t="shared" si="8"/>
        <v>21294966530</v>
      </c>
      <c r="AU118" s="36">
        <f t="shared" si="9"/>
        <v>52.590857757702523</v>
      </c>
      <c r="AV118" s="5">
        <v>898408715639</v>
      </c>
      <c r="AW118" s="5">
        <v>164592307720</v>
      </c>
      <c r="AX118" s="5">
        <v>712493894684</v>
      </c>
      <c r="AY118" s="5">
        <v>350662350068</v>
      </c>
      <c r="AZ118" s="5">
        <v>1041833199238</v>
      </c>
      <c r="BA118" s="5">
        <v>2841922621792</v>
      </c>
      <c r="BB118" s="5">
        <v>779214553005</v>
      </c>
      <c r="BC118" s="5">
        <v>5094652632017</v>
      </c>
      <c r="BD118" s="5">
        <v>1222279932779</v>
      </c>
      <c r="BE118" s="5">
        <v>1041833199238</v>
      </c>
      <c r="BF118" s="5">
        <v>2830539500000</v>
      </c>
      <c r="BG118" s="5">
        <v>877845575941</v>
      </c>
      <c r="BH118" s="5">
        <v>417700846536</v>
      </c>
      <c r="BI118" s="5">
        <v>0</v>
      </c>
      <c r="BJ118" s="48">
        <v>0</v>
      </c>
      <c r="BK118" s="5">
        <v>0</v>
      </c>
      <c r="BL118" s="5">
        <v>0</v>
      </c>
      <c r="BM118" s="5">
        <v>6097876827</v>
      </c>
      <c r="BN118" s="5">
        <v>0</v>
      </c>
    </row>
    <row r="119" spans="1:66" x14ac:dyDescent="0.25">
      <c r="A119" s="17" t="s">
        <v>154</v>
      </c>
      <c r="B119" s="4">
        <v>1610</v>
      </c>
      <c r="C119" s="4" t="s">
        <v>164</v>
      </c>
      <c r="D119" s="5">
        <v>2426269589448</v>
      </c>
      <c r="E119" s="5">
        <v>332074136017</v>
      </c>
      <c r="F119" s="5">
        <v>0</v>
      </c>
      <c r="G119" s="5">
        <v>0</v>
      </c>
      <c r="H119" s="5">
        <v>2758343725465</v>
      </c>
      <c r="I119" s="5">
        <v>206872687655</v>
      </c>
      <c r="J119" s="5">
        <v>3371341127</v>
      </c>
      <c r="K119" s="5">
        <v>2548099696683</v>
      </c>
      <c r="L119" s="5">
        <v>2292158083222</v>
      </c>
      <c r="M119" s="5">
        <f t="shared" si="5"/>
        <v>466185642243</v>
      </c>
      <c r="N119" s="36">
        <f t="shared" si="6"/>
        <v>20.33828494009019</v>
      </c>
      <c r="O119" s="5">
        <v>3357880603106</v>
      </c>
      <c r="P119" s="36">
        <v>145.36000000000001</v>
      </c>
      <c r="Q119" s="6">
        <v>131.78</v>
      </c>
      <c r="R119" s="6">
        <v>2.04</v>
      </c>
      <c r="S119" s="5">
        <v>3758294171386</v>
      </c>
      <c r="T119" s="5">
        <v>81586354521</v>
      </c>
      <c r="U119" s="5">
        <v>64526789136</v>
      </c>
      <c r="V119" s="5">
        <v>17005264643</v>
      </c>
      <c r="W119" s="5">
        <v>54300742</v>
      </c>
      <c r="X119" s="5">
        <v>3839880525907</v>
      </c>
      <c r="Y119" s="5">
        <v>16169447</v>
      </c>
      <c r="Z119" s="5">
        <v>153011559173</v>
      </c>
      <c r="AA119" s="5">
        <v>16642973973</v>
      </c>
      <c r="AB119" s="5">
        <v>4009535059053</v>
      </c>
      <c r="AC119" s="5">
        <v>3351545567148</v>
      </c>
      <c r="AD119" s="36">
        <f t="shared" si="7"/>
        <v>14.570440681030302</v>
      </c>
      <c r="AE119" s="5">
        <v>1931154934451</v>
      </c>
      <c r="AF119" s="5">
        <v>1931154934451</v>
      </c>
      <c r="AG119" s="5">
        <v>0</v>
      </c>
      <c r="AH119" s="5">
        <v>2130067679</v>
      </c>
      <c r="AI119" s="5">
        <v>6018379725</v>
      </c>
      <c r="AJ119" s="5">
        <v>0</v>
      </c>
      <c r="AK119" s="5">
        <v>0</v>
      </c>
      <c r="AL119" s="6">
        <v>0</v>
      </c>
      <c r="AM119" s="5">
        <v>0</v>
      </c>
      <c r="AN119" s="6">
        <v>285</v>
      </c>
      <c r="AO119" s="5">
        <v>6319629121274</v>
      </c>
      <c r="AP119" s="6">
        <v>231</v>
      </c>
      <c r="AQ119" s="5">
        <v>2500044317632</v>
      </c>
      <c r="AR119" s="5">
        <v>81586354521</v>
      </c>
      <c r="AS119" s="5">
        <v>23052977972</v>
      </c>
      <c r="AT119" s="5">
        <f t="shared" si="8"/>
        <v>58533376549</v>
      </c>
      <c r="AU119" s="36">
        <f t="shared" si="9"/>
        <v>253.90809213496959</v>
      </c>
      <c r="AV119" s="5">
        <v>1290480110452</v>
      </c>
      <c r="AW119" s="5">
        <v>272806900696</v>
      </c>
      <c r="AX119" s="5">
        <v>509303273020</v>
      </c>
      <c r="AY119" s="5">
        <v>303740308124</v>
      </c>
      <c r="AZ119" s="5">
        <v>973844505631</v>
      </c>
      <c r="BA119" s="5">
        <v>769651665885</v>
      </c>
      <c r="BB119" s="5">
        <v>761017016677</v>
      </c>
      <c r="BC119" s="5">
        <v>2758343725465</v>
      </c>
      <c r="BD119" s="5">
        <v>1144742752329</v>
      </c>
      <c r="BE119" s="5">
        <v>973844505631</v>
      </c>
      <c r="BF119" s="5">
        <v>639756467505</v>
      </c>
      <c r="BG119" s="5">
        <v>1173808101019</v>
      </c>
      <c r="BH119" s="5">
        <v>757346833432</v>
      </c>
      <c r="BI119" s="5">
        <v>0</v>
      </c>
      <c r="BJ119" s="48">
        <v>0</v>
      </c>
      <c r="BK119" s="5">
        <v>0</v>
      </c>
      <c r="BL119" s="5">
        <v>0</v>
      </c>
      <c r="BM119" s="5">
        <v>0</v>
      </c>
      <c r="BN119" s="5">
        <v>2130067679</v>
      </c>
    </row>
    <row r="120" spans="1:66" x14ac:dyDescent="0.25">
      <c r="A120" s="17" t="s">
        <v>154</v>
      </c>
      <c r="B120" s="4">
        <v>1611</v>
      </c>
      <c r="C120" s="4" t="s">
        <v>165</v>
      </c>
      <c r="D120" s="5">
        <v>198387690075</v>
      </c>
      <c r="E120" s="5">
        <v>5740087431</v>
      </c>
      <c r="F120" s="5">
        <v>0</v>
      </c>
      <c r="G120" s="5">
        <v>0</v>
      </c>
      <c r="H120" s="5">
        <v>204127777506</v>
      </c>
      <c r="I120" s="5">
        <v>16678530531</v>
      </c>
      <c r="J120" s="5">
        <v>2844140000</v>
      </c>
      <c r="K120" s="5">
        <v>184605106975</v>
      </c>
      <c r="L120" s="5">
        <v>271963657753</v>
      </c>
      <c r="M120" s="5">
        <f t="shared" si="5"/>
        <v>-67835880247</v>
      </c>
      <c r="N120" s="36">
        <f t="shared" si="6"/>
        <v>-24.942994518999004</v>
      </c>
      <c r="O120" s="5">
        <v>508463912110</v>
      </c>
      <c r="P120" s="36">
        <v>277.57</v>
      </c>
      <c r="Q120" s="6">
        <v>275.43</v>
      </c>
      <c r="R120" s="6">
        <v>13.02</v>
      </c>
      <c r="S120" s="5">
        <v>433814457019</v>
      </c>
      <c r="T120" s="5">
        <v>73785443574</v>
      </c>
      <c r="U120" s="5">
        <v>4982845347</v>
      </c>
      <c r="V120" s="5">
        <v>68802598227</v>
      </c>
      <c r="W120" s="5">
        <v>0</v>
      </c>
      <c r="X120" s="5">
        <v>507599900593</v>
      </c>
      <c r="Y120" s="5">
        <v>0</v>
      </c>
      <c r="Z120" s="5">
        <v>52583092610</v>
      </c>
      <c r="AA120" s="5">
        <v>6408150000</v>
      </c>
      <c r="AB120" s="5">
        <v>566591143203</v>
      </c>
      <c r="AC120" s="5">
        <v>535223457337</v>
      </c>
      <c r="AD120" s="36">
        <f t="shared" si="7"/>
        <v>-5.1611259494194792</v>
      </c>
      <c r="AE120" s="5">
        <v>321042438650</v>
      </c>
      <c r="AF120" s="5">
        <v>316846126671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6">
        <v>0</v>
      </c>
      <c r="AM120" s="5">
        <v>0</v>
      </c>
      <c r="AN120" s="6">
        <v>8</v>
      </c>
      <c r="AO120" s="5">
        <v>24439000000</v>
      </c>
      <c r="AP120" s="6">
        <v>0</v>
      </c>
      <c r="AQ120" s="5">
        <v>0</v>
      </c>
      <c r="AR120" s="5">
        <v>73785443574</v>
      </c>
      <c r="AS120" s="5">
        <v>627725899</v>
      </c>
      <c r="AT120" s="5">
        <f t="shared" si="8"/>
        <v>73157717675</v>
      </c>
      <c r="AU120" s="36">
        <f t="shared" si="9"/>
        <v>11654.404859118295</v>
      </c>
      <c r="AV120" s="5">
        <v>92492630361</v>
      </c>
      <c r="AW120" s="5">
        <v>27400306000</v>
      </c>
      <c r="AX120" s="5">
        <v>16853393482</v>
      </c>
      <c r="AY120" s="5">
        <v>24816426540</v>
      </c>
      <c r="AZ120" s="5">
        <v>75461870053</v>
      </c>
      <c r="BA120" s="5">
        <v>91997161844</v>
      </c>
      <c r="BB120" s="5">
        <v>72824086169</v>
      </c>
      <c r="BC120" s="5">
        <v>204127777506</v>
      </c>
      <c r="BD120" s="5">
        <v>47409907453</v>
      </c>
      <c r="BE120" s="5">
        <v>75461870053</v>
      </c>
      <c r="BF120" s="5">
        <v>81256000000</v>
      </c>
      <c r="BG120" s="5">
        <v>249049572114</v>
      </c>
      <c r="BH120" s="5">
        <v>71992866536</v>
      </c>
      <c r="BI120" s="5">
        <v>0</v>
      </c>
      <c r="BJ120" s="48">
        <v>0</v>
      </c>
      <c r="BK120" s="5">
        <v>0</v>
      </c>
      <c r="BL120" s="5">
        <v>0</v>
      </c>
      <c r="BM120" s="5">
        <v>0</v>
      </c>
      <c r="BN120" s="5">
        <v>0</v>
      </c>
    </row>
    <row r="121" spans="1:66" x14ac:dyDescent="0.25">
      <c r="A121" s="17" t="s">
        <v>154</v>
      </c>
      <c r="B121" s="4">
        <v>1699</v>
      </c>
      <c r="C121" s="4" t="s">
        <v>166</v>
      </c>
      <c r="D121" s="5">
        <v>0</v>
      </c>
      <c r="E121" s="5">
        <v>704600226</v>
      </c>
      <c r="F121" s="5">
        <v>0</v>
      </c>
      <c r="G121" s="5">
        <v>0</v>
      </c>
      <c r="H121" s="5">
        <v>704600226</v>
      </c>
      <c r="I121" s="5">
        <v>238259165</v>
      </c>
      <c r="J121" s="5">
        <v>2864800000</v>
      </c>
      <c r="K121" s="5">
        <v>-2398458939</v>
      </c>
      <c r="L121" s="5">
        <v>647690230</v>
      </c>
      <c r="M121" s="5">
        <f t="shared" si="5"/>
        <v>56909996</v>
      </c>
      <c r="N121" s="36">
        <f t="shared" si="6"/>
        <v>8.7866071408858524</v>
      </c>
      <c r="O121" s="5">
        <v>0</v>
      </c>
      <c r="P121" s="36">
        <v>0</v>
      </c>
      <c r="Q121" s="6">
        <v>0</v>
      </c>
      <c r="R121" s="6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36">
        <f t="shared" si="7"/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6">
        <v>0</v>
      </c>
      <c r="AM121" s="5">
        <v>0</v>
      </c>
      <c r="AN121" s="6">
        <v>0</v>
      </c>
      <c r="AO121" s="5">
        <v>0</v>
      </c>
      <c r="AP121" s="6">
        <v>0</v>
      </c>
      <c r="AQ121" s="5">
        <v>0</v>
      </c>
      <c r="AR121" s="5">
        <v>0</v>
      </c>
      <c r="AS121" s="5">
        <v>0</v>
      </c>
      <c r="AT121" s="5">
        <f t="shared" si="8"/>
        <v>0</v>
      </c>
      <c r="AU121" s="36">
        <f t="shared" si="9"/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704600226</v>
      </c>
      <c r="BD121" s="5">
        <v>704600226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48">
        <v>0</v>
      </c>
      <c r="BK121" s="5">
        <v>0</v>
      </c>
      <c r="BL121" s="5">
        <v>0</v>
      </c>
      <c r="BM121" s="5">
        <v>0</v>
      </c>
      <c r="BN121" s="5">
        <v>0</v>
      </c>
    </row>
    <row r="122" spans="1:66" x14ac:dyDescent="0.25">
      <c r="A122" s="30" t="s">
        <v>579</v>
      </c>
      <c r="B122" s="13" t="s">
        <v>625</v>
      </c>
      <c r="C122" s="13" t="s">
        <v>625</v>
      </c>
      <c r="D122" s="14">
        <v>25174774618179</v>
      </c>
      <c r="E122" s="14">
        <v>1742399277084</v>
      </c>
      <c r="F122" s="14">
        <v>87500000</v>
      </c>
      <c r="G122" s="14">
        <v>1233539376142</v>
      </c>
      <c r="H122" s="14">
        <v>28150800771405</v>
      </c>
      <c r="I122" s="14">
        <v>2320539901295</v>
      </c>
      <c r="J122" s="14">
        <v>174578903203</v>
      </c>
      <c r="K122" s="14">
        <v>25655681966907</v>
      </c>
      <c r="L122" s="14">
        <v>24144631122180</v>
      </c>
      <c r="M122" s="14">
        <f t="shared" si="5"/>
        <v>4006169649225</v>
      </c>
      <c r="N122" s="41">
        <f t="shared" si="6"/>
        <v>16.592382915077174</v>
      </c>
      <c r="O122" s="14">
        <v>24863462269221</v>
      </c>
      <c r="P122" s="41">
        <v>112.5</v>
      </c>
      <c r="Q122" s="15">
        <v>96.91</v>
      </c>
      <c r="R122" s="15">
        <v>3.76</v>
      </c>
      <c r="S122" s="14">
        <v>29027648261036</v>
      </c>
      <c r="T122" s="14">
        <v>1098458233140</v>
      </c>
      <c r="U122" s="14">
        <v>577338283588</v>
      </c>
      <c r="V122" s="14">
        <v>393605327880</v>
      </c>
      <c r="W122" s="14">
        <v>127514621672</v>
      </c>
      <c r="X122" s="14">
        <v>30126106494176</v>
      </c>
      <c r="Y122" s="14">
        <v>93470001479</v>
      </c>
      <c r="Z122" s="14">
        <v>1420567735954</v>
      </c>
      <c r="AA122" s="14">
        <v>122501556472</v>
      </c>
      <c r="AB122" s="14">
        <v>31669175786602</v>
      </c>
      <c r="AC122" s="14">
        <v>27522544405897</v>
      </c>
      <c r="AD122" s="41">
        <f t="shared" si="7"/>
        <v>9.4597434375331915</v>
      </c>
      <c r="AE122" s="14">
        <v>13695455176484</v>
      </c>
      <c r="AF122" s="14">
        <v>12512953315869</v>
      </c>
      <c r="AG122" s="14">
        <v>2350000000</v>
      </c>
      <c r="AH122" s="14">
        <v>12458410201</v>
      </c>
      <c r="AI122" s="14">
        <v>152567887304</v>
      </c>
      <c r="AJ122" s="14">
        <v>20000000000</v>
      </c>
      <c r="AK122" s="14">
        <v>1500000000</v>
      </c>
      <c r="AL122" s="15">
        <v>2</v>
      </c>
      <c r="AM122" s="14">
        <v>570550840830</v>
      </c>
      <c r="AN122" s="16">
        <v>1142</v>
      </c>
      <c r="AO122" s="14">
        <v>15440391677115</v>
      </c>
      <c r="AP122" s="16">
        <v>901</v>
      </c>
      <c r="AQ122" s="14">
        <v>10855257616034</v>
      </c>
      <c r="AR122" s="14">
        <v>1098458233140</v>
      </c>
      <c r="AS122" s="14">
        <v>501872721651</v>
      </c>
      <c r="AT122" s="14">
        <f t="shared" si="8"/>
        <v>596585511489</v>
      </c>
      <c r="AU122" s="41">
        <f t="shared" si="9"/>
        <v>118.8718744319128</v>
      </c>
      <c r="AV122" s="14">
        <v>10306466963563</v>
      </c>
      <c r="AW122" s="14">
        <v>2516946871789</v>
      </c>
      <c r="AX122" s="14">
        <v>5977154448712</v>
      </c>
      <c r="AY122" s="14">
        <v>3068879822033</v>
      </c>
      <c r="AZ122" s="14">
        <v>7791354557057</v>
      </c>
      <c r="BA122" s="14">
        <v>9107572830349</v>
      </c>
      <c r="BB122" s="14">
        <v>6124815660501</v>
      </c>
      <c r="BC122" s="14">
        <v>28150800771405</v>
      </c>
      <c r="BD122" s="14">
        <v>11915279555731</v>
      </c>
      <c r="BE122" s="14">
        <v>7791442057057</v>
      </c>
      <c r="BF122" s="14">
        <v>8444079158617</v>
      </c>
      <c r="BG122" s="14">
        <v>9280137821700</v>
      </c>
      <c r="BH122" s="14">
        <v>4415317354784</v>
      </c>
      <c r="BI122" s="14">
        <v>0</v>
      </c>
      <c r="BJ122" s="49">
        <v>0</v>
      </c>
      <c r="BK122" s="14">
        <v>2350000000</v>
      </c>
      <c r="BL122" s="14">
        <v>0</v>
      </c>
      <c r="BM122" s="14">
        <v>24162527127</v>
      </c>
      <c r="BN122" s="14">
        <v>12458410201</v>
      </c>
    </row>
    <row r="123" spans="1:66" x14ac:dyDescent="0.25">
      <c r="A123" s="17" t="s">
        <v>580</v>
      </c>
      <c r="B123" s="4">
        <v>1700</v>
      </c>
      <c r="C123" s="4" t="s">
        <v>167</v>
      </c>
      <c r="D123" s="5">
        <v>19415682713444</v>
      </c>
      <c r="E123" s="5">
        <v>1934485909508</v>
      </c>
      <c r="F123" s="5">
        <v>0</v>
      </c>
      <c r="G123" s="5">
        <v>440799082266</v>
      </c>
      <c r="H123" s="5">
        <v>21790967705218</v>
      </c>
      <c r="I123" s="5">
        <v>1728865729123</v>
      </c>
      <c r="J123" s="5">
        <v>125424878350</v>
      </c>
      <c r="K123" s="5">
        <v>19936677097745</v>
      </c>
      <c r="L123" s="5">
        <v>19011958601350</v>
      </c>
      <c r="M123" s="5">
        <f t="shared" si="5"/>
        <v>2779009103868</v>
      </c>
      <c r="N123" s="36">
        <f t="shared" si="6"/>
        <v>14.617163660721774</v>
      </c>
      <c r="O123" s="5">
        <v>59893206191016</v>
      </c>
      <c r="P123" s="36">
        <v>348.96</v>
      </c>
      <c r="Q123" s="6">
        <v>300.42</v>
      </c>
      <c r="R123" s="6">
        <v>5.64</v>
      </c>
      <c r="S123" s="5">
        <v>59911954081439</v>
      </c>
      <c r="T123" s="5">
        <v>2550802250437</v>
      </c>
      <c r="U123" s="5">
        <v>434700001766</v>
      </c>
      <c r="V123" s="5">
        <v>792155768212</v>
      </c>
      <c r="W123" s="5">
        <v>1323946480459</v>
      </c>
      <c r="X123" s="5">
        <v>62462756331876</v>
      </c>
      <c r="Y123" s="5">
        <v>1740772445286</v>
      </c>
      <c r="Z123" s="5">
        <v>13570539582338</v>
      </c>
      <c r="AA123" s="5">
        <v>7999200000</v>
      </c>
      <c r="AB123" s="5">
        <v>76041295114214</v>
      </c>
      <c r="AC123" s="5">
        <v>48197588077246</v>
      </c>
      <c r="AD123" s="36">
        <f t="shared" si="7"/>
        <v>29.597265804602703</v>
      </c>
      <c r="AE123" s="5">
        <v>32178020491338</v>
      </c>
      <c r="AF123" s="5">
        <v>32068158847504</v>
      </c>
      <c r="AG123" s="5">
        <v>3399941622872</v>
      </c>
      <c r="AH123" s="5">
        <v>3076177037678</v>
      </c>
      <c r="AI123" s="5">
        <v>240211105024</v>
      </c>
      <c r="AJ123" s="5">
        <v>0</v>
      </c>
      <c r="AK123" s="5">
        <v>0</v>
      </c>
      <c r="AL123" s="6">
        <v>24</v>
      </c>
      <c r="AM123" s="5">
        <v>2465835270568</v>
      </c>
      <c r="AN123" s="6">
        <v>467</v>
      </c>
      <c r="AO123" s="5">
        <v>12129853609133</v>
      </c>
      <c r="AP123" s="6">
        <v>230</v>
      </c>
      <c r="AQ123" s="5">
        <v>8248998026812</v>
      </c>
      <c r="AR123" s="5">
        <v>2550802250437</v>
      </c>
      <c r="AS123" s="5">
        <v>764694528162</v>
      </c>
      <c r="AT123" s="5">
        <f t="shared" si="8"/>
        <v>1786107722275</v>
      </c>
      <c r="AU123" s="36">
        <f t="shared" si="9"/>
        <v>233.57140093156445</v>
      </c>
      <c r="AV123" s="5">
        <v>24525415758492</v>
      </c>
      <c r="AW123" s="5">
        <v>2407502118409</v>
      </c>
      <c r="AX123" s="5">
        <v>4643767139252</v>
      </c>
      <c r="AY123" s="5">
        <v>2436130768153</v>
      </c>
      <c r="AZ123" s="5">
        <v>7040988172338</v>
      </c>
      <c r="BA123" s="5">
        <v>5406932206201</v>
      </c>
      <c r="BB123" s="5">
        <v>2229699417899</v>
      </c>
      <c r="BC123" s="5">
        <v>21790967705218</v>
      </c>
      <c r="BD123" s="5">
        <v>9455182899179</v>
      </c>
      <c r="BE123" s="5">
        <v>7040988172338</v>
      </c>
      <c r="BF123" s="5">
        <v>5294796633701</v>
      </c>
      <c r="BG123" s="5">
        <v>17389542414395</v>
      </c>
      <c r="BH123" s="5">
        <v>14788478076943</v>
      </c>
      <c r="BI123" s="5">
        <v>0</v>
      </c>
      <c r="BJ123" s="48">
        <v>1191349089496</v>
      </c>
      <c r="BK123" s="5">
        <v>2630304198848</v>
      </c>
      <c r="BL123" s="5">
        <v>155709488693</v>
      </c>
      <c r="BM123" s="5">
        <v>17068163998</v>
      </c>
      <c r="BN123" s="5">
        <v>2931166246380</v>
      </c>
    </row>
    <row r="124" spans="1:66" x14ac:dyDescent="0.25">
      <c r="A124" s="17" t="s">
        <v>580</v>
      </c>
      <c r="B124" s="4">
        <v>1701</v>
      </c>
      <c r="C124" s="4" t="s">
        <v>168</v>
      </c>
      <c r="D124" s="5">
        <v>6379616657536</v>
      </c>
      <c r="E124" s="5">
        <v>239596206063</v>
      </c>
      <c r="F124" s="5">
        <v>0</v>
      </c>
      <c r="G124" s="5">
        <v>1807680391868</v>
      </c>
      <c r="H124" s="5">
        <v>8426893255467</v>
      </c>
      <c r="I124" s="5">
        <v>641471921876</v>
      </c>
      <c r="J124" s="5">
        <v>13498516686</v>
      </c>
      <c r="K124" s="5">
        <v>7771922816905</v>
      </c>
      <c r="L124" s="5">
        <v>6423386116564</v>
      </c>
      <c r="M124" s="5">
        <f t="shared" si="5"/>
        <v>2003507138903</v>
      </c>
      <c r="N124" s="36">
        <f t="shared" si="6"/>
        <v>31.190825252378207</v>
      </c>
      <c r="O124" s="5">
        <v>4690530560722</v>
      </c>
      <c r="P124" s="36">
        <v>60.66</v>
      </c>
      <c r="Q124" s="6">
        <v>60.35</v>
      </c>
      <c r="R124" s="6">
        <v>51</v>
      </c>
      <c r="S124" s="5">
        <v>1353125295258</v>
      </c>
      <c r="T124" s="5">
        <v>2459463325981</v>
      </c>
      <c r="U124" s="5">
        <v>4185822024</v>
      </c>
      <c r="V124" s="5">
        <v>636352733548</v>
      </c>
      <c r="W124" s="5">
        <v>1818924770409</v>
      </c>
      <c r="X124" s="5">
        <v>3812588621239</v>
      </c>
      <c r="Y124" s="5">
        <v>147575735781</v>
      </c>
      <c r="Z124" s="5">
        <v>1281019211858</v>
      </c>
      <c r="AA124" s="5">
        <v>17995199364</v>
      </c>
      <c r="AB124" s="5">
        <v>5111603032461</v>
      </c>
      <c r="AC124" s="5">
        <v>3669736096728</v>
      </c>
      <c r="AD124" s="36">
        <f t="shared" si="7"/>
        <v>3.8927192785979834</v>
      </c>
      <c r="AE124" s="5">
        <v>597838280792</v>
      </c>
      <c r="AF124" s="5">
        <v>597838280792</v>
      </c>
      <c r="AG124" s="5">
        <v>0</v>
      </c>
      <c r="AH124" s="5">
        <v>0</v>
      </c>
      <c r="AI124" s="5">
        <v>68964573899</v>
      </c>
      <c r="AJ124" s="5">
        <v>0</v>
      </c>
      <c r="AK124" s="5">
        <v>0</v>
      </c>
      <c r="AL124" s="6">
        <v>0</v>
      </c>
      <c r="AM124" s="5">
        <v>0</v>
      </c>
      <c r="AN124" s="6">
        <v>5</v>
      </c>
      <c r="AO124" s="5">
        <v>1089095000000</v>
      </c>
      <c r="AP124" s="6">
        <v>25</v>
      </c>
      <c r="AQ124" s="5">
        <v>612030124528</v>
      </c>
      <c r="AR124" s="5">
        <v>2459463325981</v>
      </c>
      <c r="AS124" s="5">
        <v>2574405531739</v>
      </c>
      <c r="AT124" s="5">
        <f t="shared" si="8"/>
        <v>-114942205758</v>
      </c>
      <c r="AU124" s="36">
        <f t="shared" si="9"/>
        <v>-4.4648057324658179</v>
      </c>
      <c r="AV124" s="5">
        <v>441692772717</v>
      </c>
      <c r="AW124" s="5">
        <v>133924870582</v>
      </c>
      <c r="AX124" s="5">
        <v>715298851192</v>
      </c>
      <c r="AY124" s="5">
        <v>1007227791313</v>
      </c>
      <c r="AZ124" s="5">
        <v>1736054002831</v>
      </c>
      <c r="BA124" s="5">
        <v>2924487454376</v>
      </c>
      <c r="BB124" s="5">
        <v>178110820418</v>
      </c>
      <c r="BC124" s="5">
        <v>8426893255467</v>
      </c>
      <c r="BD124" s="5">
        <v>3769803240436</v>
      </c>
      <c r="BE124" s="5">
        <v>1736054002831</v>
      </c>
      <c r="BF124" s="5">
        <v>2921036012200</v>
      </c>
      <c r="BG124" s="5">
        <v>262147513475</v>
      </c>
      <c r="BH124" s="5">
        <v>335690767317</v>
      </c>
      <c r="BI124" s="5">
        <v>0</v>
      </c>
      <c r="BJ124" s="48">
        <v>53879380100</v>
      </c>
      <c r="BK124" s="5">
        <v>37904614233</v>
      </c>
      <c r="BL124" s="5">
        <v>0</v>
      </c>
      <c r="BM124" s="5">
        <v>0</v>
      </c>
      <c r="BN124" s="5">
        <v>0</v>
      </c>
    </row>
    <row r="125" spans="1:66" x14ac:dyDescent="0.25">
      <c r="A125" s="17" t="s">
        <v>580</v>
      </c>
      <c r="B125" s="4">
        <v>1703</v>
      </c>
      <c r="C125" s="4" t="s">
        <v>169</v>
      </c>
      <c r="D125" s="5">
        <v>2304829557860</v>
      </c>
      <c r="E125" s="5">
        <v>18060699100</v>
      </c>
      <c r="F125" s="5">
        <v>0</v>
      </c>
      <c r="G125" s="5">
        <v>0</v>
      </c>
      <c r="H125" s="5">
        <v>2322890256960</v>
      </c>
      <c r="I125" s="5">
        <v>183737043049</v>
      </c>
      <c r="J125" s="5">
        <v>8552950000</v>
      </c>
      <c r="K125" s="5">
        <v>2130600263911</v>
      </c>
      <c r="L125" s="5">
        <v>1857520027161</v>
      </c>
      <c r="M125" s="5">
        <f t="shared" si="5"/>
        <v>465370229799</v>
      </c>
      <c r="N125" s="36">
        <f t="shared" si="6"/>
        <v>25.053308873889424</v>
      </c>
      <c r="O125" s="5">
        <v>2712793690502</v>
      </c>
      <c r="P125" s="36">
        <v>141.04</v>
      </c>
      <c r="Q125" s="6">
        <v>127.33</v>
      </c>
      <c r="R125" s="6">
        <v>10.19</v>
      </c>
      <c r="S125" s="5">
        <v>2697223670947</v>
      </c>
      <c r="T125" s="5">
        <v>320232261479</v>
      </c>
      <c r="U125" s="5">
        <v>63665287416</v>
      </c>
      <c r="V125" s="5">
        <v>203691427168</v>
      </c>
      <c r="W125" s="5">
        <v>52875546895</v>
      </c>
      <c r="X125" s="5">
        <v>3017455932426</v>
      </c>
      <c r="Y125" s="5">
        <v>13653524436</v>
      </c>
      <c r="Z125" s="5">
        <v>223635859701</v>
      </c>
      <c r="AA125" s="5">
        <v>35199950977</v>
      </c>
      <c r="AB125" s="5">
        <v>3276291743104</v>
      </c>
      <c r="AC125" s="5">
        <v>2198038645980</v>
      </c>
      <c r="AD125" s="36">
        <f t="shared" si="7"/>
        <v>37.279475861110768</v>
      </c>
      <c r="AE125" s="5">
        <v>1497029940487</v>
      </c>
      <c r="AF125" s="5">
        <v>1128362611730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6">
        <v>0</v>
      </c>
      <c r="AM125" s="5">
        <v>0</v>
      </c>
      <c r="AN125" s="6">
        <v>8</v>
      </c>
      <c r="AO125" s="5">
        <v>14746870000</v>
      </c>
      <c r="AP125" s="6">
        <v>10</v>
      </c>
      <c r="AQ125" s="5">
        <v>4508509198</v>
      </c>
      <c r="AR125" s="5">
        <v>320232261479</v>
      </c>
      <c r="AS125" s="5">
        <v>241881105288</v>
      </c>
      <c r="AT125" s="5">
        <f t="shared" si="8"/>
        <v>78351156191</v>
      </c>
      <c r="AU125" s="36">
        <f t="shared" si="9"/>
        <v>32.392425236237372</v>
      </c>
      <c r="AV125" s="5">
        <v>669346801128</v>
      </c>
      <c r="AW125" s="5">
        <v>108810725890</v>
      </c>
      <c r="AX125" s="5">
        <v>965025067244</v>
      </c>
      <c r="AY125" s="5">
        <v>422359435203</v>
      </c>
      <c r="AZ125" s="5">
        <v>377573502038</v>
      </c>
      <c r="BA125" s="5">
        <v>556461914099</v>
      </c>
      <c r="BB125" s="5">
        <v>228758743900</v>
      </c>
      <c r="BC125" s="5">
        <v>2322890256960</v>
      </c>
      <c r="BD125" s="5">
        <v>1405415623550</v>
      </c>
      <c r="BE125" s="5">
        <v>377573502038</v>
      </c>
      <c r="BF125" s="5">
        <v>539901131372</v>
      </c>
      <c r="BG125" s="5">
        <v>973060261513</v>
      </c>
      <c r="BH125" s="5">
        <v>523969678974</v>
      </c>
      <c r="BI125" s="5">
        <v>0</v>
      </c>
      <c r="BJ125" s="48">
        <v>0</v>
      </c>
      <c r="BK125" s="5">
        <v>0</v>
      </c>
      <c r="BL125" s="5">
        <v>0</v>
      </c>
      <c r="BM125" s="5">
        <v>0</v>
      </c>
      <c r="BN125" s="5">
        <v>0</v>
      </c>
    </row>
    <row r="126" spans="1:66" x14ac:dyDescent="0.25">
      <c r="A126" s="17" t="s">
        <v>580</v>
      </c>
      <c r="B126" s="4">
        <v>1704</v>
      </c>
      <c r="C126" s="4" t="s">
        <v>170</v>
      </c>
      <c r="D126" s="5">
        <v>3090659968397</v>
      </c>
      <c r="E126" s="5">
        <v>37526632084</v>
      </c>
      <c r="F126" s="5">
        <v>0</v>
      </c>
      <c r="G126" s="5">
        <v>0</v>
      </c>
      <c r="H126" s="5">
        <v>3128186600481</v>
      </c>
      <c r="I126" s="5">
        <v>236636186228</v>
      </c>
      <c r="J126" s="5">
        <v>2102310000</v>
      </c>
      <c r="K126" s="5">
        <v>2889448104253</v>
      </c>
      <c r="L126" s="5">
        <v>2005768603615</v>
      </c>
      <c r="M126" s="5">
        <f t="shared" si="5"/>
        <v>1122417996866</v>
      </c>
      <c r="N126" s="36">
        <f t="shared" si="6"/>
        <v>55.959495768508106</v>
      </c>
      <c r="O126" s="5">
        <v>1827036137491</v>
      </c>
      <c r="P126" s="36">
        <v>66.650000000000006</v>
      </c>
      <c r="Q126" s="6">
        <v>63.23</v>
      </c>
      <c r="R126" s="6">
        <v>7.98</v>
      </c>
      <c r="S126" s="5">
        <v>1778464687043</v>
      </c>
      <c r="T126" s="5">
        <v>160067401506</v>
      </c>
      <c r="U126" s="5">
        <v>34345172585</v>
      </c>
      <c r="V126" s="5">
        <v>118828622738</v>
      </c>
      <c r="W126" s="5">
        <v>6893606183</v>
      </c>
      <c r="X126" s="5">
        <v>1938532088549</v>
      </c>
      <c r="Y126" s="5">
        <v>6373994753</v>
      </c>
      <c r="Z126" s="5">
        <v>129139490725</v>
      </c>
      <c r="AA126" s="5">
        <v>17216000000</v>
      </c>
      <c r="AB126" s="5">
        <v>2084887579274</v>
      </c>
      <c r="AC126" s="5">
        <v>2017392732260</v>
      </c>
      <c r="AD126" s="36">
        <f t="shared" si="7"/>
        <v>-3.9090377619560344</v>
      </c>
      <c r="AE126" s="5">
        <v>713947872970</v>
      </c>
      <c r="AF126" s="5">
        <v>713947872970</v>
      </c>
      <c r="AG126" s="5">
        <v>0</v>
      </c>
      <c r="AH126" s="5">
        <v>588101051</v>
      </c>
      <c r="AI126" s="5">
        <v>0</v>
      </c>
      <c r="AJ126" s="5">
        <v>0</v>
      </c>
      <c r="AK126" s="5">
        <v>0</v>
      </c>
      <c r="AL126" s="6">
        <v>0</v>
      </c>
      <c r="AM126" s="5">
        <v>0</v>
      </c>
      <c r="AN126" s="6">
        <v>73</v>
      </c>
      <c r="AO126" s="5">
        <v>333469858916</v>
      </c>
      <c r="AP126" s="6">
        <v>27</v>
      </c>
      <c r="AQ126" s="5">
        <v>104203245332</v>
      </c>
      <c r="AR126" s="5">
        <v>160067401506</v>
      </c>
      <c r="AS126" s="5">
        <v>42134604024</v>
      </c>
      <c r="AT126" s="5">
        <f t="shared" si="8"/>
        <v>117932797482</v>
      </c>
      <c r="AU126" s="36">
        <f t="shared" si="9"/>
        <v>279.89535018491006</v>
      </c>
      <c r="AV126" s="5">
        <v>773014362354</v>
      </c>
      <c r="AW126" s="5">
        <v>162267235615</v>
      </c>
      <c r="AX126" s="5">
        <v>516745850107</v>
      </c>
      <c r="AY126" s="5">
        <v>713587253566</v>
      </c>
      <c r="AZ126" s="5">
        <v>1301170927252</v>
      </c>
      <c r="BA126" s="5">
        <v>635030625284</v>
      </c>
      <c r="BB126" s="5">
        <v>308331847025</v>
      </c>
      <c r="BC126" s="5">
        <v>3128186600481</v>
      </c>
      <c r="BD126" s="5">
        <v>1267903812277</v>
      </c>
      <c r="BE126" s="5">
        <v>1301170927252</v>
      </c>
      <c r="BF126" s="5">
        <v>559111860952</v>
      </c>
      <c r="BG126" s="5">
        <v>221528075017</v>
      </c>
      <c r="BH126" s="5">
        <v>492419797953</v>
      </c>
      <c r="BI126" s="5">
        <v>0</v>
      </c>
      <c r="BJ126" s="48">
        <v>0</v>
      </c>
      <c r="BK126" s="5">
        <v>0</v>
      </c>
      <c r="BL126" s="5">
        <v>493601051</v>
      </c>
      <c r="BM126" s="5">
        <v>0</v>
      </c>
      <c r="BN126" s="5">
        <v>94500000</v>
      </c>
    </row>
    <row r="127" spans="1:66" x14ac:dyDescent="0.25">
      <c r="A127" s="17" t="s">
        <v>580</v>
      </c>
      <c r="B127" s="4">
        <v>1705</v>
      </c>
      <c r="C127" s="4" t="s">
        <v>171</v>
      </c>
      <c r="D127" s="5">
        <v>4465766873655</v>
      </c>
      <c r="E127" s="5">
        <v>28116411423</v>
      </c>
      <c r="F127" s="5">
        <v>0</v>
      </c>
      <c r="G127" s="5">
        <v>0</v>
      </c>
      <c r="H127" s="5">
        <v>4493883285078</v>
      </c>
      <c r="I127" s="5">
        <v>415556085376</v>
      </c>
      <c r="J127" s="5">
        <v>1952100635</v>
      </c>
      <c r="K127" s="5">
        <v>4076375099067</v>
      </c>
      <c r="L127" s="5">
        <v>5267765689852</v>
      </c>
      <c r="M127" s="5">
        <f t="shared" si="5"/>
        <v>-773882404774</v>
      </c>
      <c r="N127" s="36">
        <f t="shared" si="6"/>
        <v>-14.690904082253184</v>
      </c>
      <c r="O127" s="5">
        <v>3542779637653</v>
      </c>
      <c r="P127" s="36">
        <v>90.26</v>
      </c>
      <c r="Q127" s="6">
        <v>86.91</v>
      </c>
      <c r="R127" s="6">
        <v>7.12</v>
      </c>
      <c r="S127" s="5">
        <v>3630245279056</v>
      </c>
      <c r="T127" s="5">
        <v>268060118308</v>
      </c>
      <c r="U127" s="5">
        <v>164951589762</v>
      </c>
      <c r="V127" s="5">
        <v>72504540858</v>
      </c>
      <c r="W127" s="5">
        <v>30603987688</v>
      </c>
      <c r="X127" s="5">
        <v>3898305397364</v>
      </c>
      <c r="Y127" s="5">
        <v>20813329814</v>
      </c>
      <c r="Z127" s="5">
        <v>141901198836</v>
      </c>
      <c r="AA127" s="5">
        <v>15916400000</v>
      </c>
      <c r="AB127" s="5">
        <v>4056122996200</v>
      </c>
      <c r="AC127" s="5">
        <v>3622378394351</v>
      </c>
      <c r="AD127" s="36">
        <f t="shared" si="7"/>
        <v>7.6172882281790493</v>
      </c>
      <c r="AE127" s="5">
        <v>1755994774883</v>
      </c>
      <c r="AF127" s="5">
        <v>1676856013761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6">
        <v>0</v>
      </c>
      <c r="AM127" s="5">
        <v>0</v>
      </c>
      <c r="AN127" s="6">
        <v>59</v>
      </c>
      <c r="AO127" s="5">
        <v>632867935648</v>
      </c>
      <c r="AP127" s="6">
        <v>39</v>
      </c>
      <c r="AQ127" s="5">
        <v>143895769867</v>
      </c>
      <c r="AR127" s="5">
        <v>268060118308</v>
      </c>
      <c r="AS127" s="5">
        <v>115041397511</v>
      </c>
      <c r="AT127" s="5">
        <f t="shared" si="8"/>
        <v>153018720797</v>
      </c>
      <c r="AU127" s="36">
        <f t="shared" si="9"/>
        <v>133.01187581832764</v>
      </c>
      <c r="AV127" s="5">
        <v>1309758258201</v>
      </c>
      <c r="AW127" s="5">
        <v>307425112598</v>
      </c>
      <c r="AX127" s="5">
        <v>1320933777083</v>
      </c>
      <c r="AY127" s="5">
        <v>474168913547</v>
      </c>
      <c r="AZ127" s="5">
        <v>570638083524</v>
      </c>
      <c r="BA127" s="5">
        <v>2137527346221</v>
      </c>
      <c r="BB127" s="5">
        <v>279958207919</v>
      </c>
      <c r="BC127" s="5">
        <v>4493883285078</v>
      </c>
      <c r="BD127" s="5">
        <v>1823219102053</v>
      </c>
      <c r="BE127" s="5">
        <v>570138083524</v>
      </c>
      <c r="BF127" s="5">
        <v>2100526099501</v>
      </c>
      <c r="BG127" s="5">
        <v>444946686623</v>
      </c>
      <c r="BH127" s="5">
        <v>1311048088260</v>
      </c>
      <c r="BI127" s="5">
        <v>0</v>
      </c>
      <c r="BJ127" s="48">
        <v>0</v>
      </c>
      <c r="BK127" s="5">
        <v>0</v>
      </c>
      <c r="BL127" s="5">
        <v>0</v>
      </c>
      <c r="BM127" s="5">
        <v>737768537</v>
      </c>
      <c r="BN127" s="5">
        <v>0</v>
      </c>
    </row>
    <row r="128" spans="1:66" x14ac:dyDescent="0.25">
      <c r="A128" s="17" t="s">
        <v>580</v>
      </c>
      <c r="B128" s="4">
        <v>1706</v>
      </c>
      <c r="C128" s="4" t="s">
        <v>172</v>
      </c>
      <c r="D128" s="5">
        <v>3063197803880</v>
      </c>
      <c r="E128" s="5">
        <v>50574568982</v>
      </c>
      <c r="F128" s="5">
        <v>0</v>
      </c>
      <c r="G128" s="5">
        <v>0</v>
      </c>
      <c r="H128" s="5">
        <v>3113772372862</v>
      </c>
      <c r="I128" s="5">
        <v>288061041137</v>
      </c>
      <c r="J128" s="5">
        <v>387614750</v>
      </c>
      <c r="K128" s="5">
        <v>2825323716975</v>
      </c>
      <c r="L128" s="5">
        <v>2371487785163</v>
      </c>
      <c r="M128" s="5">
        <f t="shared" si="5"/>
        <v>742284587699</v>
      </c>
      <c r="N128" s="36">
        <f t="shared" si="6"/>
        <v>31.300375753273396</v>
      </c>
      <c r="O128" s="5">
        <v>2745544829872</v>
      </c>
      <c r="P128" s="36">
        <v>99.81</v>
      </c>
      <c r="Q128" s="6">
        <v>97.18</v>
      </c>
      <c r="R128" s="6">
        <v>2.82</v>
      </c>
      <c r="S128" s="5">
        <v>2804946973567</v>
      </c>
      <c r="T128" s="5">
        <v>80572872683</v>
      </c>
      <c r="U128" s="5">
        <v>45012137180</v>
      </c>
      <c r="V128" s="5">
        <v>26357457825</v>
      </c>
      <c r="W128" s="5">
        <v>9203277678</v>
      </c>
      <c r="X128" s="5">
        <v>2885519846250</v>
      </c>
      <c r="Y128" s="5">
        <v>7061854787</v>
      </c>
      <c r="Z128" s="5">
        <v>184624761802</v>
      </c>
      <c r="AA128" s="5">
        <v>37845459926</v>
      </c>
      <c r="AB128" s="5">
        <v>3107990067978</v>
      </c>
      <c r="AC128" s="5">
        <v>2311608494041</v>
      </c>
      <c r="AD128" s="36">
        <f t="shared" si="7"/>
        <v>24.827359550220653</v>
      </c>
      <c r="AE128" s="5">
        <v>1457603181884</v>
      </c>
      <c r="AF128" s="5">
        <v>1457603181884</v>
      </c>
      <c r="AG128" s="5">
        <v>0</v>
      </c>
      <c r="AH128" s="5">
        <v>46634574</v>
      </c>
      <c r="AI128" s="5">
        <v>0</v>
      </c>
      <c r="AJ128" s="5">
        <v>0</v>
      </c>
      <c r="AK128" s="5">
        <v>0</v>
      </c>
      <c r="AL128" s="6">
        <v>0</v>
      </c>
      <c r="AM128" s="5">
        <v>0</v>
      </c>
      <c r="AN128" s="6">
        <v>93</v>
      </c>
      <c r="AO128" s="5">
        <v>403672806177</v>
      </c>
      <c r="AP128" s="6">
        <v>64</v>
      </c>
      <c r="AQ128" s="5">
        <v>204365155202</v>
      </c>
      <c r="AR128" s="5">
        <v>80572872683</v>
      </c>
      <c r="AS128" s="5">
        <v>34164778970</v>
      </c>
      <c r="AT128" s="5">
        <f t="shared" si="8"/>
        <v>46408093713</v>
      </c>
      <c r="AU128" s="36">
        <f t="shared" si="9"/>
        <v>135.83607186146534</v>
      </c>
      <c r="AV128" s="5">
        <v>883499300225</v>
      </c>
      <c r="AW128" s="5">
        <v>124322461262</v>
      </c>
      <c r="AX128" s="5">
        <v>846345961815</v>
      </c>
      <c r="AY128" s="5">
        <v>455415139698</v>
      </c>
      <c r="AZ128" s="5">
        <v>987240172155</v>
      </c>
      <c r="BA128" s="5">
        <v>827432536756</v>
      </c>
      <c r="BB128" s="5">
        <v>741264978842</v>
      </c>
      <c r="BC128" s="5">
        <v>3113772372862</v>
      </c>
      <c r="BD128" s="5">
        <v>1352309727322</v>
      </c>
      <c r="BE128" s="5">
        <v>987240172155</v>
      </c>
      <c r="BF128" s="5">
        <v>774222473385</v>
      </c>
      <c r="BG128" s="5">
        <v>653954209297</v>
      </c>
      <c r="BH128" s="5">
        <v>803648972587</v>
      </c>
      <c r="BI128" s="5">
        <v>0</v>
      </c>
      <c r="BJ128" s="48">
        <v>0</v>
      </c>
      <c r="BK128" s="5">
        <v>0</v>
      </c>
      <c r="BL128" s="5">
        <v>46634574</v>
      </c>
      <c r="BM128" s="5">
        <v>0</v>
      </c>
      <c r="BN128" s="5">
        <v>0</v>
      </c>
    </row>
    <row r="129" spans="1:66" x14ac:dyDescent="0.25">
      <c r="A129" s="17" t="s">
        <v>580</v>
      </c>
      <c r="B129" s="18">
        <v>1708</v>
      </c>
      <c r="C129" s="18" t="s">
        <v>173</v>
      </c>
      <c r="D129" s="19">
        <v>2143952979001</v>
      </c>
      <c r="E129" s="19">
        <v>120679034391</v>
      </c>
      <c r="F129" s="19">
        <v>0</v>
      </c>
      <c r="G129" s="19">
        <v>0</v>
      </c>
      <c r="H129" s="19">
        <v>2264632013392</v>
      </c>
      <c r="I129" s="19">
        <v>173193797600</v>
      </c>
      <c r="J129" s="19">
        <v>3611048000</v>
      </c>
      <c r="K129" s="19">
        <v>2087827167792</v>
      </c>
      <c r="L129" s="19">
        <v>1156356794459</v>
      </c>
      <c r="M129" s="5">
        <f t="shared" si="5"/>
        <v>1108275218933</v>
      </c>
      <c r="N129" s="36">
        <f t="shared" si="6"/>
        <v>95.841977514518348</v>
      </c>
      <c r="O129" s="19">
        <v>1485496943516</v>
      </c>
      <c r="P129" s="36">
        <v>76.12</v>
      </c>
      <c r="Q129" s="20">
        <v>71.150000000000006</v>
      </c>
      <c r="R129" s="20">
        <v>1.3</v>
      </c>
      <c r="S129" s="19">
        <v>1589427582349</v>
      </c>
      <c r="T129" s="19">
        <v>20770962129</v>
      </c>
      <c r="U129" s="19">
        <v>13075097451</v>
      </c>
      <c r="V129" s="19">
        <v>5708590572</v>
      </c>
      <c r="W129" s="19">
        <v>1987274106</v>
      </c>
      <c r="X129" s="19">
        <v>1610198544478</v>
      </c>
      <c r="Y129" s="5">
        <v>1625013010</v>
      </c>
      <c r="Z129" s="19">
        <v>107388971942</v>
      </c>
      <c r="AA129" s="19">
        <v>6166402372</v>
      </c>
      <c r="AB129" s="19">
        <v>1723753918792</v>
      </c>
      <c r="AC129" s="19">
        <v>1195779130859</v>
      </c>
      <c r="AD129" s="36">
        <f t="shared" si="7"/>
        <v>34.656852835464491</v>
      </c>
      <c r="AE129" s="19">
        <v>999487925649</v>
      </c>
      <c r="AF129" s="19">
        <v>999487925649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20">
        <v>0</v>
      </c>
      <c r="AM129" s="19">
        <v>0</v>
      </c>
      <c r="AN129" s="21">
        <v>21</v>
      </c>
      <c r="AO129" s="19">
        <v>115582475000</v>
      </c>
      <c r="AP129" s="21">
        <v>14</v>
      </c>
      <c r="AQ129" s="19">
        <v>50054933170</v>
      </c>
      <c r="AR129" s="19">
        <v>20770962129</v>
      </c>
      <c r="AS129" s="19">
        <v>70183255728</v>
      </c>
      <c r="AT129" s="5">
        <f t="shared" si="8"/>
        <v>-49412293599</v>
      </c>
      <c r="AU129" s="36">
        <f t="shared" si="9"/>
        <v>-70.404675711398625</v>
      </c>
      <c r="AV129" s="19">
        <v>650938096088</v>
      </c>
      <c r="AW129" s="19">
        <v>111064264016</v>
      </c>
      <c r="AX129" s="19">
        <v>406209097254</v>
      </c>
      <c r="AY129" s="19">
        <v>271904481969</v>
      </c>
      <c r="AZ129" s="19">
        <v>621334822971</v>
      </c>
      <c r="BA129" s="19">
        <v>982336177791</v>
      </c>
      <c r="BB129" s="19">
        <v>252124264341</v>
      </c>
      <c r="BC129" s="19">
        <v>2264632013392</v>
      </c>
      <c r="BD129" s="19">
        <v>796301990041</v>
      </c>
      <c r="BE129" s="19">
        <v>621334822971</v>
      </c>
      <c r="BF129" s="19">
        <v>846995200380</v>
      </c>
      <c r="BG129" s="19">
        <v>611501444402</v>
      </c>
      <c r="BH129" s="19">
        <v>387986481247</v>
      </c>
      <c r="BI129" s="19">
        <v>0</v>
      </c>
      <c r="BJ129" s="50">
        <v>0</v>
      </c>
      <c r="BK129" s="19">
        <v>0</v>
      </c>
      <c r="BL129" s="19">
        <v>0</v>
      </c>
      <c r="BM129" s="19">
        <v>0</v>
      </c>
      <c r="BN129" s="19">
        <v>35150000000</v>
      </c>
    </row>
    <row r="130" spans="1:66" x14ac:dyDescent="0.25">
      <c r="A130" s="17" t="s">
        <v>580</v>
      </c>
      <c r="B130" s="4">
        <v>1709</v>
      </c>
      <c r="C130" s="4" t="s">
        <v>174</v>
      </c>
      <c r="D130" s="5">
        <v>6283891085052</v>
      </c>
      <c r="E130" s="5">
        <v>38586113235</v>
      </c>
      <c r="F130" s="5">
        <v>0</v>
      </c>
      <c r="G130" s="5">
        <v>0</v>
      </c>
      <c r="H130" s="5">
        <v>6322477198287</v>
      </c>
      <c r="I130" s="5">
        <v>372064812075</v>
      </c>
      <c r="J130" s="5">
        <v>6208911532</v>
      </c>
      <c r="K130" s="5">
        <v>5944203474680</v>
      </c>
      <c r="L130" s="5">
        <v>3045544589531</v>
      </c>
      <c r="M130" s="5">
        <f t="shared" si="5"/>
        <v>3276932608756</v>
      </c>
      <c r="N130" s="36">
        <f t="shared" si="6"/>
        <v>107.59759092086163</v>
      </c>
      <c r="O130" s="5">
        <v>4642945680141</v>
      </c>
      <c r="P130" s="36">
        <v>83.8</v>
      </c>
      <c r="Q130" s="6">
        <v>78.11</v>
      </c>
      <c r="R130" s="6">
        <v>1.36</v>
      </c>
      <c r="S130" s="5">
        <v>4902153656238</v>
      </c>
      <c r="T130" s="5">
        <v>69909575036</v>
      </c>
      <c r="U130" s="5">
        <v>41844817757</v>
      </c>
      <c r="V130" s="5">
        <v>24371122376</v>
      </c>
      <c r="W130" s="5">
        <v>3693634903</v>
      </c>
      <c r="X130" s="5">
        <v>4972063231274</v>
      </c>
      <c r="Y130" s="5">
        <v>2258635755</v>
      </c>
      <c r="Z130" s="5">
        <v>266377589180</v>
      </c>
      <c r="AA130" s="5">
        <v>59799905298</v>
      </c>
      <c r="AB130" s="5">
        <v>5298240725752</v>
      </c>
      <c r="AC130" s="5">
        <v>2657799421009</v>
      </c>
      <c r="AD130" s="36">
        <f t="shared" si="7"/>
        <v>87.074434284676713</v>
      </c>
      <c r="AE130" s="5">
        <v>4272670423819</v>
      </c>
      <c r="AF130" s="5">
        <v>4272670423819</v>
      </c>
      <c r="AG130" s="5">
        <v>169674730499</v>
      </c>
      <c r="AH130" s="5">
        <v>0</v>
      </c>
      <c r="AI130" s="5">
        <v>0</v>
      </c>
      <c r="AJ130" s="5">
        <v>0</v>
      </c>
      <c r="AK130" s="5">
        <v>0</v>
      </c>
      <c r="AL130" s="6">
        <v>0</v>
      </c>
      <c r="AM130" s="5">
        <v>0</v>
      </c>
      <c r="AN130" s="6">
        <v>38</v>
      </c>
      <c r="AO130" s="5">
        <v>409253698962</v>
      </c>
      <c r="AP130" s="6">
        <v>15</v>
      </c>
      <c r="AQ130" s="5">
        <v>30888699379</v>
      </c>
      <c r="AR130" s="5">
        <v>69909575036</v>
      </c>
      <c r="AS130" s="5">
        <v>49787113004</v>
      </c>
      <c r="AT130" s="5">
        <f t="shared" si="8"/>
        <v>20122462032</v>
      </c>
      <c r="AU130" s="36">
        <f t="shared" si="9"/>
        <v>40.417009177421711</v>
      </c>
      <c r="AV130" s="5">
        <v>2133502650664</v>
      </c>
      <c r="AW130" s="5">
        <v>196074540434</v>
      </c>
      <c r="AX130" s="5">
        <v>1418109373046</v>
      </c>
      <c r="AY130" s="5">
        <v>825932301650</v>
      </c>
      <c r="AZ130" s="5">
        <v>1423248736165</v>
      </c>
      <c r="BA130" s="5">
        <v>2623839576351</v>
      </c>
      <c r="BB130" s="5">
        <v>865549519841</v>
      </c>
      <c r="BC130" s="5">
        <v>6322477198287</v>
      </c>
      <c r="BD130" s="5">
        <v>2282628104431</v>
      </c>
      <c r="BE130" s="5">
        <v>1423248736165</v>
      </c>
      <c r="BF130" s="5">
        <v>2616600357691</v>
      </c>
      <c r="BG130" s="5">
        <v>450855087012</v>
      </c>
      <c r="BH130" s="5">
        <v>3821815336807</v>
      </c>
      <c r="BI130" s="5">
        <v>0</v>
      </c>
      <c r="BJ130" s="48">
        <v>0</v>
      </c>
      <c r="BK130" s="5">
        <v>169674730499</v>
      </c>
      <c r="BL130" s="5">
        <v>0</v>
      </c>
      <c r="BM130" s="5">
        <v>0</v>
      </c>
      <c r="BN130" s="5">
        <v>0</v>
      </c>
    </row>
    <row r="131" spans="1:66" x14ac:dyDescent="0.25">
      <c r="A131" s="17" t="s">
        <v>580</v>
      </c>
      <c r="B131" s="4">
        <v>1710</v>
      </c>
      <c r="C131" s="4" t="s">
        <v>175</v>
      </c>
      <c r="D131" s="5">
        <v>2917699311761</v>
      </c>
      <c r="E131" s="5">
        <v>107647287743</v>
      </c>
      <c r="F131" s="5">
        <v>0</v>
      </c>
      <c r="G131" s="5">
        <v>0</v>
      </c>
      <c r="H131" s="5">
        <v>3025346599504</v>
      </c>
      <c r="I131" s="5">
        <v>219708155131</v>
      </c>
      <c r="J131" s="5">
        <v>1987074728</v>
      </c>
      <c r="K131" s="5">
        <v>2803651369645</v>
      </c>
      <c r="L131" s="5">
        <v>1530922825767</v>
      </c>
      <c r="M131" s="5">
        <f t="shared" si="5"/>
        <v>1494423773737</v>
      </c>
      <c r="N131" s="36">
        <f t="shared" si="6"/>
        <v>97.615879036115757</v>
      </c>
      <c r="O131" s="5">
        <v>1699590788989</v>
      </c>
      <c r="P131" s="36">
        <v>64.11</v>
      </c>
      <c r="Q131" s="6">
        <v>60.62</v>
      </c>
      <c r="R131" s="6">
        <v>0.99</v>
      </c>
      <c r="S131" s="5">
        <v>1823502628527</v>
      </c>
      <c r="T131" s="5">
        <v>16200917589</v>
      </c>
      <c r="U131" s="5">
        <v>13070986362</v>
      </c>
      <c r="V131" s="5">
        <v>3129931227</v>
      </c>
      <c r="W131" s="5">
        <v>0</v>
      </c>
      <c r="X131" s="5">
        <v>1839703546116</v>
      </c>
      <c r="Y131" s="5">
        <v>3070539680</v>
      </c>
      <c r="Z131" s="5">
        <v>86401624347</v>
      </c>
      <c r="AA131" s="5">
        <v>13511900000</v>
      </c>
      <c r="AB131" s="5">
        <v>1939617070463</v>
      </c>
      <c r="AC131" s="5">
        <v>899742388378</v>
      </c>
      <c r="AD131" s="36">
        <f t="shared" si="7"/>
        <v>104.47003163122102</v>
      </c>
      <c r="AE131" s="5">
        <v>1834674084712</v>
      </c>
      <c r="AF131" s="5">
        <v>1834674084712</v>
      </c>
      <c r="AG131" s="5">
        <v>132770242003</v>
      </c>
      <c r="AH131" s="5">
        <v>0</v>
      </c>
      <c r="AI131" s="5">
        <v>0</v>
      </c>
      <c r="AJ131" s="5">
        <v>0</v>
      </c>
      <c r="AK131" s="5">
        <v>0</v>
      </c>
      <c r="AL131" s="6">
        <v>8</v>
      </c>
      <c r="AM131" s="5">
        <v>411825742147</v>
      </c>
      <c r="AN131" s="6">
        <v>223</v>
      </c>
      <c r="AO131" s="5">
        <v>778945000016</v>
      </c>
      <c r="AP131" s="6">
        <v>18</v>
      </c>
      <c r="AQ131" s="5">
        <v>122500377363</v>
      </c>
      <c r="AR131" s="5">
        <v>16200917589</v>
      </c>
      <c r="AS131" s="5">
        <v>3559823946</v>
      </c>
      <c r="AT131" s="5">
        <f t="shared" si="8"/>
        <v>12641093643</v>
      </c>
      <c r="AU131" s="36">
        <f t="shared" si="9"/>
        <v>355.10446119685719</v>
      </c>
      <c r="AV131" s="5">
        <v>891848767956</v>
      </c>
      <c r="AW131" s="5">
        <v>92673281098</v>
      </c>
      <c r="AX131" s="5">
        <v>810382950047</v>
      </c>
      <c r="AY131" s="5">
        <v>341121229753</v>
      </c>
      <c r="AZ131" s="5">
        <v>1340341809495</v>
      </c>
      <c r="BA131" s="5">
        <v>508803051902</v>
      </c>
      <c r="BB131" s="5">
        <v>988378508930</v>
      </c>
      <c r="BC131" s="5">
        <v>3025346599504</v>
      </c>
      <c r="BD131" s="5">
        <v>1259151467543</v>
      </c>
      <c r="BE131" s="5">
        <v>1340341809495</v>
      </c>
      <c r="BF131" s="5">
        <v>425853322466</v>
      </c>
      <c r="BG131" s="5">
        <v>260240830258</v>
      </c>
      <c r="BH131" s="5">
        <v>1574433254454</v>
      </c>
      <c r="BI131" s="5">
        <v>0</v>
      </c>
      <c r="BJ131" s="48">
        <v>0</v>
      </c>
      <c r="BK131" s="5">
        <v>132770242003</v>
      </c>
      <c r="BL131" s="5">
        <v>0</v>
      </c>
      <c r="BM131" s="5">
        <v>0</v>
      </c>
      <c r="BN131" s="5">
        <v>0</v>
      </c>
    </row>
    <row r="132" spans="1:66" x14ac:dyDescent="0.25">
      <c r="A132" s="17" t="s">
        <v>580</v>
      </c>
      <c r="B132" s="4">
        <v>1711</v>
      </c>
      <c r="C132" s="4" t="s">
        <v>176</v>
      </c>
      <c r="D132" s="5">
        <v>68340940684947</v>
      </c>
      <c r="E132" s="5">
        <v>65359926188</v>
      </c>
      <c r="F132" s="5">
        <v>0</v>
      </c>
      <c r="G132" s="5">
        <v>156876200</v>
      </c>
      <c r="H132" s="5">
        <v>68406457487335</v>
      </c>
      <c r="I132" s="5">
        <v>5879753069261</v>
      </c>
      <c r="J132" s="5">
        <v>13461027760</v>
      </c>
      <c r="K132" s="5">
        <v>62513243390314</v>
      </c>
      <c r="L132" s="5">
        <v>18646729692261</v>
      </c>
      <c r="M132" s="5">
        <f t="shared" ref="M132:M195" si="10">H132-L132</f>
        <v>49759727795074</v>
      </c>
      <c r="N132" s="36">
        <f t="shared" ref="N132:N195" si="11">IFERROR(M132/L132*100,0)</f>
        <v>266.85498538505607</v>
      </c>
      <c r="O132" s="5">
        <v>5965491825430</v>
      </c>
      <c r="P132" s="36">
        <v>12.97</v>
      </c>
      <c r="Q132" s="6">
        <v>9.5399999999999991</v>
      </c>
      <c r="R132" s="6">
        <v>0.2</v>
      </c>
      <c r="S132" s="5">
        <v>8780296048161</v>
      </c>
      <c r="T132" s="5">
        <v>16944792840</v>
      </c>
      <c r="U132" s="5">
        <v>6982566953</v>
      </c>
      <c r="V132" s="5">
        <v>9842728846</v>
      </c>
      <c r="W132" s="5">
        <v>119497041</v>
      </c>
      <c r="X132" s="5">
        <v>8797240841001</v>
      </c>
      <c r="Y132" s="5">
        <v>367664337</v>
      </c>
      <c r="Z132" s="5">
        <v>69559816156</v>
      </c>
      <c r="AA132" s="5">
        <v>8811198946</v>
      </c>
      <c r="AB132" s="5">
        <v>8875611856103</v>
      </c>
      <c r="AC132" s="5">
        <v>3689503003326</v>
      </c>
      <c r="AD132" s="36">
        <f t="shared" ref="AD132:AD195" si="12">IFERROR((X132-AC132)/AC132*100,0)</f>
        <v>138.43972570480346</v>
      </c>
      <c r="AE132" s="5">
        <v>5312915315853</v>
      </c>
      <c r="AF132" s="5">
        <v>5312915315853</v>
      </c>
      <c r="AG132" s="5">
        <v>569416782385</v>
      </c>
      <c r="AH132" s="5">
        <v>246661643</v>
      </c>
      <c r="AI132" s="5">
        <v>11477650666</v>
      </c>
      <c r="AJ132" s="5">
        <v>0</v>
      </c>
      <c r="AK132" s="5">
        <v>0</v>
      </c>
      <c r="AL132" s="6">
        <v>19</v>
      </c>
      <c r="AM132" s="5">
        <v>567328052392</v>
      </c>
      <c r="AN132" s="6">
        <v>15</v>
      </c>
      <c r="AO132" s="5">
        <v>318276605391</v>
      </c>
      <c r="AP132" s="6">
        <v>19</v>
      </c>
      <c r="AQ132" s="5">
        <v>237764131692</v>
      </c>
      <c r="AR132" s="5">
        <v>16944792840</v>
      </c>
      <c r="AS132" s="5">
        <v>15963931490</v>
      </c>
      <c r="AT132" s="5">
        <f t="shared" ref="AT132:AT195" si="13">AR132-AS132</f>
        <v>980861350</v>
      </c>
      <c r="AU132" s="36">
        <f t="shared" ref="AU132:AU195" si="14">IFERROR(AT132/AS132*100,0)</f>
        <v>6.1442342734584114</v>
      </c>
      <c r="AV132" s="5">
        <v>1959692585645</v>
      </c>
      <c r="AW132" s="5">
        <v>76495803616</v>
      </c>
      <c r="AX132" s="5">
        <v>593795663616</v>
      </c>
      <c r="AY132" s="5">
        <v>70663873541</v>
      </c>
      <c r="AZ132" s="5">
        <v>3404934178557</v>
      </c>
      <c r="BA132" s="5">
        <v>64312305721925</v>
      </c>
      <c r="BB132" s="5">
        <v>393102534386</v>
      </c>
      <c r="BC132" s="5">
        <v>68406457487335</v>
      </c>
      <c r="BD132" s="5">
        <v>720064366424</v>
      </c>
      <c r="BE132" s="5">
        <v>3404931678557</v>
      </c>
      <c r="BF132" s="5">
        <v>64281461442354</v>
      </c>
      <c r="BG132" s="5">
        <v>4139682403761</v>
      </c>
      <c r="BH132" s="5">
        <v>1173232912092</v>
      </c>
      <c r="BI132" s="5">
        <v>0</v>
      </c>
      <c r="BJ132" s="48">
        <v>0</v>
      </c>
      <c r="BK132" s="5">
        <v>569416782385</v>
      </c>
      <c r="BL132" s="5">
        <v>0</v>
      </c>
      <c r="BM132" s="5">
        <v>0</v>
      </c>
      <c r="BN132" s="5">
        <v>246661643</v>
      </c>
    </row>
    <row r="133" spans="1:66" x14ac:dyDescent="0.25">
      <c r="A133" s="17" t="s">
        <v>580</v>
      </c>
      <c r="B133" s="4">
        <v>1714</v>
      </c>
      <c r="C133" s="4" t="s">
        <v>177</v>
      </c>
      <c r="D133" s="5">
        <v>2128602826665</v>
      </c>
      <c r="E133" s="5">
        <v>438365381717</v>
      </c>
      <c r="F133" s="5">
        <v>0</v>
      </c>
      <c r="G133" s="5">
        <v>0</v>
      </c>
      <c r="H133" s="5">
        <v>2566968208382</v>
      </c>
      <c r="I133" s="5">
        <v>241774090031</v>
      </c>
      <c r="J133" s="5">
        <v>10439232650</v>
      </c>
      <c r="K133" s="5">
        <v>2314754885701</v>
      </c>
      <c r="L133" s="5">
        <v>2042413645147</v>
      </c>
      <c r="M133" s="5">
        <f t="shared" si="10"/>
        <v>524554563235</v>
      </c>
      <c r="N133" s="36">
        <f t="shared" si="11"/>
        <v>25.683071814634584</v>
      </c>
      <c r="O133" s="5">
        <v>2923221775039</v>
      </c>
      <c r="P133" s="36">
        <v>126.55</v>
      </c>
      <c r="Q133" s="6">
        <v>126.29</v>
      </c>
      <c r="R133" s="6">
        <v>9.14</v>
      </c>
      <c r="S133" s="5">
        <v>2786702053727</v>
      </c>
      <c r="T133" s="5">
        <v>291531324871</v>
      </c>
      <c r="U133" s="5">
        <v>10576825753</v>
      </c>
      <c r="V133" s="5">
        <v>77094391468</v>
      </c>
      <c r="W133" s="5">
        <v>203860107650</v>
      </c>
      <c r="X133" s="5">
        <v>3078233378598</v>
      </c>
      <c r="Y133" s="5">
        <v>5268905590</v>
      </c>
      <c r="Z133" s="5">
        <v>164267124537</v>
      </c>
      <c r="AA133" s="5">
        <v>6100000000</v>
      </c>
      <c r="AB133" s="5">
        <v>3248600503135</v>
      </c>
      <c r="AC133" s="5">
        <v>861222028783</v>
      </c>
      <c r="AD133" s="36">
        <f t="shared" si="12"/>
        <v>257.42622410017509</v>
      </c>
      <c r="AE133" s="5">
        <v>3432393176629</v>
      </c>
      <c r="AF133" s="5">
        <v>3432393176629</v>
      </c>
      <c r="AG133" s="5">
        <v>349706399511</v>
      </c>
      <c r="AH133" s="5">
        <v>200000000000</v>
      </c>
      <c r="AI133" s="5">
        <v>0</v>
      </c>
      <c r="AJ133" s="5">
        <v>0</v>
      </c>
      <c r="AK133" s="5">
        <v>0</v>
      </c>
      <c r="AL133" s="6">
        <v>1</v>
      </c>
      <c r="AM133" s="5">
        <v>150000000000</v>
      </c>
      <c r="AN133" s="6">
        <v>70</v>
      </c>
      <c r="AO133" s="5">
        <v>2462398152344</v>
      </c>
      <c r="AP133" s="6">
        <v>41</v>
      </c>
      <c r="AQ133" s="5">
        <v>890554422212</v>
      </c>
      <c r="AR133" s="5">
        <v>291531324871</v>
      </c>
      <c r="AS133" s="5">
        <v>23559420693</v>
      </c>
      <c r="AT133" s="5">
        <f t="shared" si="13"/>
        <v>267971904178</v>
      </c>
      <c r="AU133" s="36">
        <f t="shared" si="14"/>
        <v>1137.4299379849356</v>
      </c>
      <c r="AV133" s="5">
        <v>1383077522984</v>
      </c>
      <c r="AW133" s="5">
        <v>270682741414</v>
      </c>
      <c r="AX133" s="5">
        <v>611494582268</v>
      </c>
      <c r="AY133" s="5">
        <v>608263605643</v>
      </c>
      <c r="AZ133" s="5">
        <v>493095875657</v>
      </c>
      <c r="BA133" s="5">
        <v>426129016925</v>
      </c>
      <c r="BB133" s="5">
        <v>157934304573</v>
      </c>
      <c r="BC133" s="5">
        <v>2566968208382</v>
      </c>
      <c r="BD133" s="5">
        <v>1545297370814</v>
      </c>
      <c r="BE133" s="5">
        <v>493095875657</v>
      </c>
      <c r="BF133" s="5">
        <v>528574961911</v>
      </c>
      <c r="BG133" s="5">
        <v>997732809154</v>
      </c>
      <c r="BH133" s="5">
        <v>2434660367475</v>
      </c>
      <c r="BI133" s="5">
        <v>0</v>
      </c>
      <c r="BJ133" s="48">
        <v>0</v>
      </c>
      <c r="BK133" s="5">
        <v>358254102119</v>
      </c>
      <c r="BL133" s="5">
        <v>0</v>
      </c>
      <c r="BM133" s="5">
        <v>200000000000</v>
      </c>
      <c r="BN133" s="5">
        <v>0</v>
      </c>
    </row>
    <row r="134" spans="1:66" x14ac:dyDescent="0.25">
      <c r="A134" s="17" t="s">
        <v>580</v>
      </c>
      <c r="B134" s="4">
        <v>1715</v>
      </c>
      <c r="C134" s="4" t="s">
        <v>178</v>
      </c>
      <c r="D134" s="5">
        <v>5841507679155</v>
      </c>
      <c r="E134" s="5">
        <v>243892517029</v>
      </c>
      <c r="F134" s="5">
        <v>0</v>
      </c>
      <c r="G134" s="5">
        <v>0</v>
      </c>
      <c r="H134" s="5">
        <v>6085400196184</v>
      </c>
      <c r="I134" s="5">
        <v>543110143113</v>
      </c>
      <c r="J134" s="5">
        <v>3357790000</v>
      </c>
      <c r="K134" s="5">
        <v>5538932263071</v>
      </c>
      <c r="L134" s="5">
        <v>3486048308677</v>
      </c>
      <c r="M134" s="5">
        <f t="shared" si="10"/>
        <v>2599351887507</v>
      </c>
      <c r="N134" s="36">
        <f t="shared" si="11"/>
        <v>74.564425313242069</v>
      </c>
      <c r="O134" s="5">
        <v>2593367056641</v>
      </c>
      <c r="P134" s="36">
        <v>48.16</v>
      </c>
      <c r="Q134" s="6">
        <v>46.82</v>
      </c>
      <c r="R134" s="6">
        <v>0.8</v>
      </c>
      <c r="S134" s="5">
        <v>2779176676876</v>
      </c>
      <c r="T134" s="5">
        <v>22676387263</v>
      </c>
      <c r="U134" s="5">
        <v>14469610808</v>
      </c>
      <c r="V134" s="5">
        <v>5431616540</v>
      </c>
      <c r="W134" s="5">
        <v>2775159915</v>
      </c>
      <c r="X134" s="5">
        <v>2801853064139</v>
      </c>
      <c r="Y134" s="5">
        <v>793207245</v>
      </c>
      <c r="Z134" s="5">
        <v>115322311890</v>
      </c>
      <c r="AA134" s="5">
        <v>13829990000</v>
      </c>
      <c r="AB134" s="5">
        <v>2931005366029</v>
      </c>
      <c r="AC134" s="5">
        <v>2866271639998</v>
      </c>
      <c r="AD134" s="36">
        <f t="shared" si="12"/>
        <v>-2.2474693242628234</v>
      </c>
      <c r="AE134" s="5">
        <v>4206426076744</v>
      </c>
      <c r="AF134" s="5">
        <v>4206426076744</v>
      </c>
      <c r="AG134" s="5">
        <v>579385989539</v>
      </c>
      <c r="AH134" s="5">
        <v>190253492547</v>
      </c>
      <c r="AI134" s="5">
        <v>0</v>
      </c>
      <c r="AJ134" s="5">
        <v>0</v>
      </c>
      <c r="AK134" s="5">
        <v>0</v>
      </c>
      <c r="AL134" s="6">
        <v>5</v>
      </c>
      <c r="AM134" s="5">
        <v>281000315181</v>
      </c>
      <c r="AN134" s="6">
        <v>32</v>
      </c>
      <c r="AO134" s="5">
        <v>967295250664</v>
      </c>
      <c r="AP134" s="6">
        <v>28</v>
      </c>
      <c r="AQ134" s="5">
        <v>5045848976944</v>
      </c>
      <c r="AR134" s="5">
        <v>22676387263</v>
      </c>
      <c r="AS134" s="5">
        <v>318203438259</v>
      </c>
      <c r="AT134" s="5">
        <f t="shared" si="13"/>
        <v>-295527050996</v>
      </c>
      <c r="AU134" s="36">
        <f t="shared" si="14"/>
        <v>-92.873619660720735</v>
      </c>
      <c r="AV134" s="5">
        <v>4178664571009</v>
      </c>
      <c r="AW134" s="5">
        <v>674884345458</v>
      </c>
      <c r="AX134" s="5">
        <v>2273119543303</v>
      </c>
      <c r="AY134" s="5">
        <v>320438883463</v>
      </c>
      <c r="AZ134" s="5">
        <v>538442252389</v>
      </c>
      <c r="BA134" s="5">
        <v>2713638774528</v>
      </c>
      <c r="BB134" s="5">
        <v>344624231252</v>
      </c>
      <c r="BC134" s="5">
        <v>6085400196184</v>
      </c>
      <c r="BD134" s="5">
        <v>2837450943795</v>
      </c>
      <c r="BE134" s="5">
        <v>538442252389</v>
      </c>
      <c r="BF134" s="5">
        <v>2709507000000</v>
      </c>
      <c r="BG134" s="5">
        <v>1270702905431</v>
      </c>
      <c r="BH134" s="5">
        <v>2935723171313</v>
      </c>
      <c r="BI134" s="5">
        <v>0</v>
      </c>
      <c r="BJ134" s="48">
        <v>2775159915</v>
      </c>
      <c r="BK134" s="5">
        <v>499384749539</v>
      </c>
      <c r="BL134" s="5">
        <v>0</v>
      </c>
      <c r="BM134" s="5">
        <v>0</v>
      </c>
      <c r="BN134" s="5">
        <v>190253492547</v>
      </c>
    </row>
    <row r="135" spans="1:66" x14ac:dyDescent="0.25">
      <c r="A135" s="17" t="s">
        <v>580</v>
      </c>
      <c r="B135" s="4">
        <v>1716</v>
      </c>
      <c r="C135" s="4" t="s">
        <v>179</v>
      </c>
      <c r="D135" s="5">
        <v>10802467858981</v>
      </c>
      <c r="E135" s="5">
        <v>251008582729</v>
      </c>
      <c r="F135" s="5">
        <v>0</v>
      </c>
      <c r="G135" s="5">
        <v>1331409823851</v>
      </c>
      <c r="H135" s="5">
        <v>12384886265561</v>
      </c>
      <c r="I135" s="5">
        <v>892939303717</v>
      </c>
      <c r="J135" s="5">
        <v>57471543844</v>
      </c>
      <c r="K135" s="5">
        <v>11434475418000</v>
      </c>
      <c r="L135" s="5">
        <v>11251122484490</v>
      </c>
      <c r="M135" s="5">
        <f t="shared" si="10"/>
        <v>1133763781071</v>
      </c>
      <c r="N135" s="36">
        <f t="shared" si="11"/>
        <v>10.07689483990532</v>
      </c>
      <c r="O135" s="5">
        <v>17043991450610</v>
      </c>
      <c r="P135" s="36">
        <v>217.57</v>
      </c>
      <c r="Q135" s="6">
        <v>149.06</v>
      </c>
      <c r="R135" s="6">
        <v>3.26</v>
      </c>
      <c r="S135" s="5">
        <v>25848797252426</v>
      </c>
      <c r="T135" s="5">
        <v>764132681720</v>
      </c>
      <c r="U135" s="5">
        <v>39756070484</v>
      </c>
      <c r="V135" s="5">
        <v>3954162635</v>
      </c>
      <c r="W135" s="5">
        <v>720422448601</v>
      </c>
      <c r="X135" s="5">
        <v>26612929934146</v>
      </c>
      <c r="Y135" s="5">
        <v>113360220475</v>
      </c>
      <c r="Z135" s="5">
        <v>316097197041</v>
      </c>
      <c r="AA135" s="5">
        <v>16306385637</v>
      </c>
      <c r="AB135" s="5">
        <v>26945333516824</v>
      </c>
      <c r="AC135" s="5">
        <v>17866358122424</v>
      </c>
      <c r="AD135" s="36">
        <f t="shared" si="12"/>
        <v>48.955538402335115</v>
      </c>
      <c r="AE135" s="5">
        <v>14583873997767</v>
      </c>
      <c r="AF135" s="5">
        <v>14583873997767</v>
      </c>
      <c r="AG135" s="5">
        <v>1851834862866</v>
      </c>
      <c r="AH135" s="5">
        <v>301711769656</v>
      </c>
      <c r="AI135" s="5">
        <v>1637358107123</v>
      </c>
      <c r="AJ135" s="5">
        <v>0</v>
      </c>
      <c r="AK135" s="5">
        <v>0</v>
      </c>
      <c r="AL135" s="6">
        <v>14</v>
      </c>
      <c r="AM135" s="5">
        <v>9687493432635</v>
      </c>
      <c r="AN135" s="6">
        <v>147</v>
      </c>
      <c r="AO135" s="5">
        <v>2158232061652</v>
      </c>
      <c r="AP135" s="6">
        <v>25</v>
      </c>
      <c r="AQ135" s="5">
        <v>790739422585</v>
      </c>
      <c r="AR135" s="5">
        <v>764132681720</v>
      </c>
      <c r="AS135" s="5">
        <v>106102479888</v>
      </c>
      <c r="AT135" s="5">
        <f t="shared" si="13"/>
        <v>658030201832</v>
      </c>
      <c r="AU135" s="36">
        <f t="shared" si="14"/>
        <v>620.18362108652468</v>
      </c>
      <c r="AV135" s="5">
        <v>9155074573988</v>
      </c>
      <c r="AW135" s="5">
        <v>1894171052110</v>
      </c>
      <c r="AX135" s="5">
        <v>1001738953926</v>
      </c>
      <c r="AY135" s="5">
        <v>409344043320</v>
      </c>
      <c r="AZ135" s="5">
        <v>2503601161735</v>
      </c>
      <c r="BA135" s="5">
        <v>10019434548900</v>
      </c>
      <c r="BB135" s="5">
        <v>1593313842245</v>
      </c>
      <c r="BC135" s="5">
        <v>12384886265561</v>
      </c>
      <c r="BD135" s="5">
        <v>2993501403826</v>
      </c>
      <c r="BE135" s="5">
        <v>2503601161735</v>
      </c>
      <c r="BF135" s="5">
        <v>6887783700000</v>
      </c>
      <c r="BG135" s="5">
        <v>12608611126093</v>
      </c>
      <c r="BH135" s="5">
        <v>1975262871674</v>
      </c>
      <c r="BI135" s="5">
        <v>0</v>
      </c>
      <c r="BJ135" s="48">
        <v>0</v>
      </c>
      <c r="BK135" s="5">
        <v>458138447033</v>
      </c>
      <c r="BL135" s="5">
        <v>301711769656</v>
      </c>
      <c r="BM135" s="5">
        <v>0</v>
      </c>
      <c r="BN135" s="5">
        <v>0</v>
      </c>
    </row>
    <row r="136" spans="1:66" x14ac:dyDescent="0.25">
      <c r="A136" s="17" t="s">
        <v>580</v>
      </c>
      <c r="B136" s="4">
        <v>1718</v>
      </c>
      <c r="C136" s="4" t="s">
        <v>180</v>
      </c>
      <c r="D136" s="5">
        <v>5764215086224</v>
      </c>
      <c r="E136" s="5">
        <v>20477411120</v>
      </c>
      <c r="F136" s="5">
        <v>1</v>
      </c>
      <c r="G136" s="5">
        <v>0</v>
      </c>
      <c r="H136" s="5">
        <v>5784692497345</v>
      </c>
      <c r="I136" s="5">
        <v>504150585081</v>
      </c>
      <c r="J136" s="5">
        <v>3243715058</v>
      </c>
      <c r="K136" s="5">
        <v>5277298197206</v>
      </c>
      <c r="L136" s="5">
        <v>4315944412929</v>
      </c>
      <c r="M136" s="5">
        <f t="shared" si="10"/>
        <v>1468748084416</v>
      </c>
      <c r="N136" s="36">
        <f t="shared" si="11"/>
        <v>34.030746086908927</v>
      </c>
      <c r="O136" s="5">
        <v>2645752318234</v>
      </c>
      <c r="P136" s="36">
        <v>59.35</v>
      </c>
      <c r="Q136" s="6">
        <v>50.13</v>
      </c>
      <c r="R136" s="6">
        <v>1.24</v>
      </c>
      <c r="S136" s="5">
        <v>3269403330969</v>
      </c>
      <c r="T136" s="5">
        <v>42450615311</v>
      </c>
      <c r="U136" s="5">
        <v>12965472715</v>
      </c>
      <c r="V136" s="5">
        <v>8284248959</v>
      </c>
      <c r="W136" s="5">
        <v>21200893637</v>
      </c>
      <c r="X136" s="5">
        <v>3311853946280</v>
      </c>
      <c r="Y136" s="5">
        <v>205649205</v>
      </c>
      <c r="Z136" s="5">
        <v>113164808333</v>
      </c>
      <c r="AA136" s="5">
        <v>8000000000</v>
      </c>
      <c r="AB136" s="5">
        <v>3433018754613</v>
      </c>
      <c r="AC136" s="5">
        <v>1271805497720</v>
      </c>
      <c r="AD136" s="36">
        <f t="shared" si="12"/>
        <v>160.40569507029571</v>
      </c>
      <c r="AE136" s="5">
        <v>2888640607324</v>
      </c>
      <c r="AF136" s="5">
        <v>2888640607324</v>
      </c>
      <c r="AG136" s="5">
        <v>112017748342</v>
      </c>
      <c r="AH136" s="5">
        <v>0</v>
      </c>
      <c r="AI136" s="5">
        <v>0</v>
      </c>
      <c r="AJ136" s="5">
        <v>0</v>
      </c>
      <c r="AK136" s="5">
        <v>0</v>
      </c>
      <c r="AL136" s="6">
        <v>5</v>
      </c>
      <c r="AM136" s="5">
        <v>319642372430</v>
      </c>
      <c r="AN136" s="6">
        <v>30</v>
      </c>
      <c r="AO136" s="5">
        <v>224292817072</v>
      </c>
      <c r="AP136" s="6">
        <v>13</v>
      </c>
      <c r="AQ136" s="5">
        <v>69403737573</v>
      </c>
      <c r="AR136" s="5">
        <v>42450615311</v>
      </c>
      <c r="AS136" s="5">
        <v>33675839616</v>
      </c>
      <c r="AT136" s="5">
        <f t="shared" si="13"/>
        <v>8774775695</v>
      </c>
      <c r="AU136" s="36">
        <f t="shared" si="14"/>
        <v>26.056590704366418</v>
      </c>
      <c r="AV136" s="5">
        <v>1308004510271</v>
      </c>
      <c r="AW136" s="5">
        <v>96246460817</v>
      </c>
      <c r="AX136" s="5">
        <v>2125553062593</v>
      </c>
      <c r="AY136" s="5">
        <v>193796527977</v>
      </c>
      <c r="AZ136" s="5">
        <v>864343479216</v>
      </c>
      <c r="BA136" s="5">
        <v>2682429787634</v>
      </c>
      <c r="BB136" s="5">
        <v>478168576795</v>
      </c>
      <c r="BC136" s="5">
        <v>5784692497345</v>
      </c>
      <c r="BD136" s="5">
        <v>2339827001690</v>
      </c>
      <c r="BE136" s="5">
        <v>864343479217</v>
      </c>
      <c r="BF136" s="5">
        <v>2580522016438</v>
      </c>
      <c r="BG136" s="5">
        <v>1564986095841</v>
      </c>
      <c r="BH136" s="5">
        <v>1323654511483</v>
      </c>
      <c r="BI136" s="5">
        <v>0</v>
      </c>
      <c r="BJ136" s="48">
        <v>0</v>
      </c>
      <c r="BK136" s="5">
        <v>113976642212</v>
      </c>
      <c r="BL136" s="5">
        <v>0</v>
      </c>
      <c r="BM136" s="5">
        <v>19803254116</v>
      </c>
      <c r="BN136" s="5">
        <v>0</v>
      </c>
    </row>
    <row r="137" spans="1:66" x14ac:dyDescent="0.25">
      <c r="A137" s="17" t="s">
        <v>580</v>
      </c>
      <c r="B137" s="4">
        <v>1719</v>
      </c>
      <c r="C137" s="4" t="s">
        <v>181</v>
      </c>
      <c r="D137" s="5">
        <v>5112683527139</v>
      </c>
      <c r="E137" s="5">
        <v>136455782123</v>
      </c>
      <c r="F137" s="5">
        <v>0</v>
      </c>
      <c r="G137" s="5">
        <v>0</v>
      </c>
      <c r="H137" s="5">
        <v>5249139309262</v>
      </c>
      <c r="I137" s="5">
        <v>471390114645</v>
      </c>
      <c r="J137" s="5">
        <v>1595902625</v>
      </c>
      <c r="K137" s="5">
        <v>4776153291992</v>
      </c>
      <c r="L137" s="5">
        <v>2436047169324</v>
      </c>
      <c r="M137" s="5">
        <f t="shared" si="10"/>
        <v>2813092139938</v>
      </c>
      <c r="N137" s="36">
        <f t="shared" si="11"/>
        <v>115.47773685838068</v>
      </c>
      <c r="O137" s="5">
        <v>2179243418282</v>
      </c>
      <c r="P137" s="36">
        <v>48.32</v>
      </c>
      <c r="Q137" s="6">
        <v>45.63</v>
      </c>
      <c r="R137" s="6">
        <v>4.99</v>
      </c>
      <c r="S137" s="5">
        <v>2088113290399</v>
      </c>
      <c r="T137" s="5">
        <v>125106859549</v>
      </c>
      <c r="U137" s="5">
        <v>55296360800</v>
      </c>
      <c r="V137" s="5">
        <v>46239214511</v>
      </c>
      <c r="W137" s="5">
        <v>23571284238</v>
      </c>
      <c r="X137" s="5">
        <v>2213220149948</v>
      </c>
      <c r="Y137" s="5">
        <v>1553975947</v>
      </c>
      <c r="Z137" s="5">
        <v>286188835384</v>
      </c>
      <c r="AA137" s="5">
        <v>37147213400</v>
      </c>
      <c r="AB137" s="5">
        <v>2536556198732</v>
      </c>
      <c r="AC137" s="5">
        <v>1639368020137</v>
      </c>
      <c r="AD137" s="36">
        <f t="shared" si="12"/>
        <v>35.004472623727516</v>
      </c>
      <c r="AE137" s="5">
        <v>1604472607204</v>
      </c>
      <c r="AF137" s="5">
        <v>1604472607204</v>
      </c>
      <c r="AG137" s="5">
        <v>113712417873</v>
      </c>
      <c r="AH137" s="5">
        <v>6741920100</v>
      </c>
      <c r="AI137" s="5">
        <v>0</v>
      </c>
      <c r="AJ137" s="5">
        <v>0</v>
      </c>
      <c r="AK137" s="5">
        <v>0</v>
      </c>
      <c r="AL137" s="6">
        <v>8</v>
      </c>
      <c r="AM137" s="5">
        <v>245716000000</v>
      </c>
      <c r="AN137" s="6">
        <v>267</v>
      </c>
      <c r="AO137" s="5">
        <v>1436810838196</v>
      </c>
      <c r="AP137" s="6">
        <v>155</v>
      </c>
      <c r="AQ137" s="5">
        <v>763744830194</v>
      </c>
      <c r="AR137" s="5">
        <v>125106859549</v>
      </c>
      <c r="AS137" s="5">
        <v>51643243643</v>
      </c>
      <c r="AT137" s="5">
        <f t="shared" si="13"/>
        <v>73463615906</v>
      </c>
      <c r="AU137" s="36">
        <f t="shared" si="14"/>
        <v>142.25213352948958</v>
      </c>
      <c r="AV137" s="5">
        <v>1069551801383</v>
      </c>
      <c r="AW137" s="5">
        <v>227531666597</v>
      </c>
      <c r="AX137" s="5">
        <v>796979906649</v>
      </c>
      <c r="AY137" s="5">
        <v>409456227829</v>
      </c>
      <c r="AZ137" s="5">
        <v>1213033156624</v>
      </c>
      <c r="BA137" s="5">
        <v>2827570541729</v>
      </c>
      <c r="BB137" s="5">
        <v>874715127674</v>
      </c>
      <c r="BC137" s="5">
        <v>5249139309262</v>
      </c>
      <c r="BD137" s="5">
        <v>1342891916601</v>
      </c>
      <c r="BE137" s="5">
        <v>1213033156624</v>
      </c>
      <c r="BF137" s="5">
        <v>2693214236037</v>
      </c>
      <c r="BG137" s="5">
        <v>401752646451</v>
      </c>
      <c r="BH137" s="5">
        <v>1202719960753</v>
      </c>
      <c r="BI137" s="5">
        <v>0</v>
      </c>
      <c r="BJ137" s="48">
        <v>0</v>
      </c>
      <c r="BK137" s="5">
        <v>113712417873</v>
      </c>
      <c r="BL137" s="5">
        <v>0</v>
      </c>
      <c r="BM137" s="5">
        <v>0</v>
      </c>
      <c r="BN137" s="5">
        <v>6741920100</v>
      </c>
    </row>
    <row r="138" spans="1:66" x14ac:dyDescent="0.25">
      <c r="A138" s="17" t="s">
        <v>580</v>
      </c>
      <c r="B138" s="4">
        <v>1720</v>
      </c>
      <c r="C138" s="4" t="s">
        <v>183</v>
      </c>
      <c r="D138" s="5">
        <v>4305994153215</v>
      </c>
      <c r="E138" s="5">
        <v>168953850295</v>
      </c>
      <c r="F138" s="5">
        <v>0</v>
      </c>
      <c r="G138" s="5">
        <v>0</v>
      </c>
      <c r="H138" s="5">
        <v>4474948003510</v>
      </c>
      <c r="I138" s="5">
        <v>388544954857</v>
      </c>
      <c r="J138" s="5">
        <v>896731858</v>
      </c>
      <c r="K138" s="5">
        <v>4085506316795</v>
      </c>
      <c r="L138" s="5">
        <v>2738245049334</v>
      </c>
      <c r="M138" s="5">
        <f t="shared" si="10"/>
        <v>1736702954176</v>
      </c>
      <c r="N138" s="36">
        <f t="shared" si="11"/>
        <v>63.423942082846217</v>
      </c>
      <c r="O138" s="5">
        <v>2261463639111</v>
      </c>
      <c r="P138" s="36">
        <v>59.3</v>
      </c>
      <c r="Q138" s="6">
        <v>55.35</v>
      </c>
      <c r="R138" s="6">
        <v>3.41</v>
      </c>
      <c r="S138" s="5">
        <v>2323223427249</v>
      </c>
      <c r="T138" s="5">
        <v>85935410716</v>
      </c>
      <c r="U138" s="5">
        <v>40756206178</v>
      </c>
      <c r="V138" s="5">
        <v>35311818676</v>
      </c>
      <c r="W138" s="5">
        <v>9867385862</v>
      </c>
      <c r="X138" s="5">
        <v>2409158837965</v>
      </c>
      <c r="Y138" s="5">
        <v>4541983793</v>
      </c>
      <c r="Z138" s="5">
        <v>211790560115</v>
      </c>
      <c r="AA138" s="5">
        <v>32851838875</v>
      </c>
      <c r="AB138" s="5">
        <v>2653801236955</v>
      </c>
      <c r="AC138" s="5">
        <v>1783409617771</v>
      </c>
      <c r="AD138" s="36">
        <f t="shared" si="12"/>
        <v>35.087240416259199</v>
      </c>
      <c r="AE138" s="5">
        <v>1421296985737</v>
      </c>
      <c r="AF138" s="5">
        <v>1297615854779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6">
        <v>0</v>
      </c>
      <c r="AM138" s="5">
        <v>0</v>
      </c>
      <c r="AN138" s="6">
        <v>158</v>
      </c>
      <c r="AO138" s="5">
        <v>1212819269993</v>
      </c>
      <c r="AP138" s="6">
        <v>67</v>
      </c>
      <c r="AQ138" s="5">
        <v>343864640408</v>
      </c>
      <c r="AR138" s="5">
        <v>85935410716</v>
      </c>
      <c r="AS138" s="5">
        <v>34523552606</v>
      </c>
      <c r="AT138" s="5">
        <f t="shared" si="13"/>
        <v>51411858110</v>
      </c>
      <c r="AU138" s="36">
        <f t="shared" si="14"/>
        <v>148.91821446285601</v>
      </c>
      <c r="AV138" s="5">
        <v>806764397474</v>
      </c>
      <c r="AW138" s="5">
        <v>120800381688</v>
      </c>
      <c r="AX138" s="5">
        <v>925923538721</v>
      </c>
      <c r="AY138" s="5">
        <v>651351398785</v>
      </c>
      <c r="AZ138" s="5">
        <v>1758226580531</v>
      </c>
      <c r="BA138" s="5">
        <v>1054937851278</v>
      </c>
      <c r="BB138" s="5">
        <v>1290192397509</v>
      </c>
      <c r="BC138" s="5">
        <v>4474948003510</v>
      </c>
      <c r="BD138" s="5">
        <v>1746228787801</v>
      </c>
      <c r="BE138" s="5">
        <v>1758226580531</v>
      </c>
      <c r="BF138" s="5">
        <v>970492635178</v>
      </c>
      <c r="BG138" s="5">
        <v>809728842347</v>
      </c>
      <c r="BH138" s="5">
        <v>611568143390</v>
      </c>
      <c r="BI138" s="5">
        <v>0</v>
      </c>
      <c r="BJ138" s="48">
        <v>0</v>
      </c>
      <c r="BK138" s="5">
        <v>0</v>
      </c>
      <c r="BL138" s="5">
        <v>0</v>
      </c>
      <c r="BM138" s="5">
        <v>0</v>
      </c>
      <c r="BN138" s="5">
        <v>0</v>
      </c>
    </row>
    <row r="139" spans="1:66" x14ac:dyDescent="0.25">
      <c r="A139" s="17" t="s">
        <v>580</v>
      </c>
      <c r="B139" s="4">
        <v>1722</v>
      </c>
      <c r="C139" s="4" t="s">
        <v>184</v>
      </c>
      <c r="D139" s="5">
        <v>5532753763535</v>
      </c>
      <c r="E139" s="5">
        <v>71357149803</v>
      </c>
      <c r="F139" s="5">
        <v>0</v>
      </c>
      <c r="G139" s="5">
        <v>0</v>
      </c>
      <c r="H139" s="5">
        <v>5604110913338</v>
      </c>
      <c r="I139" s="5">
        <v>529172730634</v>
      </c>
      <c r="J139" s="5">
        <v>8009236719</v>
      </c>
      <c r="K139" s="5">
        <v>5066928945985</v>
      </c>
      <c r="L139" s="5">
        <v>4542298622801</v>
      </c>
      <c r="M139" s="5">
        <f t="shared" si="10"/>
        <v>1061812290537</v>
      </c>
      <c r="N139" s="36">
        <f t="shared" si="11"/>
        <v>23.37610048813205</v>
      </c>
      <c r="O139" s="5">
        <v>2102142822480</v>
      </c>
      <c r="P139" s="36">
        <v>41.55</v>
      </c>
      <c r="Q139" s="6">
        <v>41.49</v>
      </c>
      <c r="R139" s="6">
        <v>7.85</v>
      </c>
      <c r="S139" s="5">
        <v>2046605974991</v>
      </c>
      <c r="T139" s="5">
        <v>182719097708</v>
      </c>
      <c r="U139" s="5">
        <v>176421729152</v>
      </c>
      <c r="V139" s="5">
        <v>2097368556</v>
      </c>
      <c r="W139" s="5">
        <v>4200000000</v>
      </c>
      <c r="X139" s="5">
        <v>2229325072699</v>
      </c>
      <c r="Y139" s="5">
        <v>0</v>
      </c>
      <c r="Z139" s="5">
        <v>97300741422</v>
      </c>
      <c r="AA139" s="5">
        <v>2000000000</v>
      </c>
      <c r="AB139" s="5">
        <v>2328625814121</v>
      </c>
      <c r="AC139" s="5">
        <v>2372986514501</v>
      </c>
      <c r="AD139" s="36">
        <f t="shared" si="12"/>
        <v>-6.0540353231720596</v>
      </c>
      <c r="AE139" s="5">
        <v>2350639168496</v>
      </c>
      <c r="AF139" s="5">
        <v>2350639168496</v>
      </c>
      <c r="AG139" s="5">
        <v>15397138278</v>
      </c>
      <c r="AH139" s="5">
        <v>91785585861</v>
      </c>
      <c r="AI139" s="5">
        <v>0</v>
      </c>
      <c r="AJ139" s="5">
        <v>0</v>
      </c>
      <c r="AK139" s="5">
        <v>0</v>
      </c>
      <c r="AL139" s="6">
        <v>4</v>
      </c>
      <c r="AM139" s="5">
        <v>94585000000</v>
      </c>
      <c r="AN139" s="6">
        <v>45</v>
      </c>
      <c r="AO139" s="5">
        <v>282697529750</v>
      </c>
      <c r="AP139" s="6">
        <v>17</v>
      </c>
      <c r="AQ139" s="5">
        <v>56069596410</v>
      </c>
      <c r="AR139" s="5">
        <v>182719097708</v>
      </c>
      <c r="AS139" s="5">
        <v>9616516013</v>
      </c>
      <c r="AT139" s="5">
        <f t="shared" si="13"/>
        <v>173102581695</v>
      </c>
      <c r="AU139" s="36">
        <f t="shared" si="14"/>
        <v>1800.0550455174498</v>
      </c>
      <c r="AV139" s="5">
        <v>2474677428942</v>
      </c>
      <c r="AW139" s="5">
        <v>671489120481</v>
      </c>
      <c r="AX139" s="5">
        <v>2692211487005</v>
      </c>
      <c r="AY139" s="5">
        <v>110972196757</v>
      </c>
      <c r="AZ139" s="5">
        <v>661796064380</v>
      </c>
      <c r="BA139" s="5">
        <v>2169417328129</v>
      </c>
      <c r="BB139" s="5">
        <v>460948874215</v>
      </c>
      <c r="BC139" s="5">
        <v>5604110913338</v>
      </c>
      <c r="BD139" s="5">
        <v>2874554392762</v>
      </c>
      <c r="BE139" s="5">
        <v>661796064380</v>
      </c>
      <c r="BF139" s="5">
        <v>2067760456196</v>
      </c>
      <c r="BG139" s="5">
        <v>1855280896969</v>
      </c>
      <c r="BH139" s="5">
        <v>495358271527</v>
      </c>
      <c r="BI139" s="5">
        <v>0</v>
      </c>
      <c r="BJ139" s="48">
        <v>0</v>
      </c>
      <c r="BK139" s="5">
        <v>15397138278</v>
      </c>
      <c r="BL139" s="5">
        <v>0</v>
      </c>
      <c r="BM139" s="5">
        <v>4200000000</v>
      </c>
      <c r="BN139" s="5">
        <v>91785585861</v>
      </c>
    </row>
    <row r="140" spans="1:66" x14ac:dyDescent="0.25">
      <c r="A140" s="17" t="s">
        <v>580</v>
      </c>
      <c r="B140" s="4">
        <v>1723</v>
      </c>
      <c r="C140" s="4" t="s">
        <v>185</v>
      </c>
      <c r="D140" s="5">
        <v>5646097819628</v>
      </c>
      <c r="E140" s="5">
        <v>35306163898</v>
      </c>
      <c r="F140" s="5">
        <v>0</v>
      </c>
      <c r="G140" s="5">
        <v>0</v>
      </c>
      <c r="H140" s="5">
        <v>5681403983526</v>
      </c>
      <c r="I140" s="5">
        <v>480541725774</v>
      </c>
      <c r="J140" s="5">
        <v>4369545000</v>
      </c>
      <c r="K140" s="5">
        <v>5196492712752</v>
      </c>
      <c r="L140" s="5">
        <v>3481105795743</v>
      </c>
      <c r="M140" s="5">
        <f t="shared" si="10"/>
        <v>2200298187783</v>
      </c>
      <c r="N140" s="36">
        <f t="shared" si="11"/>
        <v>63.206874966963568</v>
      </c>
      <c r="O140" s="5">
        <v>2614277555019</v>
      </c>
      <c r="P140" s="36">
        <v>49.42</v>
      </c>
      <c r="Q140" s="6">
        <v>50.31</v>
      </c>
      <c r="R140" s="6">
        <v>1.24</v>
      </c>
      <c r="S140" s="5">
        <v>2694831546680</v>
      </c>
      <c r="T140" s="5">
        <v>34639415608</v>
      </c>
      <c r="U140" s="5">
        <v>25547220414</v>
      </c>
      <c r="V140" s="5">
        <v>7135092722</v>
      </c>
      <c r="W140" s="5">
        <v>1957102472</v>
      </c>
      <c r="X140" s="5">
        <v>2729470962288</v>
      </c>
      <c r="Y140" s="5">
        <v>189256253</v>
      </c>
      <c r="Z140" s="5">
        <v>78224444092</v>
      </c>
      <c r="AA140" s="5">
        <v>0</v>
      </c>
      <c r="AB140" s="5">
        <v>2807695406380</v>
      </c>
      <c r="AC140" s="5">
        <v>1992400454510</v>
      </c>
      <c r="AD140" s="36">
        <f t="shared" si="12"/>
        <v>36.994094541063085</v>
      </c>
      <c r="AE140" s="5">
        <v>2336349059897</v>
      </c>
      <c r="AF140" s="5">
        <v>2336349059897</v>
      </c>
      <c r="AG140" s="5">
        <v>0</v>
      </c>
      <c r="AH140" s="5">
        <v>51294082</v>
      </c>
      <c r="AI140" s="5">
        <v>0</v>
      </c>
      <c r="AJ140" s="5">
        <v>0</v>
      </c>
      <c r="AK140" s="5">
        <v>0</v>
      </c>
      <c r="AL140" s="6">
        <v>0</v>
      </c>
      <c r="AM140" s="5">
        <v>0</v>
      </c>
      <c r="AN140" s="6">
        <v>20</v>
      </c>
      <c r="AO140" s="5">
        <v>149887605177</v>
      </c>
      <c r="AP140" s="6">
        <v>14</v>
      </c>
      <c r="AQ140" s="5">
        <v>115600119049</v>
      </c>
      <c r="AR140" s="5">
        <v>34639415608</v>
      </c>
      <c r="AS140" s="5">
        <v>11137728424</v>
      </c>
      <c r="AT140" s="5">
        <f t="shared" si="13"/>
        <v>23501687184</v>
      </c>
      <c r="AU140" s="36">
        <f t="shared" si="14"/>
        <v>211.00969865055851</v>
      </c>
      <c r="AV140" s="5">
        <v>1648802867630</v>
      </c>
      <c r="AW140" s="5">
        <v>126112375467</v>
      </c>
      <c r="AX140" s="5">
        <v>2004297317331</v>
      </c>
      <c r="AY140" s="5">
        <v>679071526451</v>
      </c>
      <c r="AZ140" s="5">
        <v>1489845068823</v>
      </c>
      <c r="BA140" s="5">
        <v>1774924506919</v>
      </c>
      <c r="BB140" s="5">
        <v>617215209669</v>
      </c>
      <c r="BC140" s="5">
        <v>5681403983526</v>
      </c>
      <c r="BD140" s="5">
        <v>2718675007680</v>
      </c>
      <c r="BE140" s="5">
        <v>1489845068823</v>
      </c>
      <c r="BF140" s="5">
        <v>1472883907023</v>
      </c>
      <c r="BG140" s="5">
        <v>1121231144615</v>
      </c>
      <c r="BH140" s="5">
        <v>1215117915282</v>
      </c>
      <c r="BI140" s="5">
        <v>0</v>
      </c>
      <c r="BJ140" s="48">
        <v>0</v>
      </c>
      <c r="BK140" s="5">
        <v>0</v>
      </c>
      <c r="BL140" s="5">
        <v>0</v>
      </c>
      <c r="BM140" s="5">
        <v>0</v>
      </c>
      <c r="BN140" s="5">
        <v>51294082</v>
      </c>
    </row>
    <row r="141" spans="1:66" x14ac:dyDescent="0.25">
      <c r="A141" s="17" t="s">
        <v>580</v>
      </c>
      <c r="B141" s="4">
        <v>1724</v>
      </c>
      <c r="C141" s="4" t="s">
        <v>186</v>
      </c>
      <c r="D141" s="5">
        <v>3945815152497</v>
      </c>
      <c r="E141" s="5">
        <v>140436478289</v>
      </c>
      <c r="F141" s="5">
        <v>0</v>
      </c>
      <c r="G141" s="5">
        <v>0</v>
      </c>
      <c r="H141" s="5">
        <v>4086251630786</v>
      </c>
      <c r="I141" s="5">
        <v>333121653257</v>
      </c>
      <c r="J141" s="5">
        <v>654785000</v>
      </c>
      <c r="K141" s="5">
        <v>3752475192529</v>
      </c>
      <c r="L141" s="5">
        <v>2236026025527</v>
      </c>
      <c r="M141" s="5">
        <f t="shared" si="10"/>
        <v>1850225605259</v>
      </c>
      <c r="N141" s="36">
        <f t="shared" si="11"/>
        <v>82.746156982807378</v>
      </c>
      <c r="O141" s="5">
        <v>742316100438</v>
      </c>
      <c r="P141" s="36">
        <v>20.86</v>
      </c>
      <c r="Q141" s="6">
        <v>19.78</v>
      </c>
      <c r="R141" s="6">
        <v>1.1200000000000001</v>
      </c>
      <c r="S141" s="5">
        <v>790558826294</v>
      </c>
      <c r="T141" s="5">
        <v>8998282231</v>
      </c>
      <c r="U141" s="5">
        <v>8109539979</v>
      </c>
      <c r="V141" s="5">
        <v>318349037</v>
      </c>
      <c r="W141" s="5">
        <v>570393215</v>
      </c>
      <c r="X141" s="5">
        <v>799557108525</v>
      </c>
      <c r="Y141" s="5">
        <v>550790236</v>
      </c>
      <c r="Z141" s="5">
        <v>44587240363</v>
      </c>
      <c r="AA141" s="5">
        <v>8440152700</v>
      </c>
      <c r="AB141" s="5">
        <v>852584501588</v>
      </c>
      <c r="AC141" s="5">
        <v>984895000552</v>
      </c>
      <c r="AD141" s="36">
        <f t="shared" si="12"/>
        <v>-18.81803562035795</v>
      </c>
      <c r="AE141" s="5">
        <v>851465536174</v>
      </c>
      <c r="AF141" s="5">
        <v>851465536174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6">
        <v>0</v>
      </c>
      <c r="AM141" s="5">
        <v>0</v>
      </c>
      <c r="AN141" s="6">
        <v>42</v>
      </c>
      <c r="AO141" s="5">
        <v>843048290120</v>
      </c>
      <c r="AP141" s="6">
        <v>50</v>
      </c>
      <c r="AQ141" s="5">
        <v>790289679449</v>
      </c>
      <c r="AR141" s="5">
        <v>8998282231</v>
      </c>
      <c r="AS141" s="5">
        <v>9925647775</v>
      </c>
      <c r="AT141" s="5">
        <f t="shared" si="13"/>
        <v>-927365544</v>
      </c>
      <c r="AU141" s="36">
        <f t="shared" si="14"/>
        <v>-9.343123643131694</v>
      </c>
      <c r="AV141" s="5">
        <v>995433164782</v>
      </c>
      <c r="AW141" s="5">
        <v>51210794871</v>
      </c>
      <c r="AX141" s="5">
        <v>515053835767</v>
      </c>
      <c r="AY141" s="5">
        <v>398988947887</v>
      </c>
      <c r="AZ141" s="5">
        <v>721141220031</v>
      </c>
      <c r="BA141" s="5">
        <v>2415496706392</v>
      </c>
      <c r="BB141" s="5">
        <v>402366861414</v>
      </c>
      <c r="BC141" s="5">
        <v>4086251630786</v>
      </c>
      <c r="BD141" s="5">
        <v>1054479409543</v>
      </c>
      <c r="BE141" s="5">
        <v>721141220031</v>
      </c>
      <c r="BF141" s="5">
        <v>2310631001212</v>
      </c>
      <c r="BG141" s="5">
        <v>356274333920</v>
      </c>
      <c r="BH141" s="5">
        <v>495191202254</v>
      </c>
      <c r="BI141" s="5">
        <v>0</v>
      </c>
      <c r="BJ141" s="48">
        <v>0</v>
      </c>
      <c r="BK141" s="5">
        <v>0</v>
      </c>
      <c r="BL141" s="5">
        <v>0</v>
      </c>
      <c r="BM141" s="5">
        <v>0</v>
      </c>
      <c r="BN141" s="5">
        <v>0</v>
      </c>
    </row>
    <row r="142" spans="1:66" x14ac:dyDescent="0.25">
      <c r="A142" s="17" t="s">
        <v>580</v>
      </c>
      <c r="B142" s="4">
        <v>1725</v>
      </c>
      <c r="C142" s="4" t="s">
        <v>187</v>
      </c>
      <c r="D142" s="5">
        <v>3715171992076</v>
      </c>
      <c r="E142" s="5">
        <v>116429948457</v>
      </c>
      <c r="F142" s="5">
        <v>0</v>
      </c>
      <c r="G142" s="5">
        <v>0</v>
      </c>
      <c r="H142" s="5">
        <v>3831601940533</v>
      </c>
      <c r="I142" s="5">
        <v>329682568991</v>
      </c>
      <c r="J142" s="5">
        <v>3975750000</v>
      </c>
      <c r="K142" s="5">
        <v>3497943621542</v>
      </c>
      <c r="L142" s="5">
        <v>2527630251241</v>
      </c>
      <c r="M142" s="5">
        <f t="shared" si="10"/>
        <v>1303971689292</v>
      </c>
      <c r="N142" s="36">
        <f t="shared" si="11"/>
        <v>51.588704030258548</v>
      </c>
      <c r="O142" s="5">
        <v>2301135978098</v>
      </c>
      <c r="P142" s="36">
        <v>64.41</v>
      </c>
      <c r="Q142" s="6">
        <v>65.790000000000006</v>
      </c>
      <c r="R142" s="6">
        <v>4.84</v>
      </c>
      <c r="S142" s="5">
        <v>2270807411748</v>
      </c>
      <c r="T142" s="5">
        <v>119379111849</v>
      </c>
      <c r="U142" s="5">
        <v>111834207767</v>
      </c>
      <c r="V142" s="5">
        <v>3944904082</v>
      </c>
      <c r="W142" s="5">
        <v>3600000000</v>
      </c>
      <c r="X142" s="5">
        <v>2390186523597</v>
      </c>
      <c r="Y142" s="5">
        <v>0</v>
      </c>
      <c r="Z142" s="5">
        <v>71789932126</v>
      </c>
      <c r="AA142" s="5">
        <v>5894033000</v>
      </c>
      <c r="AB142" s="5">
        <v>2467870488723</v>
      </c>
      <c r="AC142" s="5">
        <v>1833504362107</v>
      </c>
      <c r="AD142" s="36">
        <f t="shared" si="12"/>
        <v>30.361649145480079</v>
      </c>
      <c r="AE142" s="5">
        <v>1885895345716</v>
      </c>
      <c r="AF142" s="5">
        <v>1864599472703</v>
      </c>
      <c r="AG142" s="5">
        <v>0</v>
      </c>
      <c r="AH142" s="5">
        <v>67486821335</v>
      </c>
      <c r="AI142" s="5">
        <v>0</v>
      </c>
      <c r="AJ142" s="5">
        <v>0</v>
      </c>
      <c r="AK142" s="5">
        <v>0</v>
      </c>
      <c r="AL142" s="6">
        <v>0</v>
      </c>
      <c r="AM142" s="5">
        <v>0</v>
      </c>
      <c r="AN142" s="6">
        <v>75</v>
      </c>
      <c r="AO142" s="5">
        <v>1503797611921</v>
      </c>
      <c r="AP142" s="6">
        <v>69</v>
      </c>
      <c r="AQ142" s="5">
        <v>730077832245</v>
      </c>
      <c r="AR142" s="5">
        <v>119379111849</v>
      </c>
      <c r="AS142" s="5">
        <v>8178010411</v>
      </c>
      <c r="AT142" s="5">
        <f t="shared" si="13"/>
        <v>111201101438</v>
      </c>
      <c r="AU142" s="36">
        <f t="shared" si="14"/>
        <v>1359.7573963518889</v>
      </c>
      <c r="AV142" s="5">
        <v>1283661960120</v>
      </c>
      <c r="AW142" s="5">
        <v>138858545628</v>
      </c>
      <c r="AX142" s="5">
        <v>324937058493</v>
      </c>
      <c r="AY142" s="5">
        <v>397736541084</v>
      </c>
      <c r="AZ142" s="5">
        <v>1498236389934</v>
      </c>
      <c r="BA142" s="5">
        <v>1526501044477</v>
      </c>
      <c r="BB142" s="5">
        <v>1324795527056</v>
      </c>
      <c r="BC142" s="5">
        <v>3831601940533</v>
      </c>
      <c r="BD142" s="5">
        <v>839103548034</v>
      </c>
      <c r="BE142" s="5">
        <v>1498236389934</v>
      </c>
      <c r="BF142" s="5">
        <v>1494262002565</v>
      </c>
      <c r="BG142" s="5">
        <v>416803245478</v>
      </c>
      <c r="BH142" s="5">
        <v>1469092100238</v>
      </c>
      <c r="BI142" s="5">
        <v>0</v>
      </c>
      <c r="BJ142" s="48">
        <v>0</v>
      </c>
      <c r="BK142" s="5">
        <v>0</v>
      </c>
      <c r="BL142" s="5">
        <v>0</v>
      </c>
      <c r="BM142" s="5">
        <v>3600000000</v>
      </c>
      <c r="BN142" s="5">
        <v>67486821335</v>
      </c>
    </row>
    <row r="143" spans="1:66" x14ac:dyDescent="0.25">
      <c r="A143" s="17" t="s">
        <v>580</v>
      </c>
      <c r="B143" s="4">
        <v>1726</v>
      </c>
      <c r="C143" s="4" t="s">
        <v>188</v>
      </c>
      <c r="D143" s="5">
        <v>3518501048904</v>
      </c>
      <c r="E143" s="5">
        <v>283333699813</v>
      </c>
      <c r="F143" s="5">
        <v>0</v>
      </c>
      <c r="G143" s="5">
        <v>0</v>
      </c>
      <c r="H143" s="5">
        <v>3801834748717</v>
      </c>
      <c r="I143" s="5">
        <v>387874871438</v>
      </c>
      <c r="J143" s="5">
        <v>8378777441</v>
      </c>
      <c r="K143" s="5">
        <v>3405581099838</v>
      </c>
      <c r="L143" s="5">
        <v>6109397133047</v>
      </c>
      <c r="M143" s="5">
        <f t="shared" si="10"/>
        <v>-2307562384330</v>
      </c>
      <c r="N143" s="36">
        <f t="shared" si="11"/>
        <v>-37.770705260719019</v>
      </c>
      <c r="O143" s="5">
        <v>1805759948874</v>
      </c>
      <c r="P143" s="36">
        <v>54.48</v>
      </c>
      <c r="Q143" s="6">
        <v>53.02</v>
      </c>
      <c r="R143" s="6">
        <v>1.5</v>
      </c>
      <c r="S143" s="5">
        <v>1935954008088</v>
      </c>
      <c r="T143" s="5">
        <v>30402861960</v>
      </c>
      <c r="U143" s="5">
        <v>9585428076</v>
      </c>
      <c r="V143" s="5">
        <v>20576414287</v>
      </c>
      <c r="W143" s="5">
        <v>241019597</v>
      </c>
      <c r="X143" s="5">
        <v>1966356870048</v>
      </c>
      <c r="Y143" s="5">
        <v>573324645</v>
      </c>
      <c r="Z143" s="5">
        <v>78267884725</v>
      </c>
      <c r="AA143" s="5">
        <v>26495757000</v>
      </c>
      <c r="AB143" s="5">
        <v>2071120511773</v>
      </c>
      <c r="AC143" s="5">
        <v>1821109743564</v>
      </c>
      <c r="AD143" s="36">
        <f t="shared" si="12"/>
        <v>7.9757481391398377</v>
      </c>
      <c r="AE143" s="5">
        <v>1136639372268</v>
      </c>
      <c r="AF143" s="5">
        <v>1136639372268</v>
      </c>
      <c r="AG143" s="5">
        <v>0</v>
      </c>
      <c r="AH143" s="5">
        <v>4873595</v>
      </c>
      <c r="AI143" s="5">
        <v>19931720661</v>
      </c>
      <c r="AJ143" s="5">
        <v>0</v>
      </c>
      <c r="AK143" s="5">
        <v>0</v>
      </c>
      <c r="AL143" s="6">
        <v>0</v>
      </c>
      <c r="AM143" s="5">
        <v>0</v>
      </c>
      <c r="AN143" s="6">
        <v>42</v>
      </c>
      <c r="AO143" s="5">
        <v>2060164698569</v>
      </c>
      <c r="AP143" s="6">
        <v>37</v>
      </c>
      <c r="AQ143" s="5">
        <v>502376693434</v>
      </c>
      <c r="AR143" s="5">
        <v>30402861960</v>
      </c>
      <c r="AS143" s="5">
        <v>21737031219</v>
      </c>
      <c r="AT143" s="5">
        <f t="shared" si="13"/>
        <v>8665830741</v>
      </c>
      <c r="AU143" s="36">
        <f t="shared" si="14"/>
        <v>39.866671090877084</v>
      </c>
      <c r="AV143" s="5">
        <v>981823565103</v>
      </c>
      <c r="AW143" s="5">
        <v>145691788453</v>
      </c>
      <c r="AX143" s="5">
        <v>1143819087525</v>
      </c>
      <c r="AY143" s="5">
        <v>183506667458</v>
      </c>
      <c r="AZ143" s="5">
        <v>826675209121</v>
      </c>
      <c r="BA143" s="5">
        <v>1384726490076</v>
      </c>
      <c r="BB143" s="5">
        <v>238125149387</v>
      </c>
      <c r="BC143" s="5">
        <v>3801834748717</v>
      </c>
      <c r="BD143" s="5">
        <v>1503616369017</v>
      </c>
      <c r="BE143" s="5">
        <v>826675209121</v>
      </c>
      <c r="BF143" s="5">
        <v>1471543170579</v>
      </c>
      <c r="BG143" s="5">
        <v>376616679186</v>
      </c>
      <c r="BH143" s="5">
        <v>760022693082</v>
      </c>
      <c r="BI143" s="5">
        <v>0</v>
      </c>
      <c r="BJ143" s="48">
        <v>0</v>
      </c>
      <c r="BK143" s="5">
        <v>0</v>
      </c>
      <c r="BL143" s="5">
        <v>0</v>
      </c>
      <c r="BM143" s="5">
        <v>0</v>
      </c>
      <c r="BN143" s="5">
        <v>4873595</v>
      </c>
    </row>
    <row r="144" spans="1:66" x14ac:dyDescent="0.25">
      <c r="A144" s="17" t="s">
        <v>580</v>
      </c>
      <c r="B144" s="4">
        <v>1727</v>
      </c>
      <c r="C144" s="4" t="s">
        <v>189</v>
      </c>
      <c r="D144" s="5">
        <v>1829709954368</v>
      </c>
      <c r="E144" s="5">
        <v>165847240129</v>
      </c>
      <c r="F144" s="5">
        <v>0</v>
      </c>
      <c r="G144" s="5">
        <v>0</v>
      </c>
      <c r="H144" s="5">
        <v>1995557194497</v>
      </c>
      <c r="I144" s="5">
        <v>255837362590</v>
      </c>
      <c r="J144" s="5">
        <v>6909965000</v>
      </c>
      <c r="K144" s="5">
        <v>1732809866907</v>
      </c>
      <c r="L144" s="5">
        <v>1345622544299</v>
      </c>
      <c r="M144" s="5">
        <f t="shared" si="10"/>
        <v>649934650198</v>
      </c>
      <c r="N144" s="36">
        <f t="shared" si="11"/>
        <v>48.29992280908035</v>
      </c>
      <c r="O144" s="5">
        <v>1999216166631</v>
      </c>
      <c r="P144" s="36">
        <v>216.38</v>
      </c>
      <c r="Q144" s="6">
        <v>115.37</v>
      </c>
      <c r="R144" s="6">
        <v>0.25</v>
      </c>
      <c r="S144" s="5">
        <v>4218801514713</v>
      </c>
      <c r="T144" s="5">
        <v>10974153275</v>
      </c>
      <c r="U144" s="5">
        <v>6251980654</v>
      </c>
      <c r="V144" s="5">
        <v>4647657621</v>
      </c>
      <c r="W144" s="5">
        <v>74515000</v>
      </c>
      <c r="X144" s="5">
        <v>4229775667988</v>
      </c>
      <c r="Y144" s="5">
        <v>20823369</v>
      </c>
      <c r="Z144" s="5">
        <v>78003811357</v>
      </c>
      <c r="AA144" s="5">
        <v>10226438580</v>
      </c>
      <c r="AB144" s="5">
        <v>4318005917925</v>
      </c>
      <c r="AC144" s="5">
        <v>2934583517500</v>
      </c>
      <c r="AD144" s="36">
        <f t="shared" si="12"/>
        <v>44.135467358972512</v>
      </c>
      <c r="AE144" s="5">
        <v>921793467525</v>
      </c>
      <c r="AF144" s="5">
        <v>921793467525</v>
      </c>
      <c r="AG144" s="5">
        <v>61928153916</v>
      </c>
      <c r="AH144" s="5">
        <v>0</v>
      </c>
      <c r="AI144" s="5">
        <v>0</v>
      </c>
      <c r="AJ144" s="5">
        <v>0</v>
      </c>
      <c r="AK144" s="5">
        <v>0</v>
      </c>
      <c r="AL144" s="6">
        <v>8</v>
      </c>
      <c r="AM144" s="5">
        <v>195013273100</v>
      </c>
      <c r="AN144" s="6">
        <v>5</v>
      </c>
      <c r="AO144" s="5">
        <v>140492000000</v>
      </c>
      <c r="AP144" s="6">
        <v>8</v>
      </c>
      <c r="AQ144" s="5">
        <v>35106170000</v>
      </c>
      <c r="AR144" s="5">
        <v>10974153275</v>
      </c>
      <c r="AS144" s="5">
        <v>6214106561</v>
      </c>
      <c r="AT144" s="5">
        <f t="shared" si="13"/>
        <v>4760046714</v>
      </c>
      <c r="AU144" s="36">
        <f t="shared" si="14"/>
        <v>76.600661209678279</v>
      </c>
      <c r="AV144" s="5">
        <v>344176897932</v>
      </c>
      <c r="AW144" s="5">
        <v>30392432811</v>
      </c>
      <c r="AX144" s="5">
        <v>730959059261</v>
      </c>
      <c r="AY144" s="5">
        <v>257388256441</v>
      </c>
      <c r="AZ144" s="5">
        <v>420791323729</v>
      </c>
      <c r="BA144" s="5">
        <v>466981181937</v>
      </c>
      <c r="BB144" s="5">
        <v>123389632647</v>
      </c>
      <c r="BC144" s="5">
        <v>1995557194497</v>
      </c>
      <c r="BD144" s="5">
        <v>1017266930924</v>
      </c>
      <c r="BE144" s="5">
        <v>420791323729</v>
      </c>
      <c r="BF144" s="5">
        <v>557498939844</v>
      </c>
      <c r="BG144" s="5">
        <v>180953000824</v>
      </c>
      <c r="BH144" s="5">
        <v>740840466701</v>
      </c>
      <c r="BI144" s="5">
        <v>0</v>
      </c>
      <c r="BJ144" s="48">
        <v>0</v>
      </c>
      <c r="BK144" s="5">
        <v>61928153916</v>
      </c>
      <c r="BL144" s="5">
        <v>0</v>
      </c>
      <c r="BM144" s="5">
        <v>0</v>
      </c>
      <c r="BN144" s="5">
        <v>0</v>
      </c>
    </row>
    <row r="145" spans="1:66" x14ac:dyDescent="0.25">
      <c r="A145" s="17" t="s">
        <v>580</v>
      </c>
      <c r="B145" s="4">
        <v>1728</v>
      </c>
      <c r="C145" s="4" t="s">
        <v>190</v>
      </c>
      <c r="D145" s="5">
        <v>10072195701645</v>
      </c>
      <c r="E145" s="5">
        <v>601635499371</v>
      </c>
      <c r="F145" s="5">
        <v>0</v>
      </c>
      <c r="G145" s="5">
        <v>136235800</v>
      </c>
      <c r="H145" s="5">
        <v>10673967436816</v>
      </c>
      <c r="I145" s="5">
        <v>899073489391</v>
      </c>
      <c r="J145" s="5">
        <v>3097807300</v>
      </c>
      <c r="K145" s="5">
        <v>9771796140125</v>
      </c>
      <c r="L145" s="5">
        <v>9527072978296</v>
      </c>
      <c r="M145" s="5">
        <f t="shared" si="10"/>
        <v>1146894458520</v>
      </c>
      <c r="N145" s="36">
        <f t="shared" si="11"/>
        <v>12.038266749218627</v>
      </c>
      <c r="O145" s="5">
        <v>9676682559492</v>
      </c>
      <c r="P145" s="36">
        <v>99.74</v>
      </c>
      <c r="Q145" s="6">
        <v>99.03</v>
      </c>
      <c r="R145" s="6">
        <v>2.11</v>
      </c>
      <c r="S145" s="5">
        <v>8811794530798</v>
      </c>
      <c r="T145" s="5">
        <v>200573336614</v>
      </c>
      <c r="U145" s="5">
        <v>73393913203</v>
      </c>
      <c r="V145" s="5">
        <v>79248805752</v>
      </c>
      <c r="W145" s="5">
        <v>47930617659</v>
      </c>
      <c r="X145" s="5">
        <v>9012367867412</v>
      </c>
      <c r="Y145" s="5">
        <v>23905013570</v>
      </c>
      <c r="Z145" s="5">
        <v>1626193690816</v>
      </c>
      <c r="AA145" s="5">
        <v>8049364110</v>
      </c>
      <c r="AB145" s="5">
        <v>10646610922338</v>
      </c>
      <c r="AC145" s="5">
        <v>7026266088077</v>
      </c>
      <c r="AD145" s="36">
        <f t="shared" si="12"/>
        <v>28.2668170325239</v>
      </c>
      <c r="AE145" s="5">
        <v>3269252387773</v>
      </c>
      <c r="AF145" s="5">
        <v>3208228822706</v>
      </c>
      <c r="AG145" s="5">
        <v>54679500000</v>
      </c>
      <c r="AH145" s="5">
        <v>62953800883</v>
      </c>
      <c r="AI145" s="5">
        <v>0</v>
      </c>
      <c r="AJ145" s="5">
        <v>0</v>
      </c>
      <c r="AK145" s="5">
        <v>0</v>
      </c>
      <c r="AL145" s="6">
        <v>0</v>
      </c>
      <c r="AM145" s="5">
        <v>0</v>
      </c>
      <c r="AN145" s="6">
        <v>237</v>
      </c>
      <c r="AO145" s="5">
        <v>6207030354441</v>
      </c>
      <c r="AP145" s="6">
        <v>248</v>
      </c>
      <c r="AQ145" s="5">
        <v>3590845382421</v>
      </c>
      <c r="AR145" s="5">
        <v>200573336614</v>
      </c>
      <c r="AS145" s="5">
        <v>66255454179</v>
      </c>
      <c r="AT145" s="5">
        <f t="shared" si="13"/>
        <v>134317882435</v>
      </c>
      <c r="AU145" s="36">
        <f t="shared" si="14"/>
        <v>202.72728351105732</v>
      </c>
      <c r="AV145" s="5">
        <v>4765218876042</v>
      </c>
      <c r="AW145" s="5">
        <v>197661849113</v>
      </c>
      <c r="AX145" s="5">
        <v>2982015127236</v>
      </c>
      <c r="AY145" s="5">
        <v>562717765460</v>
      </c>
      <c r="AZ145" s="5">
        <v>1840664004352</v>
      </c>
      <c r="BA145" s="5">
        <v>4941903731849</v>
      </c>
      <c r="BB145" s="5">
        <v>1039979824983</v>
      </c>
      <c r="BC145" s="5">
        <v>10673967436816</v>
      </c>
      <c r="BD145" s="5">
        <v>4146504627867</v>
      </c>
      <c r="BE145" s="5">
        <v>1840664004352</v>
      </c>
      <c r="BF145" s="5">
        <v>4686798804597</v>
      </c>
      <c r="BG145" s="5">
        <v>2162393949328</v>
      </c>
      <c r="BH145" s="5">
        <v>1106858438445</v>
      </c>
      <c r="BI145" s="5">
        <v>0</v>
      </c>
      <c r="BJ145" s="48">
        <v>0</v>
      </c>
      <c r="BK145" s="5">
        <v>30535100000</v>
      </c>
      <c r="BL145" s="5">
        <v>0</v>
      </c>
      <c r="BM145" s="5">
        <v>0</v>
      </c>
      <c r="BN145" s="5">
        <v>62953800883</v>
      </c>
    </row>
    <row r="146" spans="1:66" x14ac:dyDescent="0.25">
      <c r="A146" s="17" t="s">
        <v>580</v>
      </c>
      <c r="B146" s="4">
        <v>1729</v>
      </c>
      <c r="C146" s="4" t="s">
        <v>191</v>
      </c>
      <c r="D146" s="5">
        <v>5758887079942</v>
      </c>
      <c r="E146" s="5">
        <v>457616957311</v>
      </c>
      <c r="F146" s="5">
        <v>0</v>
      </c>
      <c r="G146" s="5">
        <v>0</v>
      </c>
      <c r="H146" s="5">
        <v>6216504037253</v>
      </c>
      <c r="I146" s="5">
        <v>506962259699</v>
      </c>
      <c r="J146" s="5">
        <v>7780105999</v>
      </c>
      <c r="K146" s="5">
        <v>5701761671555</v>
      </c>
      <c r="L146" s="5">
        <v>4379824406698</v>
      </c>
      <c r="M146" s="5">
        <f t="shared" si="10"/>
        <v>1836679630555</v>
      </c>
      <c r="N146" s="36">
        <f t="shared" si="11"/>
        <v>41.935006064311466</v>
      </c>
      <c r="O146" s="5">
        <v>5365674248912</v>
      </c>
      <c r="P146" s="36">
        <v>98.47</v>
      </c>
      <c r="Q146" s="6">
        <v>94.11</v>
      </c>
      <c r="R146" s="6">
        <v>11.24</v>
      </c>
      <c r="S146" s="5">
        <v>5120044651577</v>
      </c>
      <c r="T146" s="5">
        <v>678604439936</v>
      </c>
      <c r="U146" s="5">
        <v>30492778961</v>
      </c>
      <c r="V146" s="5">
        <v>645907067559</v>
      </c>
      <c r="W146" s="5">
        <v>2204593416</v>
      </c>
      <c r="X146" s="5">
        <v>5798649091513</v>
      </c>
      <c r="Y146" s="5">
        <v>9221057483</v>
      </c>
      <c r="Z146" s="5">
        <v>310436430490</v>
      </c>
      <c r="AA146" s="5">
        <v>12435038050</v>
      </c>
      <c r="AB146" s="5">
        <v>6121520560053</v>
      </c>
      <c r="AC146" s="5">
        <v>4648383914650</v>
      </c>
      <c r="AD146" s="36">
        <f t="shared" si="12"/>
        <v>24.745485699616729</v>
      </c>
      <c r="AE146" s="5">
        <v>4376513175436</v>
      </c>
      <c r="AF146" s="5">
        <v>4376513175436</v>
      </c>
      <c r="AG146" s="5">
        <v>693363628100</v>
      </c>
      <c r="AH146" s="5">
        <v>54283284</v>
      </c>
      <c r="AI146" s="5">
        <v>487363528797</v>
      </c>
      <c r="AJ146" s="5">
        <v>0</v>
      </c>
      <c r="AK146" s="5">
        <v>0</v>
      </c>
      <c r="AL146" s="6">
        <v>0</v>
      </c>
      <c r="AM146" s="5">
        <v>0</v>
      </c>
      <c r="AN146" s="6">
        <v>59</v>
      </c>
      <c r="AO146" s="5">
        <v>1537005503849</v>
      </c>
      <c r="AP146" s="6">
        <v>46</v>
      </c>
      <c r="AQ146" s="5">
        <v>300879520348</v>
      </c>
      <c r="AR146" s="5">
        <v>678604439936</v>
      </c>
      <c r="AS146" s="5">
        <v>19442893278</v>
      </c>
      <c r="AT146" s="5">
        <f t="shared" si="13"/>
        <v>659161546658</v>
      </c>
      <c r="AU146" s="36">
        <f t="shared" si="14"/>
        <v>3390.2441227914042</v>
      </c>
      <c r="AV146" s="5">
        <v>3453368829623</v>
      </c>
      <c r="AW146" s="5">
        <v>660037978405</v>
      </c>
      <c r="AX146" s="5">
        <v>908077910665</v>
      </c>
      <c r="AY146" s="5">
        <v>708362821971</v>
      </c>
      <c r="AZ146" s="5">
        <v>1365422960345</v>
      </c>
      <c r="BA146" s="5">
        <v>2863248252933</v>
      </c>
      <c r="BB146" s="5">
        <v>831070081776</v>
      </c>
      <c r="BC146" s="5">
        <v>6216504037253</v>
      </c>
      <c r="BD146" s="5">
        <v>1674833616092</v>
      </c>
      <c r="BE146" s="5">
        <v>1365422960345</v>
      </c>
      <c r="BF146" s="5">
        <v>3176247460816</v>
      </c>
      <c r="BG146" s="5">
        <v>2482105054320</v>
      </c>
      <c r="BH146" s="5">
        <v>1894408121116</v>
      </c>
      <c r="BI146" s="5">
        <v>0</v>
      </c>
      <c r="BJ146" s="48">
        <v>0</v>
      </c>
      <c r="BK146" s="5">
        <v>864338438260</v>
      </c>
      <c r="BL146" s="5">
        <v>0</v>
      </c>
      <c r="BM146" s="5">
        <v>0</v>
      </c>
      <c r="BN146" s="5">
        <v>54283284</v>
      </c>
    </row>
    <row r="147" spans="1:66" x14ac:dyDescent="0.25">
      <c r="A147" s="17" t="s">
        <v>580</v>
      </c>
      <c r="B147" s="4">
        <v>1730</v>
      </c>
      <c r="C147" s="4" t="s">
        <v>192</v>
      </c>
      <c r="D147" s="5">
        <v>3200212079340</v>
      </c>
      <c r="E147" s="5">
        <v>286224371041</v>
      </c>
      <c r="F147" s="5">
        <v>0</v>
      </c>
      <c r="G147" s="5">
        <v>0</v>
      </c>
      <c r="H147" s="5">
        <v>3486436450381</v>
      </c>
      <c r="I147" s="5">
        <v>242709980385</v>
      </c>
      <c r="J147" s="5">
        <v>833635000</v>
      </c>
      <c r="K147" s="5">
        <v>3242892834996</v>
      </c>
      <c r="L147" s="5">
        <v>2047811138504</v>
      </c>
      <c r="M147" s="5">
        <f t="shared" si="10"/>
        <v>1438625311877</v>
      </c>
      <c r="N147" s="36">
        <f t="shared" si="11"/>
        <v>70.251855008854363</v>
      </c>
      <c r="O147" s="5">
        <v>2748382811933</v>
      </c>
      <c r="P147" s="36">
        <v>90.14</v>
      </c>
      <c r="Q147" s="6">
        <v>84.75</v>
      </c>
      <c r="R147" s="6">
        <v>2.4700000000000002</v>
      </c>
      <c r="S147" s="5">
        <v>2837759430163</v>
      </c>
      <c r="T147" s="5">
        <v>76462451954</v>
      </c>
      <c r="U147" s="5">
        <v>24264425616</v>
      </c>
      <c r="V147" s="5">
        <v>27217983126</v>
      </c>
      <c r="W147" s="5">
        <v>24980043212</v>
      </c>
      <c r="X147" s="5">
        <v>2914221882117</v>
      </c>
      <c r="Y147" s="5">
        <v>1135045741</v>
      </c>
      <c r="Z147" s="5">
        <v>194198233221</v>
      </c>
      <c r="AA147" s="5">
        <v>34173592266</v>
      </c>
      <c r="AB147" s="5">
        <v>3142593707604</v>
      </c>
      <c r="AC147" s="5">
        <v>1336106937578</v>
      </c>
      <c r="AD147" s="36">
        <f t="shared" si="12"/>
        <v>118.11292196414271</v>
      </c>
      <c r="AE147" s="5">
        <v>2023218688140</v>
      </c>
      <c r="AF147" s="5">
        <v>2023218688140</v>
      </c>
      <c r="AG147" s="5">
        <v>0</v>
      </c>
      <c r="AH147" s="5">
        <v>31710297944</v>
      </c>
      <c r="AI147" s="5">
        <v>0</v>
      </c>
      <c r="AJ147" s="5">
        <v>0</v>
      </c>
      <c r="AK147" s="5">
        <v>0</v>
      </c>
      <c r="AL147" s="6">
        <v>0</v>
      </c>
      <c r="AM147" s="5">
        <v>0</v>
      </c>
      <c r="AN147" s="6">
        <v>231</v>
      </c>
      <c r="AO147" s="5">
        <v>2488040396388</v>
      </c>
      <c r="AP147" s="6">
        <v>126</v>
      </c>
      <c r="AQ147" s="5">
        <v>1054466152382</v>
      </c>
      <c r="AR147" s="5">
        <v>76462451954</v>
      </c>
      <c r="AS147" s="5">
        <v>13998036780</v>
      </c>
      <c r="AT147" s="5">
        <f t="shared" si="13"/>
        <v>62464415174</v>
      </c>
      <c r="AU147" s="36">
        <f t="shared" si="14"/>
        <v>446.2369699102905</v>
      </c>
      <c r="AV147" s="5">
        <v>586500531511</v>
      </c>
      <c r="AW147" s="5">
        <v>77519081038</v>
      </c>
      <c r="AX147" s="5">
        <v>581276153631</v>
      </c>
      <c r="AY147" s="5">
        <v>972991550220</v>
      </c>
      <c r="AZ147" s="5">
        <v>904384775489</v>
      </c>
      <c r="BA147" s="5">
        <v>906824358568</v>
      </c>
      <c r="BB147" s="5">
        <v>599739093568</v>
      </c>
      <c r="BC147" s="5">
        <v>3486436450381</v>
      </c>
      <c r="BD147" s="5">
        <v>1840384918941</v>
      </c>
      <c r="BE147" s="5">
        <v>904384775489</v>
      </c>
      <c r="BF147" s="5">
        <v>741666755951</v>
      </c>
      <c r="BG147" s="5">
        <v>430335309551</v>
      </c>
      <c r="BH147" s="5">
        <v>1592883378589</v>
      </c>
      <c r="BI147" s="5">
        <v>0</v>
      </c>
      <c r="BJ147" s="48">
        <v>0</v>
      </c>
      <c r="BK147" s="5">
        <v>0</v>
      </c>
      <c r="BL147" s="5">
        <v>0</v>
      </c>
      <c r="BM147" s="5">
        <v>22543475915</v>
      </c>
      <c r="BN147" s="5">
        <v>8940297944</v>
      </c>
    </row>
    <row r="148" spans="1:66" x14ac:dyDescent="0.25">
      <c r="A148" s="17" t="s">
        <v>580</v>
      </c>
      <c r="B148" s="4">
        <v>1731</v>
      </c>
      <c r="C148" s="4" t="s">
        <v>193</v>
      </c>
      <c r="D148" s="5">
        <v>9269258473710</v>
      </c>
      <c r="E148" s="5">
        <v>1010792842870</v>
      </c>
      <c r="F148" s="5">
        <v>0</v>
      </c>
      <c r="G148" s="5">
        <v>2659939410717</v>
      </c>
      <c r="H148" s="5">
        <v>12939990727297</v>
      </c>
      <c r="I148" s="5">
        <v>665779933181</v>
      </c>
      <c r="J148" s="5">
        <v>37183414572</v>
      </c>
      <c r="K148" s="5">
        <v>12237027379544</v>
      </c>
      <c r="L148" s="5">
        <v>6422740529608</v>
      </c>
      <c r="M148" s="5">
        <f t="shared" si="10"/>
        <v>6517250197689</v>
      </c>
      <c r="N148" s="36">
        <f t="shared" si="11"/>
        <v>101.47148507160335</v>
      </c>
      <c r="O148" s="5">
        <v>3861691933829</v>
      </c>
      <c r="P148" s="36">
        <v>35.76</v>
      </c>
      <c r="Q148" s="6">
        <v>31.56</v>
      </c>
      <c r="R148" s="6">
        <v>12.7</v>
      </c>
      <c r="S148" s="5">
        <v>3524850852871</v>
      </c>
      <c r="T148" s="5">
        <v>531713714652</v>
      </c>
      <c r="U148" s="5">
        <v>28301153894</v>
      </c>
      <c r="V148" s="5">
        <v>16529466320</v>
      </c>
      <c r="W148" s="5">
        <v>486883094438</v>
      </c>
      <c r="X148" s="5">
        <v>4056564567523</v>
      </c>
      <c r="Y148" s="5">
        <v>56139183764</v>
      </c>
      <c r="Z148" s="5">
        <v>555820839403</v>
      </c>
      <c r="AA148" s="5">
        <v>15000000000</v>
      </c>
      <c r="AB148" s="5">
        <v>4627385406926</v>
      </c>
      <c r="AC148" s="5">
        <v>3799800494364</v>
      </c>
      <c r="AD148" s="36">
        <f t="shared" si="12"/>
        <v>6.757304062143306</v>
      </c>
      <c r="AE148" s="5">
        <v>6377758836244</v>
      </c>
      <c r="AF148" s="5">
        <v>6237758836244</v>
      </c>
      <c r="AG148" s="5">
        <v>2086682899518</v>
      </c>
      <c r="AH148" s="5">
        <v>65505813330</v>
      </c>
      <c r="AI148" s="5">
        <v>77737578410</v>
      </c>
      <c r="AJ148" s="5">
        <v>0</v>
      </c>
      <c r="AK148" s="5">
        <v>0</v>
      </c>
      <c r="AL148" s="6">
        <v>18</v>
      </c>
      <c r="AM148" s="5">
        <v>3385193205727</v>
      </c>
      <c r="AN148" s="6">
        <v>155</v>
      </c>
      <c r="AO148" s="5">
        <v>12136302445832</v>
      </c>
      <c r="AP148" s="6">
        <v>175</v>
      </c>
      <c r="AQ148" s="5">
        <v>7731287394976</v>
      </c>
      <c r="AR148" s="5">
        <v>531713714652</v>
      </c>
      <c r="AS148" s="5">
        <v>513893285267</v>
      </c>
      <c r="AT148" s="5">
        <f t="shared" si="13"/>
        <v>17820429385</v>
      </c>
      <c r="AU148" s="36">
        <f t="shared" si="14"/>
        <v>3.4677295648533648</v>
      </c>
      <c r="AV148" s="5">
        <v>6113361095942</v>
      </c>
      <c r="AW148" s="5">
        <v>807553870283</v>
      </c>
      <c r="AX148" s="5">
        <v>2958617316937</v>
      </c>
      <c r="AY148" s="5">
        <v>624502165928</v>
      </c>
      <c r="AZ148" s="5">
        <v>3432557780845</v>
      </c>
      <c r="BA148" s="5">
        <v>2275357030724</v>
      </c>
      <c r="BB148" s="5">
        <v>1947171795899</v>
      </c>
      <c r="BC148" s="5">
        <v>12939990727297</v>
      </c>
      <c r="BD148" s="5">
        <v>7194407775083</v>
      </c>
      <c r="BE148" s="5">
        <v>3432557780845</v>
      </c>
      <c r="BF148" s="5">
        <v>2313025171369</v>
      </c>
      <c r="BG148" s="5">
        <v>616793881540</v>
      </c>
      <c r="BH148" s="5">
        <v>5760964954704</v>
      </c>
      <c r="BI148" s="5">
        <v>0</v>
      </c>
      <c r="BJ148" s="48">
        <v>39528105170</v>
      </c>
      <c r="BK148" s="5">
        <v>2086682899518</v>
      </c>
      <c r="BL148" s="5">
        <v>0</v>
      </c>
      <c r="BM148" s="5">
        <v>0</v>
      </c>
      <c r="BN148" s="5">
        <v>65505813330</v>
      </c>
    </row>
    <row r="149" spans="1:66" x14ac:dyDescent="0.25">
      <c r="A149" s="17" t="s">
        <v>580</v>
      </c>
      <c r="B149" s="4">
        <v>1732</v>
      </c>
      <c r="C149" s="4" t="s">
        <v>194</v>
      </c>
      <c r="D149" s="5">
        <v>12718239558290</v>
      </c>
      <c r="E149" s="5">
        <v>311630182975</v>
      </c>
      <c r="F149" s="5">
        <v>0</v>
      </c>
      <c r="G149" s="5">
        <v>16885022401</v>
      </c>
      <c r="H149" s="5">
        <v>13046754763666</v>
      </c>
      <c r="I149" s="5">
        <v>1020891736759</v>
      </c>
      <c r="J149" s="5">
        <v>18823702938</v>
      </c>
      <c r="K149" s="5">
        <v>12007039323969</v>
      </c>
      <c r="L149" s="5">
        <v>8379078924362</v>
      </c>
      <c r="M149" s="5">
        <f t="shared" si="10"/>
        <v>4667675839304</v>
      </c>
      <c r="N149" s="36">
        <f t="shared" si="11"/>
        <v>55.706311892263336</v>
      </c>
      <c r="O149" s="5">
        <v>16337146919682</v>
      </c>
      <c r="P149" s="36">
        <v>186.69</v>
      </c>
      <c r="Q149" s="6">
        <v>136.06</v>
      </c>
      <c r="R149" s="6">
        <v>1.22</v>
      </c>
      <c r="S149" s="5">
        <v>23444840189367</v>
      </c>
      <c r="T149" s="5">
        <v>256152967240</v>
      </c>
      <c r="U149" s="5">
        <v>27965370645</v>
      </c>
      <c r="V149" s="5">
        <v>83547776564</v>
      </c>
      <c r="W149" s="5">
        <v>144639820031</v>
      </c>
      <c r="X149" s="5">
        <v>23700993156607</v>
      </c>
      <c r="Y149" s="5">
        <v>41766590188</v>
      </c>
      <c r="Z149" s="5">
        <v>628251692109</v>
      </c>
      <c r="AA149" s="5">
        <v>27836910027</v>
      </c>
      <c r="AB149" s="5">
        <v>24357081758743</v>
      </c>
      <c r="AC149" s="5">
        <v>14039893041123</v>
      </c>
      <c r="AD149" s="36">
        <f t="shared" si="12"/>
        <v>68.811778602490293</v>
      </c>
      <c r="AE149" s="5">
        <v>14147560517188</v>
      </c>
      <c r="AF149" s="5">
        <v>13194050334328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6">
        <v>0</v>
      </c>
      <c r="AM149" s="5">
        <v>0</v>
      </c>
      <c r="AN149" s="6">
        <v>30</v>
      </c>
      <c r="AO149" s="5">
        <v>2043109001543</v>
      </c>
      <c r="AP149" s="6">
        <v>53</v>
      </c>
      <c r="AQ149" s="5">
        <v>1610769040012</v>
      </c>
      <c r="AR149" s="5">
        <v>256152967240</v>
      </c>
      <c r="AS149" s="5">
        <v>144853937035</v>
      </c>
      <c r="AT149" s="5">
        <f t="shared" si="13"/>
        <v>111299030205</v>
      </c>
      <c r="AU149" s="36">
        <f t="shared" si="14"/>
        <v>76.8353504800547</v>
      </c>
      <c r="AV149" s="5">
        <v>6595273528459</v>
      </c>
      <c r="AW149" s="5">
        <v>503692246949</v>
      </c>
      <c r="AX149" s="5">
        <v>1243036839141</v>
      </c>
      <c r="AY149" s="5">
        <v>2817203422477</v>
      </c>
      <c r="AZ149" s="5">
        <v>2337156209275</v>
      </c>
      <c r="BA149" s="5">
        <v>10214457152945</v>
      </c>
      <c r="BB149" s="5">
        <v>1877400598074</v>
      </c>
      <c r="BC149" s="5">
        <v>13046754763666</v>
      </c>
      <c r="BD149" s="5">
        <v>4388755466994</v>
      </c>
      <c r="BE149" s="5">
        <v>2337156209275</v>
      </c>
      <c r="BF149" s="5">
        <v>6320843087397</v>
      </c>
      <c r="BG149" s="5">
        <v>11335515016754</v>
      </c>
      <c r="BH149" s="5">
        <v>2812045500434</v>
      </c>
      <c r="BI149" s="5">
        <v>0</v>
      </c>
      <c r="BJ149" s="48">
        <v>108239686229</v>
      </c>
      <c r="BK149" s="5">
        <v>0</v>
      </c>
      <c r="BL149" s="5">
        <v>0</v>
      </c>
      <c r="BM149" s="5">
        <v>0</v>
      </c>
      <c r="BN149" s="5">
        <v>0</v>
      </c>
    </row>
    <row r="150" spans="1:66" x14ac:dyDescent="0.25">
      <c r="A150" s="17" t="s">
        <v>580</v>
      </c>
      <c r="B150" s="4">
        <v>1733</v>
      </c>
      <c r="C150" s="4" t="s">
        <v>195</v>
      </c>
      <c r="D150" s="5">
        <v>20083857650074</v>
      </c>
      <c r="E150" s="5">
        <v>206645348752</v>
      </c>
      <c r="F150" s="5">
        <v>0</v>
      </c>
      <c r="G150" s="5">
        <v>0</v>
      </c>
      <c r="H150" s="5">
        <v>20290502998826</v>
      </c>
      <c r="I150" s="5">
        <v>777307148314</v>
      </c>
      <c r="J150" s="5">
        <v>10392220000</v>
      </c>
      <c r="K150" s="5">
        <v>19502803630512</v>
      </c>
      <c r="L150" s="5">
        <v>12119632099665</v>
      </c>
      <c r="M150" s="5">
        <f t="shared" si="10"/>
        <v>8170870899161</v>
      </c>
      <c r="N150" s="36">
        <f t="shared" si="11"/>
        <v>67.418473035884091</v>
      </c>
      <c r="O150" s="5">
        <v>5054638959276</v>
      </c>
      <c r="P150" s="36">
        <v>47.94</v>
      </c>
      <c r="Q150" s="6">
        <v>25.92</v>
      </c>
      <c r="R150" s="6">
        <v>1.05</v>
      </c>
      <c r="S150" s="5">
        <v>9427029080384</v>
      </c>
      <c r="T150" s="5">
        <v>37545275942</v>
      </c>
      <c r="U150" s="5">
        <v>9117841843</v>
      </c>
      <c r="V150" s="5">
        <v>5748574617</v>
      </c>
      <c r="W150" s="5">
        <v>22678859482</v>
      </c>
      <c r="X150" s="5">
        <v>9464574356326</v>
      </c>
      <c r="Y150" s="5">
        <v>64257698838</v>
      </c>
      <c r="Z150" s="5">
        <v>237523401485</v>
      </c>
      <c r="AA150" s="5">
        <v>24491191500</v>
      </c>
      <c r="AB150" s="5">
        <v>9726588949311</v>
      </c>
      <c r="AC150" s="5">
        <v>5876356122745</v>
      </c>
      <c r="AD150" s="36">
        <f t="shared" si="12"/>
        <v>61.061960143845894</v>
      </c>
      <c r="AE150" s="5">
        <v>6278045304763</v>
      </c>
      <c r="AF150" s="5">
        <v>6278045304763</v>
      </c>
      <c r="AG150" s="5">
        <v>0</v>
      </c>
      <c r="AH150" s="5">
        <v>612906750</v>
      </c>
      <c r="AI150" s="5">
        <v>0</v>
      </c>
      <c r="AJ150" s="5">
        <v>0</v>
      </c>
      <c r="AK150" s="5">
        <v>0</v>
      </c>
      <c r="AL150" s="6">
        <v>0</v>
      </c>
      <c r="AM150" s="5">
        <v>0</v>
      </c>
      <c r="AN150" s="6">
        <v>37</v>
      </c>
      <c r="AO150" s="5">
        <v>493964359815</v>
      </c>
      <c r="AP150" s="6">
        <v>14</v>
      </c>
      <c r="AQ150" s="5">
        <v>184797511765</v>
      </c>
      <c r="AR150" s="5">
        <v>37545275942</v>
      </c>
      <c r="AS150" s="5">
        <v>28123554244</v>
      </c>
      <c r="AT150" s="5">
        <f t="shared" si="13"/>
        <v>9421721698</v>
      </c>
      <c r="AU150" s="36">
        <f t="shared" si="14"/>
        <v>33.50117704276326</v>
      </c>
      <c r="AV150" s="5">
        <v>3774649400925</v>
      </c>
      <c r="AW150" s="5">
        <v>133199209984</v>
      </c>
      <c r="AX150" s="5">
        <v>1031285318250</v>
      </c>
      <c r="AY150" s="5">
        <v>163692944440</v>
      </c>
      <c r="AZ150" s="5">
        <v>2481461985103</v>
      </c>
      <c r="BA150" s="5">
        <v>35069898722085</v>
      </c>
      <c r="BB150" s="5">
        <v>116325433474</v>
      </c>
      <c r="BC150" s="5">
        <v>20290502998826</v>
      </c>
      <c r="BD150" s="5">
        <v>1401623611442</v>
      </c>
      <c r="BE150" s="5">
        <v>2481461985103</v>
      </c>
      <c r="BF150" s="5">
        <v>16407417402281</v>
      </c>
      <c r="BG150" s="5">
        <v>2885984954121</v>
      </c>
      <c r="BH150" s="5">
        <v>3392060350642</v>
      </c>
      <c r="BI150" s="5">
        <v>0</v>
      </c>
      <c r="BJ150" s="48">
        <v>0</v>
      </c>
      <c r="BK150" s="5">
        <v>62479088029</v>
      </c>
      <c r="BL150" s="5">
        <v>0</v>
      </c>
      <c r="BM150" s="5">
        <v>0</v>
      </c>
      <c r="BN150" s="5">
        <v>612906750</v>
      </c>
    </row>
    <row r="151" spans="1:66" x14ac:dyDescent="0.25">
      <c r="A151" s="17" t="s">
        <v>580</v>
      </c>
      <c r="B151" s="4">
        <v>1734</v>
      </c>
      <c r="C151" s="4" t="s">
        <v>196</v>
      </c>
      <c r="D151" s="5">
        <v>8419790412262</v>
      </c>
      <c r="E151" s="5">
        <v>67630432502</v>
      </c>
      <c r="F151" s="5">
        <v>0</v>
      </c>
      <c r="G151" s="5">
        <v>0</v>
      </c>
      <c r="H151" s="5">
        <v>8487420844764</v>
      </c>
      <c r="I151" s="5">
        <v>718185162521</v>
      </c>
      <c r="J151" s="5">
        <v>5339075000</v>
      </c>
      <c r="K151" s="5">
        <v>7763896607243</v>
      </c>
      <c r="L151" s="5">
        <v>5115846666910</v>
      </c>
      <c r="M151" s="5">
        <f t="shared" si="10"/>
        <v>3371574177854</v>
      </c>
      <c r="N151" s="36">
        <f t="shared" si="11"/>
        <v>65.904519767212832</v>
      </c>
      <c r="O151" s="5">
        <v>3426285252741</v>
      </c>
      <c r="P151" s="36">
        <v>43.88</v>
      </c>
      <c r="Q151" s="6">
        <v>44.13</v>
      </c>
      <c r="R151" s="6">
        <v>0.08</v>
      </c>
      <c r="S151" s="5">
        <v>3626320664978</v>
      </c>
      <c r="T151" s="5">
        <v>2406930254</v>
      </c>
      <c r="U151" s="5">
        <v>2012079550</v>
      </c>
      <c r="V151" s="5">
        <v>0</v>
      </c>
      <c r="W151" s="5">
        <v>394850704</v>
      </c>
      <c r="X151" s="5">
        <v>3628727595232</v>
      </c>
      <c r="Y151" s="5">
        <v>499375374</v>
      </c>
      <c r="Z151" s="5">
        <v>94798271683</v>
      </c>
      <c r="AA151" s="5">
        <v>1000000000</v>
      </c>
      <c r="AB151" s="5">
        <v>3724525866915</v>
      </c>
      <c r="AC151" s="5">
        <v>2596885068914</v>
      </c>
      <c r="AD151" s="36">
        <f t="shared" si="12"/>
        <v>39.733854172819036</v>
      </c>
      <c r="AE151" s="5">
        <v>4791297780624</v>
      </c>
      <c r="AF151" s="5">
        <v>4791297780624</v>
      </c>
      <c r="AG151" s="5">
        <v>321278363478</v>
      </c>
      <c r="AH151" s="5">
        <v>38693687823</v>
      </c>
      <c r="AI151" s="5">
        <v>0</v>
      </c>
      <c r="AJ151" s="5">
        <v>0</v>
      </c>
      <c r="AK151" s="5">
        <v>0</v>
      </c>
      <c r="AL151" s="6">
        <v>3</v>
      </c>
      <c r="AM151" s="5">
        <v>422770014800</v>
      </c>
      <c r="AN151" s="6">
        <v>42</v>
      </c>
      <c r="AO151" s="5">
        <v>910189169630</v>
      </c>
      <c r="AP151" s="6">
        <v>15</v>
      </c>
      <c r="AQ151" s="5">
        <v>189264865433</v>
      </c>
      <c r="AR151" s="5">
        <v>2406930254</v>
      </c>
      <c r="AS151" s="5">
        <v>1565884216</v>
      </c>
      <c r="AT151" s="5">
        <f t="shared" si="13"/>
        <v>841046038</v>
      </c>
      <c r="AU151" s="36">
        <f t="shared" si="14"/>
        <v>53.710614706138657</v>
      </c>
      <c r="AV151" s="5">
        <v>3867566526162</v>
      </c>
      <c r="AW151" s="5">
        <v>22708788585</v>
      </c>
      <c r="AX151" s="5">
        <v>2513280885356</v>
      </c>
      <c r="AY151" s="5">
        <v>147647122617</v>
      </c>
      <c r="AZ151" s="5">
        <v>1168025298868</v>
      </c>
      <c r="BA151" s="5">
        <v>4631147834369</v>
      </c>
      <c r="BB151" s="5">
        <v>223886757908</v>
      </c>
      <c r="BC151" s="5">
        <v>8486594774536</v>
      </c>
      <c r="BD151" s="5">
        <v>2728558440475</v>
      </c>
      <c r="BE151" s="5">
        <v>1168025298868</v>
      </c>
      <c r="BF151" s="5">
        <v>4590837105421</v>
      </c>
      <c r="BG151" s="5">
        <v>4277296522534</v>
      </c>
      <c r="BH151" s="5">
        <v>514001258090</v>
      </c>
      <c r="BI151" s="5">
        <v>0</v>
      </c>
      <c r="BJ151" s="48">
        <v>0</v>
      </c>
      <c r="BK151" s="5">
        <v>321278363478</v>
      </c>
      <c r="BL151" s="5">
        <v>0</v>
      </c>
      <c r="BM151" s="5">
        <v>0</v>
      </c>
      <c r="BN151" s="5">
        <v>38693687823</v>
      </c>
    </row>
    <row r="152" spans="1:66" x14ac:dyDescent="0.25">
      <c r="A152" s="17" t="s">
        <v>580</v>
      </c>
      <c r="B152" s="4">
        <v>1735</v>
      </c>
      <c r="C152" s="4" t="s">
        <v>197</v>
      </c>
      <c r="D152" s="5">
        <v>3772025369537</v>
      </c>
      <c r="E152" s="5">
        <v>521208654697</v>
      </c>
      <c r="F152" s="5">
        <v>0</v>
      </c>
      <c r="G152" s="5">
        <v>0</v>
      </c>
      <c r="H152" s="5">
        <v>4293234024234</v>
      </c>
      <c r="I152" s="5">
        <v>359019937824</v>
      </c>
      <c r="J152" s="5">
        <v>1899174202</v>
      </c>
      <c r="K152" s="5">
        <v>3932314912208</v>
      </c>
      <c r="L152" s="5">
        <v>1869947179610</v>
      </c>
      <c r="M152" s="5">
        <f t="shared" si="10"/>
        <v>2423286844624</v>
      </c>
      <c r="N152" s="36">
        <f t="shared" si="11"/>
        <v>129.59119225653237</v>
      </c>
      <c r="O152" s="5">
        <v>1025567926938</v>
      </c>
      <c r="P152" s="36">
        <v>30.42</v>
      </c>
      <c r="Q152" s="6">
        <v>26.08</v>
      </c>
      <c r="R152" s="6">
        <v>0.77</v>
      </c>
      <c r="S152" s="5">
        <v>1210948620531</v>
      </c>
      <c r="T152" s="5">
        <v>9837415029</v>
      </c>
      <c r="U152" s="5">
        <v>8186852868</v>
      </c>
      <c r="V152" s="5">
        <v>1538520520</v>
      </c>
      <c r="W152" s="5">
        <v>112041641</v>
      </c>
      <c r="X152" s="5">
        <v>1220786035560</v>
      </c>
      <c r="Y152" s="5">
        <v>193525979</v>
      </c>
      <c r="Z152" s="5">
        <v>73356685075</v>
      </c>
      <c r="AA152" s="5">
        <v>12000000000</v>
      </c>
      <c r="AB152" s="5">
        <v>1306142720635</v>
      </c>
      <c r="AC152" s="5">
        <v>841725860544</v>
      </c>
      <c r="AD152" s="36">
        <f t="shared" si="12"/>
        <v>45.033685286919514</v>
      </c>
      <c r="AE152" s="5">
        <v>1169799814161</v>
      </c>
      <c r="AF152" s="5">
        <v>1169799814161</v>
      </c>
      <c r="AG152" s="5">
        <v>0</v>
      </c>
      <c r="AH152" s="5">
        <v>174484193041</v>
      </c>
      <c r="AI152" s="5">
        <v>0</v>
      </c>
      <c r="AJ152" s="5">
        <v>0</v>
      </c>
      <c r="AK152" s="5">
        <v>0</v>
      </c>
      <c r="AL152" s="6">
        <v>0</v>
      </c>
      <c r="AM152" s="5">
        <v>0</v>
      </c>
      <c r="AN152" s="6">
        <v>71</v>
      </c>
      <c r="AO152" s="5">
        <v>1028007459618</v>
      </c>
      <c r="AP152" s="6">
        <v>5</v>
      </c>
      <c r="AQ152" s="5">
        <v>144783789887</v>
      </c>
      <c r="AR152" s="5">
        <v>9837415029</v>
      </c>
      <c r="AS152" s="5">
        <v>2956030168</v>
      </c>
      <c r="AT152" s="5">
        <f t="shared" si="13"/>
        <v>6881384861</v>
      </c>
      <c r="AU152" s="36">
        <f t="shared" si="14"/>
        <v>232.7914287037141</v>
      </c>
      <c r="AV152" s="5">
        <v>948458417796</v>
      </c>
      <c r="AW152" s="5">
        <v>40309728320</v>
      </c>
      <c r="AX152" s="5">
        <v>683816238726</v>
      </c>
      <c r="AY152" s="5">
        <v>252246910017</v>
      </c>
      <c r="AZ152" s="5">
        <v>1850809360361</v>
      </c>
      <c r="BA152" s="5">
        <v>1098542277161</v>
      </c>
      <c r="BB152" s="5">
        <v>1260568009846</v>
      </c>
      <c r="BC152" s="5">
        <v>4293234024234</v>
      </c>
      <c r="BD152" s="5">
        <v>1457271803440</v>
      </c>
      <c r="BE152" s="5">
        <v>1850809360361</v>
      </c>
      <c r="BF152" s="5">
        <v>985152860433</v>
      </c>
      <c r="BG152" s="5">
        <v>437739938940</v>
      </c>
      <c r="BH152" s="5">
        <v>732059875221</v>
      </c>
      <c r="BI152" s="5">
        <v>0</v>
      </c>
      <c r="BJ152" s="48">
        <v>0</v>
      </c>
      <c r="BK152" s="5">
        <v>0</v>
      </c>
      <c r="BL152" s="5">
        <v>26082351047</v>
      </c>
      <c r="BM152" s="5">
        <v>0</v>
      </c>
      <c r="BN152" s="5">
        <v>148401841994</v>
      </c>
    </row>
    <row r="153" spans="1:66" x14ac:dyDescent="0.25">
      <c r="A153" s="17" t="s">
        <v>580</v>
      </c>
      <c r="B153" s="4">
        <v>1736</v>
      </c>
      <c r="C153" s="4" t="s">
        <v>198</v>
      </c>
      <c r="D153" s="5">
        <v>19205104336070</v>
      </c>
      <c r="E153" s="5">
        <v>449999147607</v>
      </c>
      <c r="F153" s="5">
        <v>0</v>
      </c>
      <c r="G153" s="5">
        <v>0</v>
      </c>
      <c r="H153" s="5">
        <v>19655103483677</v>
      </c>
      <c r="I153" s="5">
        <v>893384905790</v>
      </c>
      <c r="J153" s="5">
        <v>1388859103</v>
      </c>
      <c r="K153" s="5">
        <v>18760329718784</v>
      </c>
      <c r="L153" s="5">
        <v>6045877361819</v>
      </c>
      <c r="M153" s="5">
        <f t="shared" si="10"/>
        <v>13609226121858</v>
      </c>
      <c r="N153" s="36">
        <f t="shared" si="11"/>
        <v>225.09927521525915</v>
      </c>
      <c r="O153" s="5">
        <v>3639342467954</v>
      </c>
      <c r="P153" s="36">
        <v>23.73</v>
      </c>
      <c r="Q153" s="6">
        <v>19.399999999999999</v>
      </c>
      <c r="R153" s="6">
        <v>0.84</v>
      </c>
      <c r="S153" s="5">
        <v>4322672139633</v>
      </c>
      <c r="T153" s="5">
        <v>38737819138</v>
      </c>
      <c r="U153" s="5">
        <v>23446893258</v>
      </c>
      <c r="V153" s="5">
        <v>9618227689</v>
      </c>
      <c r="W153" s="5">
        <v>5672698191</v>
      </c>
      <c r="X153" s="5">
        <v>4361409958771</v>
      </c>
      <c r="Y153" s="5">
        <v>302369430</v>
      </c>
      <c r="Z153" s="5">
        <v>281480758910</v>
      </c>
      <c r="AA153" s="5">
        <v>21580567950</v>
      </c>
      <c r="AB153" s="5">
        <v>4664471285631</v>
      </c>
      <c r="AC153" s="5">
        <v>3286554555344</v>
      </c>
      <c r="AD153" s="36">
        <f t="shared" si="12"/>
        <v>32.704626846350834</v>
      </c>
      <c r="AE153" s="5">
        <v>2289832233083</v>
      </c>
      <c r="AF153" s="5">
        <v>2289832233083</v>
      </c>
      <c r="AG153" s="5">
        <v>0</v>
      </c>
      <c r="AH153" s="5">
        <v>43969813224</v>
      </c>
      <c r="AI153" s="5">
        <v>0</v>
      </c>
      <c r="AJ153" s="5">
        <v>0</v>
      </c>
      <c r="AK153" s="5">
        <v>0</v>
      </c>
      <c r="AL153" s="6">
        <v>0</v>
      </c>
      <c r="AM153" s="5">
        <v>0</v>
      </c>
      <c r="AN153" s="6">
        <v>34</v>
      </c>
      <c r="AO153" s="5">
        <v>817798771426</v>
      </c>
      <c r="AP153" s="6">
        <v>25</v>
      </c>
      <c r="AQ153" s="5">
        <v>153506866279</v>
      </c>
      <c r="AR153" s="5">
        <v>38737819138</v>
      </c>
      <c r="AS153" s="5">
        <v>13766657451</v>
      </c>
      <c r="AT153" s="5">
        <f t="shared" si="13"/>
        <v>24971161687</v>
      </c>
      <c r="AU153" s="36">
        <f t="shared" si="14"/>
        <v>181.38870510783366</v>
      </c>
      <c r="AV153" s="5">
        <v>1421150085111</v>
      </c>
      <c r="AW153" s="5">
        <v>58949581690</v>
      </c>
      <c r="AX153" s="5">
        <v>915787884888</v>
      </c>
      <c r="AY153" s="5">
        <v>280607944033</v>
      </c>
      <c r="AZ153" s="5">
        <v>11137472363797</v>
      </c>
      <c r="BA153" s="5">
        <v>7232296611876</v>
      </c>
      <c r="BB153" s="5">
        <v>455194272088</v>
      </c>
      <c r="BC153" s="5">
        <v>19655103483677</v>
      </c>
      <c r="BD153" s="5">
        <v>1642315162421</v>
      </c>
      <c r="BE153" s="5">
        <v>11137472363797</v>
      </c>
      <c r="BF153" s="5">
        <v>6875315957459</v>
      </c>
      <c r="BG153" s="5">
        <v>661146639610</v>
      </c>
      <c r="BH153" s="5">
        <v>1628685593473</v>
      </c>
      <c r="BI153" s="5">
        <v>0</v>
      </c>
      <c r="BJ153" s="48">
        <v>0</v>
      </c>
      <c r="BK153" s="5">
        <v>0</v>
      </c>
      <c r="BL153" s="5">
        <v>0</v>
      </c>
      <c r="BM153" s="5">
        <v>0</v>
      </c>
      <c r="BN153" s="5">
        <v>43969813224</v>
      </c>
    </row>
    <row r="154" spans="1:66" x14ac:dyDescent="0.25">
      <c r="A154" s="17" t="s">
        <v>580</v>
      </c>
      <c r="B154" s="4">
        <v>1737</v>
      </c>
      <c r="C154" s="4" t="s">
        <v>199</v>
      </c>
      <c r="D154" s="5">
        <v>2657288829018</v>
      </c>
      <c r="E154" s="5">
        <v>43671736680</v>
      </c>
      <c r="F154" s="5">
        <v>0</v>
      </c>
      <c r="G154" s="5">
        <v>0</v>
      </c>
      <c r="H154" s="5">
        <v>2700960565698</v>
      </c>
      <c r="I154" s="5">
        <v>219559998700</v>
      </c>
      <c r="J154" s="5">
        <v>3682329000</v>
      </c>
      <c r="K154" s="5">
        <v>2477718237998</v>
      </c>
      <c r="L154" s="5">
        <v>1454500956897</v>
      </c>
      <c r="M154" s="5">
        <f t="shared" si="10"/>
        <v>1246459608801</v>
      </c>
      <c r="N154" s="36">
        <f t="shared" si="11"/>
        <v>85.696719750543807</v>
      </c>
      <c r="O154" s="5">
        <v>819419436919</v>
      </c>
      <c r="P154" s="36">
        <v>36.880000000000003</v>
      </c>
      <c r="Q154" s="6">
        <v>33.07</v>
      </c>
      <c r="R154" s="6">
        <v>0.78</v>
      </c>
      <c r="S154" s="5">
        <v>908449585720</v>
      </c>
      <c r="T154" s="5">
        <v>7777479151</v>
      </c>
      <c r="U154" s="5">
        <v>7380924013</v>
      </c>
      <c r="V154" s="5">
        <v>396555138</v>
      </c>
      <c r="W154" s="5">
        <v>0</v>
      </c>
      <c r="X154" s="5">
        <v>916227064871</v>
      </c>
      <c r="Y154" s="5">
        <v>0</v>
      </c>
      <c r="Z154" s="5">
        <v>77831517899</v>
      </c>
      <c r="AA154" s="5">
        <v>2000000000</v>
      </c>
      <c r="AB154" s="5">
        <v>996058582770</v>
      </c>
      <c r="AC154" s="5">
        <v>603644985006</v>
      </c>
      <c r="AD154" s="36">
        <f t="shared" si="12"/>
        <v>51.782436304327625</v>
      </c>
      <c r="AE154" s="5">
        <v>546251070985</v>
      </c>
      <c r="AF154" s="5">
        <v>546251070985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6">
        <v>0</v>
      </c>
      <c r="AM154" s="5">
        <v>0</v>
      </c>
      <c r="AN154" s="6">
        <v>82</v>
      </c>
      <c r="AO154" s="5">
        <v>470894350114</v>
      </c>
      <c r="AP154" s="6">
        <v>12</v>
      </c>
      <c r="AQ154" s="5">
        <v>49849316214</v>
      </c>
      <c r="AR154" s="5">
        <v>7777479151</v>
      </c>
      <c r="AS154" s="5">
        <v>1965750994</v>
      </c>
      <c r="AT154" s="5">
        <f t="shared" si="13"/>
        <v>5811728157</v>
      </c>
      <c r="AU154" s="36">
        <f t="shared" si="14"/>
        <v>295.64925439381466</v>
      </c>
      <c r="AV154" s="5">
        <v>267786682175</v>
      </c>
      <c r="AW154" s="5">
        <v>16191306416</v>
      </c>
      <c r="AX154" s="5">
        <v>133298560863</v>
      </c>
      <c r="AY154" s="5">
        <v>151457808226</v>
      </c>
      <c r="AZ154" s="5">
        <v>416923603563</v>
      </c>
      <c r="BA154" s="5">
        <v>2028053880934</v>
      </c>
      <c r="BB154" s="5">
        <v>258123458481</v>
      </c>
      <c r="BC154" s="5">
        <v>2700960565698</v>
      </c>
      <c r="BD154" s="5">
        <v>328428105769</v>
      </c>
      <c r="BE154" s="5">
        <v>416923603563</v>
      </c>
      <c r="BF154" s="5">
        <v>1955608856366</v>
      </c>
      <c r="BG154" s="5">
        <v>296325711454</v>
      </c>
      <c r="BH154" s="5">
        <v>249925359531</v>
      </c>
      <c r="BI154" s="5">
        <v>0</v>
      </c>
      <c r="BJ154" s="48">
        <v>0</v>
      </c>
      <c r="BK154" s="5">
        <v>0</v>
      </c>
      <c r="BL154" s="5">
        <v>0</v>
      </c>
      <c r="BM154" s="5">
        <v>0</v>
      </c>
      <c r="BN154" s="5">
        <v>0</v>
      </c>
    </row>
    <row r="155" spans="1:66" x14ac:dyDescent="0.25">
      <c r="A155" s="17" t="s">
        <v>580</v>
      </c>
      <c r="B155" s="4">
        <v>1738</v>
      </c>
      <c r="C155" s="4" t="s">
        <v>200</v>
      </c>
      <c r="D155" s="5">
        <v>1661961486803</v>
      </c>
      <c r="E155" s="5">
        <v>63531790633</v>
      </c>
      <c r="F155" s="5">
        <v>0</v>
      </c>
      <c r="G155" s="5">
        <v>0</v>
      </c>
      <c r="H155" s="5">
        <v>1725493277436</v>
      </c>
      <c r="I155" s="5">
        <v>130911469823</v>
      </c>
      <c r="J155" s="5">
        <v>3736480000</v>
      </c>
      <c r="K155" s="5">
        <v>1590845327613</v>
      </c>
      <c r="L155" s="5">
        <v>1530134824537</v>
      </c>
      <c r="M155" s="5">
        <f t="shared" si="10"/>
        <v>195358452899</v>
      </c>
      <c r="N155" s="36">
        <f t="shared" si="11"/>
        <v>12.767401262049772</v>
      </c>
      <c r="O155" s="5">
        <v>834588183909</v>
      </c>
      <c r="P155" s="36">
        <v>54.55</v>
      </c>
      <c r="Q155" s="6">
        <v>52.46</v>
      </c>
      <c r="R155" s="6">
        <v>2.85</v>
      </c>
      <c r="S155" s="5">
        <v>831273704750</v>
      </c>
      <c r="T155" s="5">
        <v>26849856847</v>
      </c>
      <c r="U155" s="5">
        <v>20229476503</v>
      </c>
      <c r="V155" s="5">
        <v>5898241103</v>
      </c>
      <c r="W155" s="5">
        <v>722139241</v>
      </c>
      <c r="X155" s="5">
        <v>858123561597</v>
      </c>
      <c r="Y155" s="5">
        <v>13813801</v>
      </c>
      <c r="Z155" s="5">
        <v>77242984348</v>
      </c>
      <c r="AA155" s="5">
        <v>5850000000</v>
      </c>
      <c r="AB155" s="5">
        <v>941216545945</v>
      </c>
      <c r="AC155" s="5">
        <v>818330217559</v>
      </c>
      <c r="AD155" s="36">
        <f t="shared" si="12"/>
        <v>4.8627489470814975</v>
      </c>
      <c r="AE155" s="5">
        <v>523166334194</v>
      </c>
      <c r="AF155" s="5">
        <v>523166334194</v>
      </c>
      <c r="AG155" s="5">
        <v>0</v>
      </c>
      <c r="AH155" s="5">
        <v>9256341684</v>
      </c>
      <c r="AI155" s="5">
        <v>0</v>
      </c>
      <c r="AJ155" s="5">
        <v>0</v>
      </c>
      <c r="AK155" s="5">
        <v>0</v>
      </c>
      <c r="AL155" s="6">
        <v>0</v>
      </c>
      <c r="AM155" s="5">
        <v>0</v>
      </c>
      <c r="AN155" s="6">
        <v>69</v>
      </c>
      <c r="AO155" s="5">
        <v>314337082841</v>
      </c>
      <c r="AP155" s="6">
        <v>34</v>
      </c>
      <c r="AQ155" s="5">
        <v>240183057300</v>
      </c>
      <c r="AR155" s="5">
        <v>26849856847</v>
      </c>
      <c r="AS155" s="5">
        <v>4352001319</v>
      </c>
      <c r="AT155" s="5">
        <f t="shared" si="13"/>
        <v>22497855528</v>
      </c>
      <c r="AU155" s="36">
        <f t="shared" si="14"/>
        <v>516.95424424111945</v>
      </c>
      <c r="AV155" s="5">
        <v>467912055072</v>
      </c>
      <c r="AW155" s="5">
        <v>66038467820</v>
      </c>
      <c r="AX155" s="5">
        <v>132869089496</v>
      </c>
      <c r="AY155" s="5">
        <v>299436771544</v>
      </c>
      <c r="AZ155" s="5">
        <v>384090585972</v>
      </c>
      <c r="BA155" s="5">
        <v>920264702367</v>
      </c>
      <c r="BB155" s="5">
        <v>317554402431</v>
      </c>
      <c r="BC155" s="5">
        <v>1725493277436</v>
      </c>
      <c r="BD155" s="5">
        <v>495837651673</v>
      </c>
      <c r="BE155" s="5">
        <v>384090585972</v>
      </c>
      <c r="BF155" s="5">
        <v>845565039791</v>
      </c>
      <c r="BG155" s="5">
        <v>295661509096</v>
      </c>
      <c r="BH155" s="5">
        <v>227504825098</v>
      </c>
      <c r="BI155" s="5">
        <v>0</v>
      </c>
      <c r="BJ155" s="48">
        <v>0</v>
      </c>
      <c r="BK155" s="5">
        <v>0</v>
      </c>
      <c r="BL155" s="5">
        <v>2187179582</v>
      </c>
      <c r="BM155" s="5">
        <v>0</v>
      </c>
      <c r="BN155" s="5">
        <v>7069162102</v>
      </c>
    </row>
    <row r="156" spans="1:66" x14ac:dyDescent="0.25">
      <c r="A156" s="17" t="s">
        <v>580</v>
      </c>
      <c r="B156" s="4">
        <v>1739</v>
      </c>
      <c r="C156" s="4" t="s">
        <v>201</v>
      </c>
      <c r="D156" s="5">
        <v>5785920379702</v>
      </c>
      <c r="E156" s="5">
        <v>646137884655</v>
      </c>
      <c r="F156" s="5">
        <v>0</v>
      </c>
      <c r="G156" s="5">
        <v>0</v>
      </c>
      <c r="H156" s="5">
        <v>6432058264357</v>
      </c>
      <c r="I156" s="5">
        <v>536121273899</v>
      </c>
      <c r="J156" s="5">
        <v>4799116000</v>
      </c>
      <c r="K156" s="5">
        <v>5891137874458</v>
      </c>
      <c r="L156" s="5">
        <v>2719826136474</v>
      </c>
      <c r="M156" s="5">
        <f t="shared" si="10"/>
        <v>3712232127883</v>
      </c>
      <c r="N156" s="36">
        <f t="shared" si="11"/>
        <v>136.48784670830324</v>
      </c>
      <c r="O156" s="5">
        <v>4156084900312</v>
      </c>
      <c r="P156" s="36">
        <v>72.33</v>
      </c>
      <c r="Q156" s="6">
        <v>70.55</v>
      </c>
      <c r="R156" s="6">
        <v>2.7</v>
      </c>
      <c r="S156" s="5">
        <v>4271120933035</v>
      </c>
      <c r="T156" s="5">
        <v>113839900868</v>
      </c>
      <c r="U156" s="5">
        <v>36620750242</v>
      </c>
      <c r="V156" s="5">
        <v>8812193767</v>
      </c>
      <c r="W156" s="5">
        <v>68406956859</v>
      </c>
      <c r="X156" s="5">
        <v>4384960833903</v>
      </c>
      <c r="Y156" s="5">
        <v>11633802083</v>
      </c>
      <c r="Z156" s="5">
        <v>245225158708</v>
      </c>
      <c r="AA156" s="5">
        <v>21967911600</v>
      </c>
      <c r="AB156" s="5">
        <v>4652153904211</v>
      </c>
      <c r="AC156" s="5">
        <v>4467870309689</v>
      </c>
      <c r="AD156" s="36">
        <f t="shared" si="12"/>
        <v>-1.8556822387212752</v>
      </c>
      <c r="AE156" s="5">
        <v>3082726112542</v>
      </c>
      <c r="AF156" s="5">
        <v>3082726112542</v>
      </c>
      <c r="AG156" s="5">
        <v>0</v>
      </c>
      <c r="AH156" s="5">
        <v>2874243130</v>
      </c>
      <c r="AI156" s="5">
        <v>0</v>
      </c>
      <c r="AJ156" s="5">
        <v>0</v>
      </c>
      <c r="AK156" s="5">
        <v>0</v>
      </c>
      <c r="AL156" s="6">
        <v>0</v>
      </c>
      <c r="AM156" s="5">
        <v>0</v>
      </c>
      <c r="AN156" s="6">
        <v>246</v>
      </c>
      <c r="AO156" s="5">
        <v>9014567298098</v>
      </c>
      <c r="AP156" s="6">
        <v>67</v>
      </c>
      <c r="AQ156" s="5">
        <v>895024439541</v>
      </c>
      <c r="AR156" s="5">
        <v>113839900868</v>
      </c>
      <c r="AS156" s="5">
        <v>100412102268</v>
      </c>
      <c r="AT156" s="5">
        <f t="shared" si="13"/>
        <v>13427798600</v>
      </c>
      <c r="AU156" s="36">
        <f t="shared" si="14"/>
        <v>13.372689443510696</v>
      </c>
      <c r="AV156" s="5">
        <v>3126747787324</v>
      </c>
      <c r="AW156" s="5">
        <v>158713570438</v>
      </c>
      <c r="AX156" s="5">
        <v>1225954628114</v>
      </c>
      <c r="AY156" s="5">
        <v>427719119963</v>
      </c>
      <c r="AZ156" s="5">
        <v>1040467590675</v>
      </c>
      <c r="BA156" s="5">
        <v>3611614146306</v>
      </c>
      <c r="BB156" s="5">
        <v>870691485471</v>
      </c>
      <c r="BC156" s="5">
        <v>6432058264357</v>
      </c>
      <c r="BD156" s="5">
        <v>2299811712452</v>
      </c>
      <c r="BE156" s="5">
        <v>1040467590675</v>
      </c>
      <c r="BF156" s="5">
        <v>3091778961230</v>
      </c>
      <c r="BG156" s="5">
        <v>2057514139937</v>
      </c>
      <c r="BH156" s="5">
        <v>1025211972605</v>
      </c>
      <c r="BI156" s="5">
        <v>0</v>
      </c>
      <c r="BJ156" s="48">
        <v>0</v>
      </c>
      <c r="BK156" s="5">
        <v>0</v>
      </c>
      <c r="BL156" s="5">
        <v>0</v>
      </c>
      <c r="BM156" s="5">
        <v>0</v>
      </c>
      <c r="BN156" s="5">
        <v>2874243130</v>
      </c>
    </row>
    <row r="157" spans="1:66" x14ac:dyDescent="0.25">
      <c r="A157" s="17" t="s">
        <v>580</v>
      </c>
      <c r="B157" s="4">
        <v>1740</v>
      </c>
      <c r="C157" s="4" t="s">
        <v>202</v>
      </c>
      <c r="D157" s="5">
        <v>1692212729971</v>
      </c>
      <c r="E157" s="5">
        <v>194570669175</v>
      </c>
      <c r="F157" s="5">
        <v>0</v>
      </c>
      <c r="G157" s="5">
        <v>0</v>
      </c>
      <c r="H157" s="5">
        <v>1886783399146</v>
      </c>
      <c r="I157" s="5">
        <v>148803349225</v>
      </c>
      <c r="J157" s="5">
        <v>1617490000</v>
      </c>
      <c r="K157" s="5">
        <v>1736362559921</v>
      </c>
      <c r="L157" s="5">
        <v>1262822883227</v>
      </c>
      <c r="M157" s="5">
        <f t="shared" si="10"/>
        <v>623960515919</v>
      </c>
      <c r="N157" s="36">
        <f t="shared" si="11"/>
        <v>49.409978565207815</v>
      </c>
      <c r="O157" s="5">
        <v>1266010883225</v>
      </c>
      <c r="P157" s="36">
        <v>73.010000000000005</v>
      </c>
      <c r="Q157" s="6">
        <v>72.91</v>
      </c>
      <c r="R157" s="6">
        <v>2.94</v>
      </c>
      <c r="S157" s="5">
        <v>1250061105828</v>
      </c>
      <c r="T157" s="5">
        <v>39889632988</v>
      </c>
      <c r="U157" s="5">
        <v>22852378906</v>
      </c>
      <c r="V157" s="5">
        <v>15827185957</v>
      </c>
      <c r="W157" s="5">
        <v>1210068125</v>
      </c>
      <c r="X157" s="5">
        <v>1289950738816</v>
      </c>
      <c r="Y157" s="5">
        <v>601270319</v>
      </c>
      <c r="Z157" s="5">
        <v>78691951352</v>
      </c>
      <c r="AA157" s="5">
        <v>8814172768</v>
      </c>
      <c r="AB157" s="5">
        <v>1377456862936</v>
      </c>
      <c r="AC157" s="5">
        <v>836460344970</v>
      </c>
      <c r="AD157" s="36">
        <f t="shared" si="12"/>
        <v>54.215408605205859</v>
      </c>
      <c r="AE157" s="5">
        <v>1007425717123</v>
      </c>
      <c r="AF157" s="5">
        <v>1007425717123</v>
      </c>
      <c r="AG157" s="5">
        <v>0</v>
      </c>
      <c r="AH157" s="5">
        <v>14739715566</v>
      </c>
      <c r="AI157" s="5">
        <v>0</v>
      </c>
      <c r="AJ157" s="5">
        <v>0</v>
      </c>
      <c r="AK157" s="5">
        <v>0</v>
      </c>
      <c r="AL157" s="6">
        <v>0</v>
      </c>
      <c r="AM157" s="5">
        <v>0</v>
      </c>
      <c r="AN157" s="6">
        <v>302</v>
      </c>
      <c r="AO157" s="5">
        <v>2632564251530</v>
      </c>
      <c r="AP157" s="6">
        <v>65</v>
      </c>
      <c r="AQ157" s="5">
        <v>2490745833588</v>
      </c>
      <c r="AR157" s="5">
        <v>39889632988</v>
      </c>
      <c r="AS157" s="5">
        <v>12621160567</v>
      </c>
      <c r="AT157" s="5">
        <f t="shared" si="13"/>
        <v>27268472421</v>
      </c>
      <c r="AU157" s="36">
        <f t="shared" si="14"/>
        <v>216.05360518348598</v>
      </c>
      <c r="AV157" s="5">
        <v>543824791402</v>
      </c>
      <c r="AW157" s="5">
        <v>57085611927</v>
      </c>
      <c r="AX157" s="5">
        <v>432673260962</v>
      </c>
      <c r="AY157" s="5">
        <v>518610294766</v>
      </c>
      <c r="AZ157" s="5">
        <v>291695691880</v>
      </c>
      <c r="BA157" s="5">
        <v>490179948707</v>
      </c>
      <c r="BB157" s="5">
        <v>274187107146</v>
      </c>
      <c r="BC157" s="5">
        <v>1886783399146</v>
      </c>
      <c r="BD157" s="5">
        <v>1145854224903</v>
      </c>
      <c r="BE157" s="5">
        <v>291695691880</v>
      </c>
      <c r="BF157" s="5">
        <v>449233482363</v>
      </c>
      <c r="BG157" s="5">
        <v>228633752828</v>
      </c>
      <c r="BH157" s="5">
        <v>778791964295</v>
      </c>
      <c r="BI157" s="5">
        <v>0</v>
      </c>
      <c r="BJ157" s="48">
        <v>0</v>
      </c>
      <c r="BK157" s="5">
        <v>0</v>
      </c>
      <c r="BL157" s="5">
        <v>169138010</v>
      </c>
      <c r="BM157" s="5">
        <v>0</v>
      </c>
      <c r="BN157" s="5">
        <v>14570577556</v>
      </c>
    </row>
    <row r="158" spans="1:66" x14ac:dyDescent="0.25">
      <c r="A158" s="17" t="s">
        <v>580</v>
      </c>
      <c r="B158" s="4">
        <v>1741</v>
      </c>
      <c r="C158" s="4" t="s">
        <v>203</v>
      </c>
      <c r="D158" s="5">
        <v>3284850442704</v>
      </c>
      <c r="E158" s="5">
        <v>34165497919</v>
      </c>
      <c r="F158" s="5">
        <v>0</v>
      </c>
      <c r="G158" s="5">
        <v>0</v>
      </c>
      <c r="H158" s="5">
        <v>3319015940623</v>
      </c>
      <c r="I158" s="5">
        <v>208146757547</v>
      </c>
      <c r="J158" s="5">
        <v>287032100</v>
      </c>
      <c r="K158" s="5">
        <v>3110582150976</v>
      </c>
      <c r="L158" s="5">
        <v>1523553870310</v>
      </c>
      <c r="M158" s="5">
        <f t="shared" si="10"/>
        <v>1795462070313</v>
      </c>
      <c r="N158" s="36">
        <f t="shared" si="11"/>
        <v>117.8469698578938</v>
      </c>
      <c r="O158" s="5">
        <v>3467113989721</v>
      </c>
      <c r="P158" s="36">
        <v>123.77</v>
      </c>
      <c r="Q158" s="6">
        <v>111.46</v>
      </c>
      <c r="R158" s="6">
        <v>4.08</v>
      </c>
      <c r="S158" s="5">
        <v>3676242983061</v>
      </c>
      <c r="T158" s="5">
        <v>165815049076</v>
      </c>
      <c r="U158" s="5">
        <v>102664157523</v>
      </c>
      <c r="V158" s="5">
        <v>51573753391</v>
      </c>
      <c r="W158" s="5">
        <v>11577138162</v>
      </c>
      <c r="X158" s="5">
        <v>3842058032137</v>
      </c>
      <c r="Y158" s="5">
        <v>1879519823</v>
      </c>
      <c r="Z158" s="5">
        <v>235985372872</v>
      </c>
      <c r="AA158" s="5">
        <v>30020808322</v>
      </c>
      <c r="AB158" s="5">
        <v>4108064213331</v>
      </c>
      <c r="AC158" s="5">
        <v>2956303780200</v>
      </c>
      <c r="AD158" s="36">
        <f t="shared" si="12"/>
        <v>29.961543799029911</v>
      </c>
      <c r="AE158" s="5">
        <v>2336342808082</v>
      </c>
      <c r="AF158" s="5">
        <v>2336342808082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6">
        <v>0</v>
      </c>
      <c r="AM158" s="5">
        <v>0</v>
      </c>
      <c r="AN158" s="6">
        <v>16</v>
      </c>
      <c r="AO158" s="5">
        <v>84355223985</v>
      </c>
      <c r="AP158" s="6">
        <v>16</v>
      </c>
      <c r="AQ158" s="5">
        <v>164680792350</v>
      </c>
      <c r="AR158" s="5">
        <v>165815049076</v>
      </c>
      <c r="AS158" s="5">
        <v>53725320834</v>
      </c>
      <c r="AT158" s="5">
        <f t="shared" si="13"/>
        <v>112089728242</v>
      </c>
      <c r="AU158" s="36">
        <f t="shared" si="14"/>
        <v>208.63482339795385</v>
      </c>
      <c r="AV158" s="5">
        <v>1424100572880</v>
      </c>
      <c r="AW158" s="5">
        <v>356742725445</v>
      </c>
      <c r="AX158" s="5">
        <v>943750713532</v>
      </c>
      <c r="AY158" s="5">
        <v>756244019559</v>
      </c>
      <c r="AZ158" s="5">
        <v>656989709613</v>
      </c>
      <c r="BA158" s="5">
        <v>930685853148</v>
      </c>
      <c r="BB158" s="5">
        <v>528499354924</v>
      </c>
      <c r="BC158" s="5">
        <v>3319015940623</v>
      </c>
      <c r="BD158" s="5">
        <v>1734160231010</v>
      </c>
      <c r="BE158" s="5">
        <v>656989709613</v>
      </c>
      <c r="BF158" s="5">
        <v>927866000000</v>
      </c>
      <c r="BG158" s="5">
        <v>1582175690935</v>
      </c>
      <c r="BH158" s="5">
        <v>754167117147</v>
      </c>
      <c r="BI158" s="5">
        <v>0</v>
      </c>
      <c r="BJ158" s="48">
        <v>0</v>
      </c>
      <c r="BK158" s="5">
        <v>0</v>
      </c>
      <c r="BL158" s="5">
        <v>0</v>
      </c>
      <c r="BM158" s="5">
        <v>4335032220</v>
      </c>
      <c r="BN158" s="5">
        <v>0</v>
      </c>
    </row>
    <row r="159" spans="1:66" x14ac:dyDescent="0.25">
      <c r="A159" s="17" t="s">
        <v>580</v>
      </c>
      <c r="B159" s="4">
        <v>1742</v>
      </c>
      <c r="C159" s="4" t="s">
        <v>204</v>
      </c>
      <c r="D159" s="5">
        <v>2593979990485</v>
      </c>
      <c r="E159" s="5">
        <v>96818898495</v>
      </c>
      <c r="F159" s="5">
        <v>0</v>
      </c>
      <c r="G159" s="5">
        <v>0</v>
      </c>
      <c r="H159" s="5">
        <v>2690798888980</v>
      </c>
      <c r="I159" s="5">
        <v>131656844490</v>
      </c>
      <c r="J159" s="5">
        <v>1500991210</v>
      </c>
      <c r="K159" s="5">
        <v>2557641053280</v>
      </c>
      <c r="L159" s="5">
        <v>620070233756</v>
      </c>
      <c r="M159" s="5">
        <f t="shared" si="10"/>
        <v>2070728655224</v>
      </c>
      <c r="N159" s="36">
        <f t="shared" si="11"/>
        <v>333.95066276296046</v>
      </c>
      <c r="O159" s="5">
        <v>996824565012</v>
      </c>
      <c r="P159" s="36">
        <v>42.38</v>
      </c>
      <c r="Q159" s="6">
        <v>38.97</v>
      </c>
      <c r="R159" s="6">
        <v>1.68</v>
      </c>
      <c r="S159" s="5">
        <v>1031589657491</v>
      </c>
      <c r="T159" s="5">
        <v>19188069375</v>
      </c>
      <c r="U159" s="5">
        <v>17459574025</v>
      </c>
      <c r="V159" s="5">
        <v>1728495350</v>
      </c>
      <c r="W159" s="5">
        <v>0</v>
      </c>
      <c r="X159" s="5">
        <v>1050777726866</v>
      </c>
      <c r="Y159" s="5">
        <v>0</v>
      </c>
      <c r="Z159" s="5">
        <v>74536195997</v>
      </c>
      <c r="AA159" s="5">
        <v>15016070000</v>
      </c>
      <c r="AB159" s="5">
        <v>1140329992863</v>
      </c>
      <c r="AC159" s="5">
        <v>603508580699</v>
      </c>
      <c r="AD159" s="36">
        <f t="shared" si="12"/>
        <v>74.111480842403381</v>
      </c>
      <c r="AE159" s="5">
        <v>825815841144</v>
      </c>
      <c r="AF159" s="5">
        <v>825815841144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6">
        <v>0</v>
      </c>
      <c r="AM159" s="5">
        <v>0</v>
      </c>
      <c r="AN159" s="6">
        <v>112</v>
      </c>
      <c r="AO159" s="5">
        <v>483803677014</v>
      </c>
      <c r="AP159" s="6">
        <v>15</v>
      </c>
      <c r="AQ159" s="5">
        <v>29583452254</v>
      </c>
      <c r="AR159" s="5">
        <v>19188069375</v>
      </c>
      <c r="AS159" s="5">
        <v>6610078141</v>
      </c>
      <c r="AT159" s="5">
        <f t="shared" si="13"/>
        <v>12577991234</v>
      </c>
      <c r="AU159" s="36">
        <f t="shared" si="14"/>
        <v>190.285061170202</v>
      </c>
      <c r="AV159" s="5">
        <v>426116854517</v>
      </c>
      <c r="AW159" s="5">
        <v>58909724802</v>
      </c>
      <c r="AX159" s="5">
        <v>856388148042</v>
      </c>
      <c r="AY159" s="5">
        <v>727541390947</v>
      </c>
      <c r="AZ159" s="5">
        <v>610242362558</v>
      </c>
      <c r="BA159" s="5">
        <v>399808088938</v>
      </c>
      <c r="BB159" s="5">
        <v>561175072100</v>
      </c>
      <c r="BC159" s="5">
        <v>2690798888980</v>
      </c>
      <c r="BD159" s="5">
        <v>1619615550050</v>
      </c>
      <c r="BE159" s="5">
        <v>610242362558</v>
      </c>
      <c r="BF159" s="5">
        <v>460940976372</v>
      </c>
      <c r="BG159" s="5">
        <v>367834370598</v>
      </c>
      <c r="BH159" s="5">
        <v>457981470546</v>
      </c>
      <c r="BI159" s="5">
        <v>0</v>
      </c>
      <c r="BJ159" s="48">
        <v>0</v>
      </c>
      <c r="BK159" s="5">
        <v>0</v>
      </c>
      <c r="BL159" s="5">
        <v>0</v>
      </c>
      <c r="BM159" s="5">
        <v>0</v>
      </c>
      <c r="BN159" s="5">
        <v>0</v>
      </c>
    </row>
    <row r="160" spans="1:66" x14ac:dyDescent="0.25">
      <c r="A160" s="17" t="s">
        <v>580</v>
      </c>
      <c r="B160" s="4">
        <v>1743</v>
      </c>
      <c r="C160" s="4" t="s">
        <v>205</v>
      </c>
      <c r="D160" s="5">
        <v>720468385426</v>
      </c>
      <c r="E160" s="5">
        <v>83990499640</v>
      </c>
      <c r="F160" s="5">
        <v>0</v>
      </c>
      <c r="G160" s="5">
        <v>0</v>
      </c>
      <c r="H160" s="5">
        <v>804458885066</v>
      </c>
      <c r="I160" s="5">
        <v>71419156353</v>
      </c>
      <c r="J160" s="5">
        <v>6580421856</v>
      </c>
      <c r="K160" s="5">
        <v>726459306857</v>
      </c>
      <c r="L160" s="5">
        <v>654757366400</v>
      </c>
      <c r="M160" s="5">
        <f t="shared" si="10"/>
        <v>149701518666</v>
      </c>
      <c r="N160" s="36">
        <f t="shared" si="11"/>
        <v>22.863663144271577</v>
      </c>
      <c r="O160" s="5">
        <v>1310031190325</v>
      </c>
      <c r="P160" s="36">
        <v>183.17</v>
      </c>
      <c r="Q160" s="6">
        <v>180.33</v>
      </c>
      <c r="R160" s="6">
        <v>1.7</v>
      </c>
      <c r="S160" s="5">
        <v>1406894229654</v>
      </c>
      <c r="T160" s="5">
        <v>25065412653</v>
      </c>
      <c r="U160" s="5">
        <v>24707232344</v>
      </c>
      <c r="V160" s="5">
        <v>358180309</v>
      </c>
      <c r="W160" s="5">
        <v>0</v>
      </c>
      <c r="X160" s="5">
        <v>1431959642307</v>
      </c>
      <c r="Y160" s="5">
        <v>0</v>
      </c>
      <c r="Z160" s="5">
        <v>37566690490</v>
      </c>
      <c r="AA160" s="5">
        <v>3992600000</v>
      </c>
      <c r="AB160" s="5">
        <v>1473518932797</v>
      </c>
      <c r="AC160" s="5">
        <v>111556542587</v>
      </c>
      <c r="AD160" s="36">
        <f t="shared" si="12"/>
        <v>1183.6178041196038</v>
      </c>
      <c r="AE160" s="5">
        <v>1372443419485</v>
      </c>
      <c r="AF160" s="5">
        <v>1372443419485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6">
        <v>0</v>
      </c>
      <c r="AM160" s="5">
        <v>0</v>
      </c>
      <c r="AN160" s="6">
        <v>61</v>
      </c>
      <c r="AO160" s="5">
        <v>1055829323376</v>
      </c>
      <c r="AP160" s="6">
        <v>19</v>
      </c>
      <c r="AQ160" s="5">
        <v>424486579951</v>
      </c>
      <c r="AR160" s="5">
        <v>25065412653</v>
      </c>
      <c r="AS160" s="5">
        <v>88717709</v>
      </c>
      <c r="AT160" s="5">
        <f t="shared" si="13"/>
        <v>24976694944</v>
      </c>
      <c r="AU160" s="36">
        <f t="shared" si="14"/>
        <v>28152.998116757051</v>
      </c>
      <c r="AV160" s="5">
        <v>174478257273</v>
      </c>
      <c r="AW160" s="5">
        <v>3762404024</v>
      </c>
      <c r="AX160" s="5">
        <v>31137902554</v>
      </c>
      <c r="AY160" s="5">
        <v>35625321774</v>
      </c>
      <c r="AZ160" s="5">
        <v>249553595648</v>
      </c>
      <c r="BA160" s="5">
        <v>404151565450</v>
      </c>
      <c r="BB160" s="5">
        <v>122263594271</v>
      </c>
      <c r="BC160" s="5">
        <v>804458885066</v>
      </c>
      <c r="BD160" s="5">
        <v>150753723968</v>
      </c>
      <c r="BE160" s="5">
        <v>249553595648</v>
      </c>
      <c r="BF160" s="5">
        <v>404151565450</v>
      </c>
      <c r="BG160" s="5">
        <v>181564554795</v>
      </c>
      <c r="BH160" s="5">
        <v>1190878864690</v>
      </c>
      <c r="BI160" s="5">
        <v>0</v>
      </c>
      <c r="BJ160" s="48">
        <v>0</v>
      </c>
      <c r="BK160" s="5">
        <v>0</v>
      </c>
      <c r="BL160" s="5">
        <v>0</v>
      </c>
      <c r="BM160" s="5">
        <v>0</v>
      </c>
      <c r="BN160" s="5">
        <v>0</v>
      </c>
    </row>
    <row r="161" spans="1:66" x14ac:dyDescent="0.25">
      <c r="A161" s="17" t="s">
        <v>580</v>
      </c>
      <c r="B161" s="4">
        <v>1744</v>
      </c>
      <c r="C161" s="4" t="s">
        <v>206</v>
      </c>
      <c r="D161" s="5">
        <v>976303681729</v>
      </c>
      <c r="E161" s="5">
        <v>4263454986</v>
      </c>
      <c r="F161" s="5">
        <v>0</v>
      </c>
      <c r="G161" s="5">
        <v>0</v>
      </c>
      <c r="H161" s="5">
        <v>980567136715</v>
      </c>
      <c r="I161" s="5">
        <v>75926549259</v>
      </c>
      <c r="J161" s="5">
        <v>5628900000</v>
      </c>
      <c r="K161" s="5">
        <v>899011687456</v>
      </c>
      <c r="L161" s="5">
        <v>536341867586</v>
      </c>
      <c r="M161" s="5">
        <f t="shared" si="10"/>
        <v>444225269129</v>
      </c>
      <c r="N161" s="36">
        <f t="shared" si="11"/>
        <v>82.825021870546124</v>
      </c>
      <c r="O161" s="5">
        <v>106369819824</v>
      </c>
      <c r="P161" s="36">
        <v>13.41</v>
      </c>
      <c r="Q161" s="6">
        <v>11.83</v>
      </c>
      <c r="R161" s="6">
        <v>0.09</v>
      </c>
      <c r="S161" s="5">
        <v>107311611745</v>
      </c>
      <c r="T161" s="5">
        <v>113467458</v>
      </c>
      <c r="U161" s="5">
        <v>113467458</v>
      </c>
      <c r="V161" s="5">
        <v>0</v>
      </c>
      <c r="W161" s="5">
        <v>0</v>
      </c>
      <c r="X161" s="5">
        <v>107425079203</v>
      </c>
      <c r="Y161" s="5">
        <v>0</v>
      </c>
      <c r="Z161" s="5">
        <v>12686099731</v>
      </c>
      <c r="AA161" s="5">
        <v>11334900000</v>
      </c>
      <c r="AB161" s="5">
        <v>131446078934</v>
      </c>
      <c r="AC161" s="5">
        <v>19001999759</v>
      </c>
      <c r="AD161" s="36">
        <f t="shared" si="12"/>
        <v>465.33565185485168</v>
      </c>
      <c r="AE161" s="5">
        <v>85881914621</v>
      </c>
      <c r="AF161" s="5">
        <v>85881914621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6">
        <v>0</v>
      </c>
      <c r="AM161" s="5">
        <v>0</v>
      </c>
      <c r="AN161" s="6">
        <v>5</v>
      </c>
      <c r="AO161" s="5">
        <v>52225600000</v>
      </c>
      <c r="AP161" s="6">
        <v>0</v>
      </c>
      <c r="AQ161" s="5">
        <v>0</v>
      </c>
      <c r="AR161" s="5">
        <v>113467458</v>
      </c>
      <c r="AS161" s="5">
        <v>0</v>
      </c>
      <c r="AT161" s="5">
        <f t="shared" si="13"/>
        <v>113467458</v>
      </c>
      <c r="AU161" s="36">
        <f t="shared" si="14"/>
        <v>0</v>
      </c>
      <c r="AV161" s="5">
        <v>10417748142</v>
      </c>
      <c r="AW161" s="5">
        <v>417940302</v>
      </c>
      <c r="AX161" s="5">
        <v>200869416450</v>
      </c>
      <c r="AY161" s="5">
        <v>49589024833</v>
      </c>
      <c r="AZ161" s="5">
        <v>50093146809</v>
      </c>
      <c r="BA161" s="5">
        <v>675752093637</v>
      </c>
      <c r="BB161" s="5">
        <v>49206719410</v>
      </c>
      <c r="BC161" s="5">
        <v>980567136715</v>
      </c>
      <c r="BD161" s="5">
        <v>254721896269</v>
      </c>
      <c r="BE161" s="5">
        <v>50093146809</v>
      </c>
      <c r="BF161" s="5">
        <v>675752093637</v>
      </c>
      <c r="BG161" s="5">
        <v>23760000000</v>
      </c>
      <c r="BH161" s="5">
        <v>62121914621</v>
      </c>
      <c r="BI161" s="5">
        <v>0</v>
      </c>
      <c r="BJ161" s="48">
        <v>0</v>
      </c>
      <c r="BK161" s="5">
        <v>0</v>
      </c>
      <c r="BL161" s="5">
        <v>0</v>
      </c>
      <c r="BM161" s="5">
        <v>0</v>
      </c>
      <c r="BN161" s="5">
        <v>0</v>
      </c>
    </row>
    <row r="162" spans="1:66" x14ac:dyDescent="0.25">
      <c r="A162" s="17" t="s">
        <v>580</v>
      </c>
      <c r="B162" s="4">
        <v>1745</v>
      </c>
      <c r="C162" s="4" t="s">
        <v>207</v>
      </c>
      <c r="D162" s="5">
        <v>695001677133</v>
      </c>
      <c r="E162" s="5">
        <v>5323275466</v>
      </c>
      <c r="F162" s="5">
        <v>0</v>
      </c>
      <c r="G162" s="5">
        <v>0</v>
      </c>
      <c r="H162" s="5">
        <v>700324952599</v>
      </c>
      <c r="I162" s="5">
        <v>56567518731</v>
      </c>
      <c r="J162" s="5">
        <v>469100000</v>
      </c>
      <c r="K162" s="5">
        <v>643288333868</v>
      </c>
      <c r="L162" s="5">
        <v>508497340923</v>
      </c>
      <c r="M162" s="5">
        <f t="shared" si="10"/>
        <v>191827611676</v>
      </c>
      <c r="N162" s="36">
        <f t="shared" si="11"/>
        <v>37.724408023020082</v>
      </c>
      <c r="O162" s="5">
        <v>298939564484</v>
      </c>
      <c r="P162" s="36">
        <v>47.55</v>
      </c>
      <c r="Q162" s="6">
        <v>46.47</v>
      </c>
      <c r="R162" s="6">
        <v>1.72</v>
      </c>
      <c r="S162" s="5">
        <v>275770078850</v>
      </c>
      <c r="T162" s="5">
        <v>5736677477</v>
      </c>
      <c r="U162" s="5">
        <v>5736677477</v>
      </c>
      <c r="V162" s="5">
        <v>0</v>
      </c>
      <c r="W162" s="5">
        <v>0</v>
      </c>
      <c r="X162" s="5">
        <v>281506756327</v>
      </c>
      <c r="Y162" s="5">
        <v>0</v>
      </c>
      <c r="Z162" s="5">
        <v>28080422295</v>
      </c>
      <c r="AA162" s="5">
        <v>23386570000</v>
      </c>
      <c r="AB162" s="5">
        <v>332973748622</v>
      </c>
      <c r="AC162" s="5">
        <v>187412451662</v>
      </c>
      <c r="AD162" s="36">
        <f t="shared" si="12"/>
        <v>50.207072065147464</v>
      </c>
      <c r="AE162" s="5">
        <v>212112439718</v>
      </c>
      <c r="AF162" s="5">
        <v>212112439718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6">
        <v>0</v>
      </c>
      <c r="AM162" s="5">
        <v>0</v>
      </c>
      <c r="AN162" s="6">
        <v>8</v>
      </c>
      <c r="AO162" s="5">
        <v>19125489950</v>
      </c>
      <c r="AP162" s="6">
        <v>1</v>
      </c>
      <c r="AQ162" s="5">
        <v>11310000000</v>
      </c>
      <c r="AR162" s="5">
        <v>5736677477</v>
      </c>
      <c r="AS162" s="5">
        <v>500431899</v>
      </c>
      <c r="AT162" s="5">
        <f t="shared" si="13"/>
        <v>5236245578</v>
      </c>
      <c r="AU162" s="36">
        <f t="shared" si="14"/>
        <v>1046.3452846358221</v>
      </c>
      <c r="AV162" s="5">
        <v>120772597591</v>
      </c>
      <c r="AW162" s="5">
        <v>13196201333</v>
      </c>
      <c r="AX162" s="5">
        <v>46467406076</v>
      </c>
      <c r="AY162" s="5">
        <v>128484687032</v>
      </c>
      <c r="AZ162" s="5">
        <v>246679584025</v>
      </c>
      <c r="BA162" s="5">
        <v>273995366476</v>
      </c>
      <c r="BB162" s="5">
        <v>238928706882</v>
      </c>
      <c r="BC162" s="5">
        <v>700324952599</v>
      </c>
      <c r="BD162" s="5">
        <v>180275368574</v>
      </c>
      <c r="BE162" s="5">
        <v>246679584025</v>
      </c>
      <c r="BF162" s="5">
        <v>273370000000</v>
      </c>
      <c r="BG162" s="5">
        <v>62448049093</v>
      </c>
      <c r="BH162" s="5">
        <v>149664390625</v>
      </c>
      <c r="BI162" s="5">
        <v>0</v>
      </c>
      <c r="BJ162" s="48">
        <v>0</v>
      </c>
      <c r="BK162" s="5">
        <v>0</v>
      </c>
      <c r="BL162" s="5">
        <v>0</v>
      </c>
      <c r="BM162" s="5">
        <v>0</v>
      </c>
      <c r="BN162" s="5">
        <v>0</v>
      </c>
    </row>
    <row r="163" spans="1:66" x14ac:dyDescent="0.25">
      <c r="A163" s="17" t="s">
        <v>580</v>
      </c>
      <c r="B163" s="4">
        <v>1790</v>
      </c>
      <c r="C163" s="4" t="s">
        <v>208</v>
      </c>
      <c r="D163" s="5">
        <v>10495540099927</v>
      </c>
      <c r="E163" s="5">
        <v>1638765346942</v>
      </c>
      <c r="F163" s="5">
        <v>0</v>
      </c>
      <c r="G163" s="5">
        <v>5047151718601</v>
      </c>
      <c r="H163" s="5">
        <v>17181457165470</v>
      </c>
      <c r="I163" s="5">
        <v>1670601108382</v>
      </c>
      <c r="J163" s="5">
        <v>5944870000</v>
      </c>
      <c r="K163" s="5">
        <v>15504911187088</v>
      </c>
      <c r="L163" s="5">
        <v>10444944812903</v>
      </c>
      <c r="M163" s="5">
        <f t="shared" si="10"/>
        <v>6736512352567</v>
      </c>
      <c r="N163" s="36">
        <f t="shared" si="11"/>
        <v>64.495432702001011</v>
      </c>
      <c r="O163" s="5">
        <v>3236529667149</v>
      </c>
      <c r="P163" s="36">
        <v>26.09</v>
      </c>
      <c r="Q163" s="6">
        <v>20.87</v>
      </c>
      <c r="R163" s="6">
        <v>0.26</v>
      </c>
      <c r="S163" s="5">
        <v>4390763888722</v>
      </c>
      <c r="T163" s="5">
        <v>11771248950</v>
      </c>
      <c r="U163" s="5">
        <v>9107542042</v>
      </c>
      <c r="V163" s="5">
        <v>2663706908</v>
      </c>
      <c r="W163" s="5">
        <v>0</v>
      </c>
      <c r="X163" s="5">
        <v>4402535137672</v>
      </c>
      <c r="Y163" s="5">
        <v>0</v>
      </c>
      <c r="Z163" s="5">
        <v>79002424025</v>
      </c>
      <c r="AA163" s="5">
        <v>1728067000</v>
      </c>
      <c r="AB163" s="5">
        <v>4483265628697</v>
      </c>
      <c r="AC163" s="5">
        <v>3009341429355</v>
      </c>
      <c r="AD163" s="36">
        <f t="shared" si="12"/>
        <v>46.29563447759422</v>
      </c>
      <c r="AE163" s="5">
        <v>3843046539599</v>
      </c>
      <c r="AF163" s="5">
        <v>3843046539599</v>
      </c>
      <c r="AG163" s="5">
        <v>562487310000</v>
      </c>
      <c r="AH163" s="5">
        <v>2450000000</v>
      </c>
      <c r="AI163" s="5">
        <v>0</v>
      </c>
      <c r="AJ163" s="5">
        <v>0</v>
      </c>
      <c r="AK163" s="5">
        <v>0</v>
      </c>
      <c r="AL163" s="6">
        <v>15</v>
      </c>
      <c r="AM163" s="5">
        <v>4237032062034</v>
      </c>
      <c r="AN163" s="6">
        <v>22</v>
      </c>
      <c r="AO163" s="5">
        <v>12009462297000</v>
      </c>
      <c r="AP163" s="6">
        <v>16</v>
      </c>
      <c r="AQ163" s="5">
        <v>7219567525538</v>
      </c>
      <c r="AR163" s="5">
        <v>11771248950</v>
      </c>
      <c r="AS163" s="5">
        <v>4769333806</v>
      </c>
      <c r="AT163" s="5">
        <f t="shared" si="13"/>
        <v>7001915144</v>
      </c>
      <c r="AU163" s="36">
        <f t="shared" si="14"/>
        <v>146.81117801382092</v>
      </c>
      <c r="AV163" s="5">
        <v>2815343276406</v>
      </c>
      <c r="AW163" s="5">
        <v>32187479005</v>
      </c>
      <c r="AX163" s="5">
        <v>1473059435012</v>
      </c>
      <c r="AY163" s="5">
        <v>1203866303104</v>
      </c>
      <c r="AZ163" s="5">
        <v>378684160712</v>
      </c>
      <c r="BA163" s="5">
        <v>7468564311219</v>
      </c>
      <c r="BB163" s="5">
        <v>290815427230</v>
      </c>
      <c r="BC163" s="5">
        <v>17181457165470</v>
      </c>
      <c r="BD163" s="5">
        <v>9335087023179</v>
      </c>
      <c r="BE163" s="5">
        <v>378684160712</v>
      </c>
      <c r="BF163" s="5">
        <v>7467685981579</v>
      </c>
      <c r="BG163" s="5">
        <v>1502545561438</v>
      </c>
      <c r="BH163" s="5">
        <v>2340500978161</v>
      </c>
      <c r="BI163" s="5">
        <v>0</v>
      </c>
      <c r="BJ163" s="48">
        <v>0</v>
      </c>
      <c r="BK163" s="5">
        <v>562487310000</v>
      </c>
      <c r="BL163" s="5">
        <v>0</v>
      </c>
      <c r="BM163" s="5">
        <v>0</v>
      </c>
      <c r="BN163" s="5">
        <v>2450000000</v>
      </c>
    </row>
    <row r="164" spans="1:66" x14ac:dyDescent="0.25">
      <c r="A164" s="17" t="s">
        <v>580</v>
      </c>
      <c r="B164" s="4">
        <v>1799</v>
      </c>
      <c r="C164" s="4" t="s">
        <v>209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448432795000</v>
      </c>
      <c r="K164" s="5">
        <v>-448432795000</v>
      </c>
      <c r="L164" s="5">
        <v>0</v>
      </c>
      <c r="M164" s="5">
        <f t="shared" si="10"/>
        <v>0</v>
      </c>
      <c r="N164" s="36">
        <f t="shared" si="11"/>
        <v>0</v>
      </c>
      <c r="O164" s="5">
        <v>0</v>
      </c>
      <c r="P164" s="36" t="s">
        <v>625</v>
      </c>
      <c r="Q164" s="6">
        <v>0</v>
      </c>
      <c r="R164" s="6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36">
        <f t="shared" si="12"/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6">
        <v>0</v>
      </c>
      <c r="AM164" s="5">
        <v>0</v>
      </c>
      <c r="AN164" s="6">
        <v>0</v>
      </c>
      <c r="AO164" s="5">
        <v>0</v>
      </c>
      <c r="AP164" s="6">
        <v>0</v>
      </c>
      <c r="AQ164" s="5">
        <v>0</v>
      </c>
      <c r="AR164" s="5">
        <v>0</v>
      </c>
      <c r="AS164" s="5">
        <v>0</v>
      </c>
      <c r="AT164" s="5">
        <f t="shared" si="13"/>
        <v>0</v>
      </c>
      <c r="AU164" s="36">
        <f t="shared" si="14"/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48">
        <v>0</v>
      </c>
      <c r="BK164" s="5">
        <v>0</v>
      </c>
      <c r="BL164" s="5">
        <v>0</v>
      </c>
      <c r="BM164" s="5">
        <v>0</v>
      </c>
      <c r="BN164" s="5">
        <v>0</v>
      </c>
    </row>
    <row r="165" spans="1:66" x14ac:dyDescent="0.25">
      <c r="A165" s="17" t="s">
        <v>580</v>
      </c>
      <c r="B165" s="4">
        <v>4299</v>
      </c>
      <c r="C165" s="4" t="s">
        <v>558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f t="shared" si="10"/>
        <v>0</v>
      </c>
      <c r="N165" s="36">
        <f t="shared" si="11"/>
        <v>0</v>
      </c>
      <c r="O165" s="5">
        <v>0</v>
      </c>
      <c r="P165" s="36" t="s">
        <v>625</v>
      </c>
      <c r="Q165" s="6" t="s">
        <v>625</v>
      </c>
      <c r="R165" s="6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36">
        <f t="shared" si="12"/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6">
        <v>0</v>
      </c>
      <c r="AM165" s="5">
        <v>0</v>
      </c>
      <c r="AN165" s="6">
        <v>0</v>
      </c>
      <c r="AO165" s="5">
        <v>0</v>
      </c>
      <c r="AP165" s="6">
        <v>0</v>
      </c>
      <c r="AQ165" s="5">
        <v>0</v>
      </c>
      <c r="AR165" s="5">
        <v>0</v>
      </c>
      <c r="AS165" s="5">
        <v>0</v>
      </c>
      <c r="AT165" s="5">
        <f t="shared" si="13"/>
        <v>0</v>
      </c>
      <c r="AU165" s="36">
        <f t="shared" si="14"/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48">
        <v>0</v>
      </c>
      <c r="BK165" s="5">
        <v>0</v>
      </c>
      <c r="BL165" s="5">
        <v>0</v>
      </c>
      <c r="BM165" s="5">
        <v>0</v>
      </c>
      <c r="BN165" s="5">
        <v>0</v>
      </c>
    </row>
    <row r="166" spans="1:66" x14ac:dyDescent="0.25">
      <c r="A166" s="17" t="s">
        <v>580</v>
      </c>
      <c r="B166" s="4">
        <v>17199</v>
      </c>
      <c r="C166" s="4" t="s">
        <v>182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f t="shared" si="10"/>
        <v>0</v>
      </c>
      <c r="N166" s="36">
        <f t="shared" si="11"/>
        <v>0</v>
      </c>
      <c r="O166" s="5">
        <v>0</v>
      </c>
      <c r="P166" s="36" t="s">
        <v>625</v>
      </c>
      <c r="Q166" s="6" t="s">
        <v>625</v>
      </c>
      <c r="R166" s="6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36">
        <f t="shared" si="12"/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6">
        <v>0</v>
      </c>
      <c r="AM166" s="5">
        <v>0</v>
      </c>
      <c r="AN166" s="6">
        <v>0</v>
      </c>
      <c r="AO166" s="5">
        <v>0</v>
      </c>
      <c r="AP166" s="6">
        <v>0</v>
      </c>
      <c r="AQ166" s="5">
        <v>0</v>
      </c>
      <c r="AR166" s="5">
        <v>0</v>
      </c>
      <c r="AS166" s="5">
        <v>0</v>
      </c>
      <c r="AT166" s="5">
        <f t="shared" si="13"/>
        <v>0</v>
      </c>
      <c r="AU166" s="36">
        <f t="shared" si="14"/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48">
        <v>0</v>
      </c>
      <c r="BK166" s="5">
        <v>0</v>
      </c>
      <c r="BL166" s="5">
        <v>0</v>
      </c>
      <c r="BM166" s="5">
        <v>0</v>
      </c>
      <c r="BN166" s="5">
        <v>0</v>
      </c>
    </row>
    <row r="167" spans="1:66" x14ac:dyDescent="0.25">
      <c r="A167" s="30" t="s">
        <v>581</v>
      </c>
      <c r="B167" s="13" t="s">
        <v>625</v>
      </c>
      <c r="C167" s="13" t="s">
        <v>625</v>
      </c>
      <c r="D167" s="14">
        <v>299612856861688</v>
      </c>
      <c r="E167" s="14">
        <v>11437119485836</v>
      </c>
      <c r="F167" s="14">
        <v>1</v>
      </c>
      <c r="G167" s="14">
        <v>11304158561704</v>
      </c>
      <c r="H167" s="14">
        <v>322354134909229</v>
      </c>
      <c r="I167" s="14">
        <v>24830216525257</v>
      </c>
      <c r="J167" s="14">
        <v>855906926916</v>
      </c>
      <c r="K167" s="14">
        <v>296668011457056</v>
      </c>
      <c r="L167" s="14">
        <v>184992623746767</v>
      </c>
      <c r="M167" s="14">
        <f t="shared" si="10"/>
        <v>137361511162462</v>
      </c>
      <c r="N167" s="41">
        <f t="shared" si="11"/>
        <v>74.252426059156633</v>
      </c>
      <c r="O167" s="14">
        <v>198044629796426</v>
      </c>
      <c r="P167" s="41">
        <v>79.44</v>
      </c>
      <c r="Q167" s="15">
        <v>66.760000000000005</v>
      </c>
      <c r="R167" s="15">
        <v>4.7699999999999996</v>
      </c>
      <c r="S167" s="14">
        <v>222800053155903</v>
      </c>
      <c r="T167" s="14">
        <v>9930051825651</v>
      </c>
      <c r="U167" s="14">
        <v>1807457622407</v>
      </c>
      <c r="V167" s="14">
        <v>3064592896534</v>
      </c>
      <c r="W167" s="14">
        <v>5058001306710</v>
      </c>
      <c r="X167" s="14">
        <v>232730104981554</v>
      </c>
      <c r="Y167" s="14">
        <v>2282179140790</v>
      </c>
      <c r="Z167" s="14">
        <v>22664501819179</v>
      </c>
      <c r="AA167" s="14">
        <v>668431189668</v>
      </c>
      <c r="AB167" s="14">
        <v>256063037990401</v>
      </c>
      <c r="AC167" s="14">
        <v>165752883628570</v>
      </c>
      <c r="AD167" s="41">
        <f t="shared" si="12"/>
        <v>40.407877007479989</v>
      </c>
      <c r="AE167" s="14">
        <v>146798558628773</v>
      </c>
      <c r="AF167" s="14">
        <v>144941380143162</v>
      </c>
      <c r="AG167" s="14">
        <v>11074277789180</v>
      </c>
      <c r="AH167" s="14">
        <v>4382399288781</v>
      </c>
      <c r="AI167" s="14">
        <v>2543044264580</v>
      </c>
      <c r="AJ167" s="14">
        <v>0</v>
      </c>
      <c r="AK167" s="14">
        <v>0</v>
      </c>
      <c r="AL167" s="15">
        <v>132</v>
      </c>
      <c r="AM167" s="14">
        <v>22463434741014</v>
      </c>
      <c r="AN167" s="16">
        <v>3754</v>
      </c>
      <c r="AO167" s="14">
        <v>83466312041151</v>
      </c>
      <c r="AP167" s="16">
        <v>1937</v>
      </c>
      <c r="AQ167" s="14">
        <v>46378916613285</v>
      </c>
      <c r="AR167" s="14">
        <v>9930051825651</v>
      </c>
      <c r="AS167" s="14">
        <v>5536233715125</v>
      </c>
      <c r="AT167" s="14">
        <f t="shared" si="13"/>
        <v>4393818110526</v>
      </c>
      <c r="AU167" s="41">
        <f t="shared" si="14"/>
        <v>79.364751139788069</v>
      </c>
      <c r="AV167" s="14">
        <v>100771470529441</v>
      </c>
      <c r="AW167" s="14">
        <v>11433509885194</v>
      </c>
      <c r="AX167" s="14">
        <v>46676363399429</v>
      </c>
      <c r="AY167" s="14">
        <v>22467373400399</v>
      </c>
      <c r="AZ167" s="14">
        <v>62636126959386</v>
      </c>
      <c r="BA167" s="14">
        <v>196814090319522</v>
      </c>
      <c r="BB167" s="14">
        <v>26233849773899</v>
      </c>
      <c r="BC167" s="14">
        <v>322353308839001</v>
      </c>
      <c r="BD167" s="14">
        <v>90964074326345</v>
      </c>
      <c r="BE167" s="14">
        <v>62635624459387</v>
      </c>
      <c r="BF167" s="14">
        <v>168754436123497</v>
      </c>
      <c r="BG167" s="14">
        <v>79255907258934</v>
      </c>
      <c r="BH167" s="14">
        <v>67542651369839</v>
      </c>
      <c r="BI167" s="14">
        <v>0</v>
      </c>
      <c r="BJ167" s="49">
        <v>1395771420910</v>
      </c>
      <c r="BK167" s="14">
        <v>9088663418223</v>
      </c>
      <c r="BL167" s="14">
        <v>486400162613</v>
      </c>
      <c r="BM167" s="14">
        <v>272287694786</v>
      </c>
      <c r="BN167" s="14">
        <v>3719077823563</v>
      </c>
    </row>
    <row r="168" spans="1:66" x14ac:dyDescent="0.25">
      <c r="A168" s="17" t="s">
        <v>582</v>
      </c>
      <c r="B168" s="4">
        <v>3806</v>
      </c>
      <c r="C168" s="4" t="s">
        <v>210</v>
      </c>
      <c r="D168" s="5">
        <v>2623128571651</v>
      </c>
      <c r="E168" s="5">
        <v>40351452720</v>
      </c>
      <c r="F168" s="5">
        <v>0</v>
      </c>
      <c r="G168" s="5">
        <v>0</v>
      </c>
      <c r="H168" s="5">
        <v>2663480024371</v>
      </c>
      <c r="I168" s="5">
        <v>202896147432</v>
      </c>
      <c r="J168" s="5">
        <v>4030826000</v>
      </c>
      <c r="K168" s="5">
        <v>2456553050939</v>
      </c>
      <c r="L168" s="5">
        <v>1919202347469</v>
      </c>
      <c r="M168" s="5">
        <f t="shared" si="10"/>
        <v>744277676902</v>
      </c>
      <c r="N168" s="36">
        <f t="shared" si="11"/>
        <v>38.78057349625152</v>
      </c>
      <c r="O168" s="5">
        <v>2163406183193</v>
      </c>
      <c r="P168" s="36">
        <v>95.76</v>
      </c>
      <c r="Q168" s="6">
        <v>88.07</v>
      </c>
      <c r="R168" s="6">
        <v>2.59</v>
      </c>
      <c r="S168" s="5">
        <v>2388586282609</v>
      </c>
      <c r="T168" s="5">
        <v>65716439579</v>
      </c>
      <c r="U168" s="5">
        <v>65234928167</v>
      </c>
      <c r="V168" s="5">
        <v>481511412</v>
      </c>
      <c r="W168" s="5">
        <v>0</v>
      </c>
      <c r="X168" s="5">
        <v>2454302722188</v>
      </c>
      <c r="Y168" s="5">
        <v>222958463</v>
      </c>
      <c r="Z168" s="5">
        <v>75975642370</v>
      </c>
      <c r="AA168" s="5">
        <v>20361208000</v>
      </c>
      <c r="AB168" s="5">
        <v>2550639572558</v>
      </c>
      <c r="AC168" s="5">
        <v>2288187670611</v>
      </c>
      <c r="AD168" s="36">
        <f t="shared" si="12"/>
        <v>7.2596777664064316</v>
      </c>
      <c r="AE168" s="5">
        <v>1355953300425</v>
      </c>
      <c r="AF168" s="5">
        <v>1326883300425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6">
        <v>0</v>
      </c>
      <c r="AM168" s="5">
        <v>0</v>
      </c>
      <c r="AN168" s="6">
        <v>14</v>
      </c>
      <c r="AO168" s="5">
        <v>186036000000</v>
      </c>
      <c r="AP168" s="6">
        <v>11</v>
      </c>
      <c r="AQ168" s="5">
        <v>25790000000</v>
      </c>
      <c r="AR168" s="5">
        <v>65716439579</v>
      </c>
      <c r="AS168" s="5">
        <v>24332690705</v>
      </c>
      <c r="AT168" s="5">
        <f t="shared" si="13"/>
        <v>41383748874</v>
      </c>
      <c r="AU168" s="36">
        <f t="shared" si="14"/>
        <v>170.07469241984103</v>
      </c>
      <c r="AV168" s="5">
        <v>1073335999084</v>
      </c>
      <c r="AW168" s="5">
        <v>240840122922</v>
      </c>
      <c r="AX168" s="5">
        <v>567373054219</v>
      </c>
      <c r="AY168" s="5">
        <v>553536052773</v>
      </c>
      <c r="AZ168" s="5">
        <v>655413728791</v>
      </c>
      <c r="BA168" s="5">
        <v>1044578143176</v>
      </c>
      <c r="BB168" s="5">
        <v>484112729968</v>
      </c>
      <c r="BC168" s="5">
        <v>2663480024371</v>
      </c>
      <c r="BD168" s="5">
        <v>1161260559712</v>
      </c>
      <c r="BE168" s="5">
        <v>654993728791</v>
      </c>
      <c r="BF168" s="5">
        <v>847225735868</v>
      </c>
      <c r="BG168" s="5">
        <v>953032083385</v>
      </c>
      <c r="BH168" s="5">
        <v>402921217040</v>
      </c>
      <c r="BI168" s="5">
        <v>0</v>
      </c>
      <c r="BJ168" s="48">
        <v>0</v>
      </c>
      <c r="BK168" s="5">
        <v>0</v>
      </c>
      <c r="BL168" s="5">
        <v>0</v>
      </c>
      <c r="BM168" s="5">
        <v>0</v>
      </c>
      <c r="BN168" s="5">
        <v>0</v>
      </c>
    </row>
    <row r="169" spans="1:66" x14ac:dyDescent="0.25">
      <c r="A169" s="17" t="s">
        <v>582</v>
      </c>
      <c r="B169" s="4">
        <v>4000</v>
      </c>
      <c r="C169" s="4" t="s">
        <v>211</v>
      </c>
      <c r="D169" s="5">
        <v>4071456432290</v>
      </c>
      <c r="E169" s="5">
        <v>213357268474</v>
      </c>
      <c r="F169" s="5">
        <v>8350000000</v>
      </c>
      <c r="G169" s="5">
        <v>1949534298</v>
      </c>
      <c r="H169" s="5">
        <v>4295113235062</v>
      </c>
      <c r="I169" s="5">
        <v>359473951064</v>
      </c>
      <c r="J169" s="5">
        <v>19798781490</v>
      </c>
      <c r="K169" s="5">
        <v>3915840502508</v>
      </c>
      <c r="L169" s="5">
        <v>3091946768027</v>
      </c>
      <c r="M169" s="5">
        <f t="shared" si="10"/>
        <v>1203166467035</v>
      </c>
      <c r="N169" s="36">
        <f t="shared" si="11"/>
        <v>38.912910127581263</v>
      </c>
      <c r="O169" s="5">
        <v>6565770564711</v>
      </c>
      <c r="P169" s="36">
        <v>214.68</v>
      </c>
      <c r="Q169" s="6">
        <v>167.67</v>
      </c>
      <c r="R169" s="6">
        <v>3.64</v>
      </c>
      <c r="S169" s="5">
        <v>8599512945782</v>
      </c>
      <c r="T169" s="5">
        <v>335233256551</v>
      </c>
      <c r="U169" s="5">
        <v>77833397754</v>
      </c>
      <c r="V169" s="5">
        <v>161963626</v>
      </c>
      <c r="W169" s="5">
        <v>257237895171</v>
      </c>
      <c r="X169" s="5">
        <v>8934746202333</v>
      </c>
      <c r="Y169" s="5">
        <v>423634874</v>
      </c>
      <c r="Z169" s="5">
        <v>259830139885</v>
      </c>
      <c r="AA169" s="5">
        <v>26008801477</v>
      </c>
      <c r="AB169" s="5">
        <v>9220585143695</v>
      </c>
      <c r="AC169" s="5">
        <v>5963172721119</v>
      </c>
      <c r="AD169" s="36">
        <f t="shared" si="12"/>
        <v>49.832088054232635</v>
      </c>
      <c r="AE169" s="5">
        <v>5212909066929</v>
      </c>
      <c r="AF169" s="5">
        <v>4924976722464</v>
      </c>
      <c r="AG169" s="5">
        <v>0</v>
      </c>
      <c r="AH169" s="5">
        <v>301200000000</v>
      </c>
      <c r="AI169" s="5">
        <v>0</v>
      </c>
      <c r="AJ169" s="5">
        <v>0</v>
      </c>
      <c r="AK169" s="5">
        <v>0</v>
      </c>
      <c r="AL169" s="6">
        <v>0</v>
      </c>
      <c r="AM169" s="5">
        <v>0</v>
      </c>
      <c r="AN169" s="6">
        <v>206</v>
      </c>
      <c r="AO169" s="5">
        <v>1290155023656</v>
      </c>
      <c r="AP169" s="6">
        <v>214</v>
      </c>
      <c r="AQ169" s="5">
        <v>984708587902</v>
      </c>
      <c r="AR169" s="5">
        <v>335233256551</v>
      </c>
      <c r="AS169" s="5">
        <v>12243800551</v>
      </c>
      <c r="AT169" s="5">
        <f t="shared" si="13"/>
        <v>322989456000</v>
      </c>
      <c r="AU169" s="36">
        <f t="shared" si="14"/>
        <v>2637.9836444952557</v>
      </c>
      <c r="AV169" s="5">
        <v>2423045739795</v>
      </c>
      <c r="AW169" s="5">
        <v>240027308964</v>
      </c>
      <c r="AX169" s="5">
        <v>1235724496910</v>
      </c>
      <c r="AY169" s="5">
        <v>323827594049</v>
      </c>
      <c r="AZ169" s="5">
        <v>1314975737157</v>
      </c>
      <c r="BA169" s="5">
        <v>1254811819970</v>
      </c>
      <c r="BB169" s="5">
        <v>790805259638</v>
      </c>
      <c r="BC169" s="5">
        <v>4295113235062</v>
      </c>
      <c r="BD169" s="5">
        <v>1700623165579</v>
      </c>
      <c r="BE169" s="5">
        <v>1323325737157</v>
      </c>
      <c r="BF169" s="5">
        <v>1271164332326</v>
      </c>
      <c r="BG169" s="5">
        <v>3554644341673</v>
      </c>
      <c r="BH169" s="5">
        <v>1658264725256</v>
      </c>
      <c r="BI169" s="5">
        <v>0</v>
      </c>
      <c r="BJ169" s="48">
        <v>0</v>
      </c>
      <c r="BK169" s="5">
        <v>0</v>
      </c>
      <c r="BL169" s="5">
        <v>0</v>
      </c>
      <c r="BM169" s="5">
        <v>257237895171</v>
      </c>
      <c r="BN169" s="5">
        <v>10089954000</v>
      </c>
    </row>
    <row r="170" spans="1:66" x14ac:dyDescent="0.25">
      <c r="A170" s="17" t="s">
        <v>582</v>
      </c>
      <c r="B170" s="4">
        <v>4001</v>
      </c>
      <c r="C170" s="4" t="s">
        <v>212</v>
      </c>
      <c r="D170" s="5">
        <v>3009960107126</v>
      </c>
      <c r="E170" s="5">
        <v>82043852797</v>
      </c>
      <c r="F170" s="5">
        <v>0</v>
      </c>
      <c r="G170" s="5">
        <v>0</v>
      </c>
      <c r="H170" s="5">
        <v>3092003959923</v>
      </c>
      <c r="I170" s="5">
        <v>216388686810</v>
      </c>
      <c r="J170" s="5">
        <v>1888036000</v>
      </c>
      <c r="K170" s="5">
        <v>2873727237113</v>
      </c>
      <c r="L170" s="5">
        <v>1925315726109</v>
      </c>
      <c r="M170" s="5">
        <f t="shared" si="10"/>
        <v>1166688233814</v>
      </c>
      <c r="N170" s="36">
        <f t="shared" si="11"/>
        <v>60.597242207741097</v>
      </c>
      <c r="O170" s="5">
        <v>2950134345926</v>
      </c>
      <c r="P170" s="36">
        <v>109.7</v>
      </c>
      <c r="Q170" s="6">
        <v>102.66</v>
      </c>
      <c r="R170" s="6">
        <v>0.41</v>
      </c>
      <c r="S170" s="5">
        <v>3235329330864</v>
      </c>
      <c r="T170" s="5">
        <v>13846759063</v>
      </c>
      <c r="U170" s="5">
        <v>13444501367</v>
      </c>
      <c r="V170" s="5">
        <v>402257696</v>
      </c>
      <c r="W170" s="5">
        <v>0</v>
      </c>
      <c r="X170" s="5">
        <v>3249176089927</v>
      </c>
      <c r="Y170" s="5">
        <v>111534770</v>
      </c>
      <c r="Z170" s="5">
        <v>131550561764</v>
      </c>
      <c r="AA170" s="5">
        <v>11074899500</v>
      </c>
      <c r="AB170" s="5">
        <v>3391801551191</v>
      </c>
      <c r="AC170" s="5">
        <v>3013023543018</v>
      </c>
      <c r="AD170" s="36">
        <f t="shared" si="12"/>
        <v>7.837726573900496</v>
      </c>
      <c r="AE170" s="5">
        <v>2111040789510</v>
      </c>
      <c r="AF170" s="5">
        <v>2024300298391</v>
      </c>
      <c r="AG170" s="5">
        <v>86465172008</v>
      </c>
      <c r="AH170" s="5">
        <v>25244211</v>
      </c>
      <c r="AI170" s="5">
        <v>0</v>
      </c>
      <c r="AJ170" s="5">
        <v>0</v>
      </c>
      <c r="AK170" s="5">
        <v>0</v>
      </c>
      <c r="AL170" s="6">
        <v>3</v>
      </c>
      <c r="AM170" s="5">
        <v>168500000000</v>
      </c>
      <c r="AN170" s="6">
        <v>15</v>
      </c>
      <c r="AO170" s="5">
        <v>318176185121</v>
      </c>
      <c r="AP170" s="6">
        <v>26</v>
      </c>
      <c r="AQ170" s="5">
        <v>287049364770</v>
      </c>
      <c r="AR170" s="5">
        <v>13846759063</v>
      </c>
      <c r="AS170" s="5">
        <v>5524460998</v>
      </c>
      <c r="AT170" s="5">
        <f t="shared" si="13"/>
        <v>8322298065</v>
      </c>
      <c r="AU170" s="36">
        <f t="shared" si="14"/>
        <v>150.64452564716976</v>
      </c>
      <c r="AV170" s="5">
        <v>1781564343881</v>
      </c>
      <c r="AW170" s="5">
        <v>325691551226</v>
      </c>
      <c r="AX170" s="5">
        <v>358850800993</v>
      </c>
      <c r="AY170" s="5">
        <v>1526779835537</v>
      </c>
      <c r="AZ170" s="5">
        <v>511100483876</v>
      </c>
      <c r="BA170" s="5">
        <v>886740222788</v>
      </c>
      <c r="BB170" s="5">
        <v>404524593130</v>
      </c>
      <c r="BC170" s="5">
        <v>3092003959923</v>
      </c>
      <c r="BD170" s="5">
        <v>1967674489327</v>
      </c>
      <c r="BE170" s="5">
        <v>511100483876</v>
      </c>
      <c r="BF170" s="5">
        <v>613228986720</v>
      </c>
      <c r="BG170" s="5">
        <v>1798921125348</v>
      </c>
      <c r="BH170" s="5">
        <v>312119664162</v>
      </c>
      <c r="BI170" s="5">
        <v>0</v>
      </c>
      <c r="BJ170" s="48">
        <v>0</v>
      </c>
      <c r="BK170" s="5">
        <v>86465172008</v>
      </c>
      <c r="BL170" s="5">
        <v>0</v>
      </c>
      <c r="BM170" s="5">
        <v>0</v>
      </c>
      <c r="BN170" s="5">
        <v>25244211</v>
      </c>
    </row>
    <row r="171" spans="1:66" x14ac:dyDescent="0.25">
      <c r="A171" s="17" t="s">
        <v>582</v>
      </c>
      <c r="B171" s="18">
        <v>4002</v>
      </c>
      <c r="C171" s="18" t="s">
        <v>213</v>
      </c>
      <c r="D171" s="19">
        <v>1119812064863</v>
      </c>
      <c r="E171" s="19">
        <v>25011693133</v>
      </c>
      <c r="F171" s="19">
        <v>0</v>
      </c>
      <c r="G171" s="19">
        <v>0</v>
      </c>
      <c r="H171" s="19">
        <v>1144823757996</v>
      </c>
      <c r="I171" s="19">
        <v>99052795915</v>
      </c>
      <c r="J171" s="19">
        <v>2716171000</v>
      </c>
      <c r="K171" s="19">
        <v>1043054791081</v>
      </c>
      <c r="L171" s="19">
        <v>789896676387</v>
      </c>
      <c r="M171" s="5">
        <f t="shared" si="10"/>
        <v>354927081609</v>
      </c>
      <c r="N171" s="36">
        <f t="shared" si="11"/>
        <v>44.933355490548735</v>
      </c>
      <c r="O171" s="19">
        <v>1039039248762</v>
      </c>
      <c r="P171" s="36">
        <v>100.68</v>
      </c>
      <c r="Q171" s="20">
        <v>99.62</v>
      </c>
      <c r="R171" s="20">
        <v>3.49</v>
      </c>
      <c r="S171" s="19">
        <v>1059812745171</v>
      </c>
      <c r="T171" s="19">
        <v>40220652543</v>
      </c>
      <c r="U171" s="19">
        <v>39773952660</v>
      </c>
      <c r="V171" s="19">
        <v>446699883</v>
      </c>
      <c r="W171" s="19">
        <v>0</v>
      </c>
      <c r="X171" s="19">
        <v>1100033397714</v>
      </c>
      <c r="Y171" s="5">
        <v>0</v>
      </c>
      <c r="Z171" s="19">
        <v>48582319846</v>
      </c>
      <c r="AA171" s="19">
        <v>3962822850</v>
      </c>
      <c r="AB171" s="19">
        <v>1152578540410</v>
      </c>
      <c r="AC171" s="19">
        <v>837207003974</v>
      </c>
      <c r="AD171" s="36">
        <f t="shared" si="12"/>
        <v>31.393238768002739</v>
      </c>
      <c r="AE171" s="19">
        <v>601285925600</v>
      </c>
      <c r="AF171" s="19">
        <v>601285925600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20">
        <v>0</v>
      </c>
      <c r="AM171" s="19">
        <v>0</v>
      </c>
      <c r="AN171" s="20">
        <v>60</v>
      </c>
      <c r="AO171" s="19">
        <v>576921682934</v>
      </c>
      <c r="AP171" s="20">
        <v>20</v>
      </c>
      <c r="AQ171" s="19">
        <v>149932377439</v>
      </c>
      <c r="AR171" s="19">
        <v>40220652543</v>
      </c>
      <c r="AS171" s="19">
        <v>8422824574</v>
      </c>
      <c r="AT171" s="5">
        <f t="shared" si="13"/>
        <v>31797827969</v>
      </c>
      <c r="AU171" s="36">
        <f t="shared" si="14"/>
        <v>377.51977011553987</v>
      </c>
      <c r="AV171" s="19">
        <v>357610380960</v>
      </c>
      <c r="AW171" s="19">
        <v>120947439675</v>
      </c>
      <c r="AX171" s="19">
        <v>134193268897</v>
      </c>
      <c r="AY171" s="19">
        <v>220822070807</v>
      </c>
      <c r="AZ171" s="19">
        <v>210973125159</v>
      </c>
      <c r="BA171" s="19">
        <v>560106303336</v>
      </c>
      <c r="BB171" s="19">
        <v>168139874904</v>
      </c>
      <c r="BC171" s="19">
        <v>1144823757996</v>
      </c>
      <c r="BD171" s="19">
        <v>380027032837</v>
      </c>
      <c r="BE171" s="19">
        <v>210973125159</v>
      </c>
      <c r="BF171" s="19">
        <v>553823600000</v>
      </c>
      <c r="BG171" s="19">
        <v>532692925600</v>
      </c>
      <c r="BH171" s="19">
        <v>68593000000</v>
      </c>
      <c r="BI171" s="19">
        <v>0</v>
      </c>
      <c r="BJ171" s="50">
        <v>0</v>
      </c>
      <c r="BK171" s="19">
        <v>0</v>
      </c>
      <c r="BL171" s="19">
        <v>0</v>
      </c>
      <c r="BM171" s="19">
        <v>0</v>
      </c>
      <c r="BN171" s="19">
        <v>0</v>
      </c>
    </row>
    <row r="172" spans="1:66" x14ac:dyDescent="0.25">
      <c r="A172" s="17" t="s">
        <v>582</v>
      </c>
      <c r="B172" s="4">
        <v>4003</v>
      </c>
      <c r="C172" s="4" t="s">
        <v>214</v>
      </c>
      <c r="D172" s="5">
        <v>1824510368696</v>
      </c>
      <c r="E172" s="5">
        <v>28786331419</v>
      </c>
      <c r="F172" s="5">
        <v>0</v>
      </c>
      <c r="G172" s="5">
        <v>0</v>
      </c>
      <c r="H172" s="5">
        <v>1853296700115</v>
      </c>
      <c r="I172" s="5">
        <v>150481703125</v>
      </c>
      <c r="J172" s="5">
        <v>3272161240</v>
      </c>
      <c r="K172" s="5">
        <v>1699542835750</v>
      </c>
      <c r="L172" s="5">
        <v>1530101088173</v>
      </c>
      <c r="M172" s="5">
        <f t="shared" si="10"/>
        <v>323195611942</v>
      </c>
      <c r="N172" s="36">
        <f t="shared" si="11"/>
        <v>21.122500626929693</v>
      </c>
      <c r="O172" s="5">
        <v>2143912639248</v>
      </c>
      <c r="P172" s="36">
        <v>136.09</v>
      </c>
      <c r="Q172" s="6">
        <v>126.15</v>
      </c>
      <c r="R172" s="6">
        <v>1.23</v>
      </c>
      <c r="S172" s="5">
        <v>2335130760429</v>
      </c>
      <c r="T172" s="5">
        <v>30989187512</v>
      </c>
      <c r="U172" s="5">
        <v>30989187512</v>
      </c>
      <c r="V172" s="5">
        <v>0</v>
      </c>
      <c r="W172" s="5">
        <v>0</v>
      </c>
      <c r="X172" s="5">
        <v>2366119947941</v>
      </c>
      <c r="Y172" s="5">
        <v>0</v>
      </c>
      <c r="Z172" s="5">
        <v>123390073575</v>
      </c>
      <c r="AA172" s="5">
        <v>32705782139</v>
      </c>
      <c r="AB172" s="5">
        <v>2522215803655</v>
      </c>
      <c r="AC172" s="5">
        <v>1585612944420</v>
      </c>
      <c r="AD172" s="36">
        <f t="shared" si="12"/>
        <v>49.224308256798508</v>
      </c>
      <c r="AE172" s="5">
        <v>2200810820888</v>
      </c>
      <c r="AF172" s="5">
        <v>1959500820888</v>
      </c>
      <c r="AG172" s="5">
        <v>255932468876</v>
      </c>
      <c r="AH172" s="5">
        <v>1364794</v>
      </c>
      <c r="AI172" s="5">
        <v>0</v>
      </c>
      <c r="AJ172" s="5">
        <v>0</v>
      </c>
      <c r="AK172" s="5">
        <v>0</v>
      </c>
      <c r="AL172" s="6">
        <v>1</v>
      </c>
      <c r="AM172" s="5">
        <v>164978585765</v>
      </c>
      <c r="AN172" s="6">
        <v>33</v>
      </c>
      <c r="AO172" s="5">
        <v>62874665434</v>
      </c>
      <c r="AP172" s="6">
        <v>53</v>
      </c>
      <c r="AQ172" s="5">
        <v>299302529258</v>
      </c>
      <c r="AR172" s="5">
        <v>30989187512</v>
      </c>
      <c r="AS172" s="5">
        <v>138754142382</v>
      </c>
      <c r="AT172" s="5">
        <f t="shared" si="13"/>
        <v>-107764954870</v>
      </c>
      <c r="AU172" s="36">
        <f t="shared" si="14"/>
        <v>-77.666117219992927</v>
      </c>
      <c r="AV172" s="5">
        <v>1260525453459</v>
      </c>
      <c r="AW172" s="5">
        <v>299008550730</v>
      </c>
      <c r="AX172" s="5">
        <v>267726721982</v>
      </c>
      <c r="AY172" s="5">
        <v>800807207509</v>
      </c>
      <c r="AZ172" s="5">
        <v>343297885141</v>
      </c>
      <c r="BA172" s="5">
        <v>533266426364</v>
      </c>
      <c r="BB172" s="5">
        <v>223768776928</v>
      </c>
      <c r="BC172" s="5">
        <v>1853296700115</v>
      </c>
      <c r="BD172" s="5">
        <v>1097320260910</v>
      </c>
      <c r="BE172" s="5">
        <v>343297885141</v>
      </c>
      <c r="BF172" s="5">
        <v>412678554064</v>
      </c>
      <c r="BG172" s="5">
        <v>1894813947976</v>
      </c>
      <c r="BH172" s="5">
        <v>305996872912</v>
      </c>
      <c r="BI172" s="5">
        <v>0</v>
      </c>
      <c r="BJ172" s="48">
        <v>0</v>
      </c>
      <c r="BK172" s="5">
        <v>399431379447</v>
      </c>
      <c r="BL172" s="5">
        <v>1364794</v>
      </c>
      <c r="BM172" s="5">
        <v>0</v>
      </c>
      <c r="BN172" s="5">
        <v>0</v>
      </c>
    </row>
    <row r="173" spans="1:66" x14ac:dyDescent="0.25">
      <c r="A173" s="17" t="s">
        <v>582</v>
      </c>
      <c r="B173" s="4">
        <v>4004</v>
      </c>
      <c r="C173" s="4" t="s">
        <v>215</v>
      </c>
      <c r="D173" s="5">
        <v>1397581557428</v>
      </c>
      <c r="E173" s="5">
        <v>15710521630</v>
      </c>
      <c r="F173" s="5">
        <v>0</v>
      </c>
      <c r="G173" s="5">
        <v>0</v>
      </c>
      <c r="H173" s="5">
        <v>1413292079058</v>
      </c>
      <c r="I173" s="5">
        <v>104881990688</v>
      </c>
      <c r="J173" s="5">
        <v>1223208000</v>
      </c>
      <c r="K173" s="5">
        <v>1307186880370</v>
      </c>
      <c r="L173" s="5">
        <v>971733442457</v>
      </c>
      <c r="M173" s="5">
        <f t="shared" si="10"/>
        <v>441558636601</v>
      </c>
      <c r="N173" s="36">
        <f t="shared" si="11"/>
        <v>45.440304646151901</v>
      </c>
      <c r="O173" s="5">
        <v>1663610106308</v>
      </c>
      <c r="P173" s="36">
        <v>129.28</v>
      </c>
      <c r="Q173" s="6">
        <v>127.27</v>
      </c>
      <c r="R173" s="6">
        <v>0.99</v>
      </c>
      <c r="S173" s="5">
        <v>1723887466227</v>
      </c>
      <c r="T173" s="5">
        <v>18089330730</v>
      </c>
      <c r="U173" s="5">
        <v>18089330730</v>
      </c>
      <c r="V173" s="5">
        <v>0</v>
      </c>
      <c r="W173" s="5">
        <v>0</v>
      </c>
      <c r="X173" s="5">
        <v>1741976796957</v>
      </c>
      <c r="Y173" s="5">
        <v>0</v>
      </c>
      <c r="Z173" s="5">
        <v>75581113851</v>
      </c>
      <c r="AA173" s="5">
        <v>9602000000</v>
      </c>
      <c r="AB173" s="5">
        <v>1827159910808</v>
      </c>
      <c r="AC173" s="5">
        <v>925866682495</v>
      </c>
      <c r="AD173" s="36">
        <f t="shared" si="12"/>
        <v>88.145532169142214</v>
      </c>
      <c r="AE173" s="5">
        <v>1356679284194</v>
      </c>
      <c r="AF173" s="5">
        <v>1356679284194</v>
      </c>
      <c r="AG173" s="5">
        <v>0</v>
      </c>
      <c r="AH173" s="5">
        <v>1900000000</v>
      </c>
      <c r="AI173" s="5">
        <v>0</v>
      </c>
      <c r="AJ173" s="5">
        <v>0</v>
      </c>
      <c r="AK173" s="5">
        <v>0</v>
      </c>
      <c r="AL173" s="6">
        <v>0</v>
      </c>
      <c r="AM173" s="5">
        <v>0</v>
      </c>
      <c r="AN173" s="6">
        <v>10</v>
      </c>
      <c r="AO173" s="5">
        <v>116012000000</v>
      </c>
      <c r="AP173" s="6">
        <v>19</v>
      </c>
      <c r="AQ173" s="5">
        <v>45200000000</v>
      </c>
      <c r="AR173" s="5">
        <v>18089330730</v>
      </c>
      <c r="AS173" s="5">
        <v>2020938875</v>
      </c>
      <c r="AT173" s="5">
        <f t="shared" si="13"/>
        <v>16068391855</v>
      </c>
      <c r="AU173" s="36">
        <f t="shared" si="14"/>
        <v>795.09539124482421</v>
      </c>
      <c r="AV173" s="5">
        <v>520357572406</v>
      </c>
      <c r="AW173" s="5">
        <v>105924580674</v>
      </c>
      <c r="AX173" s="5">
        <v>245825684181</v>
      </c>
      <c r="AY173" s="5">
        <v>470013100472</v>
      </c>
      <c r="AZ173" s="5">
        <v>173409372775</v>
      </c>
      <c r="BA173" s="5">
        <v>570405430384</v>
      </c>
      <c r="BB173" s="5">
        <v>116051870970</v>
      </c>
      <c r="BC173" s="5">
        <v>1413292079058</v>
      </c>
      <c r="BD173" s="5">
        <v>731549306283</v>
      </c>
      <c r="BE173" s="5">
        <v>173409372775</v>
      </c>
      <c r="BF173" s="5">
        <v>508333400000</v>
      </c>
      <c r="BG173" s="5">
        <v>1183462964194</v>
      </c>
      <c r="BH173" s="5">
        <v>173216320000</v>
      </c>
      <c r="BI173" s="5">
        <v>0</v>
      </c>
      <c r="BJ173" s="48">
        <v>0</v>
      </c>
      <c r="BK173" s="5">
        <v>0</v>
      </c>
      <c r="BL173" s="5">
        <v>0</v>
      </c>
      <c r="BM173" s="5">
        <v>0</v>
      </c>
      <c r="BN173" s="5">
        <v>1900000000</v>
      </c>
    </row>
    <row r="174" spans="1:66" x14ac:dyDescent="0.25">
      <c r="A174" s="17" t="s">
        <v>582</v>
      </c>
      <c r="B174" s="4">
        <v>4005</v>
      </c>
      <c r="C174" s="4" t="s">
        <v>216</v>
      </c>
      <c r="D174" s="5">
        <v>1046372338182</v>
      </c>
      <c r="E174" s="5">
        <v>19264705883</v>
      </c>
      <c r="F174" s="5">
        <v>0</v>
      </c>
      <c r="G174" s="5">
        <v>0</v>
      </c>
      <c r="H174" s="5">
        <v>1065637044065</v>
      </c>
      <c r="I174" s="5">
        <v>92416336739</v>
      </c>
      <c r="J174" s="5">
        <v>1171375000</v>
      </c>
      <c r="K174" s="5">
        <v>972049332326</v>
      </c>
      <c r="L174" s="5">
        <v>1026882957941</v>
      </c>
      <c r="M174" s="5">
        <f t="shared" si="10"/>
        <v>38754086124</v>
      </c>
      <c r="N174" s="36">
        <f t="shared" si="11"/>
        <v>3.7739535771151274</v>
      </c>
      <c r="O174" s="5">
        <v>1165659226618</v>
      </c>
      <c r="P174" s="36">
        <v>122.25</v>
      </c>
      <c r="Q174" s="6">
        <v>119.92</v>
      </c>
      <c r="R174" s="6">
        <v>1</v>
      </c>
      <c r="S174" s="5">
        <v>1188116605344</v>
      </c>
      <c r="T174" s="5">
        <v>13074062262</v>
      </c>
      <c r="U174" s="5">
        <v>13074062262</v>
      </c>
      <c r="V174" s="5">
        <v>0</v>
      </c>
      <c r="W174" s="5">
        <v>0</v>
      </c>
      <c r="X174" s="5">
        <v>1201190667606</v>
      </c>
      <c r="Y174" s="5">
        <v>0</v>
      </c>
      <c r="Z174" s="5">
        <v>88261595971</v>
      </c>
      <c r="AA174" s="5">
        <v>13300000000</v>
      </c>
      <c r="AB174" s="5">
        <v>1302752263577</v>
      </c>
      <c r="AC174" s="5">
        <v>898999171506</v>
      </c>
      <c r="AD174" s="36">
        <f t="shared" si="12"/>
        <v>33.614212969047564</v>
      </c>
      <c r="AE174" s="5">
        <v>668319799049</v>
      </c>
      <c r="AF174" s="5">
        <v>668319799049</v>
      </c>
      <c r="AG174" s="5">
        <v>0</v>
      </c>
      <c r="AH174" s="5">
        <v>14098077</v>
      </c>
      <c r="AI174" s="5">
        <v>0</v>
      </c>
      <c r="AJ174" s="5">
        <v>0</v>
      </c>
      <c r="AK174" s="5">
        <v>0</v>
      </c>
      <c r="AL174" s="6">
        <v>0</v>
      </c>
      <c r="AM174" s="5">
        <v>0</v>
      </c>
      <c r="AN174" s="6">
        <v>76</v>
      </c>
      <c r="AO174" s="5">
        <v>227543438859</v>
      </c>
      <c r="AP174" s="6">
        <v>37</v>
      </c>
      <c r="AQ174" s="5">
        <v>246919023750</v>
      </c>
      <c r="AR174" s="5">
        <v>13074062262</v>
      </c>
      <c r="AS174" s="5">
        <v>2312272478</v>
      </c>
      <c r="AT174" s="5">
        <f t="shared" si="13"/>
        <v>10761789784</v>
      </c>
      <c r="AU174" s="36">
        <f t="shared" si="14"/>
        <v>465.42048510253471</v>
      </c>
      <c r="AV174" s="5">
        <v>389003840797</v>
      </c>
      <c r="AW174" s="5">
        <v>112256388249</v>
      </c>
      <c r="AX174" s="5">
        <v>65200768103</v>
      </c>
      <c r="AY174" s="5">
        <v>189370356617</v>
      </c>
      <c r="AZ174" s="5">
        <v>362811706424</v>
      </c>
      <c r="BA174" s="5">
        <v>504175565762</v>
      </c>
      <c r="BB174" s="5">
        <v>230524513399</v>
      </c>
      <c r="BC174" s="5">
        <v>1065637044065</v>
      </c>
      <c r="BD174" s="5">
        <v>273835830603</v>
      </c>
      <c r="BE174" s="5">
        <v>362811706424</v>
      </c>
      <c r="BF174" s="5">
        <v>428989507038</v>
      </c>
      <c r="BG174" s="5">
        <v>550126852049</v>
      </c>
      <c r="BH174" s="5">
        <v>118192947000</v>
      </c>
      <c r="BI174" s="5">
        <v>0</v>
      </c>
      <c r="BJ174" s="48">
        <v>0</v>
      </c>
      <c r="BK174" s="5">
        <v>0</v>
      </c>
      <c r="BL174" s="5">
        <v>0</v>
      </c>
      <c r="BM174" s="5">
        <v>0</v>
      </c>
      <c r="BN174" s="5">
        <v>14098077</v>
      </c>
    </row>
    <row r="175" spans="1:66" x14ac:dyDescent="0.25">
      <c r="A175" s="17" t="s">
        <v>582</v>
      </c>
      <c r="B175" s="4">
        <v>4006</v>
      </c>
      <c r="C175" s="4" t="s">
        <v>217</v>
      </c>
      <c r="D175" s="5">
        <v>1598478961288</v>
      </c>
      <c r="E175" s="5">
        <v>17168114098</v>
      </c>
      <c r="F175" s="5">
        <v>0</v>
      </c>
      <c r="G175" s="5">
        <v>0</v>
      </c>
      <c r="H175" s="5">
        <v>1615647075386</v>
      </c>
      <c r="I175" s="5">
        <v>128975992827</v>
      </c>
      <c r="J175" s="5">
        <v>3454468300</v>
      </c>
      <c r="K175" s="5">
        <v>1483216614259</v>
      </c>
      <c r="L175" s="5">
        <v>947795553920</v>
      </c>
      <c r="M175" s="5">
        <f t="shared" si="10"/>
        <v>667851521466</v>
      </c>
      <c r="N175" s="36">
        <f t="shared" si="11"/>
        <v>70.463668953058928</v>
      </c>
      <c r="O175" s="5">
        <v>1756475269056</v>
      </c>
      <c r="P175" s="36">
        <v>128.25</v>
      </c>
      <c r="Q175" s="6">
        <v>118.42</v>
      </c>
      <c r="R175" s="6">
        <v>1.0900000000000001</v>
      </c>
      <c r="S175" s="5">
        <v>1954871546935</v>
      </c>
      <c r="T175" s="5">
        <v>22599707460</v>
      </c>
      <c r="U175" s="5">
        <v>22599707460</v>
      </c>
      <c r="V175" s="5">
        <v>0</v>
      </c>
      <c r="W175" s="5">
        <v>0</v>
      </c>
      <c r="X175" s="5">
        <v>1977471254395</v>
      </c>
      <c r="Y175" s="5">
        <v>0</v>
      </c>
      <c r="Z175" s="5">
        <v>79260324237</v>
      </c>
      <c r="AA175" s="5">
        <v>15300000000</v>
      </c>
      <c r="AB175" s="5">
        <v>2072031578632</v>
      </c>
      <c r="AC175" s="5">
        <v>1721585275132</v>
      </c>
      <c r="AD175" s="36">
        <f t="shared" si="12"/>
        <v>14.863392650903123</v>
      </c>
      <c r="AE175" s="5">
        <v>1051239357719</v>
      </c>
      <c r="AF175" s="5">
        <v>1036680362409</v>
      </c>
      <c r="AG175" s="5">
        <v>14250000000</v>
      </c>
      <c r="AH175" s="5">
        <v>1137795314</v>
      </c>
      <c r="AI175" s="5">
        <v>0</v>
      </c>
      <c r="AJ175" s="5">
        <v>0</v>
      </c>
      <c r="AK175" s="5">
        <v>0</v>
      </c>
      <c r="AL175" s="6">
        <v>1</v>
      </c>
      <c r="AM175" s="5">
        <v>15750000000</v>
      </c>
      <c r="AN175" s="6">
        <v>43</v>
      </c>
      <c r="AO175" s="5">
        <v>72466843721</v>
      </c>
      <c r="AP175" s="6">
        <v>31</v>
      </c>
      <c r="AQ175" s="5">
        <v>147858535257</v>
      </c>
      <c r="AR175" s="5">
        <v>22599707460</v>
      </c>
      <c r="AS175" s="5">
        <v>2031534898</v>
      </c>
      <c r="AT175" s="5">
        <f t="shared" si="13"/>
        <v>20568172562</v>
      </c>
      <c r="AU175" s="36">
        <f t="shared" si="14"/>
        <v>1012.4449539237007</v>
      </c>
      <c r="AV175" s="5">
        <v>704847180028</v>
      </c>
      <c r="AW175" s="5">
        <v>108731507787</v>
      </c>
      <c r="AX175" s="5">
        <v>474388558892</v>
      </c>
      <c r="AY175" s="5">
        <v>363578770591</v>
      </c>
      <c r="AZ175" s="5">
        <v>231435625952</v>
      </c>
      <c r="BA175" s="5">
        <v>539841020813</v>
      </c>
      <c r="BB175" s="5">
        <v>155351715455</v>
      </c>
      <c r="BC175" s="5">
        <v>1615647075386</v>
      </c>
      <c r="BD175" s="5">
        <v>855135443581</v>
      </c>
      <c r="BE175" s="5">
        <v>231435625952</v>
      </c>
      <c r="BF175" s="5">
        <v>529076005853</v>
      </c>
      <c r="BG175" s="5">
        <v>661239883279</v>
      </c>
      <c r="BH175" s="5">
        <v>389999474440</v>
      </c>
      <c r="BI175" s="5">
        <v>0</v>
      </c>
      <c r="BJ175" s="48">
        <v>0</v>
      </c>
      <c r="BK175" s="5">
        <v>1575000000</v>
      </c>
      <c r="BL175" s="5">
        <v>0</v>
      </c>
      <c r="BM175" s="5">
        <v>0</v>
      </c>
      <c r="BN175" s="5">
        <v>1137795314</v>
      </c>
    </row>
    <row r="176" spans="1:66" x14ac:dyDescent="0.25">
      <c r="A176" s="17" t="s">
        <v>582</v>
      </c>
      <c r="B176" s="4">
        <v>4007</v>
      </c>
      <c r="C176" s="4" t="s">
        <v>218</v>
      </c>
      <c r="D176" s="5">
        <v>2917160338531</v>
      </c>
      <c r="E176" s="5">
        <v>71533763501</v>
      </c>
      <c r="F176" s="5">
        <v>0</v>
      </c>
      <c r="G176" s="5">
        <v>0</v>
      </c>
      <c r="H176" s="5">
        <v>2988694102032</v>
      </c>
      <c r="I176" s="5">
        <v>190952557186</v>
      </c>
      <c r="J176" s="5">
        <v>4298078360</v>
      </c>
      <c r="K176" s="5">
        <v>2793443466486</v>
      </c>
      <c r="L176" s="5">
        <v>1597005187711</v>
      </c>
      <c r="M176" s="5">
        <f t="shared" si="10"/>
        <v>1391688914321</v>
      </c>
      <c r="N176" s="36">
        <f t="shared" si="11"/>
        <v>87.143668976787652</v>
      </c>
      <c r="O176" s="5">
        <v>2711233818567</v>
      </c>
      <c r="P176" s="36">
        <v>115.13</v>
      </c>
      <c r="Q176" s="6">
        <v>97.06</v>
      </c>
      <c r="R176" s="6">
        <v>0.59</v>
      </c>
      <c r="S176" s="5">
        <v>3354237540254</v>
      </c>
      <c r="T176" s="5">
        <v>20383042861</v>
      </c>
      <c r="U176" s="5">
        <v>20214626861</v>
      </c>
      <c r="V176" s="5">
        <v>168416000</v>
      </c>
      <c r="W176" s="5">
        <v>0</v>
      </c>
      <c r="X176" s="5">
        <v>3374620583115</v>
      </c>
      <c r="Y176" s="5">
        <v>0</v>
      </c>
      <c r="Z176" s="5">
        <v>56559227784</v>
      </c>
      <c r="AA176" s="5">
        <v>9596570000</v>
      </c>
      <c r="AB176" s="5">
        <v>3440776380899</v>
      </c>
      <c r="AC176" s="5">
        <v>1975875783986</v>
      </c>
      <c r="AD176" s="36">
        <f t="shared" si="12"/>
        <v>70.791130215041434</v>
      </c>
      <c r="AE176" s="5">
        <v>2563481321688</v>
      </c>
      <c r="AF176" s="5">
        <v>1553277321688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6">
        <v>0</v>
      </c>
      <c r="AM176" s="5">
        <v>0</v>
      </c>
      <c r="AN176" s="6">
        <v>128</v>
      </c>
      <c r="AO176" s="5">
        <v>1548607084988</v>
      </c>
      <c r="AP176" s="6">
        <v>89</v>
      </c>
      <c r="AQ176" s="5">
        <v>1065745225318</v>
      </c>
      <c r="AR176" s="5">
        <v>20383042861</v>
      </c>
      <c r="AS176" s="5">
        <v>3963092741</v>
      </c>
      <c r="AT176" s="5">
        <f t="shared" si="13"/>
        <v>16419950120</v>
      </c>
      <c r="AU176" s="36">
        <f t="shared" si="14"/>
        <v>414.32162185174565</v>
      </c>
      <c r="AV176" s="5">
        <v>857249185181</v>
      </c>
      <c r="AW176" s="5">
        <v>67156992796</v>
      </c>
      <c r="AX176" s="5">
        <v>276905938230</v>
      </c>
      <c r="AY176" s="5">
        <v>514076556236</v>
      </c>
      <c r="AZ176" s="5">
        <v>913704844065</v>
      </c>
      <c r="BA176" s="5">
        <v>1243224851984</v>
      </c>
      <c r="BB176" s="5">
        <v>841288564314</v>
      </c>
      <c r="BC176" s="5">
        <v>2988694102032</v>
      </c>
      <c r="BD176" s="5">
        <v>862516257967</v>
      </c>
      <c r="BE176" s="5">
        <v>913704844065</v>
      </c>
      <c r="BF176" s="5">
        <v>1212473000000</v>
      </c>
      <c r="BG176" s="5">
        <v>1486644354205</v>
      </c>
      <c r="BH176" s="5">
        <v>1076836967483</v>
      </c>
      <c r="BI176" s="5">
        <v>0</v>
      </c>
      <c r="BJ176" s="48">
        <v>0</v>
      </c>
      <c r="BK176" s="5">
        <v>0</v>
      </c>
      <c r="BL176" s="5">
        <v>0</v>
      </c>
      <c r="BM176" s="5">
        <v>0</v>
      </c>
      <c r="BN176" s="5">
        <v>0</v>
      </c>
    </row>
    <row r="177" spans="1:66" x14ac:dyDescent="0.25">
      <c r="A177" s="17" t="s">
        <v>582</v>
      </c>
      <c r="B177" s="4">
        <v>4008</v>
      </c>
      <c r="C177" s="4" t="s">
        <v>219</v>
      </c>
      <c r="D177" s="5">
        <v>1141305986551</v>
      </c>
      <c r="E177" s="5">
        <v>3119559617</v>
      </c>
      <c r="F177" s="5">
        <v>0</v>
      </c>
      <c r="G177" s="5">
        <v>0</v>
      </c>
      <c r="H177" s="5">
        <v>1144425546168</v>
      </c>
      <c r="I177" s="5">
        <v>89036092777</v>
      </c>
      <c r="J177" s="5">
        <v>1422702924</v>
      </c>
      <c r="K177" s="5">
        <v>1053966750467</v>
      </c>
      <c r="L177" s="5">
        <v>833600248626</v>
      </c>
      <c r="M177" s="5">
        <f t="shared" si="10"/>
        <v>310825297542</v>
      </c>
      <c r="N177" s="36">
        <f t="shared" si="11"/>
        <v>37.287092710723712</v>
      </c>
      <c r="O177" s="5">
        <v>1507512601551</v>
      </c>
      <c r="P177" s="36">
        <v>152.55000000000001</v>
      </c>
      <c r="Q177" s="6">
        <v>143.03</v>
      </c>
      <c r="R177" s="6">
        <v>1.86</v>
      </c>
      <c r="S177" s="5">
        <v>1628603435776</v>
      </c>
      <c r="T177" s="5">
        <v>32473535822</v>
      </c>
      <c r="U177" s="5">
        <v>28210137357</v>
      </c>
      <c r="V177" s="5">
        <v>4263398465</v>
      </c>
      <c r="W177" s="5">
        <v>0</v>
      </c>
      <c r="X177" s="5">
        <v>1661076971598</v>
      </c>
      <c r="Y177" s="5">
        <v>0</v>
      </c>
      <c r="Z177" s="5">
        <v>76732121533</v>
      </c>
      <c r="AA177" s="5">
        <v>8030000000</v>
      </c>
      <c r="AB177" s="5">
        <v>1745839093131</v>
      </c>
      <c r="AC177" s="5">
        <v>1101224137645</v>
      </c>
      <c r="AD177" s="36">
        <f t="shared" si="12"/>
        <v>50.839135723110971</v>
      </c>
      <c r="AE177" s="5">
        <v>881554080815</v>
      </c>
      <c r="AF177" s="5">
        <v>826622947393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6">
        <v>0</v>
      </c>
      <c r="AM177" s="5">
        <v>0</v>
      </c>
      <c r="AN177" s="6">
        <v>51</v>
      </c>
      <c r="AO177" s="5">
        <v>19575089974</v>
      </c>
      <c r="AP177" s="6">
        <v>2</v>
      </c>
      <c r="AQ177" s="5">
        <v>39740000000</v>
      </c>
      <c r="AR177" s="5">
        <v>32473535822</v>
      </c>
      <c r="AS177" s="5">
        <v>4079069388</v>
      </c>
      <c r="AT177" s="5">
        <f t="shared" si="13"/>
        <v>28394466434</v>
      </c>
      <c r="AU177" s="36">
        <f t="shared" si="14"/>
        <v>696.10157938308646</v>
      </c>
      <c r="AV177" s="5">
        <v>334802830771</v>
      </c>
      <c r="AW177" s="5">
        <v>77125781750</v>
      </c>
      <c r="AX177" s="5">
        <v>44851445408</v>
      </c>
      <c r="AY177" s="5">
        <v>303178464304</v>
      </c>
      <c r="AZ177" s="5">
        <v>379488501778</v>
      </c>
      <c r="BA177" s="5">
        <v>434503487761</v>
      </c>
      <c r="BB177" s="5">
        <v>364916289787</v>
      </c>
      <c r="BC177" s="5">
        <v>1144425546168</v>
      </c>
      <c r="BD177" s="5">
        <v>351149469329</v>
      </c>
      <c r="BE177" s="5">
        <v>379488501778</v>
      </c>
      <c r="BF177" s="5">
        <v>413787575061</v>
      </c>
      <c r="BG177" s="5">
        <v>652708848379</v>
      </c>
      <c r="BH177" s="5">
        <v>228845232436</v>
      </c>
      <c r="BI177" s="5">
        <v>0</v>
      </c>
      <c r="BJ177" s="48">
        <v>0</v>
      </c>
      <c r="BK177" s="5">
        <v>0</v>
      </c>
      <c r="BL177" s="5">
        <v>0</v>
      </c>
      <c r="BM177" s="5">
        <v>0</v>
      </c>
      <c r="BN177" s="5">
        <v>0</v>
      </c>
    </row>
    <row r="178" spans="1:66" x14ac:dyDescent="0.25">
      <c r="A178" s="17" t="s">
        <v>582</v>
      </c>
      <c r="B178" s="4">
        <v>4009</v>
      </c>
      <c r="C178" s="4" t="s">
        <v>220</v>
      </c>
      <c r="D178" s="5">
        <v>1369238852971</v>
      </c>
      <c r="E178" s="5">
        <v>6652849582</v>
      </c>
      <c r="F178" s="5">
        <v>0</v>
      </c>
      <c r="G178" s="5">
        <v>0</v>
      </c>
      <c r="H178" s="5">
        <v>1375891702553</v>
      </c>
      <c r="I178" s="5">
        <v>103254730794</v>
      </c>
      <c r="J178" s="5">
        <v>636025000</v>
      </c>
      <c r="K178" s="5">
        <v>1272000946759</v>
      </c>
      <c r="L178" s="5">
        <v>754888600633</v>
      </c>
      <c r="M178" s="5">
        <f t="shared" si="10"/>
        <v>621003101920</v>
      </c>
      <c r="N178" s="36">
        <f t="shared" si="11"/>
        <v>82.264204466628271</v>
      </c>
      <c r="O178" s="5">
        <v>1056232862924</v>
      </c>
      <c r="P178" s="36">
        <v>88.85</v>
      </c>
      <c r="Q178" s="6">
        <v>83.04</v>
      </c>
      <c r="R178" s="6">
        <v>0.9</v>
      </c>
      <c r="S178" s="5">
        <v>1139464870118</v>
      </c>
      <c r="T178" s="5">
        <v>11023090711</v>
      </c>
      <c r="U178" s="5">
        <v>10942744257</v>
      </c>
      <c r="V178" s="5">
        <v>80346454</v>
      </c>
      <c r="W178" s="5">
        <v>0</v>
      </c>
      <c r="X178" s="5">
        <v>1150487960829</v>
      </c>
      <c r="Y178" s="5">
        <v>0</v>
      </c>
      <c r="Z178" s="5">
        <v>58421192436</v>
      </c>
      <c r="AA178" s="5">
        <v>13622240000</v>
      </c>
      <c r="AB178" s="5">
        <v>1222531393265</v>
      </c>
      <c r="AC178" s="5">
        <v>353360063344</v>
      </c>
      <c r="AD178" s="36">
        <f t="shared" si="12"/>
        <v>225.58516939957275</v>
      </c>
      <c r="AE178" s="5">
        <v>1050385653859</v>
      </c>
      <c r="AF178" s="5">
        <v>1050385653859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6">
        <v>0</v>
      </c>
      <c r="AM178" s="5">
        <v>0</v>
      </c>
      <c r="AN178" s="6">
        <v>33</v>
      </c>
      <c r="AO178" s="5">
        <v>78098789371</v>
      </c>
      <c r="AP178" s="6">
        <v>1</v>
      </c>
      <c r="AQ178" s="5">
        <v>450000000</v>
      </c>
      <c r="AR178" s="5">
        <v>11023090711</v>
      </c>
      <c r="AS178" s="5">
        <v>0</v>
      </c>
      <c r="AT178" s="5">
        <f t="shared" si="13"/>
        <v>11023090711</v>
      </c>
      <c r="AU178" s="36">
        <f t="shared" si="14"/>
        <v>0</v>
      </c>
      <c r="AV178" s="5">
        <v>294433598502</v>
      </c>
      <c r="AW178" s="5">
        <v>33788640974</v>
      </c>
      <c r="AX178" s="5">
        <v>71155691324</v>
      </c>
      <c r="AY178" s="5">
        <v>573225292745</v>
      </c>
      <c r="AZ178" s="5">
        <v>233046642709</v>
      </c>
      <c r="BA178" s="5">
        <v>513426297657</v>
      </c>
      <c r="BB178" s="5">
        <v>231403286351</v>
      </c>
      <c r="BC178" s="5">
        <v>1375891702553</v>
      </c>
      <c r="BD178" s="5">
        <v>651033833651</v>
      </c>
      <c r="BE178" s="5">
        <v>233046642709</v>
      </c>
      <c r="BF178" s="5">
        <v>491811226193</v>
      </c>
      <c r="BG178" s="5">
        <v>831595653859</v>
      </c>
      <c r="BH178" s="5">
        <v>218790000000</v>
      </c>
      <c r="BI178" s="5">
        <v>0</v>
      </c>
      <c r="BJ178" s="48">
        <v>0</v>
      </c>
      <c r="BK178" s="5">
        <v>0</v>
      </c>
      <c r="BL178" s="5">
        <v>0</v>
      </c>
      <c r="BM178" s="5">
        <v>0</v>
      </c>
      <c r="BN178" s="5">
        <v>0</v>
      </c>
    </row>
    <row r="179" spans="1:66" x14ac:dyDescent="0.25">
      <c r="A179" s="17" t="s">
        <v>582</v>
      </c>
      <c r="B179" s="4">
        <v>4099</v>
      </c>
      <c r="C179" s="4" t="s">
        <v>221</v>
      </c>
      <c r="D179" s="5">
        <v>0</v>
      </c>
      <c r="E179" s="5">
        <v>98400000</v>
      </c>
      <c r="F179" s="5">
        <v>0</v>
      </c>
      <c r="G179" s="5">
        <v>0</v>
      </c>
      <c r="H179" s="5">
        <v>98400000</v>
      </c>
      <c r="I179" s="5">
        <v>8717596</v>
      </c>
      <c r="J179" s="5">
        <v>2325000000</v>
      </c>
      <c r="K179" s="5">
        <v>-2235317596</v>
      </c>
      <c r="L179" s="5">
        <v>2363050000</v>
      </c>
      <c r="M179" s="5">
        <f t="shared" si="10"/>
        <v>-2264650000</v>
      </c>
      <c r="N179" s="36">
        <f t="shared" si="11"/>
        <v>-95.835890057341146</v>
      </c>
      <c r="O179" s="5">
        <v>0</v>
      </c>
      <c r="P179" s="36">
        <v>0</v>
      </c>
      <c r="Q179" s="6">
        <v>0</v>
      </c>
      <c r="R179" s="6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36">
        <f t="shared" si="12"/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6">
        <v>0</v>
      </c>
      <c r="AM179" s="5">
        <v>0</v>
      </c>
      <c r="AN179" s="6">
        <v>0</v>
      </c>
      <c r="AO179" s="5">
        <v>0</v>
      </c>
      <c r="AP179" s="6">
        <v>0</v>
      </c>
      <c r="AQ179" s="5">
        <v>0</v>
      </c>
      <c r="AR179" s="5">
        <v>0</v>
      </c>
      <c r="AS179" s="5">
        <v>0</v>
      </c>
      <c r="AT179" s="5">
        <f t="shared" si="13"/>
        <v>0</v>
      </c>
      <c r="AU179" s="36">
        <f t="shared" si="14"/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98400000</v>
      </c>
      <c r="BD179" s="5">
        <v>98400000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48">
        <v>0</v>
      </c>
      <c r="BK179" s="5">
        <v>0</v>
      </c>
      <c r="BL179" s="5">
        <v>0</v>
      </c>
      <c r="BM179" s="5">
        <v>0</v>
      </c>
      <c r="BN179" s="5">
        <v>0</v>
      </c>
    </row>
    <row r="180" spans="1:66" x14ac:dyDescent="0.25">
      <c r="A180" s="30" t="s">
        <v>583</v>
      </c>
      <c r="B180" s="13" t="s">
        <v>625</v>
      </c>
      <c r="C180" s="13" t="s">
        <v>625</v>
      </c>
      <c r="D180" s="14">
        <v>22119005579577</v>
      </c>
      <c r="E180" s="14">
        <v>523098512854</v>
      </c>
      <c r="F180" s="14">
        <v>8350000000</v>
      </c>
      <c r="G180" s="14">
        <v>1949534298</v>
      </c>
      <c r="H180" s="14">
        <v>22652403626729</v>
      </c>
      <c r="I180" s="14">
        <v>1737819702953</v>
      </c>
      <c r="J180" s="14">
        <v>46236833314</v>
      </c>
      <c r="K180" s="14">
        <v>20868347090462</v>
      </c>
      <c r="L180" s="14">
        <v>15390731647453</v>
      </c>
      <c r="M180" s="14">
        <f t="shared" si="10"/>
        <v>7261671979276</v>
      </c>
      <c r="N180" s="41">
        <f t="shared" si="11"/>
        <v>47.182110283091895</v>
      </c>
      <c r="O180" s="14">
        <v>24722986866864</v>
      </c>
      <c r="P180" s="41">
        <v>134.41999999999999</v>
      </c>
      <c r="Q180" s="15">
        <v>118.47</v>
      </c>
      <c r="R180" s="15">
        <v>1.98</v>
      </c>
      <c r="S180" s="14">
        <v>28607553529509</v>
      </c>
      <c r="T180" s="14">
        <v>603649065094</v>
      </c>
      <c r="U180" s="14">
        <v>340406576387</v>
      </c>
      <c r="V180" s="14">
        <v>6004593536</v>
      </c>
      <c r="W180" s="14">
        <v>257237895171</v>
      </c>
      <c r="X180" s="14">
        <v>29211202594603</v>
      </c>
      <c r="Y180" s="14">
        <v>758128107</v>
      </c>
      <c r="Z180" s="14">
        <v>1074144313252</v>
      </c>
      <c r="AA180" s="14">
        <v>163564323966</v>
      </c>
      <c r="AB180" s="14">
        <v>30448911231821</v>
      </c>
      <c r="AC180" s="14">
        <v>20664114997250</v>
      </c>
      <c r="AD180" s="41">
        <f t="shared" si="12"/>
        <v>41.361982347129086</v>
      </c>
      <c r="AE180" s="14">
        <v>19053659400676</v>
      </c>
      <c r="AF180" s="14">
        <v>17328912436360</v>
      </c>
      <c r="AG180" s="14">
        <v>356647640884</v>
      </c>
      <c r="AH180" s="14">
        <v>304278502396</v>
      </c>
      <c r="AI180" s="14">
        <v>0</v>
      </c>
      <c r="AJ180" s="14">
        <v>0</v>
      </c>
      <c r="AK180" s="14">
        <v>0</v>
      </c>
      <c r="AL180" s="15">
        <v>5</v>
      </c>
      <c r="AM180" s="14">
        <v>349228585765</v>
      </c>
      <c r="AN180" s="15">
        <v>669</v>
      </c>
      <c r="AO180" s="14">
        <v>4496466804058</v>
      </c>
      <c r="AP180" s="15">
        <v>503</v>
      </c>
      <c r="AQ180" s="14">
        <v>3292695643694</v>
      </c>
      <c r="AR180" s="14">
        <v>603649065094</v>
      </c>
      <c r="AS180" s="14">
        <v>203684827590</v>
      </c>
      <c r="AT180" s="14">
        <f t="shared" si="13"/>
        <v>399964237504</v>
      </c>
      <c r="AU180" s="41">
        <f t="shared" si="14"/>
        <v>196.36427623813665</v>
      </c>
      <c r="AV180" s="14">
        <v>9996776124864</v>
      </c>
      <c r="AW180" s="14">
        <v>1731498865747</v>
      </c>
      <c r="AX180" s="14">
        <v>3742196429139</v>
      </c>
      <c r="AY180" s="14">
        <v>5839215301640</v>
      </c>
      <c r="AZ180" s="14">
        <v>5329657653827</v>
      </c>
      <c r="BA180" s="14">
        <v>8085079569995</v>
      </c>
      <c r="BB180" s="14">
        <v>4010887474844</v>
      </c>
      <c r="BC180" s="14">
        <v>22652403626729</v>
      </c>
      <c r="BD180" s="14">
        <v>10032224049779</v>
      </c>
      <c r="BE180" s="14">
        <v>5337587653827</v>
      </c>
      <c r="BF180" s="14">
        <v>7282591923123</v>
      </c>
      <c r="BG180" s="14">
        <v>14099882979947</v>
      </c>
      <c r="BH180" s="14">
        <v>4953776420729</v>
      </c>
      <c r="BI180" s="14">
        <v>0</v>
      </c>
      <c r="BJ180" s="49">
        <v>0</v>
      </c>
      <c r="BK180" s="14">
        <v>487471551455</v>
      </c>
      <c r="BL180" s="14">
        <v>1364794</v>
      </c>
      <c r="BM180" s="14">
        <v>257237895171</v>
      </c>
      <c r="BN180" s="14">
        <v>13167091602</v>
      </c>
    </row>
    <row r="181" spans="1:66" x14ac:dyDescent="0.25">
      <c r="A181" s="17" t="s">
        <v>584</v>
      </c>
      <c r="B181" s="4">
        <v>1900</v>
      </c>
      <c r="C181" s="4" t="s">
        <v>222</v>
      </c>
      <c r="D181" s="5">
        <v>6703206609960</v>
      </c>
      <c r="E181" s="5">
        <v>751852603528</v>
      </c>
      <c r="F181" s="5">
        <v>121000000000</v>
      </c>
      <c r="G181" s="5">
        <v>496542338840</v>
      </c>
      <c r="H181" s="5">
        <v>8072601552328</v>
      </c>
      <c r="I181" s="5">
        <v>603631878841</v>
      </c>
      <c r="J181" s="5">
        <v>52219671914</v>
      </c>
      <c r="K181" s="5">
        <v>7416750001573</v>
      </c>
      <c r="L181" s="5">
        <v>6452561434384</v>
      </c>
      <c r="M181" s="5">
        <f t="shared" si="10"/>
        <v>1620040117944</v>
      </c>
      <c r="N181" s="36">
        <f t="shared" si="11"/>
        <v>25.106930548715635</v>
      </c>
      <c r="O181" s="5">
        <v>15472926230711</v>
      </c>
      <c r="P181" s="36">
        <v>250.83</v>
      </c>
      <c r="Q181" s="6">
        <v>208.62</v>
      </c>
      <c r="R181" s="6">
        <v>0.78</v>
      </c>
      <c r="S181" s="5">
        <v>19442543415050</v>
      </c>
      <c r="T181" s="5">
        <v>142191671552</v>
      </c>
      <c r="U181" s="5">
        <v>48151428501</v>
      </c>
      <c r="V181" s="5">
        <v>24729299822</v>
      </c>
      <c r="W181" s="5">
        <v>69310943229</v>
      </c>
      <c r="X181" s="5">
        <v>19584735086602</v>
      </c>
      <c r="Y181" s="5">
        <v>16461250335</v>
      </c>
      <c r="Z181" s="5">
        <v>630485364979</v>
      </c>
      <c r="AA181" s="5">
        <v>33011088122</v>
      </c>
      <c r="AB181" s="5">
        <v>20248231539703</v>
      </c>
      <c r="AC181" s="5">
        <v>10774816827893</v>
      </c>
      <c r="AD181" s="36">
        <f t="shared" si="12"/>
        <v>81.763972412993368</v>
      </c>
      <c r="AE181" s="5">
        <v>16200081785787</v>
      </c>
      <c r="AF181" s="5">
        <v>16091681785787</v>
      </c>
      <c r="AG181" s="5">
        <v>5303211445348</v>
      </c>
      <c r="AH181" s="5">
        <v>722720016233</v>
      </c>
      <c r="AI181" s="5">
        <v>0</v>
      </c>
      <c r="AJ181" s="5">
        <v>0</v>
      </c>
      <c r="AK181" s="5">
        <v>0</v>
      </c>
      <c r="AL181" s="6">
        <v>36</v>
      </c>
      <c r="AM181" s="5">
        <v>4893059393751</v>
      </c>
      <c r="AN181" s="6">
        <v>79</v>
      </c>
      <c r="AO181" s="5">
        <v>2997066452826</v>
      </c>
      <c r="AP181" s="6">
        <v>130</v>
      </c>
      <c r="AQ181" s="5">
        <v>4322868609293</v>
      </c>
      <c r="AR181" s="5">
        <v>142191671552</v>
      </c>
      <c r="AS181" s="5">
        <v>85645366569</v>
      </c>
      <c r="AT181" s="5">
        <f t="shared" si="13"/>
        <v>56546304983</v>
      </c>
      <c r="AU181" s="36">
        <f t="shared" si="14"/>
        <v>66.023776005960116</v>
      </c>
      <c r="AV181" s="5">
        <v>10033102337756</v>
      </c>
      <c r="AW181" s="5">
        <v>1302497528076</v>
      </c>
      <c r="AX181" s="5">
        <v>2445198283619</v>
      </c>
      <c r="AY181" s="5">
        <v>366522357977</v>
      </c>
      <c r="AZ181" s="5">
        <v>2488524688688</v>
      </c>
      <c r="BA181" s="5">
        <v>1846980811464</v>
      </c>
      <c r="BB181" s="5">
        <v>1703131222895</v>
      </c>
      <c r="BC181" s="5">
        <v>8072601552328</v>
      </c>
      <c r="BD181" s="5">
        <v>3704339454995</v>
      </c>
      <c r="BE181" s="5">
        <v>2609524688688</v>
      </c>
      <c r="BF181" s="5">
        <v>1758737408645</v>
      </c>
      <c r="BG181" s="5">
        <v>14714575203631</v>
      </c>
      <c r="BH181" s="5">
        <v>1485506582156</v>
      </c>
      <c r="BI181" s="5">
        <v>846018096744</v>
      </c>
      <c r="BJ181" s="48">
        <v>0</v>
      </c>
      <c r="BK181" s="5">
        <v>3655699095922</v>
      </c>
      <c r="BL181" s="5">
        <v>0</v>
      </c>
      <c r="BM181" s="5">
        <v>0</v>
      </c>
      <c r="BN181" s="5">
        <v>722720016233</v>
      </c>
    </row>
    <row r="182" spans="1:66" x14ac:dyDescent="0.25">
      <c r="A182" s="17" t="s">
        <v>584</v>
      </c>
      <c r="B182" s="4">
        <v>1901</v>
      </c>
      <c r="C182" s="4" t="s">
        <v>223</v>
      </c>
      <c r="D182" s="5">
        <v>2333894569212</v>
      </c>
      <c r="E182" s="5">
        <v>81931999849</v>
      </c>
      <c r="F182" s="5">
        <v>0</v>
      </c>
      <c r="G182" s="5">
        <v>0</v>
      </c>
      <c r="H182" s="5">
        <v>2415826569061</v>
      </c>
      <c r="I182" s="5">
        <v>212954428573</v>
      </c>
      <c r="J182" s="5">
        <v>543705000</v>
      </c>
      <c r="K182" s="5">
        <v>2202328435488</v>
      </c>
      <c r="L182" s="5">
        <v>2293902594050</v>
      </c>
      <c r="M182" s="5">
        <f t="shared" si="10"/>
        <v>121923975011</v>
      </c>
      <c r="N182" s="36">
        <f t="shared" si="11"/>
        <v>5.3151330543524571</v>
      </c>
      <c r="O182" s="5">
        <v>2920517941880</v>
      </c>
      <c r="P182" s="36">
        <v>180.6</v>
      </c>
      <c r="Q182" s="6">
        <v>132.61000000000001</v>
      </c>
      <c r="R182" s="6">
        <v>0.91</v>
      </c>
      <c r="S182" s="5">
        <v>4239651392062</v>
      </c>
      <c r="T182" s="5">
        <v>33235901687</v>
      </c>
      <c r="U182" s="5">
        <v>27703433608</v>
      </c>
      <c r="V182" s="5">
        <v>1449088263</v>
      </c>
      <c r="W182" s="5">
        <v>4083379816</v>
      </c>
      <c r="X182" s="5">
        <v>4272887293749</v>
      </c>
      <c r="Y182" s="5">
        <v>6529711909</v>
      </c>
      <c r="Z182" s="5">
        <v>75959817415</v>
      </c>
      <c r="AA182" s="5">
        <v>14086550000</v>
      </c>
      <c r="AB182" s="5">
        <v>4362933661164</v>
      </c>
      <c r="AC182" s="5">
        <v>2833327124139</v>
      </c>
      <c r="AD182" s="36">
        <f t="shared" si="12"/>
        <v>50.8081173312262</v>
      </c>
      <c r="AE182" s="5">
        <v>2393256369635</v>
      </c>
      <c r="AF182" s="5">
        <v>1588120189319</v>
      </c>
      <c r="AG182" s="5">
        <v>57784068878</v>
      </c>
      <c r="AH182" s="5">
        <v>0</v>
      </c>
      <c r="AI182" s="5">
        <v>0</v>
      </c>
      <c r="AJ182" s="5">
        <v>0</v>
      </c>
      <c r="AK182" s="5">
        <v>28749827163</v>
      </c>
      <c r="AL182" s="6">
        <v>7</v>
      </c>
      <c r="AM182" s="5">
        <v>229240221986</v>
      </c>
      <c r="AN182" s="6">
        <v>46</v>
      </c>
      <c r="AO182" s="5">
        <v>348609057000</v>
      </c>
      <c r="AP182" s="6">
        <v>55</v>
      </c>
      <c r="AQ182" s="5">
        <v>398233114302</v>
      </c>
      <c r="AR182" s="5">
        <v>33235901687</v>
      </c>
      <c r="AS182" s="5">
        <v>10834629903</v>
      </c>
      <c r="AT182" s="5">
        <f t="shared" si="13"/>
        <v>22401271784</v>
      </c>
      <c r="AU182" s="36">
        <f t="shared" si="14"/>
        <v>206.75622503540535</v>
      </c>
      <c r="AV182" s="5">
        <v>1495622027082</v>
      </c>
      <c r="AW182" s="5">
        <v>287286532170</v>
      </c>
      <c r="AX182" s="5">
        <v>611390170806</v>
      </c>
      <c r="AY182" s="5">
        <v>615660169155</v>
      </c>
      <c r="AZ182" s="5">
        <v>671313606789</v>
      </c>
      <c r="BA182" s="5">
        <v>563008934010</v>
      </c>
      <c r="BB182" s="5">
        <v>376950389432</v>
      </c>
      <c r="BC182" s="5">
        <v>2415826569061</v>
      </c>
      <c r="BD182" s="5">
        <v>1238514145849</v>
      </c>
      <c r="BE182" s="5">
        <v>671313606789</v>
      </c>
      <c r="BF182" s="5">
        <v>505998816423</v>
      </c>
      <c r="BG182" s="5">
        <v>1803607604922</v>
      </c>
      <c r="BH182" s="5">
        <v>589648764713</v>
      </c>
      <c r="BI182" s="5">
        <v>0</v>
      </c>
      <c r="BJ182" s="48">
        <v>0</v>
      </c>
      <c r="BK182" s="5">
        <v>57784068878</v>
      </c>
      <c r="BL182" s="5">
        <v>0</v>
      </c>
      <c r="BM182" s="5">
        <v>0</v>
      </c>
      <c r="BN182" s="5">
        <v>9840000000</v>
      </c>
    </row>
    <row r="183" spans="1:66" x14ac:dyDescent="0.25">
      <c r="A183" s="17" t="s">
        <v>584</v>
      </c>
      <c r="B183" s="4">
        <v>1902</v>
      </c>
      <c r="C183" s="4" t="s">
        <v>224</v>
      </c>
      <c r="D183" s="5">
        <v>1220170239063</v>
      </c>
      <c r="E183" s="5">
        <v>25685349250</v>
      </c>
      <c r="F183" s="5">
        <v>0</v>
      </c>
      <c r="G183" s="5">
        <v>0</v>
      </c>
      <c r="H183" s="5">
        <v>1245855588313</v>
      </c>
      <c r="I183" s="5">
        <v>119251408731</v>
      </c>
      <c r="J183" s="5">
        <v>4210874158</v>
      </c>
      <c r="K183" s="5">
        <v>1122393305424</v>
      </c>
      <c r="L183" s="5">
        <v>1113773054194</v>
      </c>
      <c r="M183" s="5">
        <f t="shared" si="10"/>
        <v>132082534119</v>
      </c>
      <c r="N183" s="36">
        <f t="shared" si="11"/>
        <v>11.859016845634111</v>
      </c>
      <c r="O183" s="5">
        <v>1488022444792</v>
      </c>
      <c r="P183" s="36">
        <v>135.94</v>
      </c>
      <c r="Q183" s="6">
        <v>132.58000000000001</v>
      </c>
      <c r="R183" s="6">
        <v>9.01</v>
      </c>
      <c r="S183" s="5">
        <v>1391207486931</v>
      </c>
      <c r="T183" s="5">
        <v>135035343135</v>
      </c>
      <c r="U183" s="5">
        <v>41141649838</v>
      </c>
      <c r="V183" s="5">
        <v>15618564967</v>
      </c>
      <c r="W183" s="5">
        <v>78275128330</v>
      </c>
      <c r="X183" s="5">
        <v>1526242830066</v>
      </c>
      <c r="Y183" s="5">
        <v>17565771868</v>
      </c>
      <c r="Z183" s="5">
        <v>151852966667</v>
      </c>
      <c r="AA183" s="5">
        <v>15489360000</v>
      </c>
      <c r="AB183" s="5">
        <v>1693585156733</v>
      </c>
      <c r="AC183" s="5">
        <v>1581393117874</v>
      </c>
      <c r="AD183" s="36">
        <f t="shared" si="12"/>
        <v>-3.4874495901527114</v>
      </c>
      <c r="AE183" s="5">
        <v>722923285423</v>
      </c>
      <c r="AF183" s="5">
        <v>702923285423</v>
      </c>
      <c r="AG183" s="5">
        <v>0</v>
      </c>
      <c r="AH183" s="5">
        <v>991487403</v>
      </c>
      <c r="AI183" s="5">
        <v>0</v>
      </c>
      <c r="AJ183" s="5">
        <v>0</v>
      </c>
      <c r="AK183" s="5">
        <v>0</v>
      </c>
      <c r="AL183" s="6">
        <v>0</v>
      </c>
      <c r="AM183" s="5">
        <v>0</v>
      </c>
      <c r="AN183" s="6">
        <v>30</v>
      </c>
      <c r="AO183" s="5">
        <v>318291693858</v>
      </c>
      <c r="AP183" s="6">
        <v>44</v>
      </c>
      <c r="AQ183" s="5">
        <v>94824598115</v>
      </c>
      <c r="AR183" s="5">
        <v>135035343135</v>
      </c>
      <c r="AS183" s="5">
        <v>23022341693</v>
      </c>
      <c r="AT183" s="5">
        <f t="shared" si="13"/>
        <v>112013001442</v>
      </c>
      <c r="AU183" s="36">
        <f t="shared" si="14"/>
        <v>486.54043509421905</v>
      </c>
      <c r="AV183" s="5">
        <v>727226169272</v>
      </c>
      <c r="AW183" s="5">
        <v>182991710962</v>
      </c>
      <c r="AX183" s="5">
        <v>204448921737</v>
      </c>
      <c r="AY183" s="5">
        <v>233806921704</v>
      </c>
      <c r="AZ183" s="5">
        <v>345508390622</v>
      </c>
      <c r="BA183" s="5">
        <v>687165516772</v>
      </c>
      <c r="BB183" s="5">
        <v>224398898434</v>
      </c>
      <c r="BC183" s="5">
        <v>1245855588313</v>
      </c>
      <c r="BD183" s="5">
        <v>463475759757</v>
      </c>
      <c r="BE183" s="5">
        <v>345508390622</v>
      </c>
      <c r="BF183" s="5">
        <v>436871437934</v>
      </c>
      <c r="BG183" s="5">
        <v>429663405653</v>
      </c>
      <c r="BH183" s="5">
        <v>293259879770</v>
      </c>
      <c r="BI183" s="5">
        <v>0</v>
      </c>
      <c r="BJ183" s="48">
        <v>75828747492</v>
      </c>
      <c r="BK183" s="5">
        <v>0</v>
      </c>
      <c r="BL183" s="5">
        <v>0</v>
      </c>
      <c r="BM183" s="5">
        <v>0</v>
      </c>
      <c r="BN183" s="5">
        <v>1971796973</v>
      </c>
    </row>
    <row r="184" spans="1:66" x14ac:dyDescent="0.25">
      <c r="A184" s="17" t="s">
        <v>584</v>
      </c>
      <c r="B184" s="4">
        <v>1903</v>
      </c>
      <c r="C184" s="4" t="s">
        <v>225</v>
      </c>
      <c r="D184" s="5">
        <v>1144029918199</v>
      </c>
      <c r="E184" s="5">
        <v>12749782552</v>
      </c>
      <c r="F184" s="5">
        <v>0</v>
      </c>
      <c r="G184" s="5">
        <v>0</v>
      </c>
      <c r="H184" s="5">
        <v>1156779700751</v>
      </c>
      <c r="I184" s="5">
        <v>82064088320</v>
      </c>
      <c r="J184" s="5">
        <v>549264110</v>
      </c>
      <c r="K184" s="5">
        <v>1074166348321</v>
      </c>
      <c r="L184" s="5">
        <v>693707330100</v>
      </c>
      <c r="M184" s="5">
        <f t="shared" si="10"/>
        <v>463072370651</v>
      </c>
      <c r="N184" s="36">
        <f t="shared" si="11"/>
        <v>66.753276282124148</v>
      </c>
      <c r="O184" s="5">
        <v>964353615127</v>
      </c>
      <c r="P184" s="36">
        <v>91.71</v>
      </c>
      <c r="Q184" s="6">
        <v>89.78</v>
      </c>
      <c r="R184" s="6">
        <v>2.17</v>
      </c>
      <c r="S184" s="5">
        <v>987579133954</v>
      </c>
      <c r="T184" s="5">
        <v>22203473714</v>
      </c>
      <c r="U184" s="5">
        <v>20400606448</v>
      </c>
      <c r="V184" s="5">
        <v>1225423022</v>
      </c>
      <c r="W184" s="5">
        <v>577444244</v>
      </c>
      <c r="X184" s="5">
        <v>1009782607668</v>
      </c>
      <c r="Y184" s="5">
        <v>867350530</v>
      </c>
      <c r="Z184" s="5">
        <v>38747110599</v>
      </c>
      <c r="AA184" s="5">
        <v>12297483410</v>
      </c>
      <c r="AB184" s="5">
        <v>1060827201677</v>
      </c>
      <c r="AC184" s="5">
        <v>789877468981</v>
      </c>
      <c r="AD184" s="36">
        <f t="shared" si="12"/>
        <v>27.840411623678012</v>
      </c>
      <c r="AE184" s="5">
        <v>630710761780</v>
      </c>
      <c r="AF184" s="5">
        <v>630710761780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6">
        <v>7</v>
      </c>
      <c r="AM184" s="5">
        <v>149283328800</v>
      </c>
      <c r="AN184" s="6">
        <v>10</v>
      </c>
      <c r="AO184" s="5">
        <v>7150000000</v>
      </c>
      <c r="AP184" s="6">
        <v>3</v>
      </c>
      <c r="AQ184" s="5">
        <v>1200000000</v>
      </c>
      <c r="AR184" s="5">
        <v>22203473714</v>
      </c>
      <c r="AS184" s="5">
        <v>3411197954</v>
      </c>
      <c r="AT184" s="5">
        <f t="shared" si="13"/>
        <v>18792275760</v>
      </c>
      <c r="AU184" s="36">
        <f t="shared" si="14"/>
        <v>550.89959637094694</v>
      </c>
      <c r="AV184" s="5">
        <v>404828132724</v>
      </c>
      <c r="AW184" s="5">
        <v>91915327225</v>
      </c>
      <c r="AX184" s="5">
        <v>94411541711</v>
      </c>
      <c r="AY184" s="5">
        <v>377176009060</v>
      </c>
      <c r="AZ184" s="5">
        <v>389424526428</v>
      </c>
      <c r="BA184" s="5">
        <v>381292678920</v>
      </c>
      <c r="BB184" s="5">
        <v>289295645810</v>
      </c>
      <c r="BC184" s="5">
        <v>1156779700751</v>
      </c>
      <c r="BD184" s="5">
        <v>484142961671</v>
      </c>
      <c r="BE184" s="5">
        <v>389424526428</v>
      </c>
      <c r="BF184" s="5">
        <v>283212212652</v>
      </c>
      <c r="BG184" s="5">
        <v>570159483980</v>
      </c>
      <c r="BH184" s="5">
        <v>60551277800</v>
      </c>
      <c r="BI184" s="5">
        <v>0</v>
      </c>
      <c r="BJ184" s="48">
        <v>0</v>
      </c>
      <c r="BK184" s="5">
        <v>0</v>
      </c>
      <c r="BL184" s="5">
        <v>0</v>
      </c>
      <c r="BM184" s="5">
        <v>0</v>
      </c>
      <c r="BN184" s="5">
        <v>0</v>
      </c>
    </row>
    <row r="185" spans="1:66" x14ac:dyDescent="0.25">
      <c r="A185" s="17" t="s">
        <v>584</v>
      </c>
      <c r="B185" s="4">
        <v>1904</v>
      </c>
      <c r="C185" s="4" t="s">
        <v>226</v>
      </c>
      <c r="D185" s="5">
        <v>1924355343581</v>
      </c>
      <c r="E185" s="5">
        <v>90462944274</v>
      </c>
      <c r="F185" s="5">
        <v>0</v>
      </c>
      <c r="G185" s="5">
        <v>0</v>
      </c>
      <c r="H185" s="5">
        <v>2014818287855</v>
      </c>
      <c r="I185" s="5">
        <v>144047993628</v>
      </c>
      <c r="J185" s="5">
        <v>3180601317</v>
      </c>
      <c r="K185" s="5">
        <v>1867589692910</v>
      </c>
      <c r="L185" s="5">
        <v>1289104184640</v>
      </c>
      <c r="M185" s="5">
        <f t="shared" si="10"/>
        <v>725714103215</v>
      </c>
      <c r="N185" s="36">
        <f t="shared" si="11"/>
        <v>56.296000886667329</v>
      </c>
      <c r="O185" s="5">
        <v>2757667383245</v>
      </c>
      <c r="P185" s="36">
        <v>177.05</v>
      </c>
      <c r="Q185" s="6">
        <v>147.66</v>
      </c>
      <c r="R185" s="6">
        <v>1.3</v>
      </c>
      <c r="S185" s="5">
        <v>3405241355626</v>
      </c>
      <c r="T185" s="5">
        <v>40841629274</v>
      </c>
      <c r="U185" s="5">
        <v>35314946073</v>
      </c>
      <c r="V185" s="5">
        <v>2433705767</v>
      </c>
      <c r="W185" s="5">
        <v>3092977434</v>
      </c>
      <c r="X185" s="5">
        <v>3446082984900</v>
      </c>
      <c r="Y185" s="5">
        <v>5386447017</v>
      </c>
      <c r="Z185" s="5">
        <v>117933737646</v>
      </c>
      <c r="AA185" s="5">
        <v>3131440000</v>
      </c>
      <c r="AB185" s="5">
        <v>3567148162546</v>
      </c>
      <c r="AC185" s="5">
        <v>3013242566618</v>
      </c>
      <c r="AD185" s="36">
        <f t="shared" si="12"/>
        <v>14.364605859388577</v>
      </c>
      <c r="AE185" s="5">
        <v>2978546098943</v>
      </c>
      <c r="AF185" s="5">
        <v>2778546098943</v>
      </c>
      <c r="AG185" s="5">
        <v>1059307321295</v>
      </c>
      <c r="AH185" s="5">
        <v>0</v>
      </c>
      <c r="AI185" s="5">
        <v>0</v>
      </c>
      <c r="AJ185" s="5">
        <v>0</v>
      </c>
      <c r="AK185" s="5">
        <v>0</v>
      </c>
      <c r="AL185" s="6">
        <v>9</v>
      </c>
      <c r="AM185" s="5">
        <v>1035681715773</v>
      </c>
      <c r="AN185" s="6">
        <v>46</v>
      </c>
      <c r="AO185" s="5">
        <v>432640493129</v>
      </c>
      <c r="AP185" s="6">
        <v>45</v>
      </c>
      <c r="AQ185" s="5">
        <v>554528406600</v>
      </c>
      <c r="AR185" s="5">
        <v>40841629274</v>
      </c>
      <c r="AS185" s="5">
        <v>35202781275</v>
      </c>
      <c r="AT185" s="5">
        <f t="shared" si="13"/>
        <v>5638847999</v>
      </c>
      <c r="AU185" s="36">
        <f t="shared" si="14"/>
        <v>16.018188889536823</v>
      </c>
      <c r="AV185" s="5">
        <v>2269581946966</v>
      </c>
      <c r="AW185" s="5">
        <v>428886129157</v>
      </c>
      <c r="AX185" s="5">
        <v>711337429435</v>
      </c>
      <c r="AY185" s="5">
        <v>190802513827</v>
      </c>
      <c r="AZ185" s="5">
        <v>719845600319</v>
      </c>
      <c r="BA185" s="5">
        <v>481759751608</v>
      </c>
      <c r="BB185" s="5">
        <v>610219970992</v>
      </c>
      <c r="BC185" s="5">
        <v>2014818287855</v>
      </c>
      <c r="BD185" s="5">
        <v>992602887536</v>
      </c>
      <c r="BE185" s="5">
        <v>719736500319</v>
      </c>
      <c r="BF185" s="5">
        <v>302478900000</v>
      </c>
      <c r="BG185" s="5">
        <v>2486841798633</v>
      </c>
      <c r="BH185" s="5">
        <v>491704300310</v>
      </c>
      <c r="BI185" s="5">
        <v>0</v>
      </c>
      <c r="BJ185" s="48">
        <v>0</v>
      </c>
      <c r="BK185" s="5">
        <v>1279685600008</v>
      </c>
      <c r="BL185" s="5">
        <v>0</v>
      </c>
      <c r="BM185" s="5">
        <v>0</v>
      </c>
      <c r="BN185" s="5">
        <v>0</v>
      </c>
    </row>
    <row r="186" spans="1:66" x14ac:dyDescent="0.25">
      <c r="A186" s="17" t="s">
        <v>584</v>
      </c>
      <c r="B186" s="4">
        <v>1905</v>
      </c>
      <c r="C186" s="4" t="s">
        <v>227</v>
      </c>
      <c r="D186" s="5">
        <v>4023205727060</v>
      </c>
      <c r="E186" s="5">
        <v>146212278214</v>
      </c>
      <c r="F186" s="5">
        <v>0</v>
      </c>
      <c r="G186" s="5">
        <v>222922543022</v>
      </c>
      <c r="H186" s="5">
        <v>4392340548296</v>
      </c>
      <c r="I186" s="5">
        <v>375624064409</v>
      </c>
      <c r="J186" s="5">
        <v>1451822500</v>
      </c>
      <c r="K186" s="5">
        <v>4015264661387</v>
      </c>
      <c r="L186" s="5">
        <v>3443114252246</v>
      </c>
      <c r="M186" s="5">
        <f t="shared" si="10"/>
        <v>949226296050</v>
      </c>
      <c r="N186" s="36">
        <f t="shared" si="11"/>
        <v>27.56882945231353</v>
      </c>
      <c r="O186" s="5">
        <v>2441829336768</v>
      </c>
      <c r="P186" s="36">
        <v>61.46</v>
      </c>
      <c r="Q186" s="6">
        <v>60.81</v>
      </c>
      <c r="R186" s="6">
        <v>1.1200000000000001</v>
      </c>
      <c r="S186" s="5">
        <v>2587377391949</v>
      </c>
      <c r="T186" s="5">
        <v>30155565361</v>
      </c>
      <c r="U186" s="5">
        <v>25759328553</v>
      </c>
      <c r="V186" s="5">
        <v>4220374373</v>
      </c>
      <c r="W186" s="5">
        <v>175862435</v>
      </c>
      <c r="X186" s="5">
        <v>2617532957310</v>
      </c>
      <c r="Y186" s="5">
        <v>95509085</v>
      </c>
      <c r="Z186" s="5">
        <v>73009447232</v>
      </c>
      <c r="AA186" s="5">
        <v>9000000000</v>
      </c>
      <c r="AB186" s="5">
        <v>2699542404542</v>
      </c>
      <c r="AC186" s="5">
        <v>1777393616732</v>
      </c>
      <c r="AD186" s="36">
        <f t="shared" si="12"/>
        <v>47.268052088693779</v>
      </c>
      <c r="AE186" s="5">
        <v>2935189922598</v>
      </c>
      <c r="AF186" s="5">
        <v>2935189922598</v>
      </c>
      <c r="AG186" s="5">
        <v>701737556325</v>
      </c>
      <c r="AH186" s="5">
        <v>83660722951</v>
      </c>
      <c r="AI186" s="5">
        <v>0</v>
      </c>
      <c r="AJ186" s="5">
        <v>0</v>
      </c>
      <c r="AK186" s="5">
        <v>0</v>
      </c>
      <c r="AL186" s="6">
        <v>10</v>
      </c>
      <c r="AM186" s="5">
        <v>1265405923181</v>
      </c>
      <c r="AN186" s="6">
        <v>158</v>
      </c>
      <c r="AO186" s="5">
        <v>1738701878856</v>
      </c>
      <c r="AP186" s="6">
        <v>90</v>
      </c>
      <c r="AQ186" s="5">
        <v>546906815313</v>
      </c>
      <c r="AR186" s="5">
        <v>30155565361</v>
      </c>
      <c r="AS186" s="5">
        <v>4356498991</v>
      </c>
      <c r="AT186" s="5">
        <f t="shared" si="13"/>
        <v>25799066370</v>
      </c>
      <c r="AU186" s="36">
        <f t="shared" si="14"/>
        <v>592.19723046643071</v>
      </c>
      <c r="AV186" s="5">
        <v>1981042866052</v>
      </c>
      <c r="AW186" s="5">
        <v>130091358624</v>
      </c>
      <c r="AX186" s="5">
        <v>867554274395</v>
      </c>
      <c r="AY186" s="5">
        <v>204668890672</v>
      </c>
      <c r="AZ186" s="5">
        <v>1423357551993</v>
      </c>
      <c r="BA186" s="5">
        <v>1677418430112</v>
      </c>
      <c r="BB186" s="5">
        <v>1144041154457</v>
      </c>
      <c r="BC186" s="5">
        <v>4392340548296</v>
      </c>
      <c r="BD186" s="5">
        <v>1441357986303</v>
      </c>
      <c r="BE186" s="5">
        <v>1423357551993</v>
      </c>
      <c r="BF186" s="5">
        <v>1527625010000</v>
      </c>
      <c r="BG186" s="5">
        <v>2026504568732</v>
      </c>
      <c r="BH186" s="5">
        <v>908685353866</v>
      </c>
      <c r="BI186" s="5">
        <v>0</v>
      </c>
      <c r="BJ186" s="48">
        <v>0</v>
      </c>
      <c r="BK186" s="5">
        <v>291837418308</v>
      </c>
      <c r="BL186" s="5">
        <v>0</v>
      </c>
      <c r="BM186" s="5">
        <v>0</v>
      </c>
      <c r="BN186" s="5">
        <v>83660722951</v>
      </c>
    </row>
    <row r="187" spans="1:66" x14ac:dyDescent="0.25">
      <c r="A187" s="17" t="s">
        <v>584</v>
      </c>
      <c r="B187" s="18">
        <v>1906</v>
      </c>
      <c r="C187" s="18" t="s">
        <v>228</v>
      </c>
      <c r="D187" s="19">
        <v>2207037408351</v>
      </c>
      <c r="E187" s="19">
        <v>39752733819</v>
      </c>
      <c r="F187" s="19">
        <v>0</v>
      </c>
      <c r="G187" s="19">
        <v>0</v>
      </c>
      <c r="H187" s="19">
        <v>2246790142170</v>
      </c>
      <c r="I187" s="19">
        <v>166612412455</v>
      </c>
      <c r="J187" s="19">
        <v>1811838497</v>
      </c>
      <c r="K187" s="19">
        <v>2078365891218</v>
      </c>
      <c r="L187" s="19">
        <v>1175768206087</v>
      </c>
      <c r="M187" s="5">
        <f t="shared" si="10"/>
        <v>1071021936083</v>
      </c>
      <c r="N187" s="36">
        <f t="shared" si="11"/>
        <v>91.091248303728207</v>
      </c>
      <c r="O187" s="19">
        <v>2395808495521</v>
      </c>
      <c r="P187" s="36">
        <v>130.84</v>
      </c>
      <c r="Q187" s="20">
        <v>115.27</v>
      </c>
      <c r="R187" s="20">
        <v>1.06</v>
      </c>
      <c r="S187" s="19">
        <v>2739955521276</v>
      </c>
      <c r="T187" s="19">
        <v>30999292780</v>
      </c>
      <c r="U187" s="19">
        <v>24866373736</v>
      </c>
      <c r="V187" s="19">
        <v>4680720099</v>
      </c>
      <c r="W187" s="19">
        <v>1452198945</v>
      </c>
      <c r="X187" s="19">
        <v>2770954814056</v>
      </c>
      <c r="Y187" s="5">
        <v>197570005</v>
      </c>
      <c r="Z187" s="19">
        <v>125666863881</v>
      </c>
      <c r="AA187" s="19">
        <v>43179304375</v>
      </c>
      <c r="AB187" s="19">
        <v>2939800982312</v>
      </c>
      <c r="AC187" s="19">
        <v>2166301940571</v>
      </c>
      <c r="AD187" s="36">
        <f t="shared" si="12"/>
        <v>27.911754227835107</v>
      </c>
      <c r="AE187" s="19">
        <v>2026142707198</v>
      </c>
      <c r="AF187" s="19">
        <v>1534732291990</v>
      </c>
      <c r="AG187" s="19">
        <v>136396642501</v>
      </c>
      <c r="AH187" s="19">
        <v>3372291531</v>
      </c>
      <c r="AI187" s="19">
        <v>0</v>
      </c>
      <c r="AJ187" s="19">
        <v>0</v>
      </c>
      <c r="AK187" s="19">
        <v>0</v>
      </c>
      <c r="AL187" s="20">
        <v>1</v>
      </c>
      <c r="AM187" s="19">
        <v>15889114500</v>
      </c>
      <c r="AN187" s="20">
        <v>61</v>
      </c>
      <c r="AO187" s="19">
        <v>292346424941</v>
      </c>
      <c r="AP187" s="20">
        <v>96</v>
      </c>
      <c r="AQ187" s="19">
        <v>510124300585</v>
      </c>
      <c r="AR187" s="19">
        <v>30999292780</v>
      </c>
      <c r="AS187" s="19">
        <v>27696675164</v>
      </c>
      <c r="AT187" s="5">
        <f t="shared" si="13"/>
        <v>3302617616</v>
      </c>
      <c r="AU187" s="36">
        <f t="shared" si="14"/>
        <v>11.924238546483464</v>
      </c>
      <c r="AV187" s="19">
        <v>1277586178195</v>
      </c>
      <c r="AW187" s="19">
        <v>445335470871</v>
      </c>
      <c r="AX187" s="19">
        <v>675932227127</v>
      </c>
      <c r="AY187" s="19">
        <v>291216343356</v>
      </c>
      <c r="AZ187" s="19">
        <v>639586040283</v>
      </c>
      <c r="BA187" s="19">
        <v>713506574845</v>
      </c>
      <c r="BB187" s="19">
        <v>552114740645</v>
      </c>
      <c r="BC187" s="19">
        <v>2246790142170</v>
      </c>
      <c r="BD187" s="19">
        <v>1006901304302</v>
      </c>
      <c r="BE187" s="19">
        <v>639586040283</v>
      </c>
      <c r="BF187" s="19">
        <v>600302797585</v>
      </c>
      <c r="BG187" s="19">
        <v>1858605726060</v>
      </c>
      <c r="BH187" s="19">
        <v>167536981138</v>
      </c>
      <c r="BI187" s="19">
        <v>0</v>
      </c>
      <c r="BJ187" s="50">
        <v>0</v>
      </c>
      <c r="BK187" s="19">
        <v>149378782501</v>
      </c>
      <c r="BL187" s="19">
        <v>0</v>
      </c>
      <c r="BM187" s="19">
        <v>1452198945</v>
      </c>
      <c r="BN187" s="19">
        <v>0</v>
      </c>
    </row>
    <row r="188" spans="1:66" x14ac:dyDescent="0.25">
      <c r="A188" s="17" t="s">
        <v>584</v>
      </c>
      <c r="B188" s="4">
        <v>1907</v>
      </c>
      <c r="C188" s="4" t="s">
        <v>559</v>
      </c>
      <c r="D188" s="5">
        <v>2029956497438</v>
      </c>
      <c r="E188" s="5">
        <v>18629077774</v>
      </c>
      <c r="F188" s="5">
        <v>0</v>
      </c>
      <c r="G188" s="5">
        <v>0</v>
      </c>
      <c r="H188" s="5">
        <v>2048585575212</v>
      </c>
      <c r="I188" s="5">
        <v>188126877217</v>
      </c>
      <c r="J188" s="5">
        <v>961686739</v>
      </c>
      <c r="K188" s="5">
        <v>1859497011256</v>
      </c>
      <c r="L188" s="5">
        <v>1301157312930</v>
      </c>
      <c r="M188" s="5">
        <f t="shared" si="10"/>
        <v>747428262282</v>
      </c>
      <c r="N188" s="36">
        <f t="shared" si="11"/>
        <v>57.443343310956777</v>
      </c>
      <c r="O188" s="5">
        <v>1238544999838</v>
      </c>
      <c r="P188" s="36">
        <v>65.41</v>
      </c>
      <c r="Q188" s="6">
        <v>66.61</v>
      </c>
      <c r="R188" s="6">
        <v>1.86</v>
      </c>
      <c r="S188" s="5">
        <v>1262329657251</v>
      </c>
      <c r="T188" s="5">
        <v>22356245465</v>
      </c>
      <c r="U188" s="5">
        <v>19711869753</v>
      </c>
      <c r="V188" s="5">
        <v>108364927</v>
      </c>
      <c r="W188" s="5">
        <v>2536010785</v>
      </c>
      <c r="X188" s="5">
        <v>1284685902716</v>
      </c>
      <c r="Y188" s="5">
        <v>2582337214</v>
      </c>
      <c r="Z188" s="5">
        <v>48351746736</v>
      </c>
      <c r="AA188" s="5">
        <v>6900000000</v>
      </c>
      <c r="AB188" s="5">
        <v>1339937649452</v>
      </c>
      <c r="AC188" s="5">
        <v>1344138987391</v>
      </c>
      <c r="AD188" s="36">
        <f t="shared" si="12"/>
        <v>-4.4231351990168513</v>
      </c>
      <c r="AE188" s="5">
        <v>838004433610</v>
      </c>
      <c r="AF188" s="5">
        <v>838004433610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6">
        <v>0</v>
      </c>
      <c r="AM188" s="5">
        <v>0</v>
      </c>
      <c r="AN188" s="6">
        <v>47</v>
      </c>
      <c r="AO188" s="5">
        <v>316845329790</v>
      </c>
      <c r="AP188" s="6">
        <v>48</v>
      </c>
      <c r="AQ188" s="5">
        <v>75953533154</v>
      </c>
      <c r="AR188" s="5">
        <v>22356245465</v>
      </c>
      <c r="AS188" s="5">
        <v>56401787933</v>
      </c>
      <c r="AT188" s="5">
        <f t="shared" si="13"/>
        <v>-34045542468</v>
      </c>
      <c r="AU188" s="36">
        <f t="shared" si="14"/>
        <v>-60.362523451282946</v>
      </c>
      <c r="AV188" s="5">
        <v>884980614016</v>
      </c>
      <c r="AW188" s="5">
        <v>392047590835</v>
      </c>
      <c r="AX188" s="5">
        <v>345986321601</v>
      </c>
      <c r="AY188" s="5">
        <v>349722216371</v>
      </c>
      <c r="AZ188" s="5">
        <v>689036740678</v>
      </c>
      <c r="BA188" s="5">
        <v>868809291080</v>
      </c>
      <c r="BB188" s="5">
        <v>443521321048</v>
      </c>
      <c r="BC188" s="5">
        <v>2048585575212</v>
      </c>
      <c r="BD188" s="5">
        <v>714178398235</v>
      </c>
      <c r="BE188" s="5">
        <v>689036740678</v>
      </c>
      <c r="BF188" s="5">
        <v>645370436299</v>
      </c>
      <c r="BG188" s="5">
        <v>591176575610</v>
      </c>
      <c r="BH188" s="5">
        <v>246827858000</v>
      </c>
      <c r="BI188" s="5">
        <v>0</v>
      </c>
      <c r="BJ188" s="48">
        <v>0</v>
      </c>
      <c r="BK188" s="5">
        <v>0</v>
      </c>
      <c r="BL188" s="5">
        <v>0</v>
      </c>
      <c r="BM188" s="5">
        <v>0</v>
      </c>
      <c r="BN188" s="5">
        <v>0</v>
      </c>
    </row>
    <row r="189" spans="1:66" x14ac:dyDescent="0.25">
      <c r="A189" s="17" t="s">
        <v>584</v>
      </c>
      <c r="B189" s="4">
        <v>1908</v>
      </c>
      <c r="C189" s="4" t="s">
        <v>229</v>
      </c>
      <c r="D189" s="5">
        <v>1052779009033</v>
      </c>
      <c r="E189" s="5">
        <v>92647099031</v>
      </c>
      <c r="F189" s="5">
        <v>0</v>
      </c>
      <c r="G189" s="5">
        <v>0</v>
      </c>
      <c r="H189" s="5">
        <v>1145426108064</v>
      </c>
      <c r="I189" s="5">
        <v>93037372104</v>
      </c>
      <c r="J189" s="5">
        <v>2737386509</v>
      </c>
      <c r="K189" s="5">
        <v>1049651349451</v>
      </c>
      <c r="L189" s="5">
        <v>841733314802</v>
      </c>
      <c r="M189" s="5">
        <f t="shared" si="10"/>
        <v>303692793262</v>
      </c>
      <c r="N189" s="36">
        <f t="shared" si="11"/>
        <v>36.079455086488679</v>
      </c>
      <c r="O189" s="5">
        <v>1049776805559</v>
      </c>
      <c r="P189" s="36">
        <v>104.91</v>
      </c>
      <c r="Q189" s="6">
        <v>100.01</v>
      </c>
      <c r="R189" s="6">
        <v>2.4700000000000002</v>
      </c>
      <c r="S189" s="5">
        <v>1108467852541</v>
      </c>
      <c r="T189" s="5">
        <v>28333624297</v>
      </c>
      <c r="U189" s="5">
        <v>15572763096</v>
      </c>
      <c r="V189" s="5">
        <v>10423837711</v>
      </c>
      <c r="W189" s="5">
        <v>2337023490</v>
      </c>
      <c r="X189" s="5">
        <v>1136801476838</v>
      </c>
      <c r="Y189" s="5">
        <v>1330767979</v>
      </c>
      <c r="Z189" s="5">
        <v>59856218987</v>
      </c>
      <c r="AA189" s="5">
        <v>5000000000</v>
      </c>
      <c r="AB189" s="5">
        <v>1201657695825</v>
      </c>
      <c r="AC189" s="5">
        <v>839954466397</v>
      </c>
      <c r="AD189" s="36">
        <f t="shared" si="12"/>
        <v>35.340845523964013</v>
      </c>
      <c r="AE189" s="5">
        <v>711303172675</v>
      </c>
      <c r="AF189" s="5">
        <v>710323172675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6">
        <v>0</v>
      </c>
      <c r="AM189" s="5">
        <v>0</v>
      </c>
      <c r="AN189" s="6">
        <v>95</v>
      </c>
      <c r="AO189" s="5">
        <v>1276979922705</v>
      </c>
      <c r="AP189" s="6">
        <v>125</v>
      </c>
      <c r="AQ189" s="5">
        <v>924313203422</v>
      </c>
      <c r="AR189" s="5">
        <v>28333624297</v>
      </c>
      <c r="AS189" s="5">
        <v>8585284599</v>
      </c>
      <c r="AT189" s="5">
        <f t="shared" si="13"/>
        <v>19748339698</v>
      </c>
      <c r="AU189" s="36">
        <f t="shared" si="14"/>
        <v>230.02545192619772</v>
      </c>
      <c r="AV189" s="5">
        <v>416209976136</v>
      </c>
      <c r="AW189" s="5">
        <v>104951060764</v>
      </c>
      <c r="AX189" s="5">
        <v>88772804472</v>
      </c>
      <c r="AY189" s="5">
        <v>244217461633</v>
      </c>
      <c r="AZ189" s="5">
        <v>442745742928</v>
      </c>
      <c r="BA189" s="5">
        <v>416963304272</v>
      </c>
      <c r="BB189" s="5">
        <v>270294587530</v>
      </c>
      <c r="BC189" s="5">
        <v>1145426108064</v>
      </c>
      <c r="BD189" s="5">
        <v>425169229570</v>
      </c>
      <c r="BE189" s="5">
        <v>442745742928</v>
      </c>
      <c r="BF189" s="5">
        <v>277511135566</v>
      </c>
      <c r="BG189" s="5">
        <v>506023128292</v>
      </c>
      <c r="BH189" s="5">
        <v>205280044383</v>
      </c>
      <c r="BI189" s="5">
        <v>0</v>
      </c>
      <c r="BJ189" s="48">
        <v>0</v>
      </c>
      <c r="BK189" s="5">
        <v>0</v>
      </c>
      <c r="BL189" s="5">
        <v>0</v>
      </c>
      <c r="BM189" s="5">
        <v>0</v>
      </c>
      <c r="BN189" s="5">
        <v>0</v>
      </c>
    </row>
    <row r="190" spans="1:66" x14ac:dyDescent="0.25">
      <c r="A190" s="17" t="s">
        <v>584</v>
      </c>
      <c r="B190" s="4">
        <v>1909</v>
      </c>
      <c r="C190" s="4" t="s">
        <v>230</v>
      </c>
      <c r="D190" s="5">
        <v>1962670396309</v>
      </c>
      <c r="E190" s="5">
        <v>22799959879</v>
      </c>
      <c r="F190" s="5">
        <v>0</v>
      </c>
      <c r="G190" s="5">
        <v>0</v>
      </c>
      <c r="H190" s="5">
        <v>1985470356188</v>
      </c>
      <c r="I190" s="5">
        <v>156968558929</v>
      </c>
      <c r="J190" s="5">
        <v>549206280</v>
      </c>
      <c r="K190" s="5">
        <v>1827952590979</v>
      </c>
      <c r="L190" s="5">
        <v>1078279716972</v>
      </c>
      <c r="M190" s="5">
        <f t="shared" si="10"/>
        <v>907190639216</v>
      </c>
      <c r="N190" s="36">
        <f t="shared" si="11"/>
        <v>84.133145132651819</v>
      </c>
      <c r="O190" s="5">
        <v>1680138780420</v>
      </c>
      <c r="P190" s="36">
        <v>93.85</v>
      </c>
      <c r="Q190" s="6">
        <v>91.91</v>
      </c>
      <c r="R190" s="6">
        <v>0.44</v>
      </c>
      <c r="S190" s="5">
        <v>1746126345757</v>
      </c>
      <c r="T190" s="5">
        <v>7413905020</v>
      </c>
      <c r="U190" s="5">
        <v>6756758003</v>
      </c>
      <c r="V190" s="5">
        <v>160376076</v>
      </c>
      <c r="W190" s="5">
        <v>496770941</v>
      </c>
      <c r="X190" s="5">
        <v>1753540250777</v>
      </c>
      <c r="Y190" s="5">
        <v>694166615</v>
      </c>
      <c r="Z190" s="5">
        <v>79115944111</v>
      </c>
      <c r="AA190" s="5">
        <v>30750000000</v>
      </c>
      <c r="AB190" s="5">
        <v>1863406194888</v>
      </c>
      <c r="AC190" s="5">
        <v>1287195246999</v>
      </c>
      <c r="AD190" s="36">
        <f t="shared" si="12"/>
        <v>36.229546750211263</v>
      </c>
      <c r="AE190" s="5">
        <v>1399740865618</v>
      </c>
      <c r="AF190" s="5">
        <v>1347620999592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6">
        <v>0</v>
      </c>
      <c r="AM190" s="5">
        <v>0</v>
      </c>
      <c r="AN190" s="6">
        <v>45</v>
      </c>
      <c r="AO190" s="5">
        <v>219671491360</v>
      </c>
      <c r="AP190" s="6">
        <v>35</v>
      </c>
      <c r="AQ190" s="5">
        <v>46780808242</v>
      </c>
      <c r="AR190" s="5">
        <v>7413905020</v>
      </c>
      <c r="AS190" s="5">
        <v>4636511083</v>
      </c>
      <c r="AT190" s="5">
        <f t="shared" si="13"/>
        <v>2777393937</v>
      </c>
      <c r="AU190" s="36">
        <f t="shared" si="14"/>
        <v>59.902670074130825</v>
      </c>
      <c r="AV190" s="5">
        <v>921266904213</v>
      </c>
      <c r="AW190" s="5">
        <v>169770938486</v>
      </c>
      <c r="AX190" s="5">
        <v>674386857447</v>
      </c>
      <c r="AY190" s="5">
        <v>325672159167</v>
      </c>
      <c r="AZ190" s="5">
        <v>365573876431</v>
      </c>
      <c r="BA190" s="5">
        <v>636956211436</v>
      </c>
      <c r="BB190" s="5">
        <v>297673979835</v>
      </c>
      <c r="BC190" s="5">
        <v>1985470356188</v>
      </c>
      <c r="BD190" s="5">
        <v>1022858976493</v>
      </c>
      <c r="BE190" s="5">
        <v>365573876431</v>
      </c>
      <c r="BF190" s="5">
        <v>597037503264</v>
      </c>
      <c r="BG190" s="5">
        <v>1148240921695</v>
      </c>
      <c r="BH190" s="5">
        <v>251499943923</v>
      </c>
      <c r="BI190" s="5">
        <v>0</v>
      </c>
      <c r="BJ190" s="48">
        <v>0</v>
      </c>
      <c r="BK190" s="5">
        <v>0</v>
      </c>
      <c r="BL190" s="5">
        <v>0</v>
      </c>
      <c r="BM190" s="5">
        <v>0</v>
      </c>
      <c r="BN190" s="5">
        <v>0</v>
      </c>
    </row>
    <row r="191" spans="1:66" x14ac:dyDescent="0.25">
      <c r="A191" s="17" t="s">
        <v>584</v>
      </c>
      <c r="B191" s="4">
        <v>1910</v>
      </c>
      <c r="C191" s="4" t="s">
        <v>231</v>
      </c>
      <c r="D191" s="5">
        <v>1522858513960</v>
      </c>
      <c r="E191" s="5">
        <v>5636630126</v>
      </c>
      <c r="F191" s="5">
        <v>0</v>
      </c>
      <c r="G191" s="5">
        <v>0</v>
      </c>
      <c r="H191" s="5">
        <v>1528495144086</v>
      </c>
      <c r="I191" s="5">
        <v>119785829701</v>
      </c>
      <c r="J191" s="5">
        <v>1999472463</v>
      </c>
      <c r="K191" s="5">
        <v>1406709841922</v>
      </c>
      <c r="L191" s="5">
        <v>655119861913</v>
      </c>
      <c r="M191" s="5">
        <f t="shared" si="10"/>
        <v>873375282173</v>
      </c>
      <c r="N191" s="36">
        <f t="shared" si="11"/>
        <v>133.31534165712478</v>
      </c>
      <c r="O191" s="5">
        <v>1795998029048</v>
      </c>
      <c r="P191" s="36">
        <v>120.98</v>
      </c>
      <c r="Q191" s="6">
        <v>127.67</v>
      </c>
      <c r="R191" s="6">
        <v>1.75</v>
      </c>
      <c r="S191" s="5">
        <v>1790494936790</v>
      </c>
      <c r="T191" s="5">
        <v>32110122471</v>
      </c>
      <c r="U191" s="5">
        <v>31010604736</v>
      </c>
      <c r="V191" s="5">
        <v>1099517735</v>
      </c>
      <c r="W191" s="5">
        <v>0</v>
      </c>
      <c r="X191" s="5">
        <v>1822605059261</v>
      </c>
      <c r="Y191" s="5">
        <v>262173845</v>
      </c>
      <c r="Z191" s="5">
        <v>26498441985</v>
      </c>
      <c r="AA191" s="5">
        <v>0</v>
      </c>
      <c r="AB191" s="5">
        <v>1849103501246</v>
      </c>
      <c r="AC191" s="5">
        <v>1260363652078</v>
      </c>
      <c r="AD191" s="36">
        <f t="shared" si="12"/>
        <v>44.609459044301651</v>
      </c>
      <c r="AE191" s="5">
        <v>1216848512000</v>
      </c>
      <c r="AF191" s="5">
        <v>1216848512000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6">
        <v>0</v>
      </c>
      <c r="AM191" s="5">
        <v>0</v>
      </c>
      <c r="AN191" s="6">
        <v>43</v>
      </c>
      <c r="AO191" s="5">
        <v>170426536987</v>
      </c>
      <c r="AP191" s="6">
        <v>0</v>
      </c>
      <c r="AQ191" s="5">
        <v>0</v>
      </c>
      <c r="AR191" s="5">
        <v>32110122471</v>
      </c>
      <c r="AS191" s="5">
        <v>9945840083</v>
      </c>
      <c r="AT191" s="5">
        <f t="shared" si="13"/>
        <v>22164282388</v>
      </c>
      <c r="AU191" s="36">
        <f t="shared" si="14"/>
        <v>222.84977641943451</v>
      </c>
      <c r="AV191" s="5">
        <v>630727302468</v>
      </c>
      <c r="AW191" s="5">
        <v>143009036924</v>
      </c>
      <c r="AX191" s="5">
        <v>146558724866</v>
      </c>
      <c r="AY191" s="5">
        <v>216391891186</v>
      </c>
      <c r="AZ191" s="5">
        <v>481425897908</v>
      </c>
      <c r="BA191" s="5">
        <v>710606961792</v>
      </c>
      <c r="BB191" s="5">
        <v>444548020739</v>
      </c>
      <c r="BC191" s="5">
        <v>1528495144086</v>
      </c>
      <c r="BD191" s="5">
        <v>368587246178</v>
      </c>
      <c r="BE191" s="5">
        <v>481425897908</v>
      </c>
      <c r="BF191" s="5">
        <v>678482000000</v>
      </c>
      <c r="BG191" s="5">
        <v>1029678512000</v>
      </c>
      <c r="BH191" s="5">
        <v>187170000000</v>
      </c>
      <c r="BI191" s="5">
        <v>0</v>
      </c>
      <c r="BJ191" s="48">
        <v>0</v>
      </c>
      <c r="BK191" s="5">
        <v>0</v>
      </c>
      <c r="BL191" s="5">
        <v>0</v>
      </c>
      <c r="BM191" s="5">
        <v>0</v>
      </c>
      <c r="BN191" s="5">
        <v>0</v>
      </c>
    </row>
    <row r="192" spans="1:66" x14ac:dyDescent="0.25">
      <c r="A192" s="17" t="s">
        <v>584</v>
      </c>
      <c r="B192" s="4">
        <v>1913</v>
      </c>
      <c r="C192" s="4" t="s">
        <v>232</v>
      </c>
      <c r="D192" s="5">
        <v>741580121441</v>
      </c>
      <c r="E192" s="5">
        <v>3482728086</v>
      </c>
      <c r="F192" s="5">
        <v>0</v>
      </c>
      <c r="G192" s="5">
        <v>0</v>
      </c>
      <c r="H192" s="5">
        <v>745062849527</v>
      </c>
      <c r="I192" s="5">
        <v>62432103920</v>
      </c>
      <c r="J192" s="5">
        <v>2565306212</v>
      </c>
      <c r="K192" s="5">
        <v>680065439395</v>
      </c>
      <c r="L192" s="5">
        <v>652235493199</v>
      </c>
      <c r="M192" s="5">
        <f t="shared" si="10"/>
        <v>92827356328</v>
      </c>
      <c r="N192" s="36">
        <f t="shared" si="11"/>
        <v>14.232184126121753</v>
      </c>
      <c r="O192" s="5">
        <v>581760639609</v>
      </c>
      <c r="P192" s="36">
        <v>88.82</v>
      </c>
      <c r="Q192" s="6">
        <v>85.54</v>
      </c>
      <c r="R192" s="6">
        <v>1.2</v>
      </c>
      <c r="S192" s="5">
        <v>633258173293</v>
      </c>
      <c r="T192" s="5">
        <v>7924339518</v>
      </c>
      <c r="U192" s="5">
        <v>7924339518</v>
      </c>
      <c r="V192" s="5">
        <v>0</v>
      </c>
      <c r="W192" s="5">
        <v>0</v>
      </c>
      <c r="X192" s="5">
        <v>641182512811</v>
      </c>
      <c r="Y192" s="5">
        <v>19219604</v>
      </c>
      <c r="Z192" s="5">
        <v>20545335005</v>
      </c>
      <c r="AA192" s="5">
        <v>0</v>
      </c>
      <c r="AB192" s="5">
        <v>661727847816</v>
      </c>
      <c r="AC192" s="5">
        <v>476067546988</v>
      </c>
      <c r="AD192" s="36">
        <f t="shared" si="12"/>
        <v>34.683096310104496</v>
      </c>
      <c r="AE192" s="5">
        <v>335777972000</v>
      </c>
      <c r="AF192" s="5">
        <v>335777972000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6">
        <v>0</v>
      </c>
      <c r="AM192" s="5">
        <v>0</v>
      </c>
      <c r="AN192" s="6">
        <v>2</v>
      </c>
      <c r="AO192" s="5">
        <v>20398300956</v>
      </c>
      <c r="AP192" s="6">
        <v>1</v>
      </c>
      <c r="AQ192" s="5">
        <v>9960000000</v>
      </c>
      <c r="AR192" s="5">
        <v>7924339518</v>
      </c>
      <c r="AS192" s="5">
        <v>1955321806</v>
      </c>
      <c r="AT192" s="5">
        <f t="shared" si="13"/>
        <v>5969017712</v>
      </c>
      <c r="AU192" s="36">
        <f t="shared" si="14"/>
        <v>305.2703495498173</v>
      </c>
      <c r="AV192" s="5">
        <v>185192650542</v>
      </c>
      <c r="AW192" s="5">
        <v>46274865874</v>
      </c>
      <c r="AX192" s="5">
        <v>76681860815</v>
      </c>
      <c r="AY192" s="5">
        <v>159619961101</v>
      </c>
      <c r="AZ192" s="5">
        <v>207835288856</v>
      </c>
      <c r="BA192" s="5">
        <v>367543170225</v>
      </c>
      <c r="BB192" s="5">
        <v>158723992847</v>
      </c>
      <c r="BC192" s="5">
        <v>745062849527</v>
      </c>
      <c r="BD192" s="5">
        <v>239784550002</v>
      </c>
      <c r="BE192" s="5">
        <v>207835288856</v>
      </c>
      <c r="BF192" s="5">
        <v>297443010669</v>
      </c>
      <c r="BG192" s="5">
        <v>252447972000</v>
      </c>
      <c r="BH192" s="5">
        <v>83330000000</v>
      </c>
      <c r="BI192" s="5">
        <v>0</v>
      </c>
      <c r="BJ192" s="48">
        <v>0</v>
      </c>
      <c r="BK192" s="5">
        <v>0</v>
      </c>
      <c r="BL192" s="5">
        <v>0</v>
      </c>
      <c r="BM192" s="5">
        <v>0</v>
      </c>
      <c r="BN192" s="5">
        <v>0</v>
      </c>
    </row>
    <row r="193" spans="1:66" x14ac:dyDescent="0.25">
      <c r="A193" s="17" t="s">
        <v>584</v>
      </c>
      <c r="B193" s="4">
        <v>1914</v>
      </c>
      <c r="C193" s="4" t="s">
        <v>233</v>
      </c>
      <c r="D193" s="5">
        <v>3713802906489</v>
      </c>
      <c r="E193" s="5">
        <v>450100917516</v>
      </c>
      <c r="F193" s="5">
        <v>0</v>
      </c>
      <c r="G193" s="5">
        <v>0</v>
      </c>
      <c r="H193" s="5">
        <v>4163903824005</v>
      </c>
      <c r="I193" s="5">
        <v>339832995513</v>
      </c>
      <c r="J193" s="5">
        <v>415792876</v>
      </c>
      <c r="K193" s="5">
        <v>3823655035616</v>
      </c>
      <c r="L193" s="5">
        <v>4300427447638</v>
      </c>
      <c r="M193" s="5">
        <f t="shared" si="10"/>
        <v>-136523623633</v>
      </c>
      <c r="N193" s="36">
        <f t="shared" si="11"/>
        <v>-3.1746524106106082</v>
      </c>
      <c r="O193" s="5">
        <v>6674957546526</v>
      </c>
      <c r="P193" s="36">
        <v>172.54</v>
      </c>
      <c r="Q193" s="6">
        <v>174.57</v>
      </c>
      <c r="R193" s="6">
        <v>41.61</v>
      </c>
      <c r="S193" s="5">
        <v>3594232727617</v>
      </c>
      <c r="T193" s="5">
        <v>2983270254811</v>
      </c>
      <c r="U193" s="5">
        <v>1474219844048</v>
      </c>
      <c r="V193" s="5">
        <v>1305228013553</v>
      </c>
      <c r="W193" s="5">
        <v>203822397210</v>
      </c>
      <c r="X193" s="5">
        <v>6577502982428</v>
      </c>
      <c r="Y193" s="5">
        <v>6423351860</v>
      </c>
      <c r="Z193" s="5">
        <v>585121951744</v>
      </c>
      <c r="AA193" s="5">
        <v>21600414300</v>
      </c>
      <c r="AB193" s="5">
        <v>7184225348472</v>
      </c>
      <c r="AC193" s="5">
        <v>2835015956566</v>
      </c>
      <c r="AD193" s="36">
        <f t="shared" si="12"/>
        <v>132.00938136500656</v>
      </c>
      <c r="AE193" s="5">
        <v>8651961994036</v>
      </c>
      <c r="AF193" s="5">
        <v>8651961994036</v>
      </c>
      <c r="AG193" s="5">
        <v>5540262577743</v>
      </c>
      <c r="AH193" s="5">
        <v>283082248206</v>
      </c>
      <c r="AI193" s="5">
        <v>0</v>
      </c>
      <c r="AJ193" s="5">
        <v>0</v>
      </c>
      <c r="AK193" s="5">
        <v>0</v>
      </c>
      <c r="AL193" s="6">
        <v>29</v>
      </c>
      <c r="AM193" s="5">
        <v>6237443465607</v>
      </c>
      <c r="AN193" s="6">
        <v>111</v>
      </c>
      <c r="AO193" s="5">
        <v>2198578044392</v>
      </c>
      <c r="AP193" s="6">
        <v>250</v>
      </c>
      <c r="AQ193" s="5">
        <v>2844042668089</v>
      </c>
      <c r="AR193" s="5">
        <v>2983270254811</v>
      </c>
      <c r="AS193" s="5">
        <v>87592784860</v>
      </c>
      <c r="AT193" s="5">
        <f t="shared" si="13"/>
        <v>2895677469951</v>
      </c>
      <c r="AU193" s="36">
        <f t="shared" si="14"/>
        <v>3305.8401723146217</v>
      </c>
      <c r="AV193" s="5">
        <v>5156523793801</v>
      </c>
      <c r="AW193" s="5">
        <v>1182180453202</v>
      </c>
      <c r="AX193" s="5">
        <v>1167768263095</v>
      </c>
      <c r="AY193" s="5">
        <v>518444473642</v>
      </c>
      <c r="AZ193" s="5">
        <v>771904565517</v>
      </c>
      <c r="BA193" s="5">
        <v>1432474529107</v>
      </c>
      <c r="BB193" s="5">
        <v>648514622805</v>
      </c>
      <c r="BC193" s="5">
        <v>4163903824005</v>
      </c>
      <c r="BD193" s="5">
        <v>2136313654253</v>
      </c>
      <c r="BE193" s="5">
        <v>771904565517</v>
      </c>
      <c r="BF193" s="5">
        <v>1255685604235</v>
      </c>
      <c r="BG193" s="5">
        <v>8205472896387</v>
      </c>
      <c r="BH193" s="5">
        <v>446489097649</v>
      </c>
      <c r="BI193" s="5">
        <v>0</v>
      </c>
      <c r="BJ193" s="48">
        <v>52580476059</v>
      </c>
      <c r="BK193" s="5">
        <v>3751543945548</v>
      </c>
      <c r="BL193" s="5">
        <v>0</v>
      </c>
      <c r="BM193" s="5">
        <v>149296307580</v>
      </c>
      <c r="BN193" s="5">
        <v>135822348036</v>
      </c>
    </row>
    <row r="194" spans="1:66" x14ac:dyDescent="0.25">
      <c r="A194" s="17" t="s">
        <v>584</v>
      </c>
      <c r="B194" s="4">
        <v>1916</v>
      </c>
      <c r="C194" s="4" t="s">
        <v>234</v>
      </c>
      <c r="D194" s="5">
        <v>1145880210311</v>
      </c>
      <c r="E194" s="5">
        <v>42171886277</v>
      </c>
      <c r="F194" s="5">
        <v>0</v>
      </c>
      <c r="G194" s="5">
        <v>0</v>
      </c>
      <c r="H194" s="5">
        <v>1188052096588</v>
      </c>
      <c r="I194" s="5">
        <v>87715106623</v>
      </c>
      <c r="J194" s="5">
        <v>9100826679</v>
      </c>
      <c r="K194" s="5">
        <v>1091236163286</v>
      </c>
      <c r="L194" s="5">
        <v>667821367975</v>
      </c>
      <c r="M194" s="5">
        <f t="shared" si="10"/>
        <v>520230728613</v>
      </c>
      <c r="N194" s="36">
        <f t="shared" si="11"/>
        <v>77.8996829931436</v>
      </c>
      <c r="O194" s="5">
        <v>1362555332705</v>
      </c>
      <c r="P194" s="36">
        <v>119.66</v>
      </c>
      <c r="Q194" s="6">
        <v>124.86</v>
      </c>
      <c r="R194" s="6">
        <v>2.3199999999999998</v>
      </c>
      <c r="S194" s="5">
        <v>1362845284268</v>
      </c>
      <c r="T194" s="5">
        <v>33047889840</v>
      </c>
      <c r="U194" s="5">
        <v>27733324215</v>
      </c>
      <c r="V194" s="5">
        <v>5314565625</v>
      </c>
      <c r="W194" s="5">
        <v>0</v>
      </c>
      <c r="X194" s="5">
        <v>1395893174108</v>
      </c>
      <c r="Y194" s="5">
        <v>0</v>
      </c>
      <c r="Z194" s="5">
        <v>25743415544</v>
      </c>
      <c r="AA194" s="5">
        <v>0</v>
      </c>
      <c r="AB194" s="5">
        <v>1421636589652</v>
      </c>
      <c r="AC194" s="5">
        <v>1356808832095</v>
      </c>
      <c r="AD194" s="36">
        <f t="shared" si="12"/>
        <v>2.8806078710919993</v>
      </c>
      <c r="AE194" s="5">
        <v>769652605868</v>
      </c>
      <c r="AF194" s="5">
        <v>769652605868</v>
      </c>
      <c r="AG194" s="5">
        <v>0</v>
      </c>
      <c r="AH194" s="5">
        <v>63105868</v>
      </c>
      <c r="AI194" s="5">
        <v>0</v>
      </c>
      <c r="AJ194" s="5">
        <v>0</v>
      </c>
      <c r="AK194" s="5">
        <v>0</v>
      </c>
      <c r="AL194" s="6">
        <v>0</v>
      </c>
      <c r="AM194" s="5">
        <v>0</v>
      </c>
      <c r="AN194" s="6">
        <v>32</v>
      </c>
      <c r="AO194" s="5">
        <v>307079573261</v>
      </c>
      <c r="AP194" s="6">
        <v>31</v>
      </c>
      <c r="AQ194" s="5">
        <v>311419994477</v>
      </c>
      <c r="AR194" s="5">
        <v>33047889840</v>
      </c>
      <c r="AS194" s="5">
        <v>31201130643</v>
      </c>
      <c r="AT194" s="5">
        <f t="shared" si="13"/>
        <v>1846759197</v>
      </c>
      <c r="AU194" s="36">
        <f t="shared" si="14"/>
        <v>5.9188854985110035</v>
      </c>
      <c r="AV194" s="5">
        <v>694604714959</v>
      </c>
      <c r="AW194" s="5">
        <v>221497866358</v>
      </c>
      <c r="AX194" s="5">
        <v>311362389238</v>
      </c>
      <c r="AY194" s="5">
        <v>193709341015</v>
      </c>
      <c r="AZ194" s="5">
        <v>498565480058</v>
      </c>
      <c r="BA194" s="5">
        <v>157211348836</v>
      </c>
      <c r="BB194" s="5">
        <v>469067378903</v>
      </c>
      <c r="BC194" s="5">
        <v>1188052096588</v>
      </c>
      <c r="BD194" s="5">
        <v>547243616530</v>
      </c>
      <c r="BE194" s="5">
        <v>498565480058</v>
      </c>
      <c r="BF194" s="5">
        <v>142243000000</v>
      </c>
      <c r="BG194" s="5">
        <v>696743105868</v>
      </c>
      <c r="BH194" s="5">
        <v>72909500000</v>
      </c>
      <c r="BI194" s="5">
        <v>0</v>
      </c>
      <c r="BJ194" s="48">
        <v>0</v>
      </c>
      <c r="BK194" s="5">
        <v>0</v>
      </c>
      <c r="BL194" s="5">
        <v>0</v>
      </c>
      <c r="BM194" s="5">
        <v>0</v>
      </c>
      <c r="BN194" s="5">
        <v>63105868</v>
      </c>
    </row>
    <row r="195" spans="1:66" x14ac:dyDescent="0.25">
      <c r="A195" s="17" t="s">
        <v>584</v>
      </c>
      <c r="B195" s="4">
        <v>1917</v>
      </c>
      <c r="C195" s="4" t="s">
        <v>235</v>
      </c>
      <c r="D195" s="5">
        <v>4133216888549</v>
      </c>
      <c r="E195" s="5">
        <v>141106593184</v>
      </c>
      <c r="F195" s="5">
        <v>0</v>
      </c>
      <c r="G195" s="5">
        <v>0</v>
      </c>
      <c r="H195" s="5">
        <v>4274323481733</v>
      </c>
      <c r="I195" s="5">
        <v>353371244595</v>
      </c>
      <c r="J195" s="5">
        <v>144073000</v>
      </c>
      <c r="K195" s="5">
        <v>3920808164138</v>
      </c>
      <c r="L195" s="5">
        <v>3086621941497</v>
      </c>
      <c r="M195" s="5">
        <f t="shared" si="10"/>
        <v>1187701540236</v>
      </c>
      <c r="N195" s="36">
        <f t="shared" si="11"/>
        <v>38.479009180501365</v>
      </c>
      <c r="O195" s="5">
        <v>1971787642903</v>
      </c>
      <c r="P195" s="36">
        <v>51.28</v>
      </c>
      <c r="Q195" s="6">
        <v>50.29</v>
      </c>
      <c r="R195" s="6">
        <v>1.1100000000000001</v>
      </c>
      <c r="S195" s="5">
        <v>2091597552556</v>
      </c>
      <c r="T195" s="5">
        <v>23853693311</v>
      </c>
      <c r="U195" s="5">
        <v>12192953767</v>
      </c>
      <c r="V195" s="5">
        <v>1435001640</v>
      </c>
      <c r="W195" s="5">
        <v>10225737904</v>
      </c>
      <c r="X195" s="5">
        <v>2115451245867</v>
      </c>
      <c r="Y195" s="5">
        <v>407869090</v>
      </c>
      <c r="Z195" s="5">
        <v>58012489175</v>
      </c>
      <c r="AA195" s="5">
        <v>18500523605</v>
      </c>
      <c r="AB195" s="5">
        <v>2191964258647</v>
      </c>
      <c r="AC195" s="5">
        <v>1635155783249</v>
      </c>
      <c r="AD195" s="36">
        <f t="shared" si="12"/>
        <v>29.373070599039131</v>
      </c>
      <c r="AE195" s="5">
        <v>1815961363559</v>
      </c>
      <c r="AF195" s="5">
        <v>1815961363559</v>
      </c>
      <c r="AG195" s="5">
        <v>116152821309</v>
      </c>
      <c r="AH195" s="5">
        <v>97593282400</v>
      </c>
      <c r="AI195" s="5">
        <v>0</v>
      </c>
      <c r="AJ195" s="5">
        <v>0</v>
      </c>
      <c r="AK195" s="5">
        <v>0</v>
      </c>
      <c r="AL195" s="6">
        <v>7</v>
      </c>
      <c r="AM195" s="5">
        <v>166572150435</v>
      </c>
      <c r="AN195" s="6">
        <v>197</v>
      </c>
      <c r="AO195" s="5">
        <v>3629079279574</v>
      </c>
      <c r="AP195" s="6">
        <v>167</v>
      </c>
      <c r="AQ195" s="5">
        <v>842932934646</v>
      </c>
      <c r="AR195" s="5">
        <v>23853693311</v>
      </c>
      <c r="AS195" s="5">
        <v>20682357794</v>
      </c>
      <c r="AT195" s="5">
        <f t="shared" si="13"/>
        <v>3171335517</v>
      </c>
      <c r="AU195" s="36">
        <f t="shared" si="14"/>
        <v>15.333529903055886</v>
      </c>
      <c r="AV195" s="5">
        <v>1316966956789</v>
      </c>
      <c r="AW195" s="5">
        <v>240336718954</v>
      </c>
      <c r="AX195" s="5">
        <v>1033256896776</v>
      </c>
      <c r="AY195" s="5">
        <v>105178247397</v>
      </c>
      <c r="AZ195" s="5">
        <v>576815493352</v>
      </c>
      <c r="BA195" s="5">
        <v>2907069209144</v>
      </c>
      <c r="BB195" s="5">
        <v>393952714334</v>
      </c>
      <c r="BC195" s="5">
        <v>4274323481733</v>
      </c>
      <c r="BD195" s="5">
        <v>1279365912167</v>
      </c>
      <c r="BE195" s="5">
        <v>576815493352</v>
      </c>
      <c r="BF195" s="5">
        <v>2418142076214</v>
      </c>
      <c r="BG195" s="5">
        <v>991720059119</v>
      </c>
      <c r="BH195" s="5">
        <v>824241304440</v>
      </c>
      <c r="BI195" s="5">
        <v>0</v>
      </c>
      <c r="BJ195" s="48">
        <v>0</v>
      </c>
      <c r="BK195" s="5">
        <v>118774628630</v>
      </c>
      <c r="BL195" s="5">
        <v>0</v>
      </c>
      <c r="BM195" s="5">
        <v>6650000000</v>
      </c>
      <c r="BN195" s="5">
        <v>97593282400</v>
      </c>
    </row>
    <row r="196" spans="1:66" x14ac:dyDescent="0.25">
      <c r="A196" s="17" t="s">
        <v>584</v>
      </c>
      <c r="B196" s="4">
        <v>1918</v>
      </c>
      <c r="C196" s="4" t="s">
        <v>236</v>
      </c>
      <c r="D196" s="5">
        <v>1127553361559</v>
      </c>
      <c r="E196" s="5">
        <v>23431170481</v>
      </c>
      <c r="F196" s="5">
        <v>0</v>
      </c>
      <c r="G196" s="5">
        <v>0</v>
      </c>
      <c r="H196" s="5">
        <v>1150984532040</v>
      </c>
      <c r="I196" s="5">
        <v>101165810019</v>
      </c>
      <c r="J196" s="5">
        <v>1640959600</v>
      </c>
      <c r="K196" s="5">
        <v>1048177762421</v>
      </c>
      <c r="L196" s="5">
        <v>917123882052</v>
      </c>
      <c r="M196" s="5">
        <f t="shared" ref="M196:M259" si="15">H196-L196</f>
        <v>233860649988</v>
      </c>
      <c r="N196" s="36">
        <f t="shared" ref="N196:N259" si="16">IFERROR(M196/L196*100,0)</f>
        <v>25.499352330107605</v>
      </c>
      <c r="O196" s="5">
        <v>1117454976413</v>
      </c>
      <c r="P196" s="36">
        <v>104.4</v>
      </c>
      <c r="Q196" s="6">
        <v>106.61</v>
      </c>
      <c r="R196" s="6">
        <v>1.74</v>
      </c>
      <c r="S196" s="5">
        <v>1123332278456</v>
      </c>
      <c r="T196" s="5">
        <v>20849208721</v>
      </c>
      <c r="U196" s="5">
        <v>16901676871</v>
      </c>
      <c r="V196" s="5">
        <v>3947531850</v>
      </c>
      <c r="W196" s="5">
        <v>0</v>
      </c>
      <c r="X196" s="5">
        <v>1144181487177</v>
      </c>
      <c r="Y196" s="5">
        <v>0</v>
      </c>
      <c r="Z196" s="5">
        <v>53467634862</v>
      </c>
      <c r="AA196" s="5">
        <v>4000000000</v>
      </c>
      <c r="AB196" s="5">
        <v>1201649122039</v>
      </c>
      <c r="AC196" s="5">
        <v>1049008259023</v>
      </c>
      <c r="AD196" s="36">
        <f t="shared" ref="AD196:AD259" si="17">IFERROR((X196-AC196)/AC196*100,0)</f>
        <v>9.0726862572693321</v>
      </c>
      <c r="AE196" s="5">
        <v>775272906218</v>
      </c>
      <c r="AF196" s="5">
        <v>775272906218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6">
        <v>0</v>
      </c>
      <c r="AM196" s="5">
        <v>0</v>
      </c>
      <c r="AN196" s="6">
        <v>10</v>
      </c>
      <c r="AO196" s="5">
        <v>182882485000</v>
      </c>
      <c r="AP196" s="6">
        <v>3</v>
      </c>
      <c r="AQ196" s="5">
        <v>3585000000</v>
      </c>
      <c r="AR196" s="5">
        <v>20849208721</v>
      </c>
      <c r="AS196" s="5">
        <v>5907643703</v>
      </c>
      <c r="AT196" s="5">
        <f t="shared" ref="AT196:AT259" si="18">AR196-AS196</f>
        <v>14941565018</v>
      </c>
      <c r="AU196" s="36">
        <f t="shared" ref="AU196:AU259" si="19">IFERROR(AT196/AS196*100,0)</f>
        <v>252.91919704657246</v>
      </c>
      <c r="AV196" s="5">
        <v>661116344306</v>
      </c>
      <c r="AW196" s="5">
        <v>105390687255</v>
      </c>
      <c r="AX196" s="5">
        <v>333619709412</v>
      </c>
      <c r="AY196" s="5">
        <v>252158501522</v>
      </c>
      <c r="AZ196" s="5">
        <v>236246450625</v>
      </c>
      <c r="BA196" s="5">
        <v>437008112484</v>
      </c>
      <c r="BB196" s="5">
        <v>157115088838</v>
      </c>
      <c r="BC196" s="5">
        <v>1150984532040</v>
      </c>
      <c r="BD196" s="5">
        <v>609209381415</v>
      </c>
      <c r="BE196" s="5">
        <v>236246450625</v>
      </c>
      <c r="BF196" s="5">
        <v>305528700000</v>
      </c>
      <c r="BG196" s="5">
        <v>625307045200</v>
      </c>
      <c r="BH196" s="5">
        <v>149965861018</v>
      </c>
      <c r="BI196" s="5">
        <v>0</v>
      </c>
      <c r="BJ196" s="48">
        <v>0</v>
      </c>
      <c r="BK196" s="5">
        <v>0</v>
      </c>
      <c r="BL196" s="5">
        <v>0</v>
      </c>
      <c r="BM196" s="5">
        <v>0</v>
      </c>
      <c r="BN196" s="5">
        <v>0</v>
      </c>
    </row>
    <row r="197" spans="1:66" x14ac:dyDescent="0.25">
      <c r="A197" s="17" t="s">
        <v>584</v>
      </c>
      <c r="B197" s="4">
        <v>1919</v>
      </c>
      <c r="C197" s="4" t="s">
        <v>237</v>
      </c>
      <c r="D197" s="5">
        <v>10234883246870</v>
      </c>
      <c r="E197" s="5">
        <v>359925260172</v>
      </c>
      <c r="F197" s="5">
        <v>0</v>
      </c>
      <c r="G197" s="5">
        <v>0</v>
      </c>
      <c r="H197" s="5">
        <v>10594808507042</v>
      </c>
      <c r="I197" s="5">
        <v>1007014196761</v>
      </c>
      <c r="J197" s="5">
        <v>242205000</v>
      </c>
      <c r="K197" s="5">
        <v>9587552105281</v>
      </c>
      <c r="L197" s="5">
        <v>5690236819063</v>
      </c>
      <c r="M197" s="5">
        <f t="shared" si="15"/>
        <v>4904571687979</v>
      </c>
      <c r="N197" s="36">
        <f t="shared" si="16"/>
        <v>86.192751618844326</v>
      </c>
      <c r="O197" s="5">
        <v>4747815706887</v>
      </c>
      <c r="P197" s="36">
        <v>50.91</v>
      </c>
      <c r="Q197" s="6">
        <v>49.52</v>
      </c>
      <c r="R197" s="6">
        <v>2.58</v>
      </c>
      <c r="S197" s="5">
        <v>4976961623759</v>
      </c>
      <c r="T197" s="5">
        <v>136546504438</v>
      </c>
      <c r="U197" s="5">
        <v>28738455224</v>
      </c>
      <c r="V197" s="5">
        <v>100372948882</v>
      </c>
      <c r="W197" s="5">
        <v>7435100332</v>
      </c>
      <c r="X197" s="5">
        <v>5113508128197</v>
      </c>
      <c r="Y197" s="5">
        <v>2793461429</v>
      </c>
      <c r="Z197" s="5">
        <v>259786749184</v>
      </c>
      <c r="AA197" s="5">
        <v>20749610810</v>
      </c>
      <c r="AB197" s="5">
        <v>5394044488191</v>
      </c>
      <c r="AC197" s="5">
        <v>2389060167632</v>
      </c>
      <c r="AD197" s="36">
        <f t="shared" si="17"/>
        <v>114.03848247427905</v>
      </c>
      <c r="AE197" s="5">
        <v>5596524496524</v>
      </c>
      <c r="AF197" s="5">
        <v>5596524496524</v>
      </c>
      <c r="AG197" s="5">
        <v>271156917752</v>
      </c>
      <c r="AH197" s="5">
        <v>702132371343</v>
      </c>
      <c r="AI197" s="5">
        <v>0</v>
      </c>
      <c r="AJ197" s="5">
        <v>0</v>
      </c>
      <c r="AK197" s="5">
        <v>0</v>
      </c>
      <c r="AL197" s="6">
        <v>7</v>
      </c>
      <c r="AM197" s="5">
        <v>1555769789152</v>
      </c>
      <c r="AN197" s="6">
        <v>243</v>
      </c>
      <c r="AO197" s="5">
        <v>3923739265180</v>
      </c>
      <c r="AP197" s="6">
        <v>189</v>
      </c>
      <c r="AQ197" s="5">
        <v>2562608085101</v>
      </c>
      <c r="AR197" s="5">
        <v>136546504438</v>
      </c>
      <c r="AS197" s="5">
        <v>34281806130</v>
      </c>
      <c r="AT197" s="5">
        <f t="shared" si="18"/>
        <v>102264698308</v>
      </c>
      <c r="AU197" s="36">
        <f t="shared" si="19"/>
        <v>298.30604000326628</v>
      </c>
      <c r="AV197" s="5">
        <v>3114156148770</v>
      </c>
      <c r="AW197" s="5">
        <v>153604485958</v>
      </c>
      <c r="AX197" s="5">
        <v>1427271021547</v>
      </c>
      <c r="AY197" s="5">
        <v>229549686082</v>
      </c>
      <c r="AZ197" s="5">
        <v>1477954900848</v>
      </c>
      <c r="BA197" s="5">
        <v>7882644369901</v>
      </c>
      <c r="BB197" s="5">
        <v>1019172653406</v>
      </c>
      <c r="BC197" s="5">
        <v>10594808507042</v>
      </c>
      <c r="BD197" s="5">
        <v>2016745967801</v>
      </c>
      <c r="BE197" s="5">
        <v>1477954900848</v>
      </c>
      <c r="BF197" s="5">
        <v>7100107638393</v>
      </c>
      <c r="BG197" s="5">
        <v>3208373591740</v>
      </c>
      <c r="BH197" s="5">
        <v>2388150904784</v>
      </c>
      <c r="BI197" s="5">
        <v>0</v>
      </c>
      <c r="BJ197" s="48">
        <v>3881251676</v>
      </c>
      <c r="BK197" s="5">
        <v>263814424616</v>
      </c>
      <c r="BL197" s="5">
        <v>0</v>
      </c>
      <c r="BM197" s="5">
        <v>0</v>
      </c>
      <c r="BN197" s="5">
        <v>702132371343</v>
      </c>
    </row>
    <row r="198" spans="1:66" x14ac:dyDescent="0.25">
      <c r="A198" s="17" t="s">
        <v>584</v>
      </c>
      <c r="B198" s="4">
        <v>1920</v>
      </c>
      <c r="C198" s="4" t="s">
        <v>238</v>
      </c>
      <c r="D198" s="5">
        <v>802101839471</v>
      </c>
      <c r="E198" s="5">
        <v>16260741650</v>
      </c>
      <c r="F198" s="5">
        <v>0</v>
      </c>
      <c r="G198" s="5">
        <v>0</v>
      </c>
      <c r="H198" s="5">
        <v>818362581121</v>
      </c>
      <c r="I198" s="5">
        <v>88042646721</v>
      </c>
      <c r="J198" s="5">
        <v>3447681462</v>
      </c>
      <c r="K198" s="5">
        <v>726872252938</v>
      </c>
      <c r="L198" s="5">
        <v>604724548142</v>
      </c>
      <c r="M198" s="5">
        <f t="shared" si="15"/>
        <v>213638032979</v>
      </c>
      <c r="N198" s="36">
        <f t="shared" si="16"/>
        <v>35.328156205233796</v>
      </c>
      <c r="O198" s="5">
        <v>901214286404</v>
      </c>
      <c r="P198" s="36">
        <v>121.3</v>
      </c>
      <c r="Q198" s="6">
        <v>123.99</v>
      </c>
      <c r="R198" s="6">
        <v>3.22</v>
      </c>
      <c r="S198" s="5">
        <v>934076090833</v>
      </c>
      <c r="T198" s="5">
        <v>32004040783</v>
      </c>
      <c r="U198" s="5">
        <v>20645618729</v>
      </c>
      <c r="V198" s="5">
        <v>11358422054</v>
      </c>
      <c r="W198" s="5">
        <v>0</v>
      </c>
      <c r="X198" s="5">
        <v>966080131616</v>
      </c>
      <c r="Y198" s="5">
        <v>0</v>
      </c>
      <c r="Z198" s="5">
        <v>21609875150</v>
      </c>
      <c r="AA198" s="5">
        <v>4950000000</v>
      </c>
      <c r="AB198" s="5">
        <v>992640006766</v>
      </c>
      <c r="AC198" s="5">
        <v>785424082649</v>
      </c>
      <c r="AD198" s="36">
        <f t="shared" si="17"/>
        <v>23.001083485714023</v>
      </c>
      <c r="AE198" s="5">
        <v>548452110000</v>
      </c>
      <c r="AF198" s="5">
        <v>548452110000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6">
        <v>0</v>
      </c>
      <c r="AM198" s="5">
        <v>0</v>
      </c>
      <c r="AN198" s="6">
        <v>49</v>
      </c>
      <c r="AO198" s="5">
        <v>155814009926</v>
      </c>
      <c r="AP198" s="6">
        <v>33</v>
      </c>
      <c r="AQ198" s="5">
        <v>52804912198</v>
      </c>
      <c r="AR198" s="5">
        <v>32004040783</v>
      </c>
      <c r="AS198" s="5">
        <v>6858772614</v>
      </c>
      <c r="AT198" s="5">
        <f t="shared" si="18"/>
        <v>25145268169</v>
      </c>
      <c r="AU198" s="36">
        <f t="shared" si="19"/>
        <v>366.61469309645787</v>
      </c>
      <c r="AV198" s="5">
        <v>368700776979</v>
      </c>
      <c r="AW198" s="5">
        <v>101865638683</v>
      </c>
      <c r="AX198" s="5">
        <v>223374568313</v>
      </c>
      <c r="AY198" s="5">
        <v>201005128696</v>
      </c>
      <c r="AZ198" s="5">
        <v>238499142462</v>
      </c>
      <c r="BA198" s="5">
        <v>269211074188</v>
      </c>
      <c r="BB198" s="5">
        <v>202184444332</v>
      </c>
      <c r="BC198" s="5">
        <v>818362581121</v>
      </c>
      <c r="BD198" s="5">
        <v>440640438659</v>
      </c>
      <c r="BE198" s="5">
        <v>238499142462</v>
      </c>
      <c r="BF198" s="5">
        <v>139223000000</v>
      </c>
      <c r="BG198" s="5">
        <v>495412110000</v>
      </c>
      <c r="BH198" s="5">
        <v>53040000000</v>
      </c>
      <c r="BI198" s="5">
        <v>0</v>
      </c>
      <c r="BJ198" s="48">
        <v>0</v>
      </c>
      <c r="BK198" s="5">
        <v>0</v>
      </c>
      <c r="BL198" s="5">
        <v>0</v>
      </c>
      <c r="BM198" s="5">
        <v>0</v>
      </c>
      <c r="BN198" s="5">
        <v>0</v>
      </c>
    </row>
    <row r="199" spans="1:66" x14ac:dyDescent="0.25">
      <c r="A199" s="17" t="s">
        <v>584</v>
      </c>
      <c r="B199" s="4">
        <v>1921</v>
      </c>
      <c r="C199" s="4" t="s">
        <v>239</v>
      </c>
      <c r="D199" s="5">
        <v>1083738996718</v>
      </c>
      <c r="E199" s="5">
        <v>38003538132</v>
      </c>
      <c r="F199" s="5">
        <v>0</v>
      </c>
      <c r="G199" s="5">
        <v>0</v>
      </c>
      <c r="H199" s="5">
        <v>1121742534850</v>
      </c>
      <c r="I199" s="5">
        <v>92784816117</v>
      </c>
      <c r="J199" s="5">
        <v>2659245000</v>
      </c>
      <c r="K199" s="5">
        <v>1026298473733</v>
      </c>
      <c r="L199" s="5">
        <v>784612836699</v>
      </c>
      <c r="M199" s="5">
        <f t="shared" si="15"/>
        <v>337129698151</v>
      </c>
      <c r="N199" s="36">
        <f t="shared" si="16"/>
        <v>42.967650079415236</v>
      </c>
      <c r="O199" s="5">
        <v>819034419416</v>
      </c>
      <c r="P199" s="36">
        <v>82.58</v>
      </c>
      <c r="Q199" s="6">
        <v>79.8</v>
      </c>
      <c r="R199" s="6">
        <v>4.3</v>
      </c>
      <c r="S199" s="5">
        <v>797361423166</v>
      </c>
      <c r="T199" s="5">
        <v>39865404036</v>
      </c>
      <c r="U199" s="5">
        <v>33381713208</v>
      </c>
      <c r="V199" s="5">
        <v>6483690828</v>
      </c>
      <c r="W199" s="5">
        <v>0</v>
      </c>
      <c r="X199" s="5">
        <v>837226827202</v>
      </c>
      <c r="Y199" s="5">
        <v>0</v>
      </c>
      <c r="Z199" s="5">
        <v>81105157309</v>
      </c>
      <c r="AA199" s="5">
        <v>7983176930</v>
      </c>
      <c r="AB199" s="5">
        <v>926315161441</v>
      </c>
      <c r="AC199" s="5">
        <v>885936878678</v>
      </c>
      <c r="AD199" s="36">
        <f t="shared" si="17"/>
        <v>-5.4981401777387813</v>
      </c>
      <c r="AE199" s="5">
        <v>610129508082</v>
      </c>
      <c r="AF199" s="5">
        <v>610129508082</v>
      </c>
      <c r="AG199" s="5">
        <v>0</v>
      </c>
      <c r="AH199" s="5">
        <v>453600000</v>
      </c>
      <c r="AI199" s="5">
        <v>0</v>
      </c>
      <c r="AJ199" s="5">
        <v>0</v>
      </c>
      <c r="AK199" s="5">
        <v>0</v>
      </c>
      <c r="AL199" s="6">
        <v>0</v>
      </c>
      <c r="AM199" s="5">
        <v>0</v>
      </c>
      <c r="AN199" s="6">
        <v>35</v>
      </c>
      <c r="AO199" s="5">
        <v>590158997082</v>
      </c>
      <c r="AP199" s="6">
        <v>10</v>
      </c>
      <c r="AQ199" s="5">
        <v>104862887164</v>
      </c>
      <c r="AR199" s="5">
        <v>39865404036</v>
      </c>
      <c r="AS199" s="5">
        <v>5765435027</v>
      </c>
      <c r="AT199" s="5">
        <f t="shared" si="18"/>
        <v>34099969009</v>
      </c>
      <c r="AU199" s="36">
        <f t="shared" si="19"/>
        <v>591.45526485524647</v>
      </c>
      <c r="AV199" s="5">
        <v>592298030876</v>
      </c>
      <c r="AW199" s="5">
        <v>97017894835</v>
      </c>
      <c r="AX199" s="5">
        <v>115602715465</v>
      </c>
      <c r="AY199" s="5">
        <v>268264218597</v>
      </c>
      <c r="AZ199" s="5">
        <v>319520966296</v>
      </c>
      <c r="BA199" s="5">
        <v>429679340248</v>
      </c>
      <c r="BB199" s="5">
        <v>309384824063</v>
      </c>
      <c r="BC199" s="5">
        <v>1121742534850</v>
      </c>
      <c r="BD199" s="5">
        <v>421870472194</v>
      </c>
      <c r="BE199" s="5">
        <v>319520966296</v>
      </c>
      <c r="BF199" s="5">
        <v>380351096360</v>
      </c>
      <c r="BG199" s="5">
        <v>539496558082</v>
      </c>
      <c r="BH199" s="5">
        <v>70632950000</v>
      </c>
      <c r="BI199" s="5">
        <v>0</v>
      </c>
      <c r="BJ199" s="48">
        <v>0</v>
      </c>
      <c r="BK199" s="5">
        <v>0</v>
      </c>
      <c r="BL199" s="5">
        <v>0</v>
      </c>
      <c r="BM199" s="5">
        <v>0</v>
      </c>
      <c r="BN199" s="5">
        <v>453600000</v>
      </c>
    </row>
    <row r="200" spans="1:66" x14ac:dyDescent="0.25">
      <c r="A200" s="17" t="s">
        <v>584</v>
      </c>
      <c r="B200" s="4">
        <v>1922</v>
      </c>
      <c r="C200" s="4" t="s">
        <v>240</v>
      </c>
      <c r="D200" s="5">
        <v>680377921846</v>
      </c>
      <c r="E200" s="5">
        <v>2549477520</v>
      </c>
      <c r="F200" s="5">
        <v>0</v>
      </c>
      <c r="G200" s="5">
        <v>0</v>
      </c>
      <c r="H200" s="5">
        <v>682927399366</v>
      </c>
      <c r="I200" s="5">
        <v>47289283192</v>
      </c>
      <c r="J200" s="5">
        <v>3390793362</v>
      </c>
      <c r="K200" s="5">
        <v>632247322812</v>
      </c>
      <c r="L200" s="5">
        <v>365899653599</v>
      </c>
      <c r="M200" s="5">
        <f t="shared" si="15"/>
        <v>317027745767</v>
      </c>
      <c r="N200" s="36">
        <f t="shared" si="16"/>
        <v>86.643357720813768</v>
      </c>
      <c r="O200" s="5">
        <v>985317638573</v>
      </c>
      <c r="P200" s="36">
        <v>154.57</v>
      </c>
      <c r="Q200" s="6">
        <v>155.84</v>
      </c>
      <c r="R200" s="6">
        <v>1.69</v>
      </c>
      <c r="S200" s="5">
        <v>993889591181</v>
      </c>
      <c r="T200" s="5">
        <v>17846212693</v>
      </c>
      <c r="U200" s="5">
        <v>15367039527</v>
      </c>
      <c r="V200" s="5">
        <v>2479173166</v>
      </c>
      <c r="W200" s="5">
        <v>0</v>
      </c>
      <c r="X200" s="5">
        <v>1011735803874</v>
      </c>
      <c r="Y200" s="5">
        <v>0</v>
      </c>
      <c r="Z200" s="5">
        <v>25499404815</v>
      </c>
      <c r="AA200" s="5">
        <v>18379780000</v>
      </c>
      <c r="AB200" s="5">
        <v>1055614988689</v>
      </c>
      <c r="AC200" s="5">
        <v>764590795470</v>
      </c>
      <c r="AD200" s="36">
        <f t="shared" si="17"/>
        <v>32.323827316293816</v>
      </c>
      <c r="AE200" s="5">
        <v>425310559148</v>
      </c>
      <c r="AF200" s="5">
        <v>425310559148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6">
        <v>0</v>
      </c>
      <c r="AM200" s="5">
        <v>0</v>
      </c>
      <c r="AN200" s="6">
        <v>3</v>
      </c>
      <c r="AO200" s="5">
        <v>8310000000</v>
      </c>
      <c r="AP200" s="6">
        <v>9</v>
      </c>
      <c r="AQ200" s="5">
        <v>15300000000</v>
      </c>
      <c r="AR200" s="5">
        <v>17846212693</v>
      </c>
      <c r="AS200" s="5">
        <v>3956465811</v>
      </c>
      <c r="AT200" s="5">
        <f t="shared" si="18"/>
        <v>13889746882</v>
      </c>
      <c r="AU200" s="36">
        <f t="shared" si="19"/>
        <v>351.06449911390376</v>
      </c>
      <c r="AV200" s="5">
        <v>201250561083</v>
      </c>
      <c r="AW200" s="5">
        <v>50816775633</v>
      </c>
      <c r="AX200" s="5">
        <v>91129289100</v>
      </c>
      <c r="AY200" s="5">
        <v>104629100481</v>
      </c>
      <c r="AZ200" s="5">
        <v>336942532265</v>
      </c>
      <c r="BA200" s="5">
        <v>148218362024</v>
      </c>
      <c r="BB200" s="5">
        <v>311427455511</v>
      </c>
      <c r="BC200" s="5">
        <v>682927399366</v>
      </c>
      <c r="BD200" s="5">
        <v>198307867101</v>
      </c>
      <c r="BE200" s="5">
        <v>336942532265</v>
      </c>
      <c r="BF200" s="5">
        <v>147677000000</v>
      </c>
      <c r="BG200" s="5">
        <v>370310559148</v>
      </c>
      <c r="BH200" s="5">
        <v>55000000000</v>
      </c>
      <c r="BI200" s="5">
        <v>0</v>
      </c>
      <c r="BJ200" s="48">
        <v>0</v>
      </c>
      <c r="BK200" s="5">
        <v>0</v>
      </c>
      <c r="BL200" s="5">
        <v>0</v>
      </c>
      <c r="BM200" s="5">
        <v>0</v>
      </c>
      <c r="BN200" s="5">
        <v>0</v>
      </c>
    </row>
    <row r="201" spans="1:66" x14ac:dyDescent="0.25">
      <c r="A201" s="17" t="s">
        <v>584</v>
      </c>
      <c r="B201" s="4">
        <v>1923</v>
      </c>
      <c r="C201" s="4" t="s">
        <v>241</v>
      </c>
      <c r="D201" s="5">
        <v>1590749086076</v>
      </c>
      <c r="E201" s="5">
        <v>82425856341</v>
      </c>
      <c r="F201" s="5">
        <v>0</v>
      </c>
      <c r="G201" s="5">
        <v>0</v>
      </c>
      <c r="H201" s="5">
        <v>1673174942417</v>
      </c>
      <c r="I201" s="5">
        <v>149769601485</v>
      </c>
      <c r="J201" s="5">
        <v>61840000</v>
      </c>
      <c r="K201" s="5">
        <v>1523343500932</v>
      </c>
      <c r="L201" s="5">
        <v>916878177395</v>
      </c>
      <c r="M201" s="5">
        <f t="shared" si="15"/>
        <v>756296765022</v>
      </c>
      <c r="N201" s="36">
        <f t="shared" si="16"/>
        <v>82.486068887664231</v>
      </c>
      <c r="O201" s="5">
        <v>424296496824</v>
      </c>
      <c r="P201" s="36">
        <v>30.59</v>
      </c>
      <c r="Q201" s="6">
        <v>27.85</v>
      </c>
      <c r="R201" s="6">
        <v>0.08</v>
      </c>
      <c r="S201" s="5">
        <v>473495222107</v>
      </c>
      <c r="T201" s="5">
        <v>413979038</v>
      </c>
      <c r="U201" s="5">
        <v>413979038</v>
      </c>
      <c r="V201" s="5">
        <v>0</v>
      </c>
      <c r="W201" s="5">
        <v>0</v>
      </c>
      <c r="X201" s="5">
        <v>473909201145</v>
      </c>
      <c r="Y201" s="5">
        <v>0</v>
      </c>
      <c r="Z201" s="5">
        <v>23204852055</v>
      </c>
      <c r="AA201" s="5">
        <v>14783900000</v>
      </c>
      <c r="AB201" s="5">
        <v>511897953200</v>
      </c>
      <c r="AC201" s="5">
        <v>136063980104</v>
      </c>
      <c r="AD201" s="36">
        <f t="shared" si="17"/>
        <v>248.29879354019283</v>
      </c>
      <c r="AE201" s="5">
        <v>411713395398</v>
      </c>
      <c r="AF201" s="5">
        <v>411713395398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6">
        <v>0</v>
      </c>
      <c r="AM201" s="5">
        <v>0</v>
      </c>
      <c r="AN201" s="6">
        <v>74</v>
      </c>
      <c r="AO201" s="5">
        <v>912977370099</v>
      </c>
      <c r="AP201" s="6">
        <v>17</v>
      </c>
      <c r="AQ201" s="5">
        <v>230264528304</v>
      </c>
      <c r="AR201" s="5">
        <v>413979038</v>
      </c>
      <c r="AS201" s="5">
        <v>0</v>
      </c>
      <c r="AT201" s="5">
        <f t="shared" si="18"/>
        <v>413979038</v>
      </c>
      <c r="AU201" s="36">
        <f t="shared" si="19"/>
        <v>0</v>
      </c>
      <c r="AV201" s="5">
        <v>120130113790</v>
      </c>
      <c r="AW201" s="5">
        <v>314244476</v>
      </c>
      <c r="AX201" s="5">
        <v>85481731698</v>
      </c>
      <c r="AY201" s="5">
        <v>106049577617</v>
      </c>
      <c r="AZ201" s="5">
        <v>647136124703</v>
      </c>
      <c r="BA201" s="5">
        <v>854043352038</v>
      </c>
      <c r="BB201" s="5">
        <v>645937777492</v>
      </c>
      <c r="BC201" s="5">
        <v>1673174942417</v>
      </c>
      <c r="BD201" s="5">
        <v>272491610156</v>
      </c>
      <c r="BE201" s="5">
        <v>647136124703</v>
      </c>
      <c r="BF201" s="5">
        <v>753547207558</v>
      </c>
      <c r="BG201" s="5">
        <v>206264121494</v>
      </c>
      <c r="BH201" s="5">
        <v>205449273904</v>
      </c>
      <c r="BI201" s="5">
        <v>0</v>
      </c>
      <c r="BJ201" s="48">
        <v>0</v>
      </c>
      <c r="BK201" s="5">
        <v>0</v>
      </c>
      <c r="BL201" s="5">
        <v>0</v>
      </c>
      <c r="BM201" s="5">
        <v>0</v>
      </c>
      <c r="BN201" s="5">
        <v>0</v>
      </c>
    </row>
    <row r="202" spans="1:66" x14ac:dyDescent="0.25">
      <c r="A202" s="17" t="s">
        <v>584</v>
      </c>
      <c r="B202" s="4">
        <v>1924</v>
      </c>
      <c r="C202" s="4" t="s">
        <v>242</v>
      </c>
      <c r="D202" s="5">
        <v>1733734139608</v>
      </c>
      <c r="E202" s="5">
        <v>48118860954</v>
      </c>
      <c r="F202" s="5">
        <v>0</v>
      </c>
      <c r="G202" s="5">
        <v>0</v>
      </c>
      <c r="H202" s="5">
        <v>1781853000562</v>
      </c>
      <c r="I202" s="5">
        <v>160971922514</v>
      </c>
      <c r="J202" s="5">
        <v>65710836</v>
      </c>
      <c r="K202" s="5">
        <v>1620815367212</v>
      </c>
      <c r="L202" s="5">
        <v>647573998027</v>
      </c>
      <c r="M202" s="5">
        <f t="shared" si="15"/>
        <v>1134279002535</v>
      </c>
      <c r="N202" s="36">
        <f t="shared" si="16"/>
        <v>175.15820678267988</v>
      </c>
      <c r="O202" s="5">
        <v>929402917767</v>
      </c>
      <c r="P202" s="36">
        <v>57.3</v>
      </c>
      <c r="Q202" s="6">
        <v>57.34</v>
      </c>
      <c r="R202" s="6">
        <v>0.3</v>
      </c>
      <c r="S202" s="5">
        <v>961401988922</v>
      </c>
      <c r="T202" s="5">
        <v>3061791270</v>
      </c>
      <c r="U202" s="5">
        <v>3061791270</v>
      </c>
      <c r="V202" s="5">
        <v>0</v>
      </c>
      <c r="W202" s="5">
        <v>0</v>
      </c>
      <c r="X202" s="5">
        <v>964463780192</v>
      </c>
      <c r="Y202" s="5">
        <v>0</v>
      </c>
      <c r="Z202" s="5">
        <v>36243882445</v>
      </c>
      <c r="AA202" s="5">
        <v>20298851419</v>
      </c>
      <c r="AB202" s="5">
        <v>1021006514056</v>
      </c>
      <c r="AC202" s="5">
        <v>125447271139</v>
      </c>
      <c r="AD202" s="36">
        <f t="shared" si="17"/>
        <v>668.82005597661839</v>
      </c>
      <c r="AE202" s="5">
        <v>1011606957157</v>
      </c>
      <c r="AF202" s="5">
        <v>1011606957157</v>
      </c>
      <c r="AG202" s="5">
        <v>0</v>
      </c>
      <c r="AH202" s="5">
        <v>2100000000</v>
      </c>
      <c r="AI202" s="5">
        <v>0</v>
      </c>
      <c r="AJ202" s="5">
        <v>0</v>
      </c>
      <c r="AK202" s="5">
        <v>0</v>
      </c>
      <c r="AL202" s="6">
        <v>0</v>
      </c>
      <c r="AM202" s="5">
        <v>0</v>
      </c>
      <c r="AN202" s="6">
        <v>97</v>
      </c>
      <c r="AO202" s="5">
        <v>716598374825</v>
      </c>
      <c r="AP202" s="6">
        <v>23</v>
      </c>
      <c r="AQ202" s="5">
        <v>179701662248</v>
      </c>
      <c r="AR202" s="5">
        <v>3061791270</v>
      </c>
      <c r="AS202" s="5">
        <v>0</v>
      </c>
      <c r="AT202" s="5">
        <f t="shared" si="18"/>
        <v>3061791270</v>
      </c>
      <c r="AU202" s="36">
        <f t="shared" si="19"/>
        <v>0</v>
      </c>
      <c r="AV202" s="5">
        <v>219469895745</v>
      </c>
      <c r="AW202" s="5">
        <v>20215445906</v>
      </c>
      <c r="AX202" s="5">
        <v>222436082199</v>
      </c>
      <c r="AY202" s="5">
        <v>479778484381</v>
      </c>
      <c r="AZ202" s="5">
        <v>551434919432</v>
      </c>
      <c r="BA202" s="5">
        <v>528969022108</v>
      </c>
      <c r="BB202" s="5">
        <v>551080785916</v>
      </c>
      <c r="BC202" s="5">
        <v>1781853000562</v>
      </c>
      <c r="BD202" s="5">
        <v>750337427534</v>
      </c>
      <c r="BE202" s="5">
        <v>551434919432</v>
      </c>
      <c r="BF202" s="5">
        <v>480080653596</v>
      </c>
      <c r="BG202" s="5">
        <v>982856957157</v>
      </c>
      <c r="BH202" s="5">
        <v>28750000000</v>
      </c>
      <c r="BI202" s="5">
        <v>0</v>
      </c>
      <c r="BJ202" s="48">
        <v>0</v>
      </c>
      <c r="BK202" s="5">
        <v>0</v>
      </c>
      <c r="BL202" s="5">
        <v>0</v>
      </c>
      <c r="BM202" s="5">
        <v>0</v>
      </c>
      <c r="BN202" s="5">
        <v>2100000000</v>
      </c>
    </row>
    <row r="203" spans="1:66" x14ac:dyDescent="0.25">
      <c r="A203" s="17" t="s">
        <v>584</v>
      </c>
      <c r="B203" s="4">
        <v>1925</v>
      </c>
      <c r="C203" s="4" t="s">
        <v>626</v>
      </c>
      <c r="D203" s="5">
        <v>205326001284</v>
      </c>
      <c r="E203" s="5">
        <v>731293908</v>
      </c>
      <c r="F203" s="5">
        <v>0</v>
      </c>
      <c r="G203" s="5">
        <v>0</v>
      </c>
      <c r="H203" s="5">
        <v>206057295192</v>
      </c>
      <c r="I203" s="5">
        <v>15841390357</v>
      </c>
      <c r="J203" s="5">
        <v>49745000</v>
      </c>
      <c r="K203" s="5">
        <v>190166159835</v>
      </c>
      <c r="L203" s="5">
        <v>88747718287</v>
      </c>
      <c r="M203" s="5">
        <f t="shared" si="15"/>
        <v>117309576905</v>
      </c>
      <c r="N203" s="36">
        <f t="shared" si="16"/>
        <v>132.18320331981292</v>
      </c>
      <c r="O203" s="5">
        <v>0</v>
      </c>
      <c r="P203" s="36">
        <v>0</v>
      </c>
      <c r="Q203" s="6">
        <v>0</v>
      </c>
      <c r="R203" s="6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36">
        <f t="shared" si="17"/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6">
        <v>0</v>
      </c>
      <c r="AM203" s="5">
        <v>0</v>
      </c>
      <c r="AN203" s="6">
        <v>0</v>
      </c>
      <c r="AO203" s="5">
        <v>0</v>
      </c>
      <c r="AP203" s="6">
        <v>0</v>
      </c>
      <c r="AQ203" s="5">
        <v>0</v>
      </c>
      <c r="AR203" s="5">
        <v>0</v>
      </c>
      <c r="AS203" s="5">
        <v>0</v>
      </c>
      <c r="AT203" s="5">
        <f t="shared" si="18"/>
        <v>0</v>
      </c>
      <c r="AU203" s="36">
        <f t="shared" si="19"/>
        <v>0</v>
      </c>
      <c r="AV203" s="5">
        <v>0</v>
      </c>
      <c r="AW203" s="5">
        <v>0</v>
      </c>
      <c r="AX203" s="5">
        <v>3164917845</v>
      </c>
      <c r="AY203" s="5">
        <v>15945833195</v>
      </c>
      <c r="AZ203" s="5">
        <v>84529850244</v>
      </c>
      <c r="BA203" s="5">
        <v>102443514252</v>
      </c>
      <c r="BB203" s="5">
        <v>84005646458</v>
      </c>
      <c r="BC203" s="5">
        <v>206057295192</v>
      </c>
      <c r="BD203" s="5">
        <v>19842044948</v>
      </c>
      <c r="BE203" s="5">
        <v>84529850244</v>
      </c>
      <c r="BF203" s="5">
        <v>101685400000</v>
      </c>
      <c r="BG203" s="5">
        <v>0</v>
      </c>
      <c r="BH203" s="5">
        <v>0</v>
      </c>
      <c r="BI203" s="5">
        <v>0</v>
      </c>
      <c r="BJ203" s="48">
        <v>0</v>
      </c>
      <c r="BK203" s="5">
        <v>0</v>
      </c>
      <c r="BL203" s="5">
        <v>0</v>
      </c>
      <c r="BM203" s="5">
        <v>0</v>
      </c>
      <c r="BN203" s="5">
        <v>0</v>
      </c>
    </row>
    <row r="204" spans="1:66" x14ac:dyDescent="0.25">
      <c r="A204" s="17" t="s">
        <v>584</v>
      </c>
      <c r="B204" s="4">
        <v>1999</v>
      </c>
      <c r="C204" s="4" t="s">
        <v>243</v>
      </c>
      <c r="D204" s="5">
        <v>0</v>
      </c>
      <c r="E204" s="5">
        <v>15241961141</v>
      </c>
      <c r="F204" s="5">
        <v>0</v>
      </c>
      <c r="G204" s="5">
        <v>0</v>
      </c>
      <c r="H204" s="5">
        <v>15241961141</v>
      </c>
      <c r="I204" s="5">
        <v>1160409224</v>
      </c>
      <c r="J204" s="5">
        <v>278866346932</v>
      </c>
      <c r="K204" s="5">
        <v>-264784795015</v>
      </c>
      <c r="L204" s="5">
        <v>16492209004</v>
      </c>
      <c r="M204" s="5">
        <f t="shared" si="15"/>
        <v>-1250247863</v>
      </c>
      <c r="N204" s="36">
        <f t="shared" si="16"/>
        <v>-7.5808393084077847</v>
      </c>
      <c r="O204" s="5">
        <v>0</v>
      </c>
      <c r="P204" s="36">
        <v>0</v>
      </c>
      <c r="Q204" s="6">
        <v>0</v>
      </c>
      <c r="R204" s="6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36">
        <f t="shared" si="17"/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6">
        <v>0</v>
      </c>
      <c r="AM204" s="5">
        <v>0</v>
      </c>
      <c r="AN204" s="6">
        <v>0</v>
      </c>
      <c r="AO204" s="5">
        <v>0</v>
      </c>
      <c r="AP204" s="6">
        <v>0</v>
      </c>
      <c r="AQ204" s="5">
        <v>0</v>
      </c>
      <c r="AR204" s="5">
        <v>0</v>
      </c>
      <c r="AS204" s="5">
        <v>0</v>
      </c>
      <c r="AT204" s="5">
        <f t="shared" si="18"/>
        <v>0</v>
      </c>
      <c r="AU204" s="36">
        <f t="shared" si="19"/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15241961141</v>
      </c>
      <c r="BD204" s="5">
        <v>15241961141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48">
        <v>0</v>
      </c>
      <c r="BK204" s="5">
        <v>0</v>
      </c>
      <c r="BL204" s="5">
        <v>0</v>
      </c>
      <c r="BM204" s="5">
        <v>0</v>
      </c>
      <c r="BN204" s="5">
        <v>0</v>
      </c>
    </row>
    <row r="205" spans="1:66" x14ac:dyDescent="0.25">
      <c r="A205" s="30" t="s">
        <v>585</v>
      </c>
      <c r="B205" s="13" t="s">
        <v>625</v>
      </c>
      <c r="C205" s="13" t="s">
        <v>625</v>
      </c>
      <c r="D205" s="14">
        <v>53317108952388</v>
      </c>
      <c r="E205" s="14">
        <v>2511910743658</v>
      </c>
      <c r="F205" s="14">
        <v>121000000000</v>
      </c>
      <c r="G205" s="14">
        <v>719464881862</v>
      </c>
      <c r="H205" s="14">
        <v>56669484577908</v>
      </c>
      <c r="I205" s="14">
        <v>4769496439949</v>
      </c>
      <c r="J205" s="14">
        <v>372866055446</v>
      </c>
      <c r="K205" s="14">
        <v>51527122082513</v>
      </c>
      <c r="L205" s="14">
        <v>39077617354895</v>
      </c>
      <c r="M205" s="14">
        <f t="shared" si="15"/>
        <v>17591867223013</v>
      </c>
      <c r="N205" s="41">
        <f t="shared" si="16"/>
        <v>45.017758025642216</v>
      </c>
      <c r="O205" s="14">
        <v>54721181666936</v>
      </c>
      <c r="P205" s="41">
        <v>115.39</v>
      </c>
      <c r="Q205" s="15">
        <v>106.2</v>
      </c>
      <c r="R205" s="15">
        <v>5.94</v>
      </c>
      <c r="S205" s="14">
        <v>58643426445345</v>
      </c>
      <c r="T205" s="14">
        <v>3823560093215</v>
      </c>
      <c r="U205" s="14">
        <v>1936970497760</v>
      </c>
      <c r="V205" s="14">
        <v>1502768620360</v>
      </c>
      <c r="W205" s="14">
        <v>383820975095</v>
      </c>
      <c r="X205" s="14">
        <v>62466986538560</v>
      </c>
      <c r="Y205" s="14">
        <v>61616958385</v>
      </c>
      <c r="Z205" s="14">
        <v>2617818407526</v>
      </c>
      <c r="AA205" s="14">
        <v>304091482971</v>
      </c>
      <c r="AB205" s="14">
        <v>65388896429057</v>
      </c>
      <c r="AC205" s="14">
        <v>40106584569266</v>
      </c>
      <c r="AD205" s="41">
        <f t="shared" si="17"/>
        <v>55.752446161743116</v>
      </c>
      <c r="AE205" s="14">
        <v>53005111783257</v>
      </c>
      <c r="AF205" s="14">
        <v>51327065321707</v>
      </c>
      <c r="AG205" s="14">
        <v>13186009351151</v>
      </c>
      <c r="AH205" s="14">
        <v>1896169125935</v>
      </c>
      <c r="AI205" s="14">
        <v>0</v>
      </c>
      <c r="AJ205" s="14">
        <v>0</v>
      </c>
      <c r="AK205" s="14">
        <v>28749827163</v>
      </c>
      <c r="AL205" s="15">
        <v>113</v>
      </c>
      <c r="AM205" s="14">
        <v>15548345103185</v>
      </c>
      <c r="AN205" s="16">
        <v>1513</v>
      </c>
      <c r="AO205" s="14">
        <v>20764344981747</v>
      </c>
      <c r="AP205" s="16">
        <v>1404</v>
      </c>
      <c r="AQ205" s="14">
        <v>14633216061253</v>
      </c>
      <c r="AR205" s="14">
        <v>3823560093215</v>
      </c>
      <c r="AS205" s="14">
        <v>467940633635</v>
      </c>
      <c r="AT205" s="14">
        <f t="shared" si="18"/>
        <v>3355619459580</v>
      </c>
      <c r="AU205" s="41">
        <f t="shared" si="19"/>
        <v>717.1036705047992</v>
      </c>
      <c r="AV205" s="14">
        <v>33672584442520</v>
      </c>
      <c r="AW205" s="14">
        <v>5898297761228</v>
      </c>
      <c r="AX205" s="14">
        <v>11957127002719</v>
      </c>
      <c r="AY205" s="14">
        <v>6050189487834</v>
      </c>
      <c r="AZ205" s="14">
        <v>14603728377725</v>
      </c>
      <c r="BA205" s="14">
        <v>24500983870866</v>
      </c>
      <c r="BB205" s="14">
        <v>11306757316722</v>
      </c>
      <c r="BC205" s="14">
        <v>56669484577908</v>
      </c>
      <c r="BD205" s="14">
        <v>20809523254790</v>
      </c>
      <c r="BE205" s="14">
        <v>14724619277725</v>
      </c>
      <c r="BF205" s="14">
        <v>21135342045393</v>
      </c>
      <c r="BG205" s="14">
        <v>43739481905403</v>
      </c>
      <c r="BH205" s="14">
        <v>9265629877854</v>
      </c>
      <c r="BI205" s="14">
        <v>846018096744</v>
      </c>
      <c r="BJ205" s="49">
        <v>132290475227</v>
      </c>
      <c r="BK205" s="14">
        <v>9568517964411</v>
      </c>
      <c r="BL205" s="14">
        <v>0</v>
      </c>
      <c r="BM205" s="14">
        <v>157398506525</v>
      </c>
      <c r="BN205" s="14">
        <v>1756357243804</v>
      </c>
    </row>
    <row r="206" spans="1:66" x14ac:dyDescent="0.25">
      <c r="A206" s="17" t="s">
        <v>586</v>
      </c>
      <c r="B206" s="4">
        <v>3900</v>
      </c>
      <c r="C206" s="4" t="s">
        <v>244</v>
      </c>
      <c r="D206" s="5">
        <v>4103873652927</v>
      </c>
      <c r="E206" s="5">
        <v>241922823729</v>
      </c>
      <c r="F206" s="5">
        <v>45000000000</v>
      </c>
      <c r="G206" s="5">
        <v>7833350966</v>
      </c>
      <c r="H206" s="5">
        <v>4398629827622</v>
      </c>
      <c r="I206" s="5">
        <v>291731862376</v>
      </c>
      <c r="J206" s="5">
        <v>40614460559</v>
      </c>
      <c r="K206" s="5">
        <v>4066283504687</v>
      </c>
      <c r="L206" s="5">
        <v>2336543174750</v>
      </c>
      <c r="M206" s="5">
        <f t="shared" si="15"/>
        <v>2062086652872</v>
      </c>
      <c r="N206" s="36">
        <f t="shared" si="16"/>
        <v>88.253736338196887</v>
      </c>
      <c r="O206" s="5">
        <v>7588573104718</v>
      </c>
      <c r="P206" s="36">
        <v>217.91</v>
      </c>
      <c r="Q206" s="6">
        <v>186.62</v>
      </c>
      <c r="R206" s="6">
        <v>3.72</v>
      </c>
      <c r="S206" s="5">
        <v>8829395578691</v>
      </c>
      <c r="T206" s="5">
        <v>351992319849</v>
      </c>
      <c r="U206" s="5">
        <v>131750051985</v>
      </c>
      <c r="V206" s="5">
        <v>219326240909</v>
      </c>
      <c r="W206" s="5">
        <v>916026955</v>
      </c>
      <c r="X206" s="5">
        <v>9181387898540</v>
      </c>
      <c r="Y206" s="5">
        <v>4162974209</v>
      </c>
      <c r="Z206" s="5">
        <v>359647429011</v>
      </c>
      <c r="AA206" s="5">
        <v>44140911516</v>
      </c>
      <c r="AB206" s="5">
        <v>9585176239067</v>
      </c>
      <c r="AC206" s="5">
        <v>7109314793546</v>
      </c>
      <c r="AD206" s="36">
        <f t="shared" si="17"/>
        <v>29.145890499532751</v>
      </c>
      <c r="AE206" s="5">
        <v>4311635878431</v>
      </c>
      <c r="AF206" s="5">
        <v>4170139315207</v>
      </c>
      <c r="AG206" s="5">
        <v>128083326360</v>
      </c>
      <c r="AH206" s="5">
        <v>103715749965</v>
      </c>
      <c r="AI206" s="5">
        <v>90711853633</v>
      </c>
      <c r="AJ206" s="5">
        <v>0</v>
      </c>
      <c r="AK206" s="5">
        <v>0</v>
      </c>
      <c r="AL206" s="6">
        <v>2</v>
      </c>
      <c r="AM206" s="5">
        <v>59506293660</v>
      </c>
      <c r="AN206" s="6">
        <v>200</v>
      </c>
      <c r="AO206" s="5">
        <v>1640364936175</v>
      </c>
      <c r="AP206" s="6">
        <v>208</v>
      </c>
      <c r="AQ206" s="5">
        <v>2000725913354</v>
      </c>
      <c r="AR206" s="5">
        <v>351992319849</v>
      </c>
      <c r="AS206" s="5">
        <v>283370891293</v>
      </c>
      <c r="AT206" s="5">
        <f t="shared" si="18"/>
        <v>68621428556</v>
      </c>
      <c r="AU206" s="36">
        <f t="shared" si="19"/>
        <v>24.216117697511415</v>
      </c>
      <c r="AV206" s="5">
        <v>2772194592436</v>
      </c>
      <c r="AW206" s="5">
        <v>838735254748</v>
      </c>
      <c r="AX206" s="5">
        <v>408438931766</v>
      </c>
      <c r="AY206" s="5">
        <v>2216553971225</v>
      </c>
      <c r="AZ206" s="5">
        <v>1045416943273</v>
      </c>
      <c r="BA206" s="5">
        <v>632655992919</v>
      </c>
      <c r="BB206" s="5">
        <v>747882583870</v>
      </c>
      <c r="BC206" s="5">
        <v>4398629827622</v>
      </c>
      <c r="BD206" s="5">
        <v>2812809666572</v>
      </c>
      <c r="BE206" s="5">
        <v>1090416943273</v>
      </c>
      <c r="BF206" s="5">
        <v>495403217777</v>
      </c>
      <c r="BG206" s="5">
        <v>2693109744425</v>
      </c>
      <c r="BH206" s="5">
        <v>1618526134006</v>
      </c>
      <c r="BI206" s="5">
        <v>0</v>
      </c>
      <c r="BJ206" s="48">
        <v>0</v>
      </c>
      <c r="BK206" s="5">
        <v>128083326360</v>
      </c>
      <c r="BL206" s="5">
        <v>67332745094</v>
      </c>
      <c r="BM206" s="5">
        <v>0</v>
      </c>
      <c r="BN206" s="5">
        <v>6957804000</v>
      </c>
    </row>
    <row r="207" spans="1:66" x14ac:dyDescent="0.25">
      <c r="A207" s="17" t="s">
        <v>586</v>
      </c>
      <c r="B207" s="4">
        <v>3901</v>
      </c>
      <c r="C207" s="4" t="s">
        <v>245</v>
      </c>
      <c r="D207" s="5">
        <v>2843547129404</v>
      </c>
      <c r="E207" s="5">
        <v>93998673149</v>
      </c>
      <c r="F207" s="5">
        <v>0</v>
      </c>
      <c r="G207" s="5">
        <v>0</v>
      </c>
      <c r="H207" s="5">
        <v>2937545802553</v>
      </c>
      <c r="I207" s="5">
        <v>222550909324</v>
      </c>
      <c r="J207" s="5">
        <v>1945478296</v>
      </c>
      <c r="K207" s="5">
        <v>2713049414933</v>
      </c>
      <c r="L207" s="5">
        <v>1491862276072</v>
      </c>
      <c r="M207" s="5">
        <f t="shared" si="15"/>
        <v>1445683526481</v>
      </c>
      <c r="N207" s="36">
        <f t="shared" si="16"/>
        <v>96.904623816041095</v>
      </c>
      <c r="O207" s="5">
        <v>3600590552746</v>
      </c>
      <c r="P207" s="36">
        <v>142.03</v>
      </c>
      <c r="Q207" s="6">
        <v>132.71</v>
      </c>
      <c r="R207" s="6">
        <v>2.2599999999999998</v>
      </c>
      <c r="S207" s="5">
        <v>3903604613080</v>
      </c>
      <c r="T207" s="5">
        <v>90785894038</v>
      </c>
      <c r="U207" s="5">
        <v>83106233171</v>
      </c>
      <c r="V207" s="5">
        <v>1979992710</v>
      </c>
      <c r="W207" s="5">
        <v>5699668157</v>
      </c>
      <c r="X207" s="5">
        <v>3994390507118</v>
      </c>
      <c r="Y207" s="5">
        <v>3534916059</v>
      </c>
      <c r="Z207" s="5">
        <v>154831863093</v>
      </c>
      <c r="AA207" s="5">
        <v>23058395000</v>
      </c>
      <c r="AB207" s="5">
        <v>4172280765211</v>
      </c>
      <c r="AC207" s="5">
        <v>3905406106533</v>
      </c>
      <c r="AD207" s="36">
        <f t="shared" si="17"/>
        <v>2.2784928931243811</v>
      </c>
      <c r="AE207" s="5">
        <v>2651559938859</v>
      </c>
      <c r="AF207" s="5">
        <v>2590960218896</v>
      </c>
      <c r="AG207" s="5">
        <v>376190534257</v>
      </c>
      <c r="AH207" s="5">
        <v>0</v>
      </c>
      <c r="AI207" s="5">
        <v>65107999844</v>
      </c>
      <c r="AJ207" s="5">
        <v>0</v>
      </c>
      <c r="AK207" s="5">
        <v>0</v>
      </c>
      <c r="AL207" s="6">
        <v>6</v>
      </c>
      <c r="AM207" s="5">
        <v>1132056480666</v>
      </c>
      <c r="AN207" s="6">
        <v>93</v>
      </c>
      <c r="AO207" s="5">
        <v>580089866560</v>
      </c>
      <c r="AP207" s="6">
        <v>33</v>
      </c>
      <c r="AQ207" s="5">
        <v>96687019140</v>
      </c>
      <c r="AR207" s="5">
        <v>90785894038</v>
      </c>
      <c r="AS207" s="5">
        <v>26049560821</v>
      </c>
      <c r="AT207" s="5">
        <f t="shared" si="18"/>
        <v>64736333217</v>
      </c>
      <c r="AU207" s="36">
        <f t="shared" si="19"/>
        <v>248.51218668075373</v>
      </c>
      <c r="AV207" s="5">
        <v>2412875873879</v>
      </c>
      <c r="AW207" s="5">
        <v>389419659936</v>
      </c>
      <c r="AX207" s="5">
        <v>491469807336</v>
      </c>
      <c r="AY207" s="5">
        <v>435437846417</v>
      </c>
      <c r="AZ207" s="5">
        <v>1575816836841</v>
      </c>
      <c r="BA207" s="5">
        <v>413476118870</v>
      </c>
      <c r="BB207" s="5">
        <v>1469555040754</v>
      </c>
      <c r="BC207" s="5">
        <v>2937545802553</v>
      </c>
      <c r="BD207" s="5">
        <v>1017341929020</v>
      </c>
      <c r="BE207" s="5">
        <v>1575766836841</v>
      </c>
      <c r="BF207" s="5">
        <v>344437036692</v>
      </c>
      <c r="BG207" s="5">
        <v>1599526337273</v>
      </c>
      <c r="BH207" s="5">
        <v>1052033601586</v>
      </c>
      <c r="BI207" s="5">
        <v>0</v>
      </c>
      <c r="BJ207" s="48">
        <v>0</v>
      </c>
      <c r="BK207" s="5">
        <v>351182400073</v>
      </c>
      <c r="BL207" s="5">
        <v>0</v>
      </c>
      <c r="BM207" s="5">
        <v>0</v>
      </c>
      <c r="BN207" s="5">
        <v>0</v>
      </c>
    </row>
    <row r="208" spans="1:66" x14ac:dyDescent="0.25">
      <c r="A208" s="17" t="s">
        <v>586</v>
      </c>
      <c r="B208" s="4">
        <v>3902</v>
      </c>
      <c r="C208" s="4" t="s">
        <v>246</v>
      </c>
      <c r="D208" s="5">
        <v>1526695713979</v>
      </c>
      <c r="E208" s="5">
        <v>47525838584</v>
      </c>
      <c r="F208" s="5">
        <v>0</v>
      </c>
      <c r="G208" s="5">
        <v>0</v>
      </c>
      <c r="H208" s="5">
        <v>1574221552563</v>
      </c>
      <c r="I208" s="5">
        <v>137119549163</v>
      </c>
      <c r="J208" s="5">
        <v>57855990</v>
      </c>
      <c r="K208" s="5">
        <v>1437044147410</v>
      </c>
      <c r="L208" s="5">
        <v>868448665765</v>
      </c>
      <c r="M208" s="5">
        <f t="shared" si="15"/>
        <v>705772886798</v>
      </c>
      <c r="N208" s="36">
        <f t="shared" si="16"/>
        <v>81.268233186390816</v>
      </c>
      <c r="O208" s="5">
        <v>2913041378394</v>
      </c>
      <c r="P208" s="36">
        <v>202.39</v>
      </c>
      <c r="Q208" s="6">
        <v>202.71</v>
      </c>
      <c r="R208" s="6">
        <v>2.2400000000000002</v>
      </c>
      <c r="S208" s="5">
        <v>2903931089917</v>
      </c>
      <c r="T208" s="5">
        <v>70839614704</v>
      </c>
      <c r="U208" s="5">
        <v>54150684464</v>
      </c>
      <c r="V208" s="5">
        <v>16688930240</v>
      </c>
      <c r="W208" s="5">
        <v>0</v>
      </c>
      <c r="X208" s="5">
        <v>2974770704621</v>
      </c>
      <c r="Y208" s="5">
        <v>561873303</v>
      </c>
      <c r="Z208" s="5">
        <v>201726956398</v>
      </c>
      <c r="AA208" s="5">
        <v>9499700000</v>
      </c>
      <c r="AB208" s="5">
        <v>3185997361019</v>
      </c>
      <c r="AC208" s="5">
        <v>1851359117655</v>
      </c>
      <c r="AD208" s="36">
        <f t="shared" si="17"/>
        <v>60.680371314937254</v>
      </c>
      <c r="AE208" s="5">
        <v>2074769764730</v>
      </c>
      <c r="AF208" s="5">
        <v>2066717720883</v>
      </c>
      <c r="AG208" s="5">
        <v>8781044800</v>
      </c>
      <c r="AH208" s="5">
        <v>0</v>
      </c>
      <c r="AI208" s="5">
        <v>28580452227</v>
      </c>
      <c r="AJ208" s="5">
        <v>0</v>
      </c>
      <c r="AK208" s="5">
        <v>14650000000</v>
      </c>
      <c r="AL208" s="6">
        <v>1</v>
      </c>
      <c r="AM208" s="5">
        <v>323570994169</v>
      </c>
      <c r="AN208" s="6">
        <v>51</v>
      </c>
      <c r="AO208" s="5">
        <v>611187107868</v>
      </c>
      <c r="AP208" s="6">
        <v>36</v>
      </c>
      <c r="AQ208" s="5">
        <v>127712832516</v>
      </c>
      <c r="AR208" s="5">
        <v>70839614704</v>
      </c>
      <c r="AS208" s="5">
        <v>50643133551</v>
      </c>
      <c r="AT208" s="5">
        <f t="shared" si="18"/>
        <v>20196481153</v>
      </c>
      <c r="AU208" s="36">
        <f t="shared" si="19"/>
        <v>39.879998998603043</v>
      </c>
      <c r="AV208" s="5">
        <v>776477546854</v>
      </c>
      <c r="AW208" s="5">
        <v>324970243550</v>
      </c>
      <c r="AX208" s="5">
        <v>516113217210</v>
      </c>
      <c r="AY208" s="5">
        <v>256047510053</v>
      </c>
      <c r="AZ208" s="5">
        <v>526093986716</v>
      </c>
      <c r="BA208" s="5">
        <v>309110164128</v>
      </c>
      <c r="BB208" s="5">
        <v>472298793484</v>
      </c>
      <c r="BC208" s="5">
        <v>1574221552563</v>
      </c>
      <c r="BD208" s="5">
        <v>816125554660</v>
      </c>
      <c r="BE208" s="5">
        <v>526093986716</v>
      </c>
      <c r="BF208" s="5">
        <v>232002011187</v>
      </c>
      <c r="BG208" s="5">
        <v>1555814835120</v>
      </c>
      <c r="BH208" s="5">
        <v>518954929610</v>
      </c>
      <c r="BI208" s="5">
        <v>0</v>
      </c>
      <c r="BJ208" s="48">
        <v>0</v>
      </c>
      <c r="BK208" s="5">
        <v>9878675400</v>
      </c>
      <c r="BL208" s="5">
        <v>0</v>
      </c>
      <c r="BM208" s="5">
        <v>0</v>
      </c>
      <c r="BN208" s="5">
        <v>0</v>
      </c>
    </row>
    <row r="209" spans="1:66" x14ac:dyDescent="0.25">
      <c r="A209" s="17" t="s">
        <v>586</v>
      </c>
      <c r="B209" s="4">
        <v>3904</v>
      </c>
      <c r="C209" s="4" t="s">
        <v>247</v>
      </c>
      <c r="D209" s="5">
        <v>1087951578792</v>
      </c>
      <c r="E209" s="5">
        <v>4863247325</v>
      </c>
      <c r="F209" s="5">
        <v>0</v>
      </c>
      <c r="G209" s="5">
        <v>0</v>
      </c>
      <c r="H209" s="5">
        <v>1092814826117</v>
      </c>
      <c r="I209" s="5">
        <v>95214402738</v>
      </c>
      <c r="J209" s="5">
        <v>256143990</v>
      </c>
      <c r="K209" s="5">
        <v>997344279389</v>
      </c>
      <c r="L209" s="5">
        <v>554488551171</v>
      </c>
      <c r="M209" s="5">
        <f t="shared" si="15"/>
        <v>538326274946</v>
      </c>
      <c r="N209" s="36">
        <f t="shared" si="16"/>
        <v>97.085192076397689</v>
      </c>
      <c r="O209" s="5">
        <v>1947030728300</v>
      </c>
      <c r="P209" s="36">
        <v>208.77</v>
      </c>
      <c r="Q209" s="6">
        <v>195.22</v>
      </c>
      <c r="R209" s="6">
        <v>1.48</v>
      </c>
      <c r="S209" s="5">
        <v>2065219345349</v>
      </c>
      <c r="T209" s="5">
        <v>31656085477</v>
      </c>
      <c r="U209" s="5">
        <v>30380999721</v>
      </c>
      <c r="V209" s="5">
        <v>460939227</v>
      </c>
      <c r="W209" s="5">
        <v>814146529</v>
      </c>
      <c r="X209" s="5">
        <v>2096875430826</v>
      </c>
      <c r="Y209" s="5">
        <v>2190442019</v>
      </c>
      <c r="Z209" s="5">
        <v>174638436051</v>
      </c>
      <c r="AA209" s="5">
        <v>9979760000</v>
      </c>
      <c r="AB209" s="5">
        <v>2281493626877</v>
      </c>
      <c r="AC209" s="5">
        <v>1092521715895</v>
      </c>
      <c r="AD209" s="36">
        <f t="shared" si="17"/>
        <v>91.929862841053705</v>
      </c>
      <c r="AE209" s="5">
        <v>1398671473907</v>
      </c>
      <c r="AF209" s="5">
        <v>1360410560936</v>
      </c>
      <c r="AG209" s="5">
        <v>0</v>
      </c>
      <c r="AH209" s="5">
        <v>0</v>
      </c>
      <c r="AI209" s="5">
        <v>58509202142</v>
      </c>
      <c r="AJ209" s="5">
        <v>0</v>
      </c>
      <c r="AK209" s="5">
        <v>0</v>
      </c>
      <c r="AL209" s="6">
        <v>0</v>
      </c>
      <c r="AM209" s="5">
        <v>0</v>
      </c>
      <c r="AN209" s="6">
        <v>6</v>
      </c>
      <c r="AO209" s="5">
        <v>3307868771</v>
      </c>
      <c r="AP209" s="6">
        <v>6</v>
      </c>
      <c r="AQ209" s="5">
        <v>837674898</v>
      </c>
      <c r="AR209" s="5">
        <v>31656085477</v>
      </c>
      <c r="AS209" s="5">
        <v>8475290838</v>
      </c>
      <c r="AT209" s="5">
        <f t="shared" si="18"/>
        <v>23180794639</v>
      </c>
      <c r="AU209" s="36">
        <f t="shared" si="19"/>
        <v>273.51031465570571</v>
      </c>
      <c r="AV209" s="5">
        <v>455327522754</v>
      </c>
      <c r="AW209" s="5">
        <v>180489871925</v>
      </c>
      <c r="AX209" s="5">
        <v>233620703649</v>
      </c>
      <c r="AY209" s="5">
        <v>220155493612</v>
      </c>
      <c r="AZ209" s="5">
        <v>481382402449</v>
      </c>
      <c r="BA209" s="5">
        <v>186991087782</v>
      </c>
      <c r="BB209" s="5">
        <v>421237441867</v>
      </c>
      <c r="BC209" s="5">
        <v>1092814826117</v>
      </c>
      <c r="BD209" s="5">
        <v>458518013386</v>
      </c>
      <c r="BE209" s="5">
        <v>481382402449</v>
      </c>
      <c r="BF209" s="5">
        <v>152914410282</v>
      </c>
      <c r="BG209" s="5">
        <v>893109554706</v>
      </c>
      <c r="BH209" s="5">
        <v>505561919201</v>
      </c>
      <c r="BI209" s="5">
        <v>0</v>
      </c>
      <c r="BJ209" s="48">
        <v>0</v>
      </c>
      <c r="BK209" s="5">
        <v>0</v>
      </c>
      <c r="BL209" s="5">
        <v>0</v>
      </c>
      <c r="BM209" s="5">
        <v>0</v>
      </c>
      <c r="BN209" s="5">
        <v>0</v>
      </c>
    </row>
    <row r="210" spans="1:66" x14ac:dyDescent="0.25">
      <c r="A210" s="17" t="s">
        <v>586</v>
      </c>
      <c r="B210" s="4">
        <v>3905</v>
      </c>
      <c r="C210" s="4" t="s">
        <v>248</v>
      </c>
      <c r="D210" s="5">
        <v>2295457771837</v>
      </c>
      <c r="E210" s="5">
        <v>33213224012</v>
      </c>
      <c r="F210" s="5">
        <v>0</v>
      </c>
      <c r="G210" s="5">
        <v>0</v>
      </c>
      <c r="H210" s="5">
        <v>2328670995849</v>
      </c>
      <c r="I210" s="5">
        <v>179673194877</v>
      </c>
      <c r="J210" s="5">
        <v>465780000</v>
      </c>
      <c r="K210" s="5">
        <v>2148532020972</v>
      </c>
      <c r="L210" s="5">
        <v>1665170888151</v>
      </c>
      <c r="M210" s="5">
        <f t="shared" si="15"/>
        <v>663500107698</v>
      </c>
      <c r="N210" s="36">
        <f t="shared" si="16"/>
        <v>39.845766726966275</v>
      </c>
      <c r="O210" s="5">
        <v>2822148443632</v>
      </c>
      <c r="P210" s="36">
        <v>141.16999999999999</v>
      </c>
      <c r="Q210" s="6">
        <v>131.35</v>
      </c>
      <c r="R210" s="6">
        <v>1.71</v>
      </c>
      <c r="S210" s="5">
        <v>3041809112123</v>
      </c>
      <c r="T210" s="5">
        <v>55721341819</v>
      </c>
      <c r="U210" s="5">
        <v>49993620840</v>
      </c>
      <c r="V210" s="5">
        <v>4430318625</v>
      </c>
      <c r="W210" s="5">
        <v>1297402354</v>
      </c>
      <c r="X210" s="5">
        <v>3097530453942</v>
      </c>
      <c r="Y210" s="5">
        <v>385480674</v>
      </c>
      <c r="Z210" s="5">
        <v>159099688040</v>
      </c>
      <c r="AA210" s="5">
        <v>30797226000</v>
      </c>
      <c r="AB210" s="5">
        <v>3287427367982</v>
      </c>
      <c r="AC210" s="5">
        <v>2208490243985</v>
      </c>
      <c r="AD210" s="36">
        <f t="shared" si="17"/>
        <v>40.255564287792176</v>
      </c>
      <c r="AE210" s="5">
        <v>2034328529910</v>
      </c>
      <c r="AF210" s="5">
        <v>2014328529910</v>
      </c>
      <c r="AG210" s="5">
        <v>271103779863</v>
      </c>
      <c r="AH210" s="5">
        <v>0</v>
      </c>
      <c r="AI210" s="5">
        <v>2775000000</v>
      </c>
      <c r="AJ210" s="5">
        <v>0</v>
      </c>
      <c r="AK210" s="5">
        <v>0</v>
      </c>
      <c r="AL210" s="6">
        <v>20</v>
      </c>
      <c r="AM210" s="5">
        <v>825859924414</v>
      </c>
      <c r="AN210" s="6">
        <v>28</v>
      </c>
      <c r="AO210" s="5">
        <v>389932515758</v>
      </c>
      <c r="AP210" s="6">
        <v>24</v>
      </c>
      <c r="AQ210" s="5">
        <v>228554896488</v>
      </c>
      <c r="AR210" s="5">
        <v>55721341819</v>
      </c>
      <c r="AS210" s="5">
        <v>22440024364</v>
      </c>
      <c r="AT210" s="5">
        <f t="shared" si="18"/>
        <v>33281317455</v>
      </c>
      <c r="AU210" s="36">
        <f t="shared" si="19"/>
        <v>148.31230534843996</v>
      </c>
      <c r="AV210" s="5">
        <v>1089611817321</v>
      </c>
      <c r="AW210" s="5">
        <v>251758205542</v>
      </c>
      <c r="AX210" s="5">
        <v>250509868848</v>
      </c>
      <c r="AY210" s="5">
        <v>1134098005865</v>
      </c>
      <c r="AZ210" s="5">
        <v>509832795478</v>
      </c>
      <c r="BA210" s="5">
        <v>413623991998</v>
      </c>
      <c r="BB210" s="5">
        <v>455953834486</v>
      </c>
      <c r="BC210" s="5">
        <v>2328670995849</v>
      </c>
      <c r="BD210" s="5">
        <v>1417821098725</v>
      </c>
      <c r="BE210" s="5">
        <v>509832795478</v>
      </c>
      <c r="BF210" s="5">
        <v>401017101646</v>
      </c>
      <c r="BG210" s="5">
        <v>953708760040</v>
      </c>
      <c r="BH210" s="5">
        <v>1080619769870</v>
      </c>
      <c r="BI210" s="5">
        <v>0</v>
      </c>
      <c r="BJ210" s="48">
        <v>0</v>
      </c>
      <c r="BK210" s="5">
        <v>288551885624</v>
      </c>
      <c r="BL210" s="5">
        <v>0</v>
      </c>
      <c r="BM210" s="5">
        <v>0</v>
      </c>
      <c r="BN210" s="5">
        <v>0</v>
      </c>
    </row>
    <row r="211" spans="1:66" x14ac:dyDescent="0.25">
      <c r="A211" s="17" t="s">
        <v>586</v>
      </c>
      <c r="B211" s="18">
        <v>3906</v>
      </c>
      <c r="C211" s="18" t="s">
        <v>249</v>
      </c>
      <c r="D211" s="19">
        <v>683291119557</v>
      </c>
      <c r="E211" s="19">
        <v>2156057947</v>
      </c>
      <c r="F211" s="19">
        <v>0</v>
      </c>
      <c r="G211" s="19">
        <v>0</v>
      </c>
      <c r="H211" s="19">
        <v>685447177504</v>
      </c>
      <c r="I211" s="19">
        <v>60646653358</v>
      </c>
      <c r="J211" s="19">
        <v>1193382200</v>
      </c>
      <c r="K211" s="19">
        <v>623607141946</v>
      </c>
      <c r="L211" s="19">
        <v>445524144724</v>
      </c>
      <c r="M211" s="5">
        <f t="shared" si="15"/>
        <v>239923032780</v>
      </c>
      <c r="N211" s="36">
        <f t="shared" si="16"/>
        <v>53.85185867505141</v>
      </c>
      <c r="O211" s="19">
        <v>678319698579</v>
      </c>
      <c r="P211" s="36">
        <v>108.12</v>
      </c>
      <c r="Q211" s="20">
        <v>108.77</v>
      </c>
      <c r="R211" s="20">
        <v>0.63</v>
      </c>
      <c r="S211" s="19">
        <v>698592136700</v>
      </c>
      <c r="T211" s="19">
        <v>4661471412</v>
      </c>
      <c r="U211" s="19">
        <v>4525993412</v>
      </c>
      <c r="V211" s="19">
        <v>135478000</v>
      </c>
      <c r="W211" s="19">
        <v>0</v>
      </c>
      <c r="X211" s="19">
        <v>703253608112</v>
      </c>
      <c r="Y211" s="5">
        <v>0</v>
      </c>
      <c r="Z211" s="19">
        <v>32444887337</v>
      </c>
      <c r="AA211" s="19">
        <v>5380000000</v>
      </c>
      <c r="AB211" s="19">
        <v>741078495449</v>
      </c>
      <c r="AC211" s="19">
        <v>303366496562</v>
      </c>
      <c r="AD211" s="36">
        <f t="shared" si="17"/>
        <v>131.81650448610887</v>
      </c>
      <c r="AE211" s="19">
        <v>740815154774</v>
      </c>
      <c r="AF211" s="19">
        <v>740815154774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20">
        <v>0</v>
      </c>
      <c r="AM211" s="19">
        <v>0</v>
      </c>
      <c r="AN211" s="20">
        <v>3</v>
      </c>
      <c r="AO211" s="19">
        <v>300000000</v>
      </c>
      <c r="AP211" s="20">
        <v>0</v>
      </c>
      <c r="AQ211" s="19">
        <v>0</v>
      </c>
      <c r="AR211" s="19">
        <v>4661471412</v>
      </c>
      <c r="AS211" s="19">
        <v>9436596350</v>
      </c>
      <c r="AT211" s="5">
        <f t="shared" si="18"/>
        <v>-4775124938</v>
      </c>
      <c r="AU211" s="36">
        <f t="shared" si="19"/>
        <v>-50.602195546914544</v>
      </c>
      <c r="AV211" s="19">
        <v>198629933661</v>
      </c>
      <c r="AW211" s="19">
        <v>79667946594</v>
      </c>
      <c r="AX211" s="19">
        <v>127210579410</v>
      </c>
      <c r="AY211" s="19">
        <v>98628551810</v>
      </c>
      <c r="AZ211" s="19">
        <v>253063417331</v>
      </c>
      <c r="BA211" s="19">
        <v>229674948150</v>
      </c>
      <c r="BB211" s="19">
        <v>253063145198</v>
      </c>
      <c r="BC211" s="19">
        <v>685447177504</v>
      </c>
      <c r="BD211" s="19">
        <v>227995189167</v>
      </c>
      <c r="BE211" s="19">
        <v>253063417331</v>
      </c>
      <c r="BF211" s="19">
        <v>204388571006</v>
      </c>
      <c r="BG211" s="19">
        <v>609332004089</v>
      </c>
      <c r="BH211" s="19">
        <v>131483150685</v>
      </c>
      <c r="BI211" s="19">
        <v>0</v>
      </c>
      <c r="BJ211" s="50">
        <v>0</v>
      </c>
      <c r="BK211" s="19">
        <v>0</v>
      </c>
      <c r="BL211" s="19">
        <v>0</v>
      </c>
      <c r="BM211" s="19">
        <v>0</v>
      </c>
      <c r="BN211" s="19">
        <v>0</v>
      </c>
    </row>
    <row r="212" spans="1:66" x14ac:dyDescent="0.25">
      <c r="A212" s="17" t="s">
        <v>586</v>
      </c>
      <c r="B212" s="4">
        <v>3907</v>
      </c>
      <c r="C212" s="4" t="s">
        <v>250</v>
      </c>
      <c r="D212" s="5">
        <v>593526435625</v>
      </c>
      <c r="E212" s="5">
        <v>28497440193</v>
      </c>
      <c r="F212" s="5">
        <v>0</v>
      </c>
      <c r="G212" s="5">
        <v>0</v>
      </c>
      <c r="H212" s="5">
        <v>622023875818</v>
      </c>
      <c r="I212" s="5">
        <v>48252485681</v>
      </c>
      <c r="J212" s="5">
        <v>327805000</v>
      </c>
      <c r="K212" s="5">
        <v>573443585137</v>
      </c>
      <c r="L212" s="5">
        <v>301078922764</v>
      </c>
      <c r="M212" s="5">
        <f t="shared" si="15"/>
        <v>320944953054</v>
      </c>
      <c r="N212" s="36">
        <f t="shared" si="16"/>
        <v>106.59827998174816</v>
      </c>
      <c r="O212" s="5">
        <v>790146655432</v>
      </c>
      <c r="P212" s="36">
        <v>149.63</v>
      </c>
      <c r="Q212" s="6">
        <v>137.79</v>
      </c>
      <c r="R212" s="6">
        <v>1.4</v>
      </c>
      <c r="S212" s="5">
        <v>873701418453</v>
      </c>
      <c r="T212" s="5">
        <v>13044805247</v>
      </c>
      <c r="U212" s="5">
        <v>13044805247</v>
      </c>
      <c r="V212" s="5">
        <v>0</v>
      </c>
      <c r="W212" s="5">
        <v>0</v>
      </c>
      <c r="X212" s="5">
        <v>886746223700</v>
      </c>
      <c r="Y212" s="5">
        <v>0</v>
      </c>
      <c r="Z212" s="5">
        <v>39522240491</v>
      </c>
      <c r="AA212" s="5">
        <v>4451960820</v>
      </c>
      <c r="AB212" s="5">
        <v>930720425011</v>
      </c>
      <c r="AC212" s="5">
        <v>364519225423</v>
      </c>
      <c r="AD212" s="36">
        <f t="shared" si="17"/>
        <v>143.26459672215935</v>
      </c>
      <c r="AE212" s="5">
        <v>667556874800</v>
      </c>
      <c r="AF212" s="5">
        <v>667556874800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6">
        <v>0</v>
      </c>
      <c r="AM212" s="5">
        <v>0</v>
      </c>
      <c r="AN212" s="6">
        <v>30</v>
      </c>
      <c r="AO212" s="5">
        <v>410753606704</v>
      </c>
      <c r="AP212" s="6">
        <v>15</v>
      </c>
      <c r="AQ212" s="5">
        <v>189027557961</v>
      </c>
      <c r="AR212" s="5">
        <v>13044805247</v>
      </c>
      <c r="AS212" s="5">
        <v>0</v>
      </c>
      <c r="AT212" s="5">
        <f t="shared" si="18"/>
        <v>13044805247</v>
      </c>
      <c r="AU212" s="36">
        <f t="shared" si="19"/>
        <v>0</v>
      </c>
      <c r="AV212" s="5">
        <v>155234367715</v>
      </c>
      <c r="AW212" s="5">
        <v>33128812833</v>
      </c>
      <c r="AX212" s="5">
        <v>86087047662</v>
      </c>
      <c r="AY212" s="5">
        <v>56360932799</v>
      </c>
      <c r="AZ212" s="5">
        <v>319685455164</v>
      </c>
      <c r="BA212" s="5">
        <v>149597075876</v>
      </c>
      <c r="BB212" s="5">
        <v>317692014635</v>
      </c>
      <c r="BC212" s="5">
        <v>622023875818</v>
      </c>
      <c r="BD212" s="5">
        <v>170945420654</v>
      </c>
      <c r="BE212" s="5">
        <v>319685455164</v>
      </c>
      <c r="BF212" s="5">
        <v>131393000000</v>
      </c>
      <c r="BG212" s="5">
        <v>560806994800</v>
      </c>
      <c r="BH212" s="5">
        <v>106749880000</v>
      </c>
      <c r="BI212" s="5">
        <v>0</v>
      </c>
      <c r="BJ212" s="48">
        <v>0</v>
      </c>
      <c r="BK212" s="5">
        <v>0</v>
      </c>
      <c r="BL212" s="5">
        <v>0</v>
      </c>
      <c r="BM212" s="5">
        <v>0</v>
      </c>
      <c r="BN212" s="5">
        <v>0</v>
      </c>
    </row>
    <row r="213" spans="1:66" x14ac:dyDescent="0.25">
      <c r="A213" s="17" t="s">
        <v>586</v>
      </c>
      <c r="B213" s="4">
        <v>3999</v>
      </c>
      <c r="C213" s="4" t="s">
        <v>251</v>
      </c>
      <c r="D213" s="5">
        <v>0</v>
      </c>
      <c r="E213" s="5">
        <v>100800000</v>
      </c>
      <c r="F213" s="5">
        <v>0</v>
      </c>
      <c r="G213" s="5">
        <v>0</v>
      </c>
      <c r="H213" s="5">
        <v>100800000</v>
      </c>
      <c r="I213" s="5">
        <v>7813943</v>
      </c>
      <c r="J213" s="5">
        <v>335925000</v>
      </c>
      <c r="K213" s="5">
        <v>-242938943</v>
      </c>
      <c r="L213" s="5">
        <v>3501303883</v>
      </c>
      <c r="M213" s="5">
        <f t="shared" si="15"/>
        <v>-3400503883</v>
      </c>
      <c r="N213" s="36">
        <f t="shared" si="16"/>
        <v>-97.121072509889302</v>
      </c>
      <c r="O213" s="5">
        <v>0</v>
      </c>
      <c r="P213" s="36">
        <v>0</v>
      </c>
      <c r="Q213" s="6">
        <v>0</v>
      </c>
      <c r="R213" s="6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36">
        <f t="shared" si="17"/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6">
        <v>0</v>
      </c>
      <c r="AM213" s="5">
        <v>0</v>
      </c>
      <c r="AN213" s="6">
        <v>0</v>
      </c>
      <c r="AO213" s="5">
        <v>0</v>
      </c>
      <c r="AP213" s="6">
        <v>0</v>
      </c>
      <c r="AQ213" s="5">
        <v>0</v>
      </c>
      <c r="AR213" s="5">
        <v>0</v>
      </c>
      <c r="AS213" s="5">
        <v>0</v>
      </c>
      <c r="AT213" s="5">
        <f t="shared" si="18"/>
        <v>0</v>
      </c>
      <c r="AU213" s="36">
        <f t="shared" si="19"/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100800000</v>
      </c>
      <c r="BD213" s="5">
        <v>100800000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48">
        <v>0</v>
      </c>
      <c r="BK213" s="5">
        <v>0</v>
      </c>
      <c r="BL213" s="5">
        <v>0</v>
      </c>
      <c r="BM213" s="5">
        <v>0</v>
      </c>
      <c r="BN213" s="5">
        <v>0</v>
      </c>
    </row>
    <row r="214" spans="1:66" x14ac:dyDescent="0.25">
      <c r="A214" s="30" t="s">
        <v>587</v>
      </c>
      <c r="B214" s="13" t="s">
        <v>625</v>
      </c>
      <c r="C214" s="13" t="s">
        <v>625</v>
      </c>
      <c r="D214" s="14">
        <v>13134343402121</v>
      </c>
      <c r="E214" s="14">
        <v>452278104939</v>
      </c>
      <c r="F214" s="14">
        <v>45000000000</v>
      </c>
      <c r="G214" s="14">
        <v>7833350966</v>
      </c>
      <c r="H214" s="14">
        <v>13639454858026</v>
      </c>
      <c r="I214" s="14">
        <v>1035196871460</v>
      </c>
      <c r="J214" s="14">
        <v>45196831035</v>
      </c>
      <c r="K214" s="14">
        <v>12559061155531</v>
      </c>
      <c r="L214" s="14">
        <v>7666617927280</v>
      </c>
      <c r="M214" s="14">
        <f t="shared" si="15"/>
        <v>5972836930746</v>
      </c>
      <c r="N214" s="41">
        <f t="shared" si="16"/>
        <v>77.907063941362637</v>
      </c>
      <c r="O214" s="14">
        <v>20339850561801</v>
      </c>
      <c r="P214" s="41">
        <v>177.31</v>
      </c>
      <c r="Q214" s="15">
        <v>161.94999999999999</v>
      </c>
      <c r="R214" s="15">
        <v>2.6</v>
      </c>
      <c r="S214" s="14">
        <v>22316253294313</v>
      </c>
      <c r="T214" s="14">
        <v>618701532546</v>
      </c>
      <c r="U214" s="14">
        <v>366952388840</v>
      </c>
      <c r="V214" s="14">
        <v>243021899711</v>
      </c>
      <c r="W214" s="14">
        <v>8727243995</v>
      </c>
      <c r="X214" s="14">
        <v>22934954826859</v>
      </c>
      <c r="Y214" s="14">
        <v>10835686264</v>
      </c>
      <c r="Z214" s="14">
        <v>1121911500421</v>
      </c>
      <c r="AA214" s="14">
        <v>127307953336</v>
      </c>
      <c r="AB214" s="14">
        <v>24184174280616</v>
      </c>
      <c r="AC214" s="14">
        <v>16834977699599</v>
      </c>
      <c r="AD214" s="41">
        <f t="shared" si="17"/>
        <v>36.233948366948525</v>
      </c>
      <c r="AE214" s="14">
        <v>13879337615411</v>
      </c>
      <c r="AF214" s="14">
        <v>13610928375406</v>
      </c>
      <c r="AG214" s="14">
        <v>784158685280</v>
      </c>
      <c r="AH214" s="14">
        <v>103715749965</v>
      </c>
      <c r="AI214" s="14">
        <v>245684507846</v>
      </c>
      <c r="AJ214" s="14">
        <v>0</v>
      </c>
      <c r="AK214" s="14">
        <v>14650000000</v>
      </c>
      <c r="AL214" s="15">
        <v>29</v>
      </c>
      <c r="AM214" s="14">
        <v>2340993692909</v>
      </c>
      <c r="AN214" s="15">
        <v>411</v>
      </c>
      <c r="AO214" s="14">
        <v>3635935901836</v>
      </c>
      <c r="AP214" s="15">
        <v>322</v>
      </c>
      <c r="AQ214" s="14">
        <v>2643545894357</v>
      </c>
      <c r="AR214" s="14">
        <v>618701532546</v>
      </c>
      <c r="AS214" s="14">
        <v>400415497217</v>
      </c>
      <c r="AT214" s="14">
        <f t="shared" si="18"/>
        <v>218286035329</v>
      </c>
      <c r="AU214" s="41">
        <f t="shared" si="19"/>
        <v>54.514881877986532</v>
      </c>
      <c r="AV214" s="14">
        <v>7860351654620</v>
      </c>
      <c r="AW214" s="14">
        <v>2098169995128</v>
      </c>
      <c r="AX214" s="14">
        <v>2113450155881</v>
      </c>
      <c r="AY214" s="14">
        <v>4417282311781</v>
      </c>
      <c r="AZ214" s="14">
        <v>4711291837252</v>
      </c>
      <c r="BA214" s="14">
        <v>2335129379723</v>
      </c>
      <c r="BB214" s="14">
        <v>4137682854294</v>
      </c>
      <c r="BC214" s="14">
        <v>13639454858026</v>
      </c>
      <c r="BD214" s="14">
        <v>6921657672184</v>
      </c>
      <c r="BE214" s="14">
        <v>4756241837252</v>
      </c>
      <c r="BF214" s="14">
        <v>1961555348590</v>
      </c>
      <c r="BG214" s="14">
        <v>8865408230453</v>
      </c>
      <c r="BH214" s="14">
        <v>5013929384958</v>
      </c>
      <c r="BI214" s="14">
        <v>0</v>
      </c>
      <c r="BJ214" s="49">
        <v>0</v>
      </c>
      <c r="BK214" s="14">
        <v>777696287457</v>
      </c>
      <c r="BL214" s="14">
        <v>67332745094</v>
      </c>
      <c r="BM214" s="14">
        <v>0</v>
      </c>
      <c r="BN214" s="14">
        <v>6957804000</v>
      </c>
    </row>
    <row r="215" spans="1:66" x14ac:dyDescent="0.25">
      <c r="A215" s="17" t="s">
        <v>588</v>
      </c>
      <c r="B215" s="4">
        <v>2000</v>
      </c>
      <c r="C215" s="4" t="s">
        <v>252</v>
      </c>
      <c r="D215" s="5">
        <v>6383948616373</v>
      </c>
      <c r="E215" s="5">
        <v>802070647195</v>
      </c>
      <c r="F215" s="5">
        <v>42359625000</v>
      </c>
      <c r="G215" s="5">
        <v>9284674800</v>
      </c>
      <c r="H215" s="5">
        <v>7237663563368</v>
      </c>
      <c r="I215" s="5">
        <v>605929942143</v>
      </c>
      <c r="J215" s="5">
        <v>229772865163</v>
      </c>
      <c r="K215" s="5">
        <v>6401960756062</v>
      </c>
      <c r="L215" s="5">
        <v>5292628935310</v>
      </c>
      <c r="M215" s="5">
        <f t="shared" si="15"/>
        <v>1945034628058</v>
      </c>
      <c r="N215" s="36">
        <f t="shared" si="16"/>
        <v>36.749877080586899</v>
      </c>
      <c r="O215" s="5">
        <v>9042332634511</v>
      </c>
      <c r="P215" s="36">
        <v>186.62</v>
      </c>
      <c r="Q215" s="6">
        <v>141.24</v>
      </c>
      <c r="R215" s="6">
        <v>3.13</v>
      </c>
      <c r="S215" s="5">
        <v>12594040665332</v>
      </c>
      <c r="T215" s="5">
        <v>370996781687</v>
      </c>
      <c r="U215" s="5">
        <v>37728132824</v>
      </c>
      <c r="V215" s="5">
        <v>99917690148</v>
      </c>
      <c r="W215" s="5">
        <v>233350958715</v>
      </c>
      <c r="X215" s="5">
        <v>12965037447019</v>
      </c>
      <c r="Y215" s="5">
        <v>51482687040</v>
      </c>
      <c r="Z215" s="5">
        <v>505014926013</v>
      </c>
      <c r="AA215" s="5">
        <v>36643041878</v>
      </c>
      <c r="AB215" s="5">
        <v>13506695414910</v>
      </c>
      <c r="AC215" s="5">
        <v>10037653838838</v>
      </c>
      <c r="AD215" s="36">
        <f t="shared" si="17"/>
        <v>29.164022342096285</v>
      </c>
      <c r="AE215" s="5">
        <v>5425295250853</v>
      </c>
      <c r="AF215" s="5">
        <v>4980583059021</v>
      </c>
      <c r="AG215" s="5">
        <v>27530527624</v>
      </c>
      <c r="AH215" s="5">
        <v>41575839985</v>
      </c>
      <c r="AI215" s="5">
        <v>0</v>
      </c>
      <c r="AJ215" s="5">
        <v>0</v>
      </c>
      <c r="AK215" s="5">
        <v>0</v>
      </c>
      <c r="AL215" s="6">
        <v>1</v>
      </c>
      <c r="AM215" s="5">
        <v>59200000000</v>
      </c>
      <c r="AN215" s="7">
        <v>1189</v>
      </c>
      <c r="AO215" s="5">
        <v>12613933169423</v>
      </c>
      <c r="AP215" s="7">
        <v>644</v>
      </c>
      <c r="AQ215" s="5">
        <v>4495476315225</v>
      </c>
      <c r="AR215" s="5">
        <v>370996781687</v>
      </c>
      <c r="AS215" s="5">
        <v>624921023541</v>
      </c>
      <c r="AT215" s="5">
        <f t="shared" si="18"/>
        <v>-253924241854</v>
      </c>
      <c r="AU215" s="36">
        <f t="shared" si="19"/>
        <v>-40.633013179039004</v>
      </c>
      <c r="AV215" s="5">
        <v>3640236775296</v>
      </c>
      <c r="AW215" s="5">
        <v>619308071607</v>
      </c>
      <c r="AX215" s="5">
        <v>1559348529050</v>
      </c>
      <c r="AY215" s="5">
        <v>1124094595358</v>
      </c>
      <c r="AZ215" s="5">
        <v>1992237902696</v>
      </c>
      <c r="BA215" s="5">
        <v>1925792450809</v>
      </c>
      <c r="BB215" s="5">
        <v>1024416888495</v>
      </c>
      <c r="BC215" s="5">
        <v>7237663563368</v>
      </c>
      <c r="BD215" s="5">
        <v>3315916777792</v>
      </c>
      <c r="BE215" s="5">
        <v>2034597527696</v>
      </c>
      <c r="BF215" s="5">
        <v>1887149257880</v>
      </c>
      <c r="BG215" s="5">
        <v>3993574032893</v>
      </c>
      <c r="BH215" s="5">
        <v>1431721217960</v>
      </c>
      <c r="BI215" s="5">
        <v>0</v>
      </c>
      <c r="BJ215" s="48">
        <v>92040700623</v>
      </c>
      <c r="BK215" s="5">
        <v>361061328470</v>
      </c>
      <c r="BL215" s="5">
        <v>248394263</v>
      </c>
      <c r="BM215" s="5">
        <v>1923234510</v>
      </c>
      <c r="BN215" s="5">
        <v>41575364298</v>
      </c>
    </row>
    <row r="216" spans="1:66" x14ac:dyDescent="0.25">
      <c r="A216" s="17" t="s">
        <v>588</v>
      </c>
      <c r="B216" s="4">
        <v>2001</v>
      </c>
      <c r="C216" s="4" t="s">
        <v>253</v>
      </c>
      <c r="D216" s="5">
        <v>2460774006373</v>
      </c>
      <c r="E216" s="5">
        <v>75211947235</v>
      </c>
      <c r="F216" s="5">
        <v>0</v>
      </c>
      <c r="G216" s="5">
        <v>0</v>
      </c>
      <c r="H216" s="5">
        <v>2535985953608</v>
      </c>
      <c r="I216" s="5">
        <v>189096671737</v>
      </c>
      <c r="J216" s="5">
        <v>18317286787</v>
      </c>
      <c r="K216" s="5">
        <v>2328571995084</v>
      </c>
      <c r="L216" s="5">
        <v>1504052286219</v>
      </c>
      <c r="M216" s="5">
        <f t="shared" si="15"/>
        <v>1031933667389</v>
      </c>
      <c r="N216" s="36">
        <f t="shared" si="16"/>
        <v>68.610225644691695</v>
      </c>
      <c r="O216" s="5">
        <v>1869553735773</v>
      </c>
      <c r="P216" s="36">
        <v>80.81</v>
      </c>
      <c r="Q216" s="6">
        <v>80.290000000000006</v>
      </c>
      <c r="R216" s="6">
        <v>0.73</v>
      </c>
      <c r="S216" s="5">
        <v>1949298194549</v>
      </c>
      <c r="T216" s="5">
        <v>13885292793</v>
      </c>
      <c r="U216" s="5">
        <v>12922685872</v>
      </c>
      <c r="V216" s="5">
        <v>615715587</v>
      </c>
      <c r="W216" s="5">
        <v>346891334</v>
      </c>
      <c r="X216" s="5">
        <v>1963183487342</v>
      </c>
      <c r="Y216" s="5">
        <v>1076006764</v>
      </c>
      <c r="Z216" s="5">
        <v>70362786622</v>
      </c>
      <c r="AA216" s="5">
        <v>15676550000</v>
      </c>
      <c r="AB216" s="5">
        <v>2049222823964</v>
      </c>
      <c r="AC216" s="5">
        <v>1425665502149</v>
      </c>
      <c r="AD216" s="36">
        <f t="shared" si="17"/>
        <v>37.702952367351493</v>
      </c>
      <c r="AE216" s="5">
        <v>1775105225711</v>
      </c>
      <c r="AF216" s="5">
        <v>1705735225711</v>
      </c>
      <c r="AG216" s="5">
        <v>89760000000</v>
      </c>
      <c r="AH216" s="5">
        <v>39163864363</v>
      </c>
      <c r="AI216" s="5">
        <v>0</v>
      </c>
      <c r="AJ216" s="5">
        <v>0</v>
      </c>
      <c r="AK216" s="5">
        <v>0</v>
      </c>
      <c r="AL216" s="6">
        <v>1</v>
      </c>
      <c r="AM216" s="5">
        <v>112200000000</v>
      </c>
      <c r="AN216" s="6">
        <v>141</v>
      </c>
      <c r="AO216" s="5">
        <v>1072134773166</v>
      </c>
      <c r="AP216" s="6">
        <v>26</v>
      </c>
      <c r="AQ216" s="5">
        <v>369043136308</v>
      </c>
      <c r="AR216" s="5">
        <v>13885292793</v>
      </c>
      <c r="AS216" s="5">
        <v>8805283378</v>
      </c>
      <c r="AT216" s="5">
        <f t="shared" si="18"/>
        <v>5080009415</v>
      </c>
      <c r="AU216" s="36">
        <f t="shared" si="19"/>
        <v>57.692741924608612</v>
      </c>
      <c r="AV216" s="5">
        <v>1071160280478</v>
      </c>
      <c r="AW216" s="5">
        <v>93637656597</v>
      </c>
      <c r="AX216" s="5">
        <v>480034031808</v>
      </c>
      <c r="AY216" s="5">
        <v>207247541202</v>
      </c>
      <c r="AZ216" s="5">
        <v>813438433363</v>
      </c>
      <c r="BA216" s="5">
        <v>1037323576552</v>
      </c>
      <c r="BB216" s="5">
        <v>335693825020</v>
      </c>
      <c r="BC216" s="5">
        <v>2535985953608</v>
      </c>
      <c r="BD216" s="5">
        <v>762493520245</v>
      </c>
      <c r="BE216" s="5">
        <v>813438433363</v>
      </c>
      <c r="BF216" s="5">
        <v>960054000000</v>
      </c>
      <c r="BG216" s="5">
        <v>1519581844348</v>
      </c>
      <c r="BH216" s="5">
        <v>255523381363</v>
      </c>
      <c r="BI216" s="5">
        <v>0</v>
      </c>
      <c r="BJ216" s="48">
        <v>0</v>
      </c>
      <c r="BK216" s="5">
        <v>0</v>
      </c>
      <c r="BL216" s="5">
        <v>0</v>
      </c>
      <c r="BM216" s="5">
        <v>0</v>
      </c>
      <c r="BN216" s="5">
        <v>39163864363</v>
      </c>
    </row>
    <row r="217" spans="1:66" x14ac:dyDescent="0.25">
      <c r="A217" s="17" t="s">
        <v>588</v>
      </c>
      <c r="B217" s="4">
        <v>2002</v>
      </c>
      <c r="C217" s="4" t="s">
        <v>254</v>
      </c>
      <c r="D217" s="5">
        <v>2645737937968</v>
      </c>
      <c r="E217" s="5">
        <v>71216541890</v>
      </c>
      <c r="F217" s="5">
        <v>0</v>
      </c>
      <c r="G217" s="5">
        <v>0</v>
      </c>
      <c r="H217" s="5">
        <v>2716954479858</v>
      </c>
      <c r="I217" s="5">
        <v>180234252467</v>
      </c>
      <c r="J217" s="5">
        <v>18813924069</v>
      </c>
      <c r="K217" s="5">
        <v>2517906303322</v>
      </c>
      <c r="L217" s="5">
        <v>1071796282153</v>
      </c>
      <c r="M217" s="5">
        <f t="shared" si="15"/>
        <v>1645158197705</v>
      </c>
      <c r="N217" s="36">
        <f t="shared" si="16"/>
        <v>153.49541933474927</v>
      </c>
      <c r="O217" s="5">
        <v>1776574064992</v>
      </c>
      <c r="P217" s="36">
        <v>77.23</v>
      </c>
      <c r="Q217" s="6">
        <v>70.56</v>
      </c>
      <c r="R217" s="6">
        <v>27.38</v>
      </c>
      <c r="S217" s="5">
        <v>1255102388286</v>
      </c>
      <c r="T217" s="5">
        <v>548471782790</v>
      </c>
      <c r="U217" s="5">
        <v>9214915970</v>
      </c>
      <c r="V217" s="5">
        <v>151187571657</v>
      </c>
      <c r="W217" s="5">
        <v>388069295163</v>
      </c>
      <c r="X217" s="5">
        <v>1803574171076</v>
      </c>
      <c r="Y217" s="5">
        <v>26038050355</v>
      </c>
      <c r="Z217" s="5">
        <v>291259706068</v>
      </c>
      <c r="AA217" s="5">
        <v>3500000000</v>
      </c>
      <c r="AB217" s="5">
        <v>2098333877144</v>
      </c>
      <c r="AC217" s="5">
        <v>1481326614672</v>
      </c>
      <c r="AD217" s="36">
        <f t="shared" si="17"/>
        <v>21.753984112096241</v>
      </c>
      <c r="AE217" s="5">
        <v>959353707761</v>
      </c>
      <c r="AF217" s="5">
        <v>851248155392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6">
        <v>0</v>
      </c>
      <c r="AM217" s="5">
        <v>0</v>
      </c>
      <c r="AN217" s="7">
        <v>73</v>
      </c>
      <c r="AO217" s="5">
        <v>1661876953745</v>
      </c>
      <c r="AP217" s="7">
        <v>54</v>
      </c>
      <c r="AQ217" s="5">
        <v>635766886013</v>
      </c>
      <c r="AR217" s="5">
        <v>548471782790</v>
      </c>
      <c r="AS217" s="5">
        <v>351834265762</v>
      </c>
      <c r="AT217" s="5">
        <f t="shared" si="18"/>
        <v>196637517028</v>
      </c>
      <c r="AU217" s="36">
        <f t="shared" si="19"/>
        <v>55.889245637324137</v>
      </c>
      <c r="AV217" s="5">
        <v>541435384977</v>
      </c>
      <c r="AW217" s="5">
        <v>139092660346</v>
      </c>
      <c r="AX217" s="5">
        <v>213074162911</v>
      </c>
      <c r="AY217" s="5">
        <v>854224865540</v>
      </c>
      <c r="AZ217" s="5">
        <v>560873661940</v>
      </c>
      <c r="BA217" s="5">
        <v>1059591326693</v>
      </c>
      <c r="BB217" s="5">
        <v>313004075131</v>
      </c>
      <c r="BC217" s="5">
        <v>2716954479858</v>
      </c>
      <c r="BD217" s="5">
        <v>1138515570341</v>
      </c>
      <c r="BE217" s="5">
        <v>559753661940</v>
      </c>
      <c r="BF217" s="5">
        <v>1018685247577</v>
      </c>
      <c r="BG217" s="5">
        <v>473781131984</v>
      </c>
      <c r="BH217" s="5">
        <v>485572575777</v>
      </c>
      <c r="BI217" s="5">
        <v>0</v>
      </c>
      <c r="BJ217" s="48">
        <v>19429496533</v>
      </c>
      <c r="BK217" s="5">
        <v>0</v>
      </c>
      <c r="BL217" s="5">
        <v>0</v>
      </c>
      <c r="BM217" s="5">
        <v>362246734047</v>
      </c>
      <c r="BN217" s="5">
        <v>6435072000</v>
      </c>
    </row>
    <row r="218" spans="1:66" x14ac:dyDescent="0.25">
      <c r="A218" s="17" t="s">
        <v>588</v>
      </c>
      <c r="B218" s="4">
        <v>2003</v>
      </c>
      <c r="C218" s="4" t="s">
        <v>255</v>
      </c>
      <c r="D218" s="5">
        <v>3386333964443</v>
      </c>
      <c r="E218" s="5">
        <v>19567613225</v>
      </c>
      <c r="F218" s="5">
        <v>0</v>
      </c>
      <c r="G218" s="5">
        <v>0</v>
      </c>
      <c r="H218" s="5">
        <v>3405901577668</v>
      </c>
      <c r="I218" s="5">
        <v>167847887529</v>
      </c>
      <c r="J218" s="5">
        <v>8844280572</v>
      </c>
      <c r="K218" s="5">
        <v>3229209409567</v>
      </c>
      <c r="L218" s="5">
        <v>1206032109593</v>
      </c>
      <c r="M218" s="5">
        <f t="shared" si="15"/>
        <v>2199869468075</v>
      </c>
      <c r="N218" s="36">
        <f t="shared" si="16"/>
        <v>182.4055471306971</v>
      </c>
      <c r="O218" s="5">
        <v>1211816516447</v>
      </c>
      <c r="P218" s="36">
        <v>41.33</v>
      </c>
      <c r="Q218" s="6">
        <v>37.53</v>
      </c>
      <c r="R218" s="6">
        <v>1.41</v>
      </c>
      <c r="S218" s="5">
        <v>1346673386139</v>
      </c>
      <c r="T218" s="5">
        <v>19177348614</v>
      </c>
      <c r="U218" s="5">
        <v>13813365188</v>
      </c>
      <c r="V218" s="5">
        <v>1488417636</v>
      </c>
      <c r="W218" s="5">
        <v>3875565790</v>
      </c>
      <c r="X218" s="5">
        <v>1365850734753</v>
      </c>
      <c r="Y218" s="5">
        <v>616735478</v>
      </c>
      <c r="Z218" s="5">
        <v>41762020285</v>
      </c>
      <c r="AA218" s="5">
        <v>0</v>
      </c>
      <c r="AB218" s="5">
        <v>1407612755038</v>
      </c>
      <c r="AC218" s="5">
        <v>930231948698</v>
      </c>
      <c r="AD218" s="36">
        <f t="shared" si="17"/>
        <v>46.829050180948336</v>
      </c>
      <c r="AE218" s="5">
        <v>872789188994</v>
      </c>
      <c r="AF218" s="5">
        <v>872789188994</v>
      </c>
      <c r="AG218" s="5">
        <v>0</v>
      </c>
      <c r="AH218" s="5">
        <v>577106494</v>
      </c>
      <c r="AI218" s="5">
        <v>0</v>
      </c>
      <c r="AJ218" s="5">
        <v>0</v>
      </c>
      <c r="AK218" s="5">
        <v>0</v>
      </c>
      <c r="AL218" s="6">
        <v>0</v>
      </c>
      <c r="AM218" s="5">
        <v>0</v>
      </c>
      <c r="AN218" s="6">
        <v>16</v>
      </c>
      <c r="AO218" s="5">
        <v>62218935510</v>
      </c>
      <c r="AP218" s="6">
        <v>7</v>
      </c>
      <c r="AQ218" s="5">
        <v>103797245089</v>
      </c>
      <c r="AR218" s="5">
        <v>19177348614</v>
      </c>
      <c r="AS218" s="5">
        <v>4199690528</v>
      </c>
      <c r="AT218" s="5">
        <f t="shared" si="18"/>
        <v>14977658086</v>
      </c>
      <c r="AU218" s="36">
        <f t="shared" si="19"/>
        <v>356.63718519594687</v>
      </c>
      <c r="AV218" s="5">
        <v>473643185669</v>
      </c>
      <c r="AW218" s="5">
        <v>62742399219</v>
      </c>
      <c r="AX218" s="5">
        <v>151067292717</v>
      </c>
      <c r="AY218" s="5">
        <v>1834342631914</v>
      </c>
      <c r="AZ218" s="5">
        <v>678852039812</v>
      </c>
      <c r="BA218" s="5">
        <v>1090740575436</v>
      </c>
      <c r="BB218" s="5">
        <v>498352583513</v>
      </c>
      <c r="BC218" s="5">
        <v>3405901577668</v>
      </c>
      <c r="BD218" s="5">
        <v>2004977537856</v>
      </c>
      <c r="BE218" s="5">
        <v>678852039812</v>
      </c>
      <c r="BF218" s="5">
        <v>722072000000</v>
      </c>
      <c r="BG218" s="5">
        <v>828562082500</v>
      </c>
      <c r="BH218" s="5">
        <v>44227106494</v>
      </c>
      <c r="BI218" s="5">
        <v>0</v>
      </c>
      <c r="BJ218" s="48">
        <v>0</v>
      </c>
      <c r="BK218" s="5">
        <v>0</v>
      </c>
      <c r="BL218" s="5">
        <v>0</v>
      </c>
      <c r="BM218" s="5">
        <v>0</v>
      </c>
      <c r="BN218" s="5">
        <v>577106494</v>
      </c>
    </row>
    <row r="219" spans="1:66" x14ac:dyDescent="0.25">
      <c r="A219" s="17" t="s">
        <v>588</v>
      </c>
      <c r="B219" s="4">
        <v>2004</v>
      </c>
      <c r="C219" s="4" t="s">
        <v>256</v>
      </c>
      <c r="D219" s="5">
        <v>6127600027059</v>
      </c>
      <c r="E219" s="5">
        <v>102933148876</v>
      </c>
      <c r="F219" s="5">
        <v>0</v>
      </c>
      <c r="G219" s="5">
        <v>0</v>
      </c>
      <c r="H219" s="5">
        <v>6230533175935</v>
      </c>
      <c r="I219" s="5">
        <v>378921760891</v>
      </c>
      <c r="J219" s="5">
        <v>1193752807</v>
      </c>
      <c r="K219" s="5">
        <v>5850417662237</v>
      </c>
      <c r="L219" s="5">
        <v>1814702724491</v>
      </c>
      <c r="M219" s="5">
        <f t="shared" si="15"/>
        <v>4415830451444</v>
      </c>
      <c r="N219" s="36">
        <f t="shared" si="16"/>
        <v>243.33629921025118</v>
      </c>
      <c r="O219" s="5">
        <v>1355451820600</v>
      </c>
      <c r="P219" s="36">
        <v>24.78</v>
      </c>
      <c r="Q219" s="6">
        <v>23.17</v>
      </c>
      <c r="R219" s="6">
        <v>2.88</v>
      </c>
      <c r="S219" s="5">
        <v>1400132420638</v>
      </c>
      <c r="T219" s="5">
        <v>44032517689</v>
      </c>
      <c r="U219" s="5">
        <v>37660071165</v>
      </c>
      <c r="V219" s="5">
        <v>6372446524</v>
      </c>
      <c r="W219" s="5">
        <v>0</v>
      </c>
      <c r="X219" s="5">
        <v>1444164938327</v>
      </c>
      <c r="Y219" s="5">
        <v>382677407</v>
      </c>
      <c r="Z219" s="5">
        <v>77911018305</v>
      </c>
      <c r="AA219" s="5">
        <v>21889066000</v>
      </c>
      <c r="AB219" s="5">
        <v>1543965022632</v>
      </c>
      <c r="AC219" s="5">
        <v>1085284317027</v>
      </c>
      <c r="AD219" s="36">
        <f t="shared" si="17"/>
        <v>33.067889738157128</v>
      </c>
      <c r="AE219" s="5">
        <v>816746646367</v>
      </c>
      <c r="AF219" s="5">
        <v>816746646367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6">
        <v>0</v>
      </c>
      <c r="AM219" s="5">
        <v>0</v>
      </c>
      <c r="AN219" s="7">
        <v>331</v>
      </c>
      <c r="AO219" s="5">
        <v>2002632436742</v>
      </c>
      <c r="AP219" s="7">
        <v>104</v>
      </c>
      <c r="AQ219" s="5">
        <v>709775297751</v>
      </c>
      <c r="AR219" s="5">
        <v>44032517689</v>
      </c>
      <c r="AS219" s="5">
        <v>4467931559</v>
      </c>
      <c r="AT219" s="5">
        <f t="shared" si="18"/>
        <v>39564586130</v>
      </c>
      <c r="AU219" s="36">
        <f t="shared" si="19"/>
        <v>885.52354948908919</v>
      </c>
      <c r="AV219" s="5">
        <v>404642461782</v>
      </c>
      <c r="AW219" s="5">
        <v>92242320925</v>
      </c>
      <c r="AX219" s="5">
        <v>258135948866</v>
      </c>
      <c r="AY219" s="5">
        <v>442701562329</v>
      </c>
      <c r="AZ219" s="5">
        <v>4506856515864</v>
      </c>
      <c r="BA219" s="5">
        <v>1152876272696</v>
      </c>
      <c r="BB219" s="5">
        <v>4299165540787</v>
      </c>
      <c r="BC219" s="5">
        <v>6230533175935</v>
      </c>
      <c r="BD219" s="5">
        <v>803770660071</v>
      </c>
      <c r="BE219" s="5">
        <v>4506656515864</v>
      </c>
      <c r="BF219" s="5">
        <v>920106000000</v>
      </c>
      <c r="BG219" s="5">
        <v>587176911353</v>
      </c>
      <c r="BH219" s="5">
        <v>229569735014</v>
      </c>
      <c r="BI219" s="5">
        <v>0</v>
      </c>
      <c r="BJ219" s="48">
        <v>0</v>
      </c>
      <c r="BK219" s="5">
        <v>0</v>
      </c>
      <c r="BL219" s="5">
        <v>0</v>
      </c>
      <c r="BM219" s="5">
        <v>0</v>
      </c>
      <c r="BN219" s="5">
        <v>0</v>
      </c>
    </row>
    <row r="220" spans="1:66" x14ac:dyDescent="0.25">
      <c r="A220" s="17" t="s">
        <v>588</v>
      </c>
      <c r="B220" s="4">
        <v>2005</v>
      </c>
      <c r="C220" s="4" t="s">
        <v>257</v>
      </c>
      <c r="D220" s="5">
        <v>2931912480197</v>
      </c>
      <c r="E220" s="5">
        <v>31942396439</v>
      </c>
      <c r="F220" s="5">
        <v>0</v>
      </c>
      <c r="G220" s="5">
        <v>0</v>
      </c>
      <c r="H220" s="5">
        <v>2963854876636</v>
      </c>
      <c r="I220" s="5">
        <v>373533987130</v>
      </c>
      <c r="J220" s="5">
        <v>6156265000</v>
      </c>
      <c r="K220" s="5">
        <v>2584164624506</v>
      </c>
      <c r="L220" s="5">
        <v>3574031685728</v>
      </c>
      <c r="M220" s="5">
        <f t="shared" si="15"/>
        <v>-610176809092</v>
      </c>
      <c r="N220" s="36">
        <f t="shared" si="16"/>
        <v>-17.072506982201311</v>
      </c>
      <c r="O220" s="5">
        <v>1343835745040</v>
      </c>
      <c r="P220" s="36">
        <v>51.67</v>
      </c>
      <c r="Q220" s="6">
        <v>52</v>
      </c>
      <c r="R220" s="6">
        <v>2.34</v>
      </c>
      <c r="S220" s="5">
        <v>1372458319829</v>
      </c>
      <c r="T220" s="5">
        <v>35442007364</v>
      </c>
      <c r="U220" s="5">
        <v>27516391823</v>
      </c>
      <c r="V220" s="5">
        <v>7925615541</v>
      </c>
      <c r="W220" s="5">
        <v>0</v>
      </c>
      <c r="X220" s="5">
        <v>1407900327193</v>
      </c>
      <c r="Y220" s="5">
        <v>334799535</v>
      </c>
      <c r="Z220" s="5">
        <v>94030047472</v>
      </c>
      <c r="AA220" s="5">
        <v>29352674000</v>
      </c>
      <c r="AB220" s="5">
        <v>1531283048665</v>
      </c>
      <c r="AC220" s="5">
        <v>1456635108946</v>
      </c>
      <c r="AD220" s="36">
        <f t="shared" si="17"/>
        <v>-3.3457096738704712</v>
      </c>
      <c r="AE220" s="5">
        <v>504739168185</v>
      </c>
      <c r="AF220" s="5">
        <v>470513514571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6">
        <v>0</v>
      </c>
      <c r="AM220" s="5">
        <v>0</v>
      </c>
      <c r="AN220" s="6">
        <v>61</v>
      </c>
      <c r="AO220" s="5">
        <v>356557408838</v>
      </c>
      <c r="AP220" s="6">
        <v>30</v>
      </c>
      <c r="AQ220" s="5">
        <v>457243246033</v>
      </c>
      <c r="AR220" s="5">
        <v>35442007364</v>
      </c>
      <c r="AS220" s="5">
        <v>15633333227</v>
      </c>
      <c r="AT220" s="5">
        <f t="shared" si="18"/>
        <v>19808674137</v>
      </c>
      <c r="AU220" s="36">
        <f t="shared" si="19"/>
        <v>126.70793777227787</v>
      </c>
      <c r="AV220" s="5">
        <v>464366497116</v>
      </c>
      <c r="AW220" s="5">
        <v>115319723938</v>
      </c>
      <c r="AX220" s="5">
        <v>265328973378</v>
      </c>
      <c r="AY220" s="5">
        <v>411651876182</v>
      </c>
      <c r="AZ220" s="5">
        <v>296973630637</v>
      </c>
      <c r="BA220" s="5">
        <v>1986367061156</v>
      </c>
      <c r="BB220" s="5">
        <v>133656534902</v>
      </c>
      <c r="BC220" s="5">
        <v>2963854876636</v>
      </c>
      <c r="BD220" s="5">
        <v>708665664927</v>
      </c>
      <c r="BE220" s="5">
        <v>296973630637</v>
      </c>
      <c r="BF220" s="5">
        <v>1958215581072</v>
      </c>
      <c r="BG220" s="5">
        <v>131685774808</v>
      </c>
      <c r="BH220" s="5">
        <v>373053393377</v>
      </c>
      <c r="BI220" s="5">
        <v>0</v>
      </c>
      <c r="BJ220" s="48">
        <v>0</v>
      </c>
      <c r="BK220" s="5">
        <v>0</v>
      </c>
      <c r="BL220" s="5">
        <v>0</v>
      </c>
      <c r="BM220" s="5">
        <v>0</v>
      </c>
      <c r="BN220" s="5">
        <v>0</v>
      </c>
    </row>
    <row r="221" spans="1:66" x14ac:dyDescent="0.25">
      <c r="A221" s="17" t="s">
        <v>588</v>
      </c>
      <c r="B221" s="4">
        <v>2006</v>
      </c>
      <c r="C221" s="4" t="s">
        <v>258</v>
      </c>
      <c r="D221" s="5">
        <v>14869596874328</v>
      </c>
      <c r="E221" s="5">
        <v>199942183053</v>
      </c>
      <c r="F221" s="5">
        <v>0</v>
      </c>
      <c r="G221" s="5">
        <v>0</v>
      </c>
      <c r="H221" s="5">
        <v>15069539057381</v>
      </c>
      <c r="I221" s="5">
        <v>1203322807891</v>
      </c>
      <c r="J221" s="5">
        <v>38907922931</v>
      </c>
      <c r="K221" s="5">
        <v>13827308326559</v>
      </c>
      <c r="L221" s="5">
        <v>13247487528050</v>
      </c>
      <c r="M221" s="5">
        <f t="shared" si="15"/>
        <v>1822051529331</v>
      </c>
      <c r="N221" s="36">
        <f t="shared" si="16"/>
        <v>13.753940326216723</v>
      </c>
      <c r="O221" s="5">
        <v>12859473602201</v>
      </c>
      <c r="P221" s="36">
        <v>95.46</v>
      </c>
      <c r="Q221" s="6">
        <v>93</v>
      </c>
      <c r="R221" s="6">
        <v>0.5</v>
      </c>
      <c r="S221" s="5">
        <v>14216916708390</v>
      </c>
      <c r="T221" s="5">
        <v>71120366087</v>
      </c>
      <c r="U221" s="5">
        <v>54316339968</v>
      </c>
      <c r="V221" s="5">
        <v>15784425184</v>
      </c>
      <c r="W221" s="5">
        <v>1019600935</v>
      </c>
      <c r="X221" s="5">
        <v>14288037074477</v>
      </c>
      <c r="Y221" s="5">
        <v>95533299</v>
      </c>
      <c r="Z221" s="5">
        <v>82440284383</v>
      </c>
      <c r="AA221" s="5">
        <v>14460621000</v>
      </c>
      <c r="AB221" s="5">
        <v>14384937979860</v>
      </c>
      <c r="AC221" s="5">
        <v>9130845583517</v>
      </c>
      <c r="AD221" s="36">
        <f t="shared" si="17"/>
        <v>56.480984633775435</v>
      </c>
      <c r="AE221" s="5">
        <v>7210651824043</v>
      </c>
      <c r="AF221" s="5">
        <v>7210651824043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6">
        <v>2</v>
      </c>
      <c r="AM221" s="5">
        <v>2200000000000</v>
      </c>
      <c r="AN221" s="7">
        <v>78</v>
      </c>
      <c r="AO221" s="5">
        <v>1291483952997</v>
      </c>
      <c r="AP221" s="7">
        <v>99</v>
      </c>
      <c r="AQ221" s="5">
        <v>943735982375</v>
      </c>
      <c r="AR221" s="5">
        <v>71120366087</v>
      </c>
      <c r="AS221" s="5">
        <v>28307942603</v>
      </c>
      <c r="AT221" s="5">
        <f t="shared" si="18"/>
        <v>42812423484</v>
      </c>
      <c r="AU221" s="36">
        <f t="shared" si="19"/>
        <v>151.23820224032409</v>
      </c>
      <c r="AV221" s="5">
        <v>2555302306256</v>
      </c>
      <c r="AW221" s="5">
        <v>201160606838</v>
      </c>
      <c r="AX221" s="5">
        <v>4786600154904</v>
      </c>
      <c r="AY221" s="5">
        <v>683811871097</v>
      </c>
      <c r="AZ221" s="5">
        <v>3531368802867</v>
      </c>
      <c r="BA221" s="5">
        <v>6033763210564</v>
      </c>
      <c r="BB221" s="5">
        <v>3278618086685</v>
      </c>
      <c r="BC221" s="5">
        <v>15069539057381</v>
      </c>
      <c r="BD221" s="5">
        <v>5670354209054</v>
      </c>
      <c r="BE221" s="5">
        <v>3531368802867</v>
      </c>
      <c r="BF221" s="5">
        <v>5867816045460</v>
      </c>
      <c r="BG221" s="5">
        <v>2520559890987</v>
      </c>
      <c r="BH221" s="5">
        <v>4690091933056</v>
      </c>
      <c r="BI221" s="5">
        <v>0</v>
      </c>
      <c r="BJ221" s="48">
        <v>0</v>
      </c>
      <c r="BK221" s="5">
        <v>0</v>
      </c>
      <c r="BL221" s="5">
        <v>0</v>
      </c>
      <c r="BM221" s="5">
        <v>0</v>
      </c>
      <c r="BN221" s="5">
        <v>0</v>
      </c>
    </row>
    <row r="222" spans="1:66" x14ac:dyDescent="0.25">
      <c r="A222" s="17" t="s">
        <v>588</v>
      </c>
      <c r="B222" s="4">
        <v>2007</v>
      </c>
      <c r="C222" s="4" t="s">
        <v>259</v>
      </c>
      <c r="D222" s="5">
        <v>2577607617157</v>
      </c>
      <c r="E222" s="5">
        <v>166814491496</v>
      </c>
      <c r="F222" s="5">
        <v>0</v>
      </c>
      <c r="G222" s="5">
        <v>0</v>
      </c>
      <c r="H222" s="5">
        <v>2744422108653</v>
      </c>
      <c r="I222" s="5">
        <v>188210290754</v>
      </c>
      <c r="J222" s="5">
        <v>10122551035</v>
      </c>
      <c r="K222" s="5">
        <v>2546089266864</v>
      </c>
      <c r="L222" s="5">
        <v>1709498607694</v>
      </c>
      <c r="M222" s="5">
        <f t="shared" si="15"/>
        <v>1034923500959</v>
      </c>
      <c r="N222" s="36">
        <f t="shared" si="16"/>
        <v>60.539593088937529</v>
      </c>
      <c r="O222" s="5">
        <v>1599782334172</v>
      </c>
      <c r="P222" s="36">
        <v>67.790000000000006</v>
      </c>
      <c r="Q222" s="6">
        <v>62.83</v>
      </c>
      <c r="R222" s="6">
        <v>2.12</v>
      </c>
      <c r="S222" s="5">
        <v>1716841170511</v>
      </c>
      <c r="T222" s="5">
        <v>39176306975</v>
      </c>
      <c r="U222" s="5">
        <v>22507449945</v>
      </c>
      <c r="V222" s="5">
        <v>15143622960</v>
      </c>
      <c r="W222" s="5">
        <v>1525234070</v>
      </c>
      <c r="X222" s="5">
        <v>1756017477486</v>
      </c>
      <c r="Y222" s="5">
        <v>333387239</v>
      </c>
      <c r="Z222" s="5">
        <v>78624498757</v>
      </c>
      <c r="AA222" s="5">
        <v>25916767548</v>
      </c>
      <c r="AB222" s="5">
        <v>1860558743791</v>
      </c>
      <c r="AC222" s="5">
        <v>1485222172501</v>
      </c>
      <c r="AD222" s="36">
        <f t="shared" si="17"/>
        <v>18.232646266585256</v>
      </c>
      <c r="AE222" s="5">
        <v>819442538291</v>
      </c>
      <c r="AF222" s="5">
        <v>798492538291</v>
      </c>
      <c r="AG222" s="5">
        <v>0</v>
      </c>
      <c r="AH222" s="5">
        <v>1141350736</v>
      </c>
      <c r="AI222" s="5">
        <v>0</v>
      </c>
      <c r="AJ222" s="5">
        <v>0</v>
      </c>
      <c r="AK222" s="5">
        <v>0</v>
      </c>
      <c r="AL222" s="6">
        <v>0</v>
      </c>
      <c r="AM222" s="5">
        <v>0</v>
      </c>
      <c r="AN222" s="6">
        <v>633</v>
      </c>
      <c r="AO222" s="5">
        <v>3195360651899</v>
      </c>
      <c r="AP222" s="6">
        <v>271</v>
      </c>
      <c r="AQ222" s="5">
        <v>1169603428022</v>
      </c>
      <c r="AR222" s="5">
        <v>39176306975</v>
      </c>
      <c r="AS222" s="5">
        <v>16774772811</v>
      </c>
      <c r="AT222" s="5">
        <f t="shared" si="18"/>
        <v>22401534164</v>
      </c>
      <c r="AU222" s="36">
        <f t="shared" si="19"/>
        <v>133.54299588075656</v>
      </c>
      <c r="AV222" s="5">
        <v>426960990413</v>
      </c>
      <c r="AW222" s="5">
        <v>129583122360</v>
      </c>
      <c r="AX222" s="5">
        <v>804444321683</v>
      </c>
      <c r="AY222" s="5">
        <v>213734132416</v>
      </c>
      <c r="AZ222" s="5">
        <v>916414719989</v>
      </c>
      <c r="BA222" s="5">
        <v>885390103113</v>
      </c>
      <c r="BB222" s="5">
        <v>573245014671</v>
      </c>
      <c r="BC222" s="5">
        <v>2744422108653</v>
      </c>
      <c r="BD222" s="5">
        <v>1183331169405</v>
      </c>
      <c r="BE222" s="5">
        <v>916414719989</v>
      </c>
      <c r="BF222" s="5">
        <v>644676219259</v>
      </c>
      <c r="BG222" s="5">
        <v>712600850065</v>
      </c>
      <c r="BH222" s="5">
        <v>106841688226</v>
      </c>
      <c r="BI222" s="5">
        <v>0</v>
      </c>
      <c r="BJ222" s="48">
        <v>0</v>
      </c>
      <c r="BK222" s="5">
        <v>0</v>
      </c>
      <c r="BL222" s="5">
        <v>30121930</v>
      </c>
      <c r="BM222" s="5">
        <v>0</v>
      </c>
      <c r="BN222" s="5">
        <v>1111228806</v>
      </c>
    </row>
    <row r="223" spans="1:66" x14ac:dyDescent="0.25">
      <c r="A223" s="17" t="s">
        <v>588</v>
      </c>
      <c r="B223" s="4">
        <v>2008</v>
      </c>
      <c r="C223" s="4" t="s">
        <v>260</v>
      </c>
      <c r="D223" s="5">
        <v>4654720880492</v>
      </c>
      <c r="E223" s="5">
        <v>155983251368</v>
      </c>
      <c r="F223" s="5">
        <v>0</v>
      </c>
      <c r="G223" s="5">
        <v>0</v>
      </c>
      <c r="H223" s="5">
        <v>4810704131860</v>
      </c>
      <c r="I223" s="5">
        <v>427945635236</v>
      </c>
      <c r="J223" s="5">
        <v>14048193475</v>
      </c>
      <c r="K223" s="5">
        <v>4368710303149</v>
      </c>
      <c r="L223" s="5">
        <v>3674534420156</v>
      </c>
      <c r="M223" s="5">
        <f t="shared" si="15"/>
        <v>1136169711704</v>
      </c>
      <c r="N223" s="36">
        <f t="shared" si="16"/>
        <v>30.920099849160337</v>
      </c>
      <c r="O223" s="5">
        <v>5327976450915</v>
      </c>
      <c r="P223" s="36">
        <v>124.32</v>
      </c>
      <c r="Q223" s="6">
        <v>121.96</v>
      </c>
      <c r="R223" s="6">
        <v>27.93</v>
      </c>
      <c r="S223" s="5">
        <v>4057582694853</v>
      </c>
      <c r="T223" s="5">
        <v>1626308263312</v>
      </c>
      <c r="U223" s="5">
        <v>54008061149</v>
      </c>
      <c r="V223" s="5">
        <v>52523677820</v>
      </c>
      <c r="W223" s="5">
        <v>1519776524343</v>
      </c>
      <c r="X223" s="5">
        <v>5683890958165</v>
      </c>
      <c r="Y223" s="5">
        <v>44033603950</v>
      </c>
      <c r="Z223" s="5">
        <v>276521267443</v>
      </c>
      <c r="AA223" s="5">
        <v>20408265000</v>
      </c>
      <c r="AB223" s="5">
        <v>5980820490608</v>
      </c>
      <c r="AC223" s="5">
        <v>2817547912376</v>
      </c>
      <c r="AD223" s="36">
        <f t="shared" si="17"/>
        <v>101.73182976582824</v>
      </c>
      <c r="AE223" s="5">
        <v>6189544497437</v>
      </c>
      <c r="AF223" s="5">
        <v>5740840975857</v>
      </c>
      <c r="AG223" s="5">
        <v>3370443308331</v>
      </c>
      <c r="AH223" s="5">
        <v>100858962</v>
      </c>
      <c r="AI223" s="5">
        <v>2262429315459</v>
      </c>
      <c r="AJ223" s="5">
        <v>0</v>
      </c>
      <c r="AK223" s="5">
        <v>0</v>
      </c>
      <c r="AL223" s="6">
        <v>8</v>
      </c>
      <c r="AM223" s="5">
        <v>354232398128</v>
      </c>
      <c r="AN223" s="6">
        <v>148</v>
      </c>
      <c r="AO223" s="5">
        <v>2079260201987</v>
      </c>
      <c r="AP223" s="6">
        <v>56</v>
      </c>
      <c r="AQ223" s="5">
        <v>429129067644</v>
      </c>
      <c r="AR223" s="5">
        <v>1626308263312</v>
      </c>
      <c r="AS223" s="5">
        <v>34402393955</v>
      </c>
      <c r="AT223" s="5">
        <f t="shared" si="18"/>
        <v>1591905869357</v>
      </c>
      <c r="AU223" s="36">
        <f t="shared" si="19"/>
        <v>4627.3113186230294</v>
      </c>
      <c r="AV223" s="5">
        <v>3998735265103</v>
      </c>
      <c r="AW223" s="5">
        <v>2124459562252</v>
      </c>
      <c r="AX223" s="5">
        <v>1040217706298</v>
      </c>
      <c r="AY223" s="5">
        <v>968716407314</v>
      </c>
      <c r="AZ223" s="5">
        <v>1113434002758</v>
      </c>
      <c r="BA223" s="5">
        <v>1670892698942</v>
      </c>
      <c r="BB223" s="5">
        <v>753894664940</v>
      </c>
      <c r="BC223" s="5">
        <v>4810704131860</v>
      </c>
      <c r="BD223" s="5">
        <v>2165110284548</v>
      </c>
      <c r="BE223" s="5">
        <v>1113434002758</v>
      </c>
      <c r="BF223" s="5">
        <v>1532159844554</v>
      </c>
      <c r="BG223" s="5">
        <v>2888218533170</v>
      </c>
      <c r="BH223" s="5">
        <v>3301325964267</v>
      </c>
      <c r="BI223" s="5">
        <v>0</v>
      </c>
      <c r="BJ223" s="48">
        <v>0</v>
      </c>
      <c r="BK223" s="5">
        <v>1541631839068</v>
      </c>
      <c r="BL223" s="5">
        <v>0</v>
      </c>
      <c r="BM223" s="5">
        <v>0</v>
      </c>
      <c r="BN223" s="5">
        <v>100858962</v>
      </c>
    </row>
    <row r="224" spans="1:66" x14ac:dyDescent="0.25">
      <c r="A224" s="17" t="s">
        <v>588</v>
      </c>
      <c r="B224" s="4">
        <v>2009</v>
      </c>
      <c r="C224" s="4" t="s">
        <v>261</v>
      </c>
      <c r="D224" s="5">
        <v>1360640644204</v>
      </c>
      <c r="E224" s="5">
        <v>108000548703</v>
      </c>
      <c r="F224" s="5">
        <v>0</v>
      </c>
      <c r="G224" s="5">
        <v>0</v>
      </c>
      <c r="H224" s="5">
        <v>1468641192907</v>
      </c>
      <c r="I224" s="5">
        <v>121870571529</v>
      </c>
      <c r="J224" s="5">
        <v>1919085099</v>
      </c>
      <c r="K224" s="5">
        <v>1344851536279</v>
      </c>
      <c r="L224" s="5">
        <v>1161178969212</v>
      </c>
      <c r="M224" s="5">
        <f t="shared" si="15"/>
        <v>307462223695</v>
      </c>
      <c r="N224" s="36">
        <f t="shared" si="16"/>
        <v>26.478452662956016</v>
      </c>
      <c r="O224" s="5">
        <v>804025345467</v>
      </c>
      <c r="P224" s="36">
        <v>63.54</v>
      </c>
      <c r="Q224" s="6">
        <v>59.79</v>
      </c>
      <c r="R224" s="6">
        <v>2.93</v>
      </c>
      <c r="S224" s="5">
        <v>805881792371</v>
      </c>
      <c r="T224" s="5">
        <v>25162410675</v>
      </c>
      <c r="U224" s="5">
        <v>15296674261</v>
      </c>
      <c r="V224" s="5">
        <v>2232698413</v>
      </c>
      <c r="W224" s="5">
        <v>7633038001</v>
      </c>
      <c r="X224" s="5">
        <v>831044203046</v>
      </c>
      <c r="Y224" s="5">
        <v>2148571442</v>
      </c>
      <c r="Z224" s="5">
        <v>82460456215</v>
      </c>
      <c r="AA224" s="5">
        <v>19729567039</v>
      </c>
      <c r="AB224" s="5">
        <v>933234226300</v>
      </c>
      <c r="AC224" s="5">
        <v>676889010753</v>
      </c>
      <c r="AD224" s="36">
        <f t="shared" si="17"/>
        <v>22.774072239924717</v>
      </c>
      <c r="AE224" s="5">
        <v>465814260349</v>
      </c>
      <c r="AF224" s="5">
        <v>465814260349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6">
        <v>0</v>
      </c>
      <c r="AM224" s="5">
        <v>0</v>
      </c>
      <c r="AN224" s="6">
        <v>328</v>
      </c>
      <c r="AO224" s="5">
        <v>2194631205361</v>
      </c>
      <c r="AP224" s="6">
        <v>66</v>
      </c>
      <c r="AQ224" s="5">
        <v>636792773084</v>
      </c>
      <c r="AR224" s="5">
        <v>25162410675</v>
      </c>
      <c r="AS224" s="5">
        <v>16240778815</v>
      </c>
      <c r="AT224" s="5">
        <f t="shared" si="18"/>
        <v>8921631860</v>
      </c>
      <c r="AU224" s="36">
        <f t="shared" si="19"/>
        <v>54.933522349063523</v>
      </c>
      <c r="AV224" s="5">
        <v>280774524893</v>
      </c>
      <c r="AW224" s="5">
        <v>94682244657</v>
      </c>
      <c r="AX224" s="5">
        <v>321809818227</v>
      </c>
      <c r="AY224" s="5">
        <v>169011594478</v>
      </c>
      <c r="AZ224" s="5">
        <v>370458431499</v>
      </c>
      <c r="BA224" s="5">
        <v>693898517360</v>
      </c>
      <c r="BB224" s="5">
        <v>246828678933</v>
      </c>
      <c r="BC224" s="5">
        <v>1468641192907</v>
      </c>
      <c r="BD224" s="5">
        <v>598502837645</v>
      </c>
      <c r="BE224" s="5">
        <v>370458431499</v>
      </c>
      <c r="BF224" s="5">
        <v>499679923763</v>
      </c>
      <c r="BG224" s="5">
        <v>278228647966</v>
      </c>
      <c r="BH224" s="5">
        <v>187585612383</v>
      </c>
      <c r="BI224" s="5">
        <v>0</v>
      </c>
      <c r="BJ224" s="48">
        <v>0</v>
      </c>
      <c r="BK224" s="5">
        <v>0</v>
      </c>
      <c r="BL224" s="5">
        <v>0</v>
      </c>
      <c r="BM224" s="5">
        <v>1710000000</v>
      </c>
      <c r="BN224" s="5">
        <v>0</v>
      </c>
    </row>
    <row r="225" spans="1:66" x14ac:dyDescent="0.25">
      <c r="A225" s="17" t="s">
        <v>588</v>
      </c>
      <c r="B225" s="4">
        <v>2010</v>
      </c>
      <c r="C225" s="4" t="s">
        <v>262</v>
      </c>
      <c r="D225" s="5">
        <v>1708431970925</v>
      </c>
      <c r="E225" s="5">
        <v>183136136044</v>
      </c>
      <c r="F225" s="5">
        <v>0</v>
      </c>
      <c r="G225" s="5">
        <v>0</v>
      </c>
      <c r="H225" s="5">
        <v>1891568106969</v>
      </c>
      <c r="I225" s="5">
        <v>149531056542</v>
      </c>
      <c r="J225" s="5">
        <v>5313441607</v>
      </c>
      <c r="K225" s="5">
        <v>1736723608820</v>
      </c>
      <c r="L225" s="5">
        <v>1214209732293</v>
      </c>
      <c r="M225" s="5">
        <f t="shared" si="15"/>
        <v>677358374676</v>
      </c>
      <c r="N225" s="36">
        <f t="shared" si="16"/>
        <v>55.78594510166117</v>
      </c>
      <c r="O225" s="5">
        <v>1203536768085</v>
      </c>
      <c r="P225" s="36">
        <v>70.540000000000006</v>
      </c>
      <c r="Q225" s="6">
        <v>69.3</v>
      </c>
      <c r="R225" s="6">
        <v>3.77</v>
      </c>
      <c r="S225" s="5">
        <v>1247565086822</v>
      </c>
      <c r="T225" s="5">
        <v>48900605773</v>
      </c>
      <c r="U225" s="5">
        <v>27417183132</v>
      </c>
      <c r="V225" s="5">
        <v>18021976554</v>
      </c>
      <c r="W225" s="5">
        <v>3461446087</v>
      </c>
      <c r="X225" s="5">
        <v>1296465692595</v>
      </c>
      <c r="Y225" s="5">
        <v>1356817007</v>
      </c>
      <c r="Z225" s="5">
        <v>36927249730</v>
      </c>
      <c r="AA225" s="5">
        <v>999999642</v>
      </c>
      <c r="AB225" s="5">
        <v>1334392941967</v>
      </c>
      <c r="AC225" s="5">
        <v>1102294847179</v>
      </c>
      <c r="AD225" s="36">
        <f t="shared" si="17"/>
        <v>17.615145885234178</v>
      </c>
      <c r="AE225" s="5">
        <v>887021794084</v>
      </c>
      <c r="AF225" s="5">
        <v>887021794084</v>
      </c>
      <c r="AG225" s="5">
        <v>0</v>
      </c>
      <c r="AH225" s="5">
        <v>10883962733</v>
      </c>
      <c r="AI225" s="5">
        <v>0</v>
      </c>
      <c r="AJ225" s="5">
        <v>0</v>
      </c>
      <c r="AK225" s="5">
        <v>0</v>
      </c>
      <c r="AL225" s="6">
        <v>0</v>
      </c>
      <c r="AM225" s="5">
        <v>0</v>
      </c>
      <c r="AN225" s="6">
        <v>19</v>
      </c>
      <c r="AO225" s="5">
        <v>684998488404</v>
      </c>
      <c r="AP225" s="6">
        <v>27</v>
      </c>
      <c r="AQ225" s="5">
        <v>552847453269</v>
      </c>
      <c r="AR225" s="5">
        <v>48900605773</v>
      </c>
      <c r="AS225" s="5">
        <v>19601931100</v>
      </c>
      <c r="AT225" s="5">
        <f t="shared" si="18"/>
        <v>29298674673</v>
      </c>
      <c r="AU225" s="36">
        <f t="shared" si="19"/>
        <v>149.4683076046523</v>
      </c>
      <c r="AV225" s="5">
        <v>635864047677</v>
      </c>
      <c r="AW225" s="5">
        <v>182656159484</v>
      </c>
      <c r="AX225" s="5">
        <v>233420635893</v>
      </c>
      <c r="AY225" s="5">
        <v>448182460346</v>
      </c>
      <c r="AZ225" s="5">
        <v>362484874686</v>
      </c>
      <c r="BA225" s="5">
        <v>675256282024</v>
      </c>
      <c r="BB225" s="5">
        <v>244957676456</v>
      </c>
      <c r="BC225" s="5">
        <v>1891568106969</v>
      </c>
      <c r="BD225" s="5">
        <v>864739232283</v>
      </c>
      <c r="BE225" s="5">
        <v>362484874686</v>
      </c>
      <c r="BF225" s="5">
        <v>664344000000</v>
      </c>
      <c r="BG225" s="5">
        <v>721471848449</v>
      </c>
      <c r="BH225" s="5">
        <v>165549945635</v>
      </c>
      <c r="BI225" s="5">
        <v>0</v>
      </c>
      <c r="BJ225" s="48">
        <v>0</v>
      </c>
      <c r="BK225" s="5">
        <v>0</v>
      </c>
      <c r="BL225" s="5">
        <v>0</v>
      </c>
      <c r="BM225" s="5">
        <v>0</v>
      </c>
      <c r="BN225" s="5">
        <v>10883962733</v>
      </c>
    </row>
    <row r="226" spans="1:66" x14ac:dyDescent="0.25">
      <c r="A226" s="17" t="s">
        <v>588</v>
      </c>
      <c r="B226" s="4">
        <v>2011</v>
      </c>
      <c r="C226" s="4" t="s">
        <v>263</v>
      </c>
      <c r="D226" s="5">
        <v>1731281912788</v>
      </c>
      <c r="E226" s="5">
        <v>8064878574</v>
      </c>
      <c r="F226" s="5">
        <v>0</v>
      </c>
      <c r="G226" s="5">
        <v>0</v>
      </c>
      <c r="H226" s="5">
        <v>1739346791362</v>
      </c>
      <c r="I226" s="5">
        <v>135595698485</v>
      </c>
      <c r="J226" s="5">
        <v>56179652003</v>
      </c>
      <c r="K226" s="5">
        <v>1547571440874</v>
      </c>
      <c r="L226" s="5">
        <v>1269054094025</v>
      </c>
      <c r="M226" s="5">
        <f t="shared" si="15"/>
        <v>470292697337</v>
      </c>
      <c r="N226" s="36">
        <f t="shared" si="16"/>
        <v>37.058522528806826</v>
      </c>
      <c r="O226" s="5">
        <v>936644660812</v>
      </c>
      <c r="P226" s="36">
        <v>60.75</v>
      </c>
      <c r="Q226" s="6">
        <v>60.52</v>
      </c>
      <c r="R226" s="6">
        <v>2.2000000000000002</v>
      </c>
      <c r="S226" s="5">
        <v>910737182206</v>
      </c>
      <c r="T226" s="5">
        <v>22029579208</v>
      </c>
      <c r="U226" s="5">
        <v>13860408508</v>
      </c>
      <c r="V226" s="5">
        <v>3561642673</v>
      </c>
      <c r="W226" s="5">
        <v>4607528027</v>
      </c>
      <c r="X226" s="5">
        <v>932766761414</v>
      </c>
      <c r="Y226" s="5">
        <v>1188730820</v>
      </c>
      <c r="Z226" s="5">
        <v>99351646493</v>
      </c>
      <c r="AA226" s="5">
        <v>24499025768</v>
      </c>
      <c r="AB226" s="5">
        <v>1056617433675</v>
      </c>
      <c r="AC226" s="5">
        <v>685053559426</v>
      </c>
      <c r="AD226" s="36">
        <f t="shared" si="17"/>
        <v>36.159683951654323</v>
      </c>
      <c r="AE226" s="5">
        <v>524502364905</v>
      </c>
      <c r="AF226" s="5">
        <v>502602364905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6">
        <v>0</v>
      </c>
      <c r="AM226" s="5">
        <v>0</v>
      </c>
      <c r="AN226" s="6">
        <v>6</v>
      </c>
      <c r="AO226" s="5">
        <v>13015000000</v>
      </c>
      <c r="AP226" s="6">
        <v>15</v>
      </c>
      <c r="AQ226" s="5">
        <v>116355622052</v>
      </c>
      <c r="AR226" s="5">
        <v>22029579208</v>
      </c>
      <c r="AS226" s="5">
        <v>28713752365</v>
      </c>
      <c r="AT226" s="5">
        <f t="shared" si="18"/>
        <v>-6684173157</v>
      </c>
      <c r="AU226" s="36">
        <f t="shared" si="19"/>
        <v>-23.278647360445746</v>
      </c>
      <c r="AV226" s="5">
        <v>246786856392</v>
      </c>
      <c r="AW226" s="5">
        <v>68205595900</v>
      </c>
      <c r="AX226" s="5">
        <v>154284671895</v>
      </c>
      <c r="AY226" s="5">
        <v>554422590864</v>
      </c>
      <c r="AZ226" s="5">
        <v>319079421531</v>
      </c>
      <c r="BA226" s="5">
        <v>764370454714</v>
      </c>
      <c r="BB226" s="5">
        <v>156874980735</v>
      </c>
      <c r="BC226" s="5">
        <v>1739346791362</v>
      </c>
      <c r="BD226" s="5">
        <v>716772141333</v>
      </c>
      <c r="BE226" s="5">
        <v>319079421531</v>
      </c>
      <c r="BF226" s="5">
        <v>703495228498</v>
      </c>
      <c r="BG226" s="5">
        <v>381470181992</v>
      </c>
      <c r="BH226" s="5">
        <v>143032182913</v>
      </c>
      <c r="BI226" s="5">
        <v>0</v>
      </c>
      <c r="BJ226" s="48">
        <v>0</v>
      </c>
      <c r="BK226" s="5">
        <v>0</v>
      </c>
      <c r="BL226" s="5">
        <v>0</v>
      </c>
      <c r="BM226" s="5">
        <v>0</v>
      </c>
      <c r="BN226" s="5">
        <v>0</v>
      </c>
    </row>
    <row r="227" spans="1:66" x14ac:dyDescent="0.25">
      <c r="A227" s="17" t="s">
        <v>588</v>
      </c>
      <c r="B227" s="4">
        <v>2012</v>
      </c>
      <c r="C227" s="4" t="s">
        <v>264</v>
      </c>
      <c r="D227" s="5">
        <v>3144429139383</v>
      </c>
      <c r="E227" s="5">
        <v>59720731087</v>
      </c>
      <c r="F227" s="5">
        <v>0</v>
      </c>
      <c r="G227" s="5">
        <v>0</v>
      </c>
      <c r="H227" s="5">
        <v>3204149870470</v>
      </c>
      <c r="I227" s="5">
        <v>242583997019</v>
      </c>
      <c r="J227" s="5">
        <v>4657704408</v>
      </c>
      <c r="K227" s="5">
        <v>2956908169043</v>
      </c>
      <c r="L227" s="5">
        <v>1826415058852</v>
      </c>
      <c r="M227" s="5">
        <f t="shared" si="15"/>
        <v>1377734811618</v>
      </c>
      <c r="N227" s="36">
        <f t="shared" si="16"/>
        <v>75.433828961308507</v>
      </c>
      <c r="O227" s="5">
        <v>945780351797</v>
      </c>
      <c r="P227" s="36">
        <v>33.659999999999997</v>
      </c>
      <c r="Q227" s="6">
        <v>31.99</v>
      </c>
      <c r="R227" s="6">
        <v>1.89</v>
      </c>
      <c r="S227" s="5">
        <v>978558794698</v>
      </c>
      <c r="T227" s="5">
        <v>19019770558</v>
      </c>
      <c r="U227" s="5">
        <v>7601595654</v>
      </c>
      <c r="V227" s="5">
        <v>2720464898</v>
      </c>
      <c r="W227" s="5">
        <v>8697710006</v>
      </c>
      <c r="X227" s="5">
        <v>997578565256</v>
      </c>
      <c r="Y227" s="5">
        <v>1313210935</v>
      </c>
      <c r="Z227" s="5">
        <v>76805716669</v>
      </c>
      <c r="AA227" s="5">
        <v>4093350000</v>
      </c>
      <c r="AB227" s="5">
        <v>1078477631925</v>
      </c>
      <c r="AC227" s="5">
        <v>699035383686</v>
      </c>
      <c r="AD227" s="36">
        <f t="shared" si="17"/>
        <v>42.707878390330919</v>
      </c>
      <c r="AE227" s="5">
        <v>535969167069</v>
      </c>
      <c r="AF227" s="5">
        <v>535969167069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6">
        <v>0</v>
      </c>
      <c r="AM227" s="5">
        <v>0</v>
      </c>
      <c r="AN227" s="6">
        <v>251</v>
      </c>
      <c r="AO227" s="5">
        <v>1435144360387</v>
      </c>
      <c r="AP227" s="6">
        <v>24</v>
      </c>
      <c r="AQ227" s="5">
        <v>168383985997</v>
      </c>
      <c r="AR227" s="5">
        <v>19019770558</v>
      </c>
      <c r="AS227" s="5">
        <v>16561891632</v>
      </c>
      <c r="AT227" s="5">
        <f t="shared" si="18"/>
        <v>2457878926</v>
      </c>
      <c r="AU227" s="36">
        <f t="shared" si="19"/>
        <v>14.840568822772743</v>
      </c>
      <c r="AV227" s="5">
        <v>260798134516</v>
      </c>
      <c r="AW227" s="5">
        <v>53739700685</v>
      </c>
      <c r="AX227" s="5">
        <v>410274550396</v>
      </c>
      <c r="AY227" s="5">
        <v>369469371159</v>
      </c>
      <c r="AZ227" s="5">
        <v>1039696659316</v>
      </c>
      <c r="BA227" s="5">
        <v>1378858228268</v>
      </c>
      <c r="BB227" s="5">
        <v>512021061066</v>
      </c>
      <c r="BC227" s="5">
        <v>3204149870470</v>
      </c>
      <c r="BD227" s="5">
        <v>839464652642</v>
      </c>
      <c r="BE227" s="5">
        <v>1039696659316</v>
      </c>
      <c r="BF227" s="5">
        <v>1324988558512</v>
      </c>
      <c r="BG227" s="5">
        <v>525569167069</v>
      </c>
      <c r="BH227" s="5">
        <v>10400000000</v>
      </c>
      <c r="BI227" s="5">
        <v>0</v>
      </c>
      <c r="BJ227" s="48">
        <v>0</v>
      </c>
      <c r="BK227" s="5">
        <v>0</v>
      </c>
      <c r="BL227" s="5">
        <v>0</v>
      </c>
      <c r="BM227" s="5">
        <v>0</v>
      </c>
      <c r="BN227" s="5">
        <v>0</v>
      </c>
    </row>
    <row r="228" spans="1:66" x14ac:dyDescent="0.25">
      <c r="A228" s="17" t="s">
        <v>588</v>
      </c>
      <c r="B228" s="4">
        <v>2013</v>
      </c>
      <c r="C228" s="4" t="s">
        <v>265</v>
      </c>
      <c r="D228" s="5">
        <v>1257295643793</v>
      </c>
      <c r="E228" s="5">
        <v>11763762164</v>
      </c>
      <c r="F228" s="5">
        <v>0</v>
      </c>
      <c r="G228" s="5">
        <v>0</v>
      </c>
      <c r="H228" s="5">
        <v>1269059405957</v>
      </c>
      <c r="I228" s="5">
        <v>103563121135</v>
      </c>
      <c r="J228" s="5">
        <v>2263473593</v>
      </c>
      <c r="K228" s="5">
        <v>1163232811229</v>
      </c>
      <c r="L228" s="5">
        <v>829736816460</v>
      </c>
      <c r="M228" s="5">
        <f t="shared" si="15"/>
        <v>439322589497</v>
      </c>
      <c r="N228" s="36">
        <f t="shared" si="16"/>
        <v>52.947221429962774</v>
      </c>
      <c r="O228" s="5">
        <v>1434128723475</v>
      </c>
      <c r="P228" s="36">
        <v>132.66999999999999</v>
      </c>
      <c r="Q228" s="6">
        <v>123.29</v>
      </c>
      <c r="R228" s="6">
        <v>5.51</v>
      </c>
      <c r="S228" s="5">
        <v>1453084706008</v>
      </c>
      <c r="T228" s="5">
        <v>84157697435</v>
      </c>
      <c r="U228" s="5">
        <v>31781541020</v>
      </c>
      <c r="V228" s="5">
        <v>16876561026</v>
      </c>
      <c r="W228" s="5">
        <v>35499595389</v>
      </c>
      <c r="X228" s="5">
        <v>1537242403443</v>
      </c>
      <c r="Y228" s="5">
        <v>8546504957</v>
      </c>
      <c r="Z228" s="5">
        <v>129868368919</v>
      </c>
      <c r="AA228" s="5">
        <v>16599990753</v>
      </c>
      <c r="AB228" s="5">
        <v>1683710763115</v>
      </c>
      <c r="AC228" s="5">
        <v>1465697016253</v>
      </c>
      <c r="AD228" s="36">
        <f t="shared" si="17"/>
        <v>4.8813217463526755</v>
      </c>
      <c r="AE228" s="5">
        <v>678141306457</v>
      </c>
      <c r="AF228" s="5">
        <v>621972482622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6">
        <v>0</v>
      </c>
      <c r="AM228" s="5">
        <v>0</v>
      </c>
      <c r="AN228" s="7">
        <v>10</v>
      </c>
      <c r="AO228" s="5">
        <v>9224872925</v>
      </c>
      <c r="AP228" s="7">
        <v>17</v>
      </c>
      <c r="AQ228" s="5">
        <v>72500578156</v>
      </c>
      <c r="AR228" s="5">
        <v>84157697435</v>
      </c>
      <c r="AS228" s="5">
        <v>258753414240</v>
      </c>
      <c r="AT228" s="5">
        <f t="shared" si="18"/>
        <v>-174595716805</v>
      </c>
      <c r="AU228" s="36">
        <f t="shared" si="19"/>
        <v>-67.475715177639458</v>
      </c>
      <c r="AV228" s="5">
        <v>517592209586</v>
      </c>
      <c r="AW228" s="5">
        <v>295884119988</v>
      </c>
      <c r="AX228" s="5">
        <v>135027015237</v>
      </c>
      <c r="AY228" s="5">
        <v>289438460334</v>
      </c>
      <c r="AZ228" s="5">
        <v>568817141742</v>
      </c>
      <c r="BA228" s="5">
        <v>289100281960</v>
      </c>
      <c r="BB228" s="5">
        <v>475716980492</v>
      </c>
      <c r="BC228" s="5">
        <v>1269059405957</v>
      </c>
      <c r="BD228" s="5">
        <v>436229237735</v>
      </c>
      <c r="BE228" s="5">
        <v>568817141742</v>
      </c>
      <c r="BF228" s="5">
        <v>264013026480</v>
      </c>
      <c r="BG228" s="5">
        <v>378405775810</v>
      </c>
      <c r="BH228" s="5">
        <v>299735530647</v>
      </c>
      <c r="BI228" s="5">
        <v>0</v>
      </c>
      <c r="BJ228" s="48">
        <v>0</v>
      </c>
      <c r="BK228" s="5">
        <v>0</v>
      </c>
      <c r="BL228" s="5">
        <v>0</v>
      </c>
      <c r="BM228" s="5">
        <v>0</v>
      </c>
      <c r="BN228" s="5">
        <v>0</v>
      </c>
    </row>
    <row r="229" spans="1:66" x14ac:dyDescent="0.25">
      <c r="A229" s="17" t="s">
        <v>588</v>
      </c>
      <c r="B229" s="4">
        <v>2014</v>
      </c>
      <c r="C229" s="4" t="s">
        <v>266</v>
      </c>
      <c r="D229" s="5">
        <v>1340341015047</v>
      </c>
      <c r="E229" s="5">
        <v>19515763345</v>
      </c>
      <c r="F229" s="5">
        <v>0</v>
      </c>
      <c r="G229" s="5">
        <v>0</v>
      </c>
      <c r="H229" s="5">
        <v>1359856778392</v>
      </c>
      <c r="I229" s="5">
        <v>110065322782</v>
      </c>
      <c r="J229" s="5">
        <v>5183228537</v>
      </c>
      <c r="K229" s="5">
        <v>1244608227073</v>
      </c>
      <c r="L229" s="5">
        <v>980796998457</v>
      </c>
      <c r="M229" s="5">
        <f t="shared" si="15"/>
        <v>379059779935</v>
      </c>
      <c r="N229" s="36">
        <f t="shared" si="16"/>
        <v>38.648138251986985</v>
      </c>
      <c r="O229" s="5">
        <v>934076525213</v>
      </c>
      <c r="P229" s="36">
        <v>80.06</v>
      </c>
      <c r="Q229" s="6">
        <v>75.05</v>
      </c>
      <c r="R229" s="6">
        <v>3.57</v>
      </c>
      <c r="S229" s="5">
        <v>1020929248823</v>
      </c>
      <c r="T229" s="5">
        <v>38797750589</v>
      </c>
      <c r="U229" s="5">
        <v>25285791811</v>
      </c>
      <c r="V229" s="5">
        <v>12085511569</v>
      </c>
      <c r="W229" s="5">
        <v>1426447209</v>
      </c>
      <c r="X229" s="5">
        <v>1059726999412</v>
      </c>
      <c r="Y229" s="5">
        <v>46381151</v>
      </c>
      <c r="Z229" s="5">
        <v>27957120333</v>
      </c>
      <c r="AA229" s="5">
        <v>1000000000</v>
      </c>
      <c r="AB229" s="5">
        <v>1088684119745</v>
      </c>
      <c r="AC229" s="5">
        <v>790942664628</v>
      </c>
      <c r="AD229" s="36">
        <f t="shared" si="17"/>
        <v>33.98278368387372</v>
      </c>
      <c r="AE229" s="5">
        <v>474754544000</v>
      </c>
      <c r="AF229" s="5">
        <v>474754544000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6">
        <v>0</v>
      </c>
      <c r="AM229" s="5">
        <v>0</v>
      </c>
      <c r="AN229" s="6">
        <v>135</v>
      </c>
      <c r="AO229" s="5">
        <v>423767694062</v>
      </c>
      <c r="AP229" s="6">
        <v>27</v>
      </c>
      <c r="AQ229" s="5">
        <v>38355002594</v>
      </c>
      <c r="AR229" s="5">
        <v>38797750589</v>
      </c>
      <c r="AS229" s="5">
        <v>30739657556</v>
      </c>
      <c r="AT229" s="5">
        <f t="shared" si="18"/>
        <v>8058093033</v>
      </c>
      <c r="AU229" s="36">
        <f t="shared" si="19"/>
        <v>26.21399740163065</v>
      </c>
      <c r="AV229" s="5">
        <v>291009049402</v>
      </c>
      <c r="AW229" s="5">
        <v>116843697295</v>
      </c>
      <c r="AX229" s="5">
        <v>94459740333</v>
      </c>
      <c r="AY229" s="5">
        <v>253184735766</v>
      </c>
      <c r="AZ229" s="5">
        <v>416136331190</v>
      </c>
      <c r="BA229" s="5">
        <v>651389506834</v>
      </c>
      <c r="BB229" s="5">
        <v>171445133580</v>
      </c>
      <c r="BC229" s="5">
        <v>1359856778392</v>
      </c>
      <c r="BD229" s="5">
        <v>366389816092</v>
      </c>
      <c r="BE229" s="5">
        <v>416136231190</v>
      </c>
      <c r="BF229" s="5">
        <v>577330731110</v>
      </c>
      <c r="BG229" s="5">
        <v>397944544000</v>
      </c>
      <c r="BH229" s="5">
        <v>76810000000</v>
      </c>
      <c r="BI229" s="5">
        <v>0</v>
      </c>
      <c r="BJ229" s="48">
        <v>0</v>
      </c>
      <c r="BK229" s="5">
        <v>0</v>
      </c>
      <c r="BL229" s="5">
        <v>0</v>
      </c>
      <c r="BM229" s="5">
        <v>0</v>
      </c>
      <c r="BN229" s="5">
        <v>0</v>
      </c>
    </row>
    <row r="230" spans="1:66" x14ac:dyDescent="0.25">
      <c r="A230" s="17" t="s">
        <v>588</v>
      </c>
      <c r="B230" s="18">
        <v>2015</v>
      </c>
      <c r="C230" s="18" t="s">
        <v>267</v>
      </c>
      <c r="D230" s="19">
        <v>9226982775400</v>
      </c>
      <c r="E230" s="19">
        <v>1412702640196</v>
      </c>
      <c r="F230" s="19">
        <v>0</v>
      </c>
      <c r="G230" s="19">
        <v>0</v>
      </c>
      <c r="H230" s="19">
        <v>10639685415596</v>
      </c>
      <c r="I230" s="19">
        <v>619256451563</v>
      </c>
      <c r="J230" s="19">
        <v>14276987689</v>
      </c>
      <c r="K230" s="19">
        <v>10006151976344</v>
      </c>
      <c r="L230" s="19">
        <v>7054396163663</v>
      </c>
      <c r="M230" s="5">
        <f t="shared" si="15"/>
        <v>3585289251933</v>
      </c>
      <c r="N230" s="36">
        <f t="shared" si="16"/>
        <v>50.823474734814667</v>
      </c>
      <c r="O230" s="19">
        <v>4762719472175</v>
      </c>
      <c r="P230" s="36">
        <v>50.93</v>
      </c>
      <c r="Q230" s="20">
        <v>47.6</v>
      </c>
      <c r="R230" s="20">
        <v>13.27</v>
      </c>
      <c r="S230" s="19">
        <v>4407030825417</v>
      </c>
      <c r="T230" s="19">
        <v>620203898462</v>
      </c>
      <c r="U230" s="19">
        <v>25195824241</v>
      </c>
      <c r="V230" s="19">
        <v>196397816691</v>
      </c>
      <c r="W230" s="19">
        <v>398610257530</v>
      </c>
      <c r="X230" s="19">
        <v>5027234723879</v>
      </c>
      <c r="Y230" s="5">
        <v>98568738520</v>
      </c>
      <c r="Z230" s="19">
        <v>372261112450</v>
      </c>
      <c r="AA230" s="19">
        <v>18979652730</v>
      </c>
      <c r="AB230" s="19">
        <v>5418475489059</v>
      </c>
      <c r="AC230" s="19">
        <v>4127511712163</v>
      </c>
      <c r="AD230" s="36">
        <f t="shared" si="17"/>
        <v>21.798194032125593</v>
      </c>
      <c r="AE230" s="19">
        <v>6602798587820</v>
      </c>
      <c r="AF230" s="19">
        <v>6546169676589</v>
      </c>
      <c r="AG230" s="19">
        <v>2853947547580</v>
      </c>
      <c r="AH230" s="19">
        <v>73217307693</v>
      </c>
      <c r="AI230" s="19">
        <v>0</v>
      </c>
      <c r="AJ230" s="19">
        <v>0</v>
      </c>
      <c r="AK230" s="19">
        <v>0</v>
      </c>
      <c r="AL230" s="21">
        <v>1</v>
      </c>
      <c r="AM230" s="19">
        <v>59734121700</v>
      </c>
      <c r="AN230" s="21">
        <v>2208</v>
      </c>
      <c r="AO230" s="19">
        <v>26096907352430</v>
      </c>
      <c r="AP230" s="21">
        <v>1409</v>
      </c>
      <c r="AQ230" s="19">
        <v>9338167747207</v>
      </c>
      <c r="AR230" s="19">
        <v>620203898462</v>
      </c>
      <c r="AS230" s="19">
        <v>150798986202</v>
      </c>
      <c r="AT230" s="5">
        <f t="shared" si="18"/>
        <v>469404912260</v>
      </c>
      <c r="AU230" s="36">
        <f t="shared" si="19"/>
        <v>311.27855967892071</v>
      </c>
      <c r="AV230" s="19">
        <v>5345797821915</v>
      </c>
      <c r="AW230" s="19">
        <v>2332163235571</v>
      </c>
      <c r="AX230" s="19">
        <v>5905941827521</v>
      </c>
      <c r="AY230" s="19">
        <v>578377997096</v>
      </c>
      <c r="AZ230" s="19">
        <v>1170055677320</v>
      </c>
      <c r="BA230" s="19">
        <v>1851348564487</v>
      </c>
      <c r="BB230" s="19">
        <v>692441507892</v>
      </c>
      <c r="BC230" s="19">
        <v>10639685415596</v>
      </c>
      <c r="BD230" s="19">
        <v>7750702468491</v>
      </c>
      <c r="BE230" s="19">
        <v>1170055677320</v>
      </c>
      <c r="BF230" s="19">
        <v>1718927269785</v>
      </c>
      <c r="BG230" s="19">
        <v>4519327897569</v>
      </c>
      <c r="BH230" s="19">
        <v>2083470690251</v>
      </c>
      <c r="BI230" s="19">
        <v>0</v>
      </c>
      <c r="BJ230" s="50">
        <v>398517921774</v>
      </c>
      <c r="BK230" s="19">
        <v>3026369192080</v>
      </c>
      <c r="BL230" s="19">
        <v>1441312528</v>
      </c>
      <c r="BM230" s="19">
        <v>2</v>
      </c>
      <c r="BN230" s="19">
        <v>87606030536</v>
      </c>
    </row>
    <row r="231" spans="1:66" x14ac:dyDescent="0.25">
      <c r="A231" s="17" t="s">
        <v>588</v>
      </c>
      <c r="B231" s="4">
        <v>2016</v>
      </c>
      <c r="C231" s="4" t="s">
        <v>268</v>
      </c>
      <c r="D231" s="5">
        <v>2541494625799</v>
      </c>
      <c r="E231" s="5">
        <v>237538242367</v>
      </c>
      <c r="F231" s="5">
        <v>0</v>
      </c>
      <c r="G231" s="5">
        <v>0</v>
      </c>
      <c r="H231" s="5">
        <v>2779032868166</v>
      </c>
      <c r="I231" s="5">
        <v>192238507772</v>
      </c>
      <c r="J231" s="5">
        <v>6000440815</v>
      </c>
      <c r="K231" s="5">
        <v>2580793919579</v>
      </c>
      <c r="L231" s="5">
        <v>1496682002931</v>
      </c>
      <c r="M231" s="5">
        <f t="shared" si="15"/>
        <v>1282350865235</v>
      </c>
      <c r="N231" s="36">
        <f t="shared" si="16"/>
        <v>85.679580747528973</v>
      </c>
      <c r="O231" s="5">
        <v>1276279652675</v>
      </c>
      <c r="P231" s="36">
        <v>50.7</v>
      </c>
      <c r="Q231" s="6">
        <v>49.45</v>
      </c>
      <c r="R231" s="6">
        <v>1.55</v>
      </c>
      <c r="S231" s="5">
        <v>1332016149198</v>
      </c>
      <c r="T231" s="5">
        <v>20601410101</v>
      </c>
      <c r="U231" s="5">
        <v>18299301553</v>
      </c>
      <c r="V231" s="5">
        <v>1690333089</v>
      </c>
      <c r="W231" s="5">
        <v>611775459</v>
      </c>
      <c r="X231" s="5">
        <v>1352617559299</v>
      </c>
      <c r="Y231" s="5">
        <v>1172253164</v>
      </c>
      <c r="Z231" s="5">
        <v>51422092791</v>
      </c>
      <c r="AA231" s="5">
        <v>5000000000</v>
      </c>
      <c r="AB231" s="5">
        <v>1409039652090</v>
      </c>
      <c r="AC231" s="5">
        <v>828402096104</v>
      </c>
      <c r="AD231" s="36">
        <f t="shared" si="17"/>
        <v>63.280315882878746</v>
      </c>
      <c r="AE231" s="5">
        <v>1010035037886</v>
      </c>
      <c r="AF231" s="5">
        <v>1010035037886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6">
        <v>0</v>
      </c>
      <c r="AM231" s="5">
        <v>0</v>
      </c>
      <c r="AN231" s="6">
        <v>660</v>
      </c>
      <c r="AO231" s="5">
        <v>7131151658458</v>
      </c>
      <c r="AP231" s="6">
        <v>221</v>
      </c>
      <c r="AQ231" s="5">
        <v>1832466434631</v>
      </c>
      <c r="AR231" s="5">
        <v>20601410101</v>
      </c>
      <c r="AS231" s="5">
        <v>8663162914</v>
      </c>
      <c r="AT231" s="5">
        <f t="shared" si="18"/>
        <v>11938247187</v>
      </c>
      <c r="AU231" s="36">
        <f t="shared" si="19"/>
        <v>137.80471757846476</v>
      </c>
      <c r="AV231" s="5">
        <v>493218405744</v>
      </c>
      <c r="AW231" s="5">
        <v>80750425473</v>
      </c>
      <c r="AX231" s="5">
        <v>537340260289</v>
      </c>
      <c r="AY231" s="5">
        <v>699821900497</v>
      </c>
      <c r="AZ231" s="5">
        <v>678098465013</v>
      </c>
      <c r="BA231" s="5">
        <v>872857588876</v>
      </c>
      <c r="BB231" s="5">
        <v>524196916522</v>
      </c>
      <c r="BC231" s="5">
        <v>2779032868166</v>
      </c>
      <c r="BD231" s="5">
        <v>1474700403153</v>
      </c>
      <c r="BE231" s="5">
        <v>678098465013</v>
      </c>
      <c r="BF231" s="5">
        <v>626234000000</v>
      </c>
      <c r="BG231" s="5">
        <v>595012309900</v>
      </c>
      <c r="BH231" s="5">
        <v>415022727986</v>
      </c>
      <c r="BI231" s="5">
        <v>0</v>
      </c>
      <c r="BJ231" s="48">
        <v>0</v>
      </c>
      <c r="BK231" s="5">
        <v>0</v>
      </c>
      <c r="BL231" s="5">
        <v>0</v>
      </c>
      <c r="BM231" s="5">
        <v>0</v>
      </c>
      <c r="BN231" s="5">
        <v>0</v>
      </c>
    </row>
    <row r="232" spans="1:66" x14ac:dyDescent="0.25">
      <c r="A232" s="17" t="s">
        <v>588</v>
      </c>
      <c r="B232" s="4">
        <v>2017</v>
      </c>
      <c r="C232" s="4" t="s">
        <v>269</v>
      </c>
      <c r="D232" s="5">
        <v>2965117129000</v>
      </c>
      <c r="E232" s="5">
        <v>309053028533</v>
      </c>
      <c r="F232" s="5">
        <v>0</v>
      </c>
      <c r="G232" s="5">
        <v>0</v>
      </c>
      <c r="H232" s="5">
        <v>3274170157533</v>
      </c>
      <c r="I232" s="5">
        <v>254236532697</v>
      </c>
      <c r="J232" s="5">
        <v>14279099183</v>
      </c>
      <c r="K232" s="5">
        <v>3005654525653</v>
      </c>
      <c r="L232" s="5">
        <v>2305620626817</v>
      </c>
      <c r="M232" s="5">
        <f t="shared" si="15"/>
        <v>968549530716</v>
      </c>
      <c r="N232" s="36">
        <f t="shared" si="16"/>
        <v>42.008191610131483</v>
      </c>
      <c r="O232" s="5">
        <v>1040632973352</v>
      </c>
      <c r="P232" s="36">
        <v>35.799999999999997</v>
      </c>
      <c r="Q232" s="6">
        <v>34.619999999999997</v>
      </c>
      <c r="R232" s="6">
        <v>3.88</v>
      </c>
      <c r="S232" s="5">
        <v>1073689339127</v>
      </c>
      <c r="T232" s="5">
        <v>45459600961</v>
      </c>
      <c r="U232" s="5">
        <v>43365535422</v>
      </c>
      <c r="V232" s="5">
        <v>2094065539</v>
      </c>
      <c r="W232" s="5">
        <v>0</v>
      </c>
      <c r="X232" s="5">
        <v>1119148940088</v>
      </c>
      <c r="Y232" s="5">
        <v>0</v>
      </c>
      <c r="Z232" s="5">
        <v>50038660098</v>
      </c>
      <c r="AA232" s="5">
        <v>2939170000</v>
      </c>
      <c r="AB232" s="5">
        <v>1172126770186</v>
      </c>
      <c r="AC232" s="5">
        <v>985267392051</v>
      </c>
      <c r="AD232" s="36">
        <f t="shared" si="17"/>
        <v>13.588346586636041</v>
      </c>
      <c r="AE232" s="5">
        <v>778659231685</v>
      </c>
      <c r="AF232" s="5">
        <v>778659231685</v>
      </c>
      <c r="AG232" s="5">
        <v>0</v>
      </c>
      <c r="AH232" s="5">
        <v>8471289250</v>
      </c>
      <c r="AI232" s="5">
        <v>0</v>
      </c>
      <c r="AJ232" s="5">
        <v>0</v>
      </c>
      <c r="AK232" s="5">
        <v>0</v>
      </c>
      <c r="AL232" s="6">
        <v>0</v>
      </c>
      <c r="AM232" s="5">
        <v>0</v>
      </c>
      <c r="AN232" s="6">
        <v>417</v>
      </c>
      <c r="AO232" s="5">
        <v>15972839452606</v>
      </c>
      <c r="AP232" s="6">
        <v>97</v>
      </c>
      <c r="AQ232" s="5">
        <v>4995999334303</v>
      </c>
      <c r="AR232" s="5">
        <v>45459600961</v>
      </c>
      <c r="AS232" s="5">
        <v>9988316581</v>
      </c>
      <c r="AT232" s="5">
        <f t="shared" si="18"/>
        <v>35471284380</v>
      </c>
      <c r="AU232" s="36">
        <f t="shared" si="19"/>
        <v>355.12775443535975</v>
      </c>
      <c r="AV232" s="5">
        <v>641683059485</v>
      </c>
      <c r="AW232" s="5">
        <v>154635081385</v>
      </c>
      <c r="AX232" s="5">
        <v>249877255705</v>
      </c>
      <c r="AY232" s="5">
        <v>1025856499521</v>
      </c>
      <c r="AZ232" s="5">
        <v>583376373774</v>
      </c>
      <c r="BA232" s="5">
        <v>1292877496204</v>
      </c>
      <c r="BB232" s="5">
        <v>134345671121</v>
      </c>
      <c r="BC232" s="5">
        <v>3274170157533</v>
      </c>
      <c r="BD232" s="5">
        <v>1584786783759</v>
      </c>
      <c r="BE232" s="5">
        <v>583376373774</v>
      </c>
      <c r="BF232" s="5">
        <v>1106007000000</v>
      </c>
      <c r="BG232" s="5">
        <v>352212080655</v>
      </c>
      <c r="BH232" s="5">
        <v>426447151030</v>
      </c>
      <c r="BI232" s="5">
        <v>0</v>
      </c>
      <c r="BJ232" s="48">
        <v>0</v>
      </c>
      <c r="BK232" s="5">
        <v>0</v>
      </c>
      <c r="BL232" s="5">
        <v>7744544931</v>
      </c>
      <c r="BM232" s="5">
        <v>0</v>
      </c>
      <c r="BN232" s="5">
        <v>726744319</v>
      </c>
    </row>
    <row r="233" spans="1:66" x14ac:dyDescent="0.25">
      <c r="A233" s="17" t="s">
        <v>588</v>
      </c>
      <c r="B233" s="4">
        <v>2018</v>
      </c>
      <c r="C233" s="4" t="s">
        <v>270</v>
      </c>
      <c r="D233" s="5">
        <v>872566656958</v>
      </c>
      <c r="E233" s="5">
        <v>19212002837</v>
      </c>
      <c r="F233" s="5">
        <v>0</v>
      </c>
      <c r="G233" s="5">
        <v>0</v>
      </c>
      <c r="H233" s="5">
        <v>891778659795</v>
      </c>
      <c r="I233" s="5">
        <v>67842679312</v>
      </c>
      <c r="J233" s="5">
        <v>4485177881</v>
      </c>
      <c r="K233" s="5">
        <v>819450802602</v>
      </c>
      <c r="L233" s="5">
        <v>872591849696</v>
      </c>
      <c r="M233" s="5">
        <f t="shared" si="15"/>
        <v>19186810099</v>
      </c>
      <c r="N233" s="36">
        <f t="shared" si="16"/>
        <v>2.198829854494337</v>
      </c>
      <c r="O233" s="5">
        <v>352908589625</v>
      </c>
      <c r="P233" s="36">
        <v>42.85</v>
      </c>
      <c r="Q233" s="6">
        <v>43.07</v>
      </c>
      <c r="R233" s="6">
        <v>4.18</v>
      </c>
      <c r="S233" s="5">
        <v>355924788718</v>
      </c>
      <c r="T233" s="5">
        <v>15961859372</v>
      </c>
      <c r="U233" s="5">
        <v>8981108221</v>
      </c>
      <c r="V233" s="5">
        <v>6980751151</v>
      </c>
      <c r="W233" s="5">
        <v>0</v>
      </c>
      <c r="X233" s="5">
        <v>371886648090</v>
      </c>
      <c r="Y233" s="5">
        <v>0</v>
      </c>
      <c r="Z233" s="5">
        <v>8680224589</v>
      </c>
      <c r="AA233" s="5">
        <v>1599700000</v>
      </c>
      <c r="AB233" s="5">
        <v>382166572679</v>
      </c>
      <c r="AC233" s="5">
        <v>356300115244</v>
      </c>
      <c r="AD233" s="36">
        <f t="shared" si="17"/>
        <v>4.374551727362225</v>
      </c>
      <c r="AE233" s="5">
        <v>154455716913</v>
      </c>
      <c r="AF233" s="5">
        <v>154455716913</v>
      </c>
      <c r="AG233" s="5">
        <v>0</v>
      </c>
      <c r="AH233" s="5">
        <v>122654085</v>
      </c>
      <c r="AI233" s="5">
        <v>0</v>
      </c>
      <c r="AJ233" s="5">
        <v>0</v>
      </c>
      <c r="AK233" s="5">
        <v>0</v>
      </c>
      <c r="AL233" s="6">
        <v>0</v>
      </c>
      <c r="AM233" s="5">
        <v>0</v>
      </c>
      <c r="AN233" s="6">
        <v>50</v>
      </c>
      <c r="AO233" s="5">
        <v>69943539610</v>
      </c>
      <c r="AP233" s="6">
        <v>36</v>
      </c>
      <c r="AQ233" s="5">
        <v>36705352745</v>
      </c>
      <c r="AR233" s="5">
        <v>15961859372</v>
      </c>
      <c r="AS233" s="5">
        <v>3669827408</v>
      </c>
      <c r="AT233" s="5">
        <f t="shared" si="18"/>
        <v>12292031964</v>
      </c>
      <c r="AU233" s="36">
        <f t="shared" si="19"/>
        <v>334.94850295150445</v>
      </c>
      <c r="AV233" s="5">
        <v>137934594313</v>
      </c>
      <c r="AW233" s="5">
        <v>39917737324</v>
      </c>
      <c r="AX233" s="5">
        <v>198078882288</v>
      </c>
      <c r="AY233" s="5">
        <v>210242655687</v>
      </c>
      <c r="AZ233" s="5">
        <v>240471518983</v>
      </c>
      <c r="BA233" s="5">
        <v>230461806308</v>
      </c>
      <c r="BB233" s="5">
        <v>92768467248</v>
      </c>
      <c r="BC233" s="5">
        <v>891778659795</v>
      </c>
      <c r="BD233" s="5">
        <v>427533540812</v>
      </c>
      <c r="BE233" s="5">
        <v>240471518983</v>
      </c>
      <c r="BF233" s="5">
        <v>223773600000</v>
      </c>
      <c r="BG233" s="5">
        <v>65522281915</v>
      </c>
      <c r="BH233" s="5">
        <v>88933434998</v>
      </c>
      <c r="BI233" s="5">
        <v>0</v>
      </c>
      <c r="BJ233" s="48">
        <v>0</v>
      </c>
      <c r="BK233" s="5">
        <v>0</v>
      </c>
      <c r="BL233" s="5">
        <v>0</v>
      </c>
      <c r="BM233" s="5">
        <v>0</v>
      </c>
      <c r="BN233" s="5">
        <v>122654085</v>
      </c>
    </row>
    <row r="234" spans="1:66" x14ac:dyDescent="0.25">
      <c r="A234" s="17" t="s">
        <v>588</v>
      </c>
      <c r="B234" s="4">
        <v>2019</v>
      </c>
      <c r="C234" s="4" t="s">
        <v>271</v>
      </c>
      <c r="D234" s="5">
        <v>6118307406194</v>
      </c>
      <c r="E234" s="5">
        <v>699279592031</v>
      </c>
      <c r="F234" s="5">
        <v>0</v>
      </c>
      <c r="G234" s="5">
        <v>0</v>
      </c>
      <c r="H234" s="5">
        <v>6817586998225</v>
      </c>
      <c r="I234" s="5">
        <v>469987314840</v>
      </c>
      <c r="J234" s="5">
        <v>7744999577</v>
      </c>
      <c r="K234" s="5">
        <v>6339854683808</v>
      </c>
      <c r="L234" s="5">
        <v>4411172199238</v>
      </c>
      <c r="M234" s="5">
        <f t="shared" si="15"/>
        <v>2406414798987</v>
      </c>
      <c r="N234" s="36">
        <f t="shared" si="16"/>
        <v>54.552728623985523</v>
      </c>
      <c r="O234" s="5">
        <v>3751570737599</v>
      </c>
      <c r="P234" s="36">
        <v>59.2</v>
      </c>
      <c r="Q234" s="6">
        <v>59.17</v>
      </c>
      <c r="R234" s="6">
        <v>31.12</v>
      </c>
      <c r="S234" s="5">
        <v>2354947371339</v>
      </c>
      <c r="T234" s="5">
        <v>1221936575242</v>
      </c>
      <c r="U234" s="5">
        <v>28987978252</v>
      </c>
      <c r="V234" s="5">
        <v>1012326406815</v>
      </c>
      <c r="W234" s="5">
        <v>180622190175</v>
      </c>
      <c r="X234" s="5">
        <v>3576883946581</v>
      </c>
      <c r="Y234" s="5">
        <v>34187332648</v>
      </c>
      <c r="Z234" s="5">
        <v>446193487206</v>
      </c>
      <c r="AA234" s="5">
        <v>13007588130</v>
      </c>
      <c r="AB234" s="5">
        <v>4036085021917</v>
      </c>
      <c r="AC234" s="5">
        <v>3227714234686</v>
      </c>
      <c r="AD234" s="36">
        <f t="shared" si="17"/>
        <v>10.817863246464508</v>
      </c>
      <c r="AE234" s="5">
        <v>3255383654377</v>
      </c>
      <c r="AF234" s="5">
        <v>3255383654377</v>
      </c>
      <c r="AG234" s="5">
        <v>1400689127217</v>
      </c>
      <c r="AH234" s="5">
        <v>6635108268</v>
      </c>
      <c r="AI234" s="5">
        <v>0</v>
      </c>
      <c r="AJ234" s="5">
        <v>0</v>
      </c>
      <c r="AK234" s="5">
        <v>0</v>
      </c>
      <c r="AL234" s="6">
        <v>0</v>
      </c>
      <c r="AM234" s="5">
        <v>0</v>
      </c>
      <c r="AN234" s="7">
        <v>1519</v>
      </c>
      <c r="AO234" s="5">
        <v>14820413389208</v>
      </c>
      <c r="AP234" s="7">
        <v>982</v>
      </c>
      <c r="AQ234" s="5">
        <v>7095200316227</v>
      </c>
      <c r="AR234" s="5">
        <v>1221936575242</v>
      </c>
      <c r="AS234" s="5">
        <v>678758547303</v>
      </c>
      <c r="AT234" s="5">
        <f t="shared" si="18"/>
        <v>543178027939</v>
      </c>
      <c r="AU234" s="36">
        <f t="shared" si="19"/>
        <v>80.025221059429782</v>
      </c>
      <c r="AV234" s="5">
        <v>3174270760188</v>
      </c>
      <c r="AW234" s="5">
        <v>2206055370539</v>
      </c>
      <c r="AX234" s="5">
        <v>2218017184990</v>
      </c>
      <c r="AY234" s="5">
        <v>1130121763368</v>
      </c>
      <c r="AZ234" s="5">
        <v>880005857836</v>
      </c>
      <c r="BA234" s="5">
        <v>1910354781240</v>
      </c>
      <c r="BB234" s="5">
        <v>419231704892</v>
      </c>
      <c r="BC234" s="5">
        <v>6817586998225</v>
      </c>
      <c r="BD234" s="5">
        <v>4047418540389</v>
      </c>
      <c r="BE234" s="5">
        <v>880005857836</v>
      </c>
      <c r="BF234" s="5">
        <v>1890162600000</v>
      </c>
      <c r="BG234" s="5">
        <v>2583136543871</v>
      </c>
      <c r="BH234" s="5">
        <v>672247110506</v>
      </c>
      <c r="BI234" s="5">
        <v>0</v>
      </c>
      <c r="BJ234" s="48">
        <v>179329044915</v>
      </c>
      <c r="BK234" s="5">
        <v>1867583115099</v>
      </c>
      <c r="BL234" s="5">
        <v>345386810</v>
      </c>
      <c r="BM234" s="5">
        <v>0</v>
      </c>
      <c r="BN234" s="5">
        <v>22298978941</v>
      </c>
    </row>
    <row r="235" spans="1:66" x14ac:dyDescent="0.25">
      <c r="A235" s="17" t="s">
        <v>588</v>
      </c>
      <c r="B235" s="4">
        <v>2020</v>
      </c>
      <c r="C235" s="4" t="s">
        <v>272</v>
      </c>
      <c r="D235" s="5">
        <v>1903062336189</v>
      </c>
      <c r="E235" s="5">
        <v>511133849202</v>
      </c>
      <c r="F235" s="5">
        <v>0</v>
      </c>
      <c r="G235" s="5">
        <v>0</v>
      </c>
      <c r="H235" s="5">
        <v>2414196185391</v>
      </c>
      <c r="I235" s="5">
        <v>149460289910</v>
      </c>
      <c r="J235" s="5">
        <v>14065048258</v>
      </c>
      <c r="K235" s="5">
        <v>2250670847223</v>
      </c>
      <c r="L235" s="5">
        <v>1780003460103</v>
      </c>
      <c r="M235" s="5">
        <f t="shared" si="15"/>
        <v>634192725288</v>
      </c>
      <c r="N235" s="36">
        <f t="shared" si="16"/>
        <v>35.628735533542297</v>
      </c>
      <c r="O235" s="5">
        <v>878740823362</v>
      </c>
      <c r="P235" s="36">
        <v>42.47</v>
      </c>
      <c r="Q235" s="6">
        <v>39.04</v>
      </c>
      <c r="R235" s="6">
        <v>2.41</v>
      </c>
      <c r="S235" s="5">
        <v>916027582389</v>
      </c>
      <c r="T235" s="5">
        <v>24697210149</v>
      </c>
      <c r="U235" s="5">
        <v>24521620910</v>
      </c>
      <c r="V235" s="5">
        <v>175589239</v>
      </c>
      <c r="W235" s="5">
        <v>0</v>
      </c>
      <c r="X235" s="5">
        <v>940724792538</v>
      </c>
      <c r="Y235" s="5">
        <v>0</v>
      </c>
      <c r="Z235" s="5">
        <v>62440840602</v>
      </c>
      <c r="AA235" s="5">
        <v>22096151800</v>
      </c>
      <c r="AB235" s="5">
        <v>1025261784940</v>
      </c>
      <c r="AC235" s="5">
        <v>778418220569</v>
      </c>
      <c r="AD235" s="36">
        <f t="shared" si="17"/>
        <v>20.850818709042915</v>
      </c>
      <c r="AE235" s="5">
        <v>820059431634</v>
      </c>
      <c r="AF235" s="5">
        <v>797736168621</v>
      </c>
      <c r="AG235" s="5">
        <v>38530695060</v>
      </c>
      <c r="AH235" s="5">
        <v>66619925083</v>
      </c>
      <c r="AI235" s="5">
        <v>0</v>
      </c>
      <c r="AJ235" s="5">
        <v>0</v>
      </c>
      <c r="AK235" s="5">
        <v>0</v>
      </c>
      <c r="AL235" s="6">
        <v>0</v>
      </c>
      <c r="AM235" s="5">
        <v>0</v>
      </c>
      <c r="AN235" s="6">
        <v>914</v>
      </c>
      <c r="AO235" s="5">
        <v>10957827521194</v>
      </c>
      <c r="AP235" s="6">
        <v>239</v>
      </c>
      <c r="AQ235" s="5">
        <v>3366723804381</v>
      </c>
      <c r="AR235" s="5">
        <v>24697210149</v>
      </c>
      <c r="AS235" s="5">
        <v>7460329713</v>
      </c>
      <c r="AT235" s="5">
        <f t="shared" si="18"/>
        <v>17236880436</v>
      </c>
      <c r="AU235" s="36">
        <f t="shared" si="19"/>
        <v>231.04716680234478</v>
      </c>
      <c r="AV235" s="5">
        <v>650318972021</v>
      </c>
      <c r="AW235" s="5">
        <v>328765929443</v>
      </c>
      <c r="AX235" s="5">
        <v>506664685781</v>
      </c>
      <c r="AY235" s="5">
        <v>599038772208</v>
      </c>
      <c r="AZ235" s="5">
        <v>379284020177</v>
      </c>
      <c r="BA235" s="5">
        <v>449739350967</v>
      </c>
      <c r="BB235" s="5">
        <v>377111159047</v>
      </c>
      <c r="BC235" s="5">
        <v>2414196185391</v>
      </c>
      <c r="BD235" s="5">
        <v>1616837307191</v>
      </c>
      <c r="BE235" s="5">
        <v>379284020177</v>
      </c>
      <c r="BF235" s="5">
        <v>418074858023</v>
      </c>
      <c r="BG235" s="5">
        <v>514967137597</v>
      </c>
      <c r="BH235" s="5">
        <v>305092294037</v>
      </c>
      <c r="BI235" s="5">
        <v>0</v>
      </c>
      <c r="BJ235" s="48">
        <v>0</v>
      </c>
      <c r="BK235" s="5">
        <v>58447535850</v>
      </c>
      <c r="BL235" s="5">
        <v>3403964890</v>
      </c>
      <c r="BM235" s="5">
        <v>0</v>
      </c>
      <c r="BN235" s="5">
        <v>63244042606</v>
      </c>
    </row>
    <row r="236" spans="1:66" x14ac:dyDescent="0.25">
      <c r="A236" s="17" t="s">
        <v>588</v>
      </c>
      <c r="B236" s="4">
        <v>2099</v>
      </c>
      <c r="C236" s="4" t="s">
        <v>273</v>
      </c>
      <c r="D236" s="5">
        <v>0</v>
      </c>
      <c r="E236" s="5">
        <v>10146318943</v>
      </c>
      <c r="F236" s="5">
        <v>0</v>
      </c>
      <c r="G236" s="5">
        <v>0</v>
      </c>
      <c r="H236" s="5">
        <v>10146318943</v>
      </c>
      <c r="I236" s="5">
        <v>888705890</v>
      </c>
      <c r="J236" s="5">
        <v>9360525000</v>
      </c>
      <c r="K236" s="5">
        <v>-102911947</v>
      </c>
      <c r="L236" s="5">
        <v>8705604943</v>
      </c>
      <c r="M236" s="5">
        <f t="shared" si="15"/>
        <v>1440714000</v>
      </c>
      <c r="N236" s="36">
        <f t="shared" si="16"/>
        <v>16.549269228653074</v>
      </c>
      <c r="O236" s="5">
        <v>0</v>
      </c>
      <c r="P236" s="36">
        <v>0</v>
      </c>
      <c r="Q236" s="6">
        <v>0</v>
      </c>
      <c r="R236" s="6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36">
        <f t="shared" si="17"/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6">
        <v>0</v>
      </c>
      <c r="AM236" s="5">
        <v>0</v>
      </c>
      <c r="AN236" s="6">
        <v>0</v>
      </c>
      <c r="AO236" s="5">
        <v>0</v>
      </c>
      <c r="AP236" s="6">
        <v>0</v>
      </c>
      <c r="AQ236" s="5">
        <v>0</v>
      </c>
      <c r="AR236" s="5">
        <v>0</v>
      </c>
      <c r="AS236" s="5">
        <v>0</v>
      </c>
      <c r="AT236" s="5">
        <f t="shared" si="18"/>
        <v>0</v>
      </c>
      <c r="AU236" s="36">
        <f t="shared" si="19"/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10146318943</v>
      </c>
      <c r="BD236" s="5">
        <v>10146318943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48">
        <v>0</v>
      </c>
      <c r="BK236" s="5">
        <v>0</v>
      </c>
      <c r="BL236" s="5">
        <v>0</v>
      </c>
      <c r="BM236" s="5">
        <v>0</v>
      </c>
      <c r="BN236" s="5">
        <v>0</v>
      </c>
    </row>
    <row r="237" spans="1:66" x14ac:dyDescent="0.25">
      <c r="A237" s="30" t="s">
        <v>589</v>
      </c>
      <c r="B237" s="13" t="s">
        <v>625</v>
      </c>
      <c r="C237" s="13" t="s">
        <v>625</v>
      </c>
      <c r="D237" s="14">
        <v>80208183660070</v>
      </c>
      <c r="E237" s="14">
        <v>5214949714803</v>
      </c>
      <c r="F237" s="14">
        <v>42359625000</v>
      </c>
      <c r="G237" s="14">
        <v>9284674800</v>
      </c>
      <c r="H237" s="14">
        <v>85474777674673</v>
      </c>
      <c r="I237" s="14">
        <v>6332163485254</v>
      </c>
      <c r="J237" s="14">
        <v>491905905489</v>
      </c>
      <c r="K237" s="14">
        <v>78650708283930</v>
      </c>
      <c r="L237" s="14">
        <v>58305328156084</v>
      </c>
      <c r="M237" s="14">
        <f t="shared" si="15"/>
        <v>27169449518589</v>
      </c>
      <c r="N237" s="41">
        <f t="shared" si="16"/>
        <v>46.598570624379455</v>
      </c>
      <c r="O237" s="14">
        <v>54707841528288</v>
      </c>
      <c r="P237" s="41">
        <v>76.02</v>
      </c>
      <c r="Q237" s="15">
        <v>69.56</v>
      </c>
      <c r="R237" s="15">
        <v>8.0500000000000007</v>
      </c>
      <c r="S237" s="14">
        <v>56765438815643</v>
      </c>
      <c r="T237" s="14">
        <v>4955539035836</v>
      </c>
      <c r="U237" s="14">
        <v>540281976889</v>
      </c>
      <c r="V237" s="14">
        <v>1626123000714</v>
      </c>
      <c r="W237" s="14">
        <v>2789134058233</v>
      </c>
      <c r="X237" s="14">
        <v>61720977851479</v>
      </c>
      <c r="Y237" s="14">
        <v>272922021711</v>
      </c>
      <c r="Z237" s="14">
        <v>2962333531443</v>
      </c>
      <c r="AA237" s="14">
        <v>298391181288</v>
      </c>
      <c r="AB237" s="14">
        <v>64981702564210</v>
      </c>
      <c r="AC237" s="14">
        <v>45573939251466</v>
      </c>
      <c r="AD237" s="41">
        <f t="shared" si="17"/>
        <v>35.430421124927427</v>
      </c>
      <c r="AE237" s="14">
        <v>40761263144821</v>
      </c>
      <c r="AF237" s="14">
        <v>39478175227347</v>
      </c>
      <c r="AG237" s="14">
        <v>7780901205812</v>
      </c>
      <c r="AH237" s="14">
        <v>248509267652</v>
      </c>
      <c r="AI237" s="14">
        <v>2262429315459</v>
      </c>
      <c r="AJ237" s="14">
        <v>0</v>
      </c>
      <c r="AK237" s="14">
        <v>0</v>
      </c>
      <c r="AL237" s="15">
        <v>13</v>
      </c>
      <c r="AM237" s="14">
        <v>2785366519828</v>
      </c>
      <c r="AN237" s="16">
        <v>9187</v>
      </c>
      <c r="AO237" s="14">
        <v>104145323018952</v>
      </c>
      <c r="AP237" s="16">
        <v>4451</v>
      </c>
      <c r="AQ237" s="14">
        <v>37564069009106</v>
      </c>
      <c r="AR237" s="14">
        <v>4955539035836</v>
      </c>
      <c r="AS237" s="14">
        <v>2319297233193</v>
      </c>
      <c r="AT237" s="14">
        <f t="shared" si="18"/>
        <v>2636241802643</v>
      </c>
      <c r="AU237" s="41">
        <f t="shared" si="19"/>
        <v>113.6655433772781</v>
      </c>
      <c r="AV237" s="14">
        <v>26252531583222</v>
      </c>
      <c r="AW237" s="14">
        <v>9531845421826</v>
      </c>
      <c r="AX237" s="14">
        <v>20523447650170</v>
      </c>
      <c r="AY237" s="14">
        <v>13067694284676</v>
      </c>
      <c r="AZ237" s="14">
        <v>21418414482993</v>
      </c>
      <c r="BA237" s="14">
        <v>27903250135203</v>
      </c>
      <c r="BB237" s="14">
        <v>15257987152128</v>
      </c>
      <c r="BC237" s="14">
        <v>85474777674673</v>
      </c>
      <c r="BD237" s="14">
        <v>38487358674707</v>
      </c>
      <c r="BE237" s="14">
        <v>21459454007993</v>
      </c>
      <c r="BF237" s="14">
        <v>25527964991973</v>
      </c>
      <c r="BG237" s="14">
        <v>24969009468901</v>
      </c>
      <c r="BH237" s="14">
        <v>15792253675920</v>
      </c>
      <c r="BI237" s="14">
        <v>0</v>
      </c>
      <c r="BJ237" s="49">
        <v>689317163845</v>
      </c>
      <c r="BK237" s="14">
        <v>6855093010567</v>
      </c>
      <c r="BL237" s="14">
        <v>13213725352</v>
      </c>
      <c r="BM237" s="14">
        <v>365879968559</v>
      </c>
      <c r="BN237" s="14">
        <v>273845908143</v>
      </c>
    </row>
    <row r="238" spans="1:66" x14ac:dyDescent="0.25">
      <c r="A238" s="17" t="s">
        <v>274</v>
      </c>
      <c r="B238" s="4">
        <v>2100</v>
      </c>
      <c r="C238" s="4" t="s">
        <v>274</v>
      </c>
      <c r="D238" s="5">
        <v>2836598613689</v>
      </c>
      <c r="E238" s="5">
        <v>262625651610</v>
      </c>
      <c r="F238" s="5">
        <v>0</v>
      </c>
      <c r="G238" s="5">
        <v>136235800</v>
      </c>
      <c r="H238" s="5">
        <v>3099360501099</v>
      </c>
      <c r="I238" s="5">
        <v>243692177676</v>
      </c>
      <c r="J238" s="5">
        <v>87184330574</v>
      </c>
      <c r="K238" s="5">
        <v>2768483992849</v>
      </c>
      <c r="L238" s="5">
        <v>2852943340928</v>
      </c>
      <c r="M238" s="5">
        <f t="shared" si="15"/>
        <v>246417160171</v>
      </c>
      <c r="N238" s="36">
        <f t="shared" si="16"/>
        <v>8.6372959685503563</v>
      </c>
      <c r="O238" s="5">
        <v>4985612550258</v>
      </c>
      <c r="P238" s="36">
        <v>226.5</v>
      </c>
      <c r="Q238" s="6">
        <v>180.08</v>
      </c>
      <c r="R238" s="6">
        <v>1.83</v>
      </c>
      <c r="S238" s="5">
        <v>6754058446791</v>
      </c>
      <c r="T238" s="5">
        <v>121465940329</v>
      </c>
      <c r="U238" s="5">
        <v>82956121065</v>
      </c>
      <c r="V238" s="5">
        <v>23061577619</v>
      </c>
      <c r="W238" s="5">
        <v>15448241645</v>
      </c>
      <c r="X238" s="5">
        <v>6875524387120</v>
      </c>
      <c r="Y238" s="5">
        <v>7239182942</v>
      </c>
      <c r="Z238" s="5">
        <v>142112502531</v>
      </c>
      <c r="AA238" s="5">
        <v>2563450000</v>
      </c>
      <c r="AB238" s="5">
        <v>7020200339651</v>
      </c>
      <c r="AC238" s="5">
        <v>5212812683164</v>
      </c>
      <c r="AD238" s="36">
        <f t="shared" si="17"/>
        <v>31.896632490289111</v>
      </c>
      <c r="AE238" s="5">
        <v>3329263866935</v>
      </c>
      <c r="AF238" s="5">
        <v>3329263866935</v>
      </c>
      <c r="AG238" s="5">
        <v>0</v>
      </c>
      <c r="AH238" s="5">
        <v>0</v>
      </c>
      <c r="AI238" s="5">
        <v>0</v>
      </c>
      <c r="AJ238" s="5">
        <v>39130000000</v>
      </c>
      <c r="AK238" s="5">
        <v>0</v>
      </c>
      <c r="AL238" s="6">
        <v>0</v>
      </c>
      <c r="AM238" s="5">
        <v>0</v>
      </c>
      <c r="AN238" s="6">
        <v>145</v>
      </c>
      <c r="AO238" s="5">
        <v>1257281523922</v>
      </c>
      <c r="AP238" s="6">
        <v>64</v>
      </c>
      <c r="AQ238" s="5">
        <v>817285309467</v>
      </c>
      <c r="AR238" s="5">
        <v>121465940329</v>
      </c>
      <c r="AS238" s="5">
        <v>92910496478</v>
      </c>
      <c r="AT238" s="5">
        <f t="shared" si="18"/>
        <v>28555443851</v>
      </c>
      <c r="AU238" s="36">
        <f t="shared" si="19"/>
        <v>30.734357186178162</v>
      </c>
      <c r="AV238" s="5">
        <v>2033900426540</v>
      </c>
      <c r="AW238" s="5">
        <v>329705145614</v>
      </c>
      <c r="AX238" s="5">
        <v>1455399768422</v>
      </c>
      <c r="AY238" s="5">
        <v>360960313635</v>
      </c>
      <c r="AZ238" s="5">
        <v>319450331632</v>
      </c>
      <c r="BA238" s="5">
        <v>963164179264</v>
      </c>
      <c r="BB238" s="5">
        <v>169432413716</v>
      </c>
      <c r="BC238" s="5">
        <v>3099360501099</v>
      </c>
      <c r="BD238" s="5">
        <v>1938531461888</v>
      </c>
      <c r="BE238" s="5">
        <v>319450331632</v>
      </c>
      <c r="BF238" s="5">
        <v>841378707579</v>
      </c>
      <c r="BG238" s="5">
        <v>2391039971392</v>
      </c>
      <c r="BH238" s="5">
        <v>938223895543</v>
      </c>
      <c r="BI238" s="5">
        <v>0</v>
      </c>
      <c r="BJ238" s="48">
        <v>14795908700</v>
      </c>
      <c r="BK238" s="5">
        <v>0</v>
      </c>
      <c r="BL238" s="5">
        <v>0</v>
      </c>
      <c r="BM238" s="5">
        <v>0</v>
      </c>
      <c r="BN238" s="5">
        <v>0</v>
      </c>
    </row>
    <row r="239" spans="1:66" x14ac:dyDescent="0.25">
      <c r="A239" s="17" t="s">
        <v>274</v>
      </c>
      <c r="B239" s="4">
        <v>2101</v>
      </c>
      <c r="C239" s="4" t="s">
        <v>275</v>
      </c>
      <c r="D239" s="5">
        <v>3422712070721</v>
      </c>
      <c r="E239" s="5">
        <v>127479896113</v>
      </c>
      <c r="F239" s="5">
        <v>0</v>
      </c>
      <c r="G239" s="5">
        <v>0</v>
      </c>
      <c r="H239" s="5">
        <v>3550191966834</v>
      </c>
      <c r="I239" s="5">
        <v>273844329078</v>
      </c>
      <c r="J239" s="5">
        <v>12115734325</v>
      </c>
      <c r="K239" s="5">
        <v>3264231903431</v>
      </c>
      <c r="L239" s="5">
        <v>6521901847005</v>
      </c>
      <c r="M239" s="5">
        <f t="shared" si="15"/>
        <v>-2971709880171</v>
      </c>
      <c r="N239" s="36">
        <f t="shared" si="16"/>
        <v>-45.565081319579718</v>
      </c>
      <c r="O239" s="5">
        <v>4284806478595</v>
      </c>
      <c r="P239" s="36">
        <v>133.71</v>
      </c>
      <c r="Q239" s="6">
        <v>131.27000000000001</v>
      </c>
      <c r="R239" s="6">
        <v>3.61</v>
      </c>
      <c r="S239" s="5">
        <v>4381295402589</v>
      </c>
      <c r="T239" s="5">
        <v>170392510102</v>
      </c>
      <c r="U239" s="5">
        <v>49345830025</v>
      </c>
      <c r="V239" s="5">
        <v>30574621247</v>
      </c>
      <c r="W239" s="5">
        <v>90472058830</v>
      </c>
      <c r="X239" s="5">
        <v>4551687912691</v>
      </c>
      <c r="Y239" s="5">
        <v>789818537</v>
      </c>
      <c r="Z239" s="5">
        <v>175902503104</v>
      </c>
      <c r="AA239" s="5">
        <v>19388262900</v>
      </c>
      <c r="AB239" s="5">
        <v>4746978678695</v>
      </c>
      <c r="AC239" s="5">
        <v>3874217563959</v>
      </c>
      <c r="AD239" s="36">
        <f t="shared" si="17"/>
        <v>17.486636657537222</v>
      </c>
      <c r="AE239" s="5">
        <v>8310273869026</v>
      </c>
      <c r="AF239" s="5">
        <v>8274388907386</v>
      </c>
      <c r="AG239" s="5">
        <v>3589167991050</v>
      </c>
      <c r="AH239" s="5">
        <v>35222010000</v>
      </c>
      <c r="AI239" s="5">
        <v>0</v>
      </c>
      <c r="AJ239" s="5">
        <v>0</v>
      </c>
      <c r="AK239" s="5">
        <v>0</v>
      </c>
      <c r="AL239" s="6">
        <v>22</v>
      </c>
      <c r="AM239" s="5">
        <v>8260999088929</v>
      </c>
      <c r="AN239" s="6">
        <v>35</v>
      </c>
      <c r="AO239" s="5">
        <v>508509165600</v>
      </c>
      <c r="AP239" s="6">
        <v>39</v>
      </c>
      <c r="AQ239" s="5">
        <v>630532014783</v>
      </c>
      <c r="AR239" s="5">
        <v>170392510102</v>
      </c>
      <c r="AS239" s="5">
        <v>32127257295</v>
      </c>
      <c r="AT239" s="5">
        <f t="shared" si="18"/>
        <v>138265252807</v>
      </c>
      <c r="AU239" s="36">
        <f t="shared" si="19"/>
        <v>430.36743391263082</v>
      </c>
      <c r="AV239" s="5">
        <v>7929924204642</v>
      </c>
      <c r="AW239" s="5">
        <v>1137331983540</v>
      </c>
      <c r="AX239" s="5">
        <v>1315374115158</v>
      </c>
      <c r="AY239" s="5">
        <v>440692678867</v>
      </c>
      <c r="AZ239" s="5">
        <v>493303576696</v>
      </c>
      <c r="BA239" s="5">
        <v>1186208900444</v>
      </c>
      <c r="BB239" s="5">
        <v>402268193845</v>
      </c>
      <c r="BC239" s="5">
        <v>3550191966834</v>
      </c>
      <c r="BD239" s="5">
        <v>1883546690138</v>
      </c>
      <c r="BE239" s="5">
        <v>493251076696</v>
      </c>
      <c r="BF239" s="5">
        <v>1173394200000</v>
      </c>
      <c r="BG239" s="5">
        <v>5278648941026</v>
      </c>
      <c r="BH239" s="5">
        <v>3031624928000</v>
      </c>
      <c r="BI239" s="5">
        <v>0</v>
      </c>
      <c r="BJ239" s="48">
        <v>87581188721</v>
      </c>
      <c r="BK239" s="5">
        <v>3380141914588</v>
      </c>
      <c r="BL239" s="5">
        <v>0</v>
      </c>
      <c r="BM239" s="5">
        <v>0</v>
      </c>
      <c r="BN239" s="5">
        <v>35222010000</v>
      </c>
    </row>
    <row r="240" spans="1:66" x14ac:dyDescent="0.25">
      <c r="A240" s="17" t="s">
        <v>274</v>
      </c>
      <c r="B240" s="4">
        <v>2102</v>
      </c>
      <c r="C240" s="4" t="s">
        <v>276</v>
      </c>
      <c r="D240" s="5">
        <v>3131859494265</v>
      </c>
      <c r="E240" s="5">
        <v>109214694257</v>
      </c>
      <c r="F240" s="5">
        <v>0</v>
      </c>
      <c r="G240" s="5">
        <v>0</v>
      </c>
      <c r="H240" s="5">
        <v>3241074188522</v>
      </c>
      <c r="I240" s="5">
        <v>244427479202</v>
      </c>
      <c r="J240" s="5">
        <v>2609409808</v>
      </c>
      <c r="K240" s="5">
        <v>2994037299512</v>
      </c>
      <c r="L240" s="5">
        <v>2056583766753</v>
      </c>
      <c r="M240" s="5">
        <f t="shared" si="15"/>
        <v>1184490421769</v>
      </c>
      <c r="N240" s="36">
        <f t="shared" si="16"/>
        <v>57.59504868790787</v>
      </c>
      <c r="O240" s="5">
        <v>2898671401400</v>
      </c>
      <c r="P240" s="36">
        <v>103.54</v>
      </c>
      <c r="Q240" s="6">
        <v>96.81</v>
      </c>
      <c r="R240" s="6">
        <v>1.74</v>
      </c>
      <c r="S240" s="5">
        <v>3031290754254</v>
      </c>
      <c r="T240" s="5">
        <v>58129371375</v>
      </c>
      <c r="U240" s="5">
        <v>54355089563</v>
      </c>
      <c r="V240" s="5">
        <v>3583781812</v>
      </c>
      <c r="W240" s="5">
        <v>190500000</v>
      </c>
      <c r="X240" s="5">
        <v>3089420125629</v>
      </c>
      <c r="Y240" s="5">
        <v>427411880</v>
      </c>
      <c r="Z240" s="5">
        <v>225060186802</v>
      </c>
      <c r="AA240" s="5">
        <v>41329705800</v>
      </c>
      <c r="AB240" s="5">
        <v>3355810018231</v>
      </c>
      <c r="AC240" s="5">
        <v>2235893844425</v>
      </c>
      <c r="AD240" s="36">
        <f t="shared" si="17"/>
        <v>38.173828481713969</v>
      </c>
      <c r="AE240" s="5">
        <v>2354046771477</v>
      </c>
      <c r="AF240" s="5">
        <v>2002354754590</v>
      </c>
      <c r="AG240" s="5">
        <v>69703782685</v>
      </c>
      <c r="AH240" s="5">
        <v>0</v>
      </c>
      <c r="AI240" s="5">
        <v>0</v>
      </c>
      <c r="AJ240" s="5">
        <v>0</v>
      </c>
      <c r="AK240" s="5">
        <v>0</v>
      </c>
      <c r="AL240" s="6">
        <v>4</v>
      </c>
      <c r="AM240" s="5">
        <v>109201436294</v>
      </c>
      <c r="AN240" s="6">
        <v>89</v>
      </c>
      <c r="AO240" s="5">
        <v>1648814968002</v>
      </c>
      <c r="AP240" s="6">
        <v>52</v>
      </c>
      <c r="AQ240" s="5">
        <v>264876744748</v>
      </c>
      <c r="AR240" s="5">
        <v>58129371375</v>
      </c>
      <c r="AS240" s="5">
        <v>23627116045</v>
      </c>
      <c r="AT240" s="5">
        <f t="shared" si="18"/>
        <v>34502255330</v>
      </c>
      <c r="AU240" s="36">
        <f t="shared" si="19"/>
        <v>146.02821294095861</v>
      </c>
      <c r="AV240" s="5">
        <v>1329405222751</v>
      </c>
      <c r="AW240" s="5">
        <v>342642136748</v>
      </c>
      <c r="AX240" s="5">
        <v>1216645992734</v>
      </c>
      <c r="AY240" s="5">
        <v>334945921257</v>
      </c>
      <c r="AZ240" s="5">
        <v>720876180274</v>
      </c>
      <c r="BA240" s="5">
        <v>861189717528</v>
      </c>
      <c r="BB240" s="5">
        <v>666185225281</v>
      </c>
      <c r="BC240" s="5">
        <v>3241074188522</v>
      </c>
      <c r="BD240" s="5">
        <v>1660806608248</v>
      </c>
      <c r="BE240" s="5">
        <v>720876180274</v>
      </c>
      <c r="BF240" s="5">
        <v>859391400000</v>
      </c>
      <c r="BG240" s="5">
        <v>1696796923981</v>
      </c>
      <c r="BH240" s="5">
        <v>657249847496</v>
      </c>
      <c r="BI240" s="5">
        <v>0</v>
      </c>
      <c r="BJ240" s="48">
        <v>0</v>
      </c>
      <c r="BK240" s="5">
        <v>69703782685</v>
      </c>
      <c r="BL240" s="5">
        <v>0</v>
      </c>
      <c r="BM240" s="5">
        <v>0</v>
      </c>
      <c r="BN240" s="5">
        <v>0</v>
      </c>
    </row>
    <row r="241" spans="1:66" x14ac:dyDescent="0.25">
      <c r="A241" s="17" t="s">
        <v>274</v>
      </c>
      <c r="B241" s="4">
        <v>2103</v>
      </c>
      <c r="C241" s="4" t="s">
        <v>277</v>
      </c>
      <c r="D241" s="5">
        <v>1338645647692</v>
      </c>
      <c r="E241" s="5">
        <v>14864642339</v>
      </c>
      <c r="F241" s="5">
        <v>0</v>
      </c>
      <c r="G241" s="5">
        <v>0</v>
      </c>
      <c r="H241" s="5">
        <v>1353510290031</v>
      </c>
      <c r="I241" s="5">
        <v>102072639294</v>
      </c>
      <c r="J241" s="5">
        <v>3374637989</v>
      </c>
      <c r="K241" s="5">
        <v>1248063012748</v>
      </c>
      <c r="L241" s="5">
        <v>1007762899369</v>
      </c>
      <c r="M241" s="5">
        <f t="shared" si="15"/>
        <v>345747390662</v>
      </c>
      <c r="N241" s="36">
        <f t="shared" si="16"/>
        <v>34.308406360115661</v>
      </c>
      <c r="O241" s="5">
        <v>1254471196180</v>
      </c>
      <c r="P241" s="36">
        <v>104.71</v>
      </c>
      <c r="Q241" s="6">
        <v>100.51</v>
      </c>
      <c r="R241" s="6">
        <v>5.05</v>
      </c>
      <c r="S241" s="5">
        <v>1278090606862</v>
      </c>
      <c r="T241" s="5">
        <v>70138470482</v>
      </c>
      <c r="U241" s="5">
        <v>30937663015</v>
      </c>
      <c r="V241" s="5">
        <v>4544628251</v>
      </c>
      <c r="W241" s="5">
        <v>34656179216</v>
      </c>
      <c r="X241" s="5">
        <v>1348229077344</v>
      </c>
      <c r="Y241" s="5">
        <v>1482175705</v>
      </c>
      <c r="Z241" s="5">
        <v>61817342084</v>
      </c>
      <c r="AA241" s="5">
        <v>7222482720</v>
      </c>
      <c r="AB241" s="5">
        <v>1417268902148</v>
      </c>
      <c r="AC241" s="5">
        <v>946184149430</v>
      </c>
      <c r="AD241" s="36">
        <f t="shared" si="17"/>
        <v>42.491192455105043</v>
      </c>
      <c r="AE241" s="5">
        <v>892668613582</v>
      </c>
      <c r="AF241" s="5">
        <v>892668613582</v>
      </c>
      <c r="AG241" s="5">
        <v>0</v>
      </c>
      <c r="AH241" s="5">
        <v>45630000</v>
      </c>
      <c r="AI241" s="5">
        <v>0</v>
      </c>
      <c r="AJ241" s="5">
        <v>0</v>
      </c>
      <c r="AK241" s="5">
        <v>0</v>
      </c>
      <c r="AL241" s="6">
        <v>0</v>
      </c>
      <c r="AM241" s="5">
        <v>0</v>
      </c>
      <c r="AN241" s="6">
        <v>18</v>
      </c>
      <c r="AO241" s="5">
        <v>95943823126</v>
      </c>
      <c r="AP241" s="6">
        <v>18</v>
      </c>
      <c r="AQ241" s="5">
        <v>15926810372</v>
      </c>
      <c r="AR241" s="5">
        <v>70138470482</v>
      </c>
      <c r="AS241" s="5">
        <v>57821927903</v>
      </c>
      <c r="AT241" s="5">
        <f t="shared" si="18"/>
        <v>12316542579</v>
      </c>
      <c r="AU241" s="36">
        <f t="shared" si="19"/>
        <v>21.300816188041658</v>
      </c>
      <c r="AV241" s="5">
        <v>544291797064</v>
      </c>
      <c r="AW241" s="5">
        <v>170267139986</v>
      </c>
      <c r="AX241" s="5">
        <v>433356683849</v>
      </c>
      <c r="AY241" s="5">
        <v>207358471312</v>
      </c>
      <c r="AZ241" s="5">
        <v>268235492531</v>
      </c>
      <c r="BA241" s="5">
        <v>439852279048</v>
      </c>
      <c r="BB241" s="5">
        <v>227594429026</v>
      </c>
      <c r="BC241" s="5">
        <v>1353510290031</v>
      </c>
      <c r="BD241" s="5">
        <v>655579797500</v>
      </c>
      <c r="BE241" s="5">
        <v>268235492531</v>
      </c>
      <c r="BF241" s="5">
        <v>429695000000</v>
      </c>
      <c r="BG241" s="5">
        <v>774173983582</v>
      </c>
      <c r="BH241" s="5">
        <v>118494630000</v>
      </c>
      <c r="BI241" s="5">
        <v>0</v>
      </c>
      <c r="BJ241" s="48">
        <v>0</v>
      </c>
      <c r="BK241" s="5">
        <v>0</v>
      </c>
      <c r="BL241" s="5">
        <v>0</v>
      </c>
      <c r="BM241" s="5">
        <v>33117151275</v>
      </c>
      <c r="BN241" s="5">
        <v>45630000</v>
      </c>
    </row>
    <row r="242" spans="1:66" x14ac:dyDescent="0.25">
      <c r="A242" s="17" t="s">
        <v>274</v>
      </c>
      <c r="B242" s="4">
        <v>2104</v>
      </c>
      <c r="C242" s="4" t="s">
        <v>278</v>
      </c>
      <c r="D242" s="5">
        <v>984361925629</v>
      </c>
      <c r="E242" s="5">
        <v>2842825595</v>
      </c>
      <c r="F242" s="5">
        <v>0</v>
      </c>
      <c r="G242" s="5">
        <v>0</v>
      </c>
      <c r="H242" s="5">
        <v>987204751224</v>
      </c>
      <c r="I242" s="5">
        <v>91572713067</v>
      </c>
      <c r="J242" s="5">
        <v>4847268000</v>
      </c>
      <c r="K242" s="5">
        <v>890784770157</v>
      </c>
      <c r="L242" s="5">
        <v>618797459235</v>
      </c>
      <c r="M242" s="5">
        <f t="shared" si="15"/>
        <v>368407291989</v>
      </c>
      <c r="N242" s="36">
        <f t="shared" si="16"/>
        <v>59.53600592420829</v>
      </c>
      <c r="O242" s="5">
        <v>1371983729814</v>
      </c>
      <c r="P242" s="36">
        <v>163.78</v>
      </c>
      <c r="Q242" s="6">
        <v>154.02000000000001</v>
      </c>
      <c r="R242" s="6">
        <v>3.87</v>
      </c>
      <c r="S242" s="5">
        <v>1464501174272</v>
      </c>
      <c r="T242" s="5">
        <v>62340225190</v>
      </c>
      <c r="U242" s="5">
        <v>55131528758</v>
      </c>
      <c r="V242" s="5">
        <v>5996172445</v>
      </c>
      <c r="W242" s="5">
        <v>1212523987</v>
      </c>
      <c r="X242" s="5">
        <v>1526841399462</v>
      </c>
      <c r="Y242" s="5">
        <v>312653445</v>
      </c>
      <c r="Z242" s="5">
        <v>79650269173</v>
      </c>
      <c r="AA242" s="5">
        <v>10397101000</v>
      </c>
      <c r="AB242" s="5">
        <v>1616888769635</v>
      </c>
      <c r="AC242" s="5">
        <v>1220618084101</v>
      </c>
      <c r="AD242" s="36">
        <f t="shared" si="17"/>
        <v>25.087561732016873</v>
      </c>
      <c r="AE242" s="5">
        <v>936935682617</v>
      </c>
      <c r="AF242" s="5">
        <v>808125627138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6">
        <v>0</v>
      </c>
      <c r="AM242" s="5">
        <v>0</v>
      </c>
      <c r="AN242" s="6">
        <v>1</v>
      </c>
      <c r="AO242" s="5">
        <v>1340000000</v>
      </c>
      <c r="AP242" s="6">
        <v>9</v>
      </c>
      <c r="AQ242" s="5">
        <v>817478257</v>
      </c>
      <c r="AR242" s="5">
        <v>62340225190</v>
      </c>
      <c r="AS242" s="5">
        <v>17451050260</v>
      </c>
      <c r="AT242" s="5">
        <f t="shared" si="18"/>
        <v>44889174930</v>
      </c>
      <c r="AU242" s="36">
        <f t="shared" si="19"/>
        <v>257.22907367295613</v>
      </c>
      <c r="AV242" s="5">
        <v>573798321686</v>
      </c>
      <c r="AW242" s="5">
        <v>143310889781</v>
      </c>
      <c r="AX242" s="5">
        <v>280059499420</v>
      </c>
      <c r="AY242" s="5">
        <v>131558682205</v>
      </c>
      <c r="AZ242" s="5">
        <v>142323144004</v>
      </c>
      <c r="BA242" s="5">
        <v>496332982060</v>
      </c>
      <c r="BB242" s="5">
        <v>84593388547</v>
      </c>
      <c r="BC242" s="5">
        <v>987204751224</v>
      </c>
      <c r="BD242" s="5">
        <v>414461007220</v>
      </c>
      <c r="BE242" s="5">
        <v>142323144004</v>
      </c>
      <c r="BF242" s="5">
        <v>430420600000</v>
      </c>
      <c r="BG242" s="5">
        <v>672126544834</v>
      </c>
      <c r="BH242" s="5">
        <v>264809137783</v>
      </c>
      <c r="BI242" s="5">
        <v>0</v>
      </c>
      <c r="BJ242" s="48">
        <v>0</v>
      </c>
      <c r="BK242" s="5">
        <v>0</v>
      </c>
      <c r="BL242" s="5">
        <v>0</v>
      </c>
      <c r="BM242" s="5">
        <v>0</v>
      </c>
      <c r="BN242" s="5">
        <v>0</v>
      </c>
    </row>
    <row r="243" spans="1:66" x14ac:dyDescent="0.25">
      <c r="A243" s="17" t="s">
        <v>274</v>
      </c>
      <c r="B243" s="4">
        <v>2105</v>
      </c>
      <c r="C243" s="4" t="s">
        <v>279</v>
      </c>
      <c r="D243" s="5">
        <v>1716464598896</v>
      </c>
      <c r="E243" s="5">
        <v>123024023871</v>
      </c>
      <c r="F243" s="5">
        <v>0</v>
      </c>
      <c r="G243" s="5">
        <v>0</v>
      </c>
      <c r="H243" s="5">
        <v>1839488622767</v>
      </c>
      <c r="I243" s="5">
        <v>135024742092</v>
      </c>
      <c r="J243" s="5">
        <v>5744543159</v>
      </c>
      <c r="K243" s="5">
        <v>1698719337516</v>
      </c>
      <c r="L243" s="5">
        <v>1255450543106</v>
      </c>
      <c r="M243" s="5">
        <f t="shared" si="15"/>
        <v>584038079661</v>
      </c>
      <c r="N243" s="36">
        <f t="shared" si="16"/>
        <v>46.520198096858728</v>
      </c>
      <c r="O243" s="5">
        <v>1872152754266</v>
      </c>
      <c r="P243" s="36">
        <v>120.2</v>
      </c>
      <c r="Q243" s="6">
        <v>110.21</v>
      </c>
      <c r="R243" s="6">
        <v>4.5599999999999996</v>
      </c>
      <c r="S243" s="5">
        <v>1882000454024</v>
      </c>
      <c r="T243" s="5">
        <v>87777374397</v>
      </c>
      <c r="U243" s="5">
        <v>32322351665</v>
      </c>
      <c r="V243" s="5">
        <v>635568644</v>
      </c>
      <c r="W243" s="5">
        <v>54819454088</v>
      </c>
      <c r="X243" s="5">
        <v>1969777828421</v>
      </c>
      <c r="Y243" s="5">
        <v>13102092038</v>
      </c>
      <c r="Z243" s="5">
        <v>198174364624</v>
      </c>
      <c r="AA243" s="5">
        <v>43191471142</v>
      </c>
      <c r="AB243" s="5">
        <v>2211143664187</v>
      </c>
      <c r="AC243" s="5">
        <v>1465450727162</v>
      </c>
      <c r="AD243" s="36">
        <f t="shared" si="17"/>
        <v>34.414470026957687</v>
      </c>
      <c r="AE243" s="5">
        <v>1287767272408</v>
      </c>
      <c r="AF243" s="5">
        <v>1224170864999</v>
      </c>
      <c r="AG243" s="5">
        <v>0</v>
      </c>
      <c r="AH243" s="5">
        <v>0</v>
      </c>
      <c r="AI243" s="5">
        <v>0</v>
      </c>
      <c r="AJ243" s="5">
        <v>26670000000</v>
      </c>
      <c r="AK243" s="5">
        <v>0</v>
      </c>
      <c r="AL243" s="6">
        <v>0</v>
      </c>
      <c r="AM243" s="5">
        <v>0</v>
      </c>
      <c r="AN243" s="6">
        <v>33</v>
      </c>
      <c r="AO243" s="5">
        <v>314822038963</v>
      </c>
      <c r="AP243" s="6">
        <v>31</v>
      </c>
      <c r="AQ243" s="5">
        <v>722751323603</v>
      </c>
      <c r="AR243" s="5">
        <v>87777374397</v>
      </c>
      <c r="AS243" s="5">
        <v>13047245245</v>
      </c>
      <c r="AT243" s="5">
        <f t="shared" si="18"/>
        <v>74730129152</v>
      </c>
      <c r="AU243" s="36">
        <f t="shared" si="19"/>
        <v>572.76557425513465</v>
      </c>
      <c r="AV243" s="5">
        <v>738335297400</v>
      </c>
      <c r="AW243" s="5">
        <v>193347459117</v>
      </c>
      <c r="AX243" s="5">
        <v>539006077341</v>
      </c>
      <c r="AY243" s="5">
        <v>290569389908</v>
      </c>
      <c r="AZ243" s="5">
        <v>422417631647</v>
      </c>
      <c r="BA243" s="5">
        <v>551381883784</v>
      </c>
      <c r="BB243" s="5">
        <v>291222683135</v>
      </c>
      <c r="BC243" s="5">
        <v>1839488622767</v>
      </c>
      <c r="BD243" s="5">
        <v>899058408842</v>
      </c>
      <c r="BE243" s="5">
        <v>422417631647</v>
      </c>
      <c r="BF243" s="5">
        <v>518012582278</v>
      </c>
      <c r="BG243" s="5">
        <v>1125169231587</v>
      </c>
      <c r="BH243" s="5">
        <v>162598040821</v>
      </c>
      <c r="BI243" s="5">
        <v>0</v>
      </c>
      <c r="BJ243" s="48">
        <v>53975009851</v>
      </c>
      <c r="BK243" s="5">
        <v>0</v>
      </c>
      <c r="BL243" s="5">
        <v>0</v>
      </c>
      <c r="BM243" s="5">
        <v>0</v>
      </c>
      <c r="BN243" s="5">
        <v>0</v>
      </c>
    </row>
    <row r="244" spans="1:66" x14ac:dyDescent="0.25">
      <c r="A244" s="17" t="s">
        <v>274</v>
      </c>
      <c r="B244" s="4">
        <v>2106</v>
      </c>
      <c r="C244" s="4" t="s">
        <v>280</v>
      </c>
      <c r="D244" s="5">
        <v>1454592174915</v>
      </c>
      <c r="E244" s="5">
        <v>131814177353</v>
      </c>
      <c r="F244" s="5">
        <v>0</v>
      </c>
      <c r="G244" s="5">
        <v>0</v>
      </c>
      <c r="H244" s="5">
        <v>1586406352268</v>
      </c>
      <c r="I244" s="5">
        <v>119940406767</v>
      </c>
      <c r="J244" s="5">
        <v>5699076975</v>
      </c>
      <c r="K244" s="5">
        <v>1460766868526</v>
      </c>
      <c r="L244" s="5">
        <v>1269947960193</v>
      </c>
      <c r="M244" s="5">
        <f t="shared" si="15"/>
        <v>316458392075</v>
      </c>
      <c r="N244" s="36">
        <f t="shared" si="16"/>
        <v>24.91900471472125</v>
      </c>
      <c r="O244" s="5">
        <v>1664209453623</v>
      </c>
      <c r="P244" s="36">
        <v>122.19</v>
      </c>
      <c r="Q244" s="6">
        <v>113.93</v>
      </c>
      <c r="R244" s="6">
        <v>7.43</v>
      </c>
      <c r="S244" s="5">
        <v>1727096510978</v>
      </c>
      <c r="T244" s="5">
        <v>120706551636</v>
      </c>
      <c r="U244" s="5">
        <v>42205356072</v>
      </c>
      <c r="V244" s="5">
        <v>7433393887</v>
      </c>
      <c r="W244" s="5">
        <v>71067801677</v>
      </c>
      <c r="X244" s="5">
        <v>1847803062614</v>
      </c>
      <c r="Y244" s="5">
        <v>23271499976</v>
      </c>
      <c r="Z244" s="5">
        <v>87882225385</v>
      </c>
      <c r="AA244" s="5">
        <v>2742353716</v>
      </c>
      <c r="AB244" s="5">
        <v>1938427641715</v>
      </c>
      <c r="AC244" s="5">
        <v>1322545403135</v>
      </c>
      <c r="AD244" s="36">
        <f t="shared" si="17"/>
        <v>39.715661801395555</v>
      </c>
      <c r="AE244" s="5">
        <v>1567309710944</v>
      </c>
      <c r="AF244" s="5">
        <v>1543538678068</v>
      </c>
      <c r="AG244" s="5">
        <v>359599444927</v>
      </c>
      <c r="AH244" s="5">
        <v>6395120000</v>
      </c>
      <c r="AI244" s="5">
        <v>0</v>
      </c>
      <c r="AJ244" s="5">
        <v>0</v>
      </c>
      <c r="AK244" s="5">
        <v>0</v>
      </c>
      <c r="AL244" s="6">
        <v>1</v>
      </c>
      <c r="AM244" s="5">
        <v>183492713917</v>
      </c>
      <c r="AN244" s="6">
        <v>227</v>
      </c>
      <c r="AO244" s="5">
        <v>1663385927549</v>
      </c>
      <c r="AP244" s="6">
        <v>55</v>
      </c>
      <c r="AQ244" s="5">
        <v>505504830276</v>
      </c>
      <c r="AR244" s="5">
        <v>120706551636</v>
      </c>
      <c r="AS244" s="5">
        <v>96547748179</v>
      </c>
      <c r="AT244" s="5">
        <f t="shared" si="18"/>
        <v>24158803457</v>
      </c>
      <c r="AU244" s="36">
        <f t="shared" si="19"/>
        <v>25.022648288191519</v>
      </c>
      <c r="AV244" s="5">
        <v>1018604124424</v>
      </c>
      <c r="AW244" s="5">
        <v>479766014043</v>
      </c>
      <c r="AX244" s="5">
        <v>477514828067</v>
      </c>
      <c r="AY244" s="5">
        <v>232030746051</v>
      </c>
      <c r="AZ244" s="5">
        <v>494318600797</v>
      </c>
      <c r="BA244" s="5">
        <v>288739495984</v>
      </c>
      <c r="BB244" s="5">
        <v>402825292198</v>
      </c>
      <c r="BC244" s="5">
        <v>1586406352268</v>
      </c>
      <c r="BD244" s="5">
        <v>841359751471</v>
      </c>
      <c r="BE244" s="5">
        <v>494318600797</v>
      </c>
      <c r="BF244" s="5">
        <v>250728000000</v>
      </c>
      <c r="BG244" s="5">
        <v>1115833320631</v>
      </c>
      <c r="BH244" s="5">
        <v>451476390313</v>
      </c>
      <c r="BI244" s="5">
        <v>0</v>
      </c>
      <c r="BJ244" s="48">
        <v>69137309639</v>
      </c>
      <c r="BK244" s="5">
        <v>373338120019</v>
      </c>
      <c r="BL244" s="5">
        <v>0</v>
      </c>
      <c r="BM244" s="5">
        <v>777149114</v>
      </c>
      <c r="BN244" s="5">
        <v>6395120000</v>
      </c>
    </row>
    <row r="245" spans="1:66" x14ac:dyDescent="0.25">
      <c r="A245" s="17" t="s">
        <v>274</v>
      </c>
      <c r="B245" s="18">
        <v>2107</v>
      </c>
      <c r="C245" s="18" t="s">
        <v>281</v>
      </c>
      <c r="D245" s="19">
        <v>697315169270</v>
      </c>
      <c r="E245" s="19">
        <v>4229585084</v>
      </c>
      <c r="F245" s="19">
        <v>0</v>
      </c>
      <c r="G245" s="19">
        <v>0</v>
      </c>
      <c r="H245" s="19">
        <v>701544754354</v>
      </c>
      <c r="I245" s="19">
        <v>62745297019</v>
      </c>
      <c r="J245" s="19">
        <v>7389978200</v>
      </c>
      <c r="K245" s="19">
        <v>631409479135</v>
      </c>
      <c r="L245" s="19">
        <v>607684440651</v>
      </c>
      <c r="M245" s="5">
        <f t="shared" si="15"/>
        <v>93860313703</v>
      </c>
      <c r="N245" s="36">
        <f t="shared" si="16"/>
        <v>15.445568032390192</v>
      </c>
      <c r="O245" s="19">
        <v>1390360441861</v>
      </c>
      <c r="P245" s="36">
        <v>218.13</v>
      </c>
      <c r="Q245" s="20">
        <v>220.2</v>
      </c>
      <c r="R245" s="20">
        <v>2.77</v>
      </c>
      <c r="S245" s="19">
        <v>1428684958228</v>
      </c>
      <c r="T245" s="19">
        <v>42396920605</v>
      </c>
      <c r="U245" s="19">
        <v>39129749949</v>
      </c>
      <c r="V245" s="19">
        <v>3267170656</v>
      </c>
      <c r="W245" s="19">
        <v>0</v>
      </c>
      <c r="X245" s="19">
        <v>1471081878833</v>
      </c>
      <c r="Y245" s="5">
        <v>0</v>
      </c>
      <c r="Z245" s="19">
        <v>58146182978</v>
      </c>
      <c r="AA245" s="19">
        <v>1066260000</v>
      </c>
      <c r="AB245" s="19">
        <v>1530294321811</v>
      </c>
      <c r="AC245" s="19">
        <v>1120030891178</v>
      </c>
      <c r="AD245" s="36">
        <f t="shared" si="17"/>
        <v>31.342973700107486</v>
      </c>
      <c r="AE245" s="19">
        <v>831904740000</v>
      </c>
      <c r="AF245" s="19">
        <v>831904740000</v>
      </c>
      <c r="AG245" s="19">
        <v>0</v>
      </c>
      <c r="AH245" s="19">
        <v>0</v>
      </c>
      <c r="AI245" s="19">
        <v>0</v>
      </c>
      <c r="AJ245" s="19">
        <v>0</v>
      </c>
      <c r="AK245" s="19">
        <v>0</v>
      </c>
      <c r="AL245" s="20">
        <v>0</v>
      </c>
      <c r="AM245" s="19">
        <v>0</v>
      </c>
      <c r="AN245" s="20">
        <v>2</v>
      </c>
      <c r="AO245" s="19">
        <v>7149850000</v>
      </c>
      <c r="AP245" s="20">
        <v>3</v>
      </c>
      <c r="AQ245" s="19">
        <v>2466557050</v>
      </c>
      <c r="AR245" s="19">
        <v>42396920605</v>
      </c>
      <c r="AS245" s="19">
        <v>13154926652</v>
      </c>
      <c r="AT245" s="5">
        <f t="shared" si="18"/>
        <v>29241993953</v>
      </c>
      <c r="AU245" s="36">
        <f t="shared" si="19"/>
        <v>222.28929682822834</v>
      </c>
      <c r="AV245" s="19">
        <v>497813079115</v>
      </c>
      <c r="AW245" s="19">
        <v>174910889845</v>
      </c>
      <c r="AX245" s="19">
        <v>100758227407</v>
      </c>
      <c r="AY245" s="19">
        <v>174489580746</v>
      </c>
      <c r="AZ245" s="19">
        <v>303278361117</v>
      </c>
      <c r="BA245" s="19">
        <v>207012342256</v>
      </c>
      <c r="BB245" s="19">
        <v>283543462730</v>
      </c>
      <c r="BC245" s="19">
        <v>701544754354</v>
      </c>
      <c r="BD245" s="19">
        <v>279477393237</v>
      </c>
      <c r="BE245" s="19">
        <v>303278361117</v>
      </c>
      <c r="BF245" s="19">
        <v>118789000000</v>
      </c>
      <c r="BG245" s="19">
        <v>494567190000</v>
      </c>
      <c r="BH245" s="19">
        <v>337337550000</v>
      </c>
      <c r="BI245" s="19">
        <v>0</v>
      </c>
      <c r="BJ245" s="50">
        <v>0</v>
      </c>
      <c r="BK245" s="19">
        <v>0</v>
      </c>
      <c r="BL245" s="19">
        <v>0</v>
      </c>
      <c r="BM245" s="19">
        <v>0</v>
      </c>
      <c r="BN245" s="19">
        <v>0</v>
      </c>
    </row>
    <row r="246" spans="1:66" x14ac:dyDescent="0.25">
      <c r="A246" s="17" t="s">
        <v>274</v>
      </c>
      <c r="B246" s="4">
        <v>2199</v>
      </c>
      <c r="C246" s="4" t="s">
        <v>282</v>
      </c>
      <c r="D246" s="5">
        <v>0</v>
      </c>
      <c r="E246" s="5">
        <v>141226002</v>
      </c>
      <c r="F246" s="5">
        <v>0</v>
      </c>
      <c r="G246" s="5">
        <v>0</v>
      </c>
      <c r="H246" s="5">
        <v>141226002</v>
      </c>
      <c r="I246" s="5">
        <v>250285466</v>
      </c>
      <c r="J246" s="5">
        <v>9990000000</v>
      </c>
      <c r="K246" s="5">
        <v>-10099059464</v>
      </c>
      <c r="L246" s="5">
        <v>3133346695</v>
      </c>
      <c r="M246" s="5">
        <f t="shared" si="15"/>
        <v>-2992120693</v>
      </c>
      <c r="N246" s="36">
        <f t="shared" si="16"/>
        <v>-95.492806390516577</v>
      </c>
      <c r="O246" s="5">
        <v>0</v>
      </c>
      <c r="P246" s="36">
        <v>0</v>
      </c>
      <c r="Q246" s="6">
        <v>0</v>
      </c>
      <c r="R246" s="6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36">
        <f t="shared" si="17"/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6">
        <v>0</v>
      </c>
      <c r="AM246" s="5">
        <v>0</v>
      </c>
      <c r="AN246" s="6">
        <v>0</v>
      </c>
      <c r="AO246" s="5">
        <v>0</v>
      </c>
      <c r="AP246" s="6">
        <v>0</v>
      </c>
      <c r="AQ246" s="5">
        <v>0</v>
      </c>
      <c r="AR246" s="5">
        <v>0</v>
      </c>
      <c r="AS246" s="5">
        <v>0</v>
      </c>
      <c r="AT246" s="5">
        <f t="shared" si="18"/>
        <v>0</v>
      </c>
      <c r="AU246" s="36">
        <f t="shared" si="19"/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141226002</v>
      </c>
      <c r="BD246" s="5">
        <v>141226002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48">
        <v>0</v>
      </c>
      <c r="BK246" s="5">
        <v>0</v>
      </c>
      <c r="BL246" s="5">
        <v>0</v>
      </c>
      <c r="BM246" s="5">
        <v>0</v>
      </c>
      <c r="BN246" s="5">
        <v>0</v>
      </c>
    </row>
    <row r="247" spans="1:66" x14ac:dyDescent="0.25">
      <c r="A247" s="30" t="s">
        <v>590</v>
      </c>
      <c r="B247" s="13" t="s">
        <v>625</v>
      </c>
      <c r="C247" s="13" t="s">
        <v>625</v>
      </c>
      <c r="D247" s="14">
        <v>15582549695077</v>
      </c>
      <c r="E247" s="14">
        <v>776236722224</v>
      </c>
      <c r="F247" s="14">
        <v>0</v>
      </c>
      <c r="G247" s="14">
        <v>136235800</v>
      </c>
      <c r="H247" s="14">
        <v>16358922653101</v>
      </c>
      <c r="I247" s="14">
        <v>1273570069661</v>
      </c>
      <c r="J247" s="14">
        <v>138954979030</v>
      </c>
      <c r="K247" s="14">
        <v>14946397604410</v>
      </c>
      <c r="L247" s="14">
        <v>16194205603935</v>
      </c>
      <c r="M247" s="14">
        <f t="shared" si="15"/>
        <v>164717049166</v>
      </c>
      <c r="N247" s="41">
        <f t="shared" si="16"/>
        <v>1.0171357162834569</v>
      </c>
      <c r="O247" s="14">
        <v>19722268005997</v>
      </c>
      <c r="P247" s="41">
        <v>145.71</v>
      </c>
      <c r="Q247" s="15">
        <v>131.94999999999999</v>
      </c>
      <c r="R247" s="15">
        <v>3.27</v>
      </c>
      <c r="S247" s="14">
        <v>21947018307998</v>
      </c>
      <c r="T247" s="14">
        <v>733347364116</v>
      </c>
      <c r="U247" s="14">
        <v>386383690112</v>
      </c>
      <c r="V247" s="14">
        <v>79096914561</v>
      </c>
      <c r="W247" s="14">
        <v>267866759443</v>
      </c>
      <c r="X247" s="14">
        <v>22680365672114</v>
      </c>
      <c r="Y247" s="14">
        <v>46624834523</v>
      </c>
      <c r="Z247" s="14">
        <v>1028745576681</v>
      </c>
      <c r="AA247" s="14">
        <v>127901087278</v>
      </c>
      <c r="AB247" s="14">
        <v>23837012336073</v>
      </c>
      <c r="AC247" s="14">
        <v>17397753346554</v>
      </c>
      <c r="AD247" s="41">
        <f t="shared" si="17"/>
        <v>30.363761460075732</v>
      </c>
      <c r="AE247" s="14">
        <v>19510170526989</v>
      </c>
      <c r="AF247" s="14">
        <v>18906416052698</v>
      </c>
      <c r="AG247" s="14">
        <v>4018471218662</v>
      </c>
      <c r="AH247" s="14">
        <v>41662760000</v>
      </c>
      <c r="AI247" s="14">
        <v>0</v>
      </c>
      <c r="AJ247" s="14">
        <v>65800000000</v>
      </c>
      <c r="AK247" s="14">
        <v>0</v>
      </c>
      <c r="AL247" s="15">
        <v>27</v>
      </c>
      <c r="AM247" s="14">
        <v>8553693239140</v>
      </c>
      <c r="AN247" s="15">
        <v>550</v>
      </c>
      <c r="AO247" s="14">
        <v>5497247297162</v>
      </c>
      <c r="AP247" s="15">
        <v>271</v>
      </c>
      <c r="AQ247" s="14">
        <v>2960161068556</v>
      </c>
      <c r="AR247" s="14">
        <v>733347364116</v>
      </c>
      <c r="AS247" s="14">
        <v>346687768057</v>
      </c>
      <c r="AT247" s="14">
        <f t="shared" si="18"/>
        <v>386659596059</v>
      </c>
      <c r="AU247" s="41">
        <f t="shared" si="19"/>
        <v>111.52963319877733</v>
      </c>
      <c r="AV247" s="14">
        <v>14666072473622</v>
      </c>
      <c r="AW247" s="14">
        <v>2971281658674</v>
      </c>
      <c r="AX247" s="14">
        <v>5818115192398</v>
      </c>
      <c r="AY247" s="14">
        <v>2172605783981</v>
      </c>
      <c r="AZ247" s="14">
        <v>3164203318698</v>
      </c>
      <c r="BA247" s="14">
        <v>4993881780368</v>
      </c>
      <c r="BB247" s="14">
        <v>2527665088478</v>
      </c>
      <c r="BC247" s="14">
        <v>16358922653101</v>
      </c>
      <c r="BD247" s="14">
        <v>8572962344546</v>
      </c>
      <c r="BE247" s="14">
        <v>3164150818698</v>
      </c>
      <c r="BF247" s="14">
        <v>4621809489857</v>
      </c>
      <c r="BG247" s="14">
        <v>13548356107033</v>
      </c>
      <c r="BH247" s="14">
        <v>5961814419956</v>
      </c>
      <c r="BI247" s="14">
        <v>0</v>
      </c>
      <c r="BJ247" s="49">
        <v>225489416911</v>
      </c>
      <c r="BK247" s="14">
        <v>3823183817292</v>
      </c>
      <c r="BL247" s="14">
        <v>0</v>
      </c>
      <c r="BM247" s="14">
        <v>33894300389</v>
      </c>
      <c r="BN247" s="14">
        <v>41662760000</v>
      </c>
    </row>
    <row r="248" spans="1:66" x14ac:dyDescent="0.25">
      <c r="A248" s="17" t="s">
        <v>283</v>
      </c>
      <c r="B248" s="4">
        <v>1</v>
      </c>
      <c r="C248" s="4" t="s">
        <v>283</v>
      </c>
      <c r="D248" s="5">
        <v>0</v>
      </c>
      <c r="E248" s="5">
        <v>348426637</v>
      </c>
      <c r="F248" s="5">
        <v>0</v>
      </c>
      <c r="G248" s="5">
        <v>0</v>
      </c>
      <c r="H248" s="5">
        <v>348426637</v>
      </c>
      <c r="I248" s="5">
        <v>0</v>
      </c>
      <c r="J248" s="5">
        <v>0</v>
      </c>
      <c r="K248" s="5">
        <v>348426637</v>
      </c>
      <c r="L248" s="5">
        <v>162854164</v>
      </c>
      <c r="M248" s="5">
        <f t="shared" si="15"/>
        <v>185572473</v>
      </c>
      <c r="N248" s="36">
        <f t="shared" si="16"/>
        <v>113.95009402400052</v>
      </c>
      <c r="O248" s="5">
        <v>0</v>
      </c>
      <c r="P248" s="36">
        <v>0</v>
      </c>
      <c r="Q248" s="6">
        <v>0</v>
      </c>
      <c r="R248" s="6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36">
        <f t="shared" si="17"/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6">
        <v>0</v>
      </c>
      <c r="AM248" s="5">
        <v>0</v>
      </c>
      <c r="AN248" s="6">
        <v>0</v>
      </c>
      <c r="AO248" s="5">
        <v>0</v>
      </c>
      <c r="AP248" s="6">
        <v>0</v>
      </c>
      <c r="AQ248" s="5">
        <v>0</v>
      </c>
      <c r="AR248" s="5">
        <v>0</v>
      </c>
      <c r="AS248" s="5">
        <v>0</v>
      </c>
      <c r="AT248" s="5">
        <f t="shared" si="18"/>
        <v>0</v>
      </c>
      <c r="AU248" s="36">
        <f t="shared" si="19"/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348426637</v>
      </c>
      <c r="BD248" s="5">
        <v>348426637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48">
        <v>0</v>
      </c>
      <c r="BK248" s="5">
        <v>0</v>
      </c>
      <c r="BL248" s="5">
        <v>0</v>
      </c>
      <c r="BM248" s="5">
        <v>0</v>
      </c>
      <c r="BN248" s="5">
        <v>0</v>
      </c>
    </row>
    <row r="249" spans="1:66" x14ac:dyDescent="0.25">
      <c r="A249" s="17" t="s">
        <v>283</v>
      </c>
      <c r="B249" s="4">
        <v>100</v>
      </c>
      <c r="C249" s="4" t="s">
        <v>284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f t="shared" si="15"/>
        <v>0</v>
      </c>
      <c r="N249" s="36">
        <f t="shared" si="16"/>
        <v>0</v>
      </c>
      <c r="O249" s="5">
        <v>0</v>
      </c>
      <c r="P249" s="36" t="s">
        <v>625</v>
      </c>
      <c r="Q249" s="6" t="s">
        <v>625</v>
      </c>
      <c r="R249" s="6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36">
        <f t="shared" si="17"/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6">
        <v>0</v>
      </c>
      <c r="AM249" s="5">
        <v>0</v>
      </c>
      <c r="AN249" s="6">
        <v>0</v>
      </c>
      <c r="AO249" s="5">
        <v>0</v>
      </c>
      <c r="AP249" s="6">
        <v>0</v>
      </c>
      <c r="AQ249" s="5">
        <v>0</v>
      </c>
      <c r="AR249" s="5">
        <v>0</v>
      </c>
      <c r="AS249" s="5">
        <v>0</v>
      </c>
      <c r="AT249" s="5">
        <f t="shared" si="18"/>
        <v>0</v>
      </c>
      <c r="AU249" s="36">
        <f t="shared" si="19"/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48">
        <v>0</v>
      </c>
      <c r="BK249" s="5">
        <v>0</v>
      </c>
      <c r="BL249" s="5">
        <v>0</v>
      </c>
      <c r="BM249" s="5">
        <v>0</v>
      </c>
      <c r="BN249" s="5">
        <v>0</v>
      </c>
    </row>
    <row r="250" spans="1:66" x14ac:dyDescent="0.25">
      <c r="A250" s="17" t="s">
        <v>283</v>
      </c>
      <c r="B250" s="4">
        <v>101</v>
      </c>
      <c r="C250" s="4" t="s">
        <v>290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f t="shared" si="15"/>
        <v>0</v>
      </c>
      <c r="N250" s="36">
        <f t="shared" si="16"/>
        <v>0</v>
      </c>
      <c r="O250" s="5">
        <v>0</v>
      </c>
      <c r="P250" s="36" t="s">
        <v>625</v>
      </c>
      <c r="Q250" s="6" t="s">
        <v>625</v>
      </c>
      <c r="R250" s="6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36">
        <f t="shared" si="17"/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6">
        <v>0</v>
      </c>
      <c r="AM250" s="5">
        <v>0</v>
      </c>
      <c r="AN250" s="6">
        <v>0</v>
      </c>
      <c r="AO250" s="5">
        <v>0</v>
      </c>
      <c r="AP250" s="6">
        <v>0</v>
      </c>
      <c r="AQ250" s="5">
        <v>0</v>
      </c>
      <c r="AR250" s="5">
        <v>0</v>
      </c>
      <c r="AS250" s="5">
        <v>0</v>
      </c>
      <c r="AT250" s="5">
        <f t="shared" si="18"/>
        <v>0</v>
      </c>
      <c r="AU250" s="36">
        <f t="shared" si="19"/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48">
        <v>0</v>
      </c>
      <c r="BK250" s="5">
        <v>0</v>
      </c>
      <c r="BL250" s="5">
        <v>0</v>
      </c>
      <c r="BM250" s="5">
        <v>0</v>
      </c>
      <c r="BN250" s="5">
        <v>0</v>
      </c>
    </row>
    <row r="251" spans="1:66" x14ac:dyDescent="0.25">
      <c r="A251" s="17" t="s">
        <v>283</v>
      </c>
      <c r="B251" s="4">
        <v>102</v>
      </c>
      <c r="C251" s="4" t="s">
        <v>293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f t="shared" si="15"/>
        <v>0</v>
      </c>
      <c r="N251" s="36">
        <f t="shared" si="16"/>
        <v>0</v>
      </c>
      <c r="O251" s="5">
        <v>0</v>
      </c>
      <c r="P251" s="36" t="s">
        <v>625</v>
      </c>
      <c r="Q251" s="6" t="s">
        <v>625</v>
      </c>
      <c r="R251" s="6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36">
        <f t="shared" si="17"/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6">
        <v>0</v>
      </c>
      <c r="AM251" s="5">
        <v>0</v>
      </c>
      <c r="AN251" s="6">
        <v>0</v>
      </c>
      <c r="AO251" s="5">
        <v>0</v>
      </c>
      <c r="AP251" s="6">
        <v>0</v>
      </c>
      <c r="AQ251" s="5">
        <v>0</v>
      </c>
      <c r="AR251" s="5">
        <v>0</v>
      </c>
      <c r="AS251" s="5">
        <v>0</v>
      </c>
      <c r="AT251" s="5">
        <f t="shared" si="18"/>
        <v>0</v>
      </c>
      <c r="AU251" s="36">
        <f t="shared" si="19"/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48">
        <v>0</v>
      </c>
      <c r="BK251" s="5">
        <v>0</v>
      </c>
      <c r="BL251" s="5">
        <v>0</v>
      </c>
      <c r="BM251" s="5">
        <v>0</v>
      </c>
      <c r="BN251" s="5">
        <v>0</v>
      </c>
    </row>
    <row r="252" spans="1:66" x14ac:dyDescent="0.25">
      <c r="A252" s="17" t="s">
        <v>283</v>
      </c>
      <c r="B252" s="4">
        <v>103</v>
      </c>
      <c r="C252" s="4" t="s">
        <v>294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f t="shared" si="15"/>
        <v>0</v>
      </c>
      <c r="N252" s="36">
        <f t="shared" si="16"/>
        <v>0</v>
      </c>
      <c r="O252" s="5">
        <v>0</v>
      </c>
      <c r="P252" s="36" t="s">
        <v>625</v>
      </c>
      <c r="Q252" s="6" t="s">
        <v>625</v>
      </c>
      <c r="R252" s="6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36">
        <f t="shared" si="17"/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6">
        <v>0</v>
      </c>
      <c r="AM252" s="5">
        <v>0</v>
      </c>
      <c r="AN252" s="6">
        <v>0</v>
      </c>
      <c r="AO252" s="5">
        <v>0</v>
      </c>
      <c r="AP252" s="6">
        <v>0</v>
      </c>
      <c r="AQ252" s="5">
        <v>0</v>
      </c>
      <c r="AR252" s="5">
        <v>0</v>
      </c>
      <c r="AS252" s="5">
        <v>0</v>
      </c>
      <c r="AT252" s="5">
        <f t="shared" si="18"/>
        <v>0</v>
      </c>
      <c r="AU252" s="36">
        <f t="shared" si="19"/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48">
        <v>0</v>
      </c>
      <c r="BK252" s="5">
        <v>0</v>
      </c>
      <c r="BL252" s="5">
        <v>0</v>
      </c>
      <c r="BM252" s="5">
        <v>0</v>
      </c>
      <c r="BN252" s="5">
        <v>0</v>
      </c>
    </row>
    <row r="253" spans="1:66" x14ac:dyDescent="0.25">
      <c r="A253" s="17" t="s">
        <v>283</v>
      </c>
      <c r="B253" s="4">
        <v>104</v>
      </c>
      <c r="C253" s="4" t="s">
        <v>295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f t="shared" si="15"/>
        <v>0</v>
      </c>
      <c r="N253" s="36">
        <f t="shared" si="16"/>
        <v>0</v>
      </c>
      <c r="O253" s="5">
        <v>0</v>
      </c>
      <c r="P253" s="36" t="s">
        <v>625</v>
      </c>
      <c r="Q253" s="6" t="s">
        <v>625</v>
      </c>
      <c r="R253" s="6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36">
        <f t="shared" si="17"/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6">
        <v>0</v>
      </c>
      <c r="AM253" s="5">
        <v>0</v>
      </c>
      <c r="AN253" s="6">
        <v>0</v>
      </c>
      <c r="AO253" s="5">
        <v>0</v>
      </c>
      <c r="AP253" s="6">
        <v>0</v>
      </c>
      <c r="AQ253" s="5">
        <v>0</v>
      </c>
      <c r="AR253" s="5">
        <v>0</v>
      </c>
      <c r="AS253" s="5">
        <v>0</v>
      </c>
      <c r="AT253" s="5">
        <f t="shared" si="18"/>
        <v>0</v>
      </c>
      <c r="AU253" s="36">
        <f t="shared" si="19"/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48">
        <v>0</v>
      </c>
      <c r="BK253" s="5">
        <v>0</v>
      </c>
      <c r="BL253" s="5">
        <v>0</v>
      </c>
      <c r="BM253" s="5">
        <v>0</v>
      </c>
      <c r="BN253" s="5">
        <v>0</v>
      </c>
    </row>
    <row r="254" spans="1:66" x14ac:dyDescent="0.25">
      <c r="A254" s="17" t="s">
        <v>283</v>
      </c>
      <c r="B254" s="4">
        <v>105</v>
      </c>
      <c r="C254" s="4" t="s">
        <v>296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f t="shared" si="15"/>
        <v>0</v>
      </c>
      <c r="N254" s="36">
        <f t="shared" si="16"/>
        <v>0</v>
      </c>
      <c r="O254" s="5">
        <v>0</v>
      </c>
      <c r="P254" s="36" t="s">
        <v>625</v>
      </c>
      <c r="Q254" s="6" t="s">
        <v>625</v>
      </c>
      <c r="R254" s="6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36">
        <f t="shared" si="17"/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6">
        <v>0</v>
      </c>
      <c r="AM254" s="5">
        <v>0</v>
      </c>
      <c r="AN254" s="6">
        <v>0</v>
      </c>
      <c r="AO254" s="5">
        <v>0</v>
      </c>
      <c r="AP254" s="6">
        <v>0</v>
      </c>
      <c r="AQ254" s="5">
        <v>0</v>
      </c>
      <c r="AR254" s="5">
        <v>0</v>
      </c>
      <c r="AS254" s="5">
        <v>0</v>
      </c>
      <c r="AT254" s="5">
        <f t="shared" si="18"/>
        <v>0</v>
      </c>
      <c r="AU254" s="36">
        <f t="shared" si="19"/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48">
        <v>0</v>
      </c>
      <c r="BK254" s="5">
        <v>0</v>
      </c>
      <c r="BL254" s="5">
        <v>0</v>
      </c>
      <c r="BM254" s="5">
        <v>0</v>
      </c>
      <c r="BN254" s="5">
        <v>0</v>
      </c>
    </row>
    <row r="255" spans="1:66" x14ac:dyDescent="0.25">
      <c r="A255" s="17" t="s">
        <v>283</v>
      </c>
      <c r="B255" s="4">
        <v>106</v>
      </c>
      <c r="C255" s="4" t="s">
        <v>297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f t="shared" si="15"/>
        <v>0</v>
      </c>
      <c r="N255" s="36">
        <f t="shared" si="16"/>
        <v>0</v>
      </c>
      <c r="O255" s="5">
        <v>0</v>
      </c>
      <c r="P255" s="36" t="s">
        <v>625</v>
      </c>
      <c r="Q255" s="6" t="s">
        <v>625</v>
      </c>
      <c r="R255" s="6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36">
        <f t="shared" si="17"/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6">
        <v>0</v>
      </c>
      <c r="AM255" s="5">
        <v>0</v>
      </c>
      <c r="AN255" s="6">
        <v>0</v>
      </c>
      <c r="AO255" s="5">
        <v>0</v>
      </c>
      <c r="AP255" s="6">
        <v>0</v>
      </c>
      <c r="AQ255" s="5">
        <v>0</v>
      </c>
      <c r="AR255" s="5">
        <v>0</v>
      </c>
      <c r="AS255" s="5">
        <v>0</v>
      </c>
      <c r="AT255" s="5">
        <f t="shared" si="18"/>
        <v>0</v>
      </c>
      <c r="AU255" s="36">
        <f t="shared" si="19"/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48">
        <v>0</v>
      </c>
      <c r="BK255" s="5">
        <v>0</v>
      </c>
      <c r="BL255" s="5">
        <v>0</v>
      </c>
      <c r="BM255" s="5">
        <v>0</v>
      </c>
      <c r="BN255" s="5">
        <v>0</v>
      </c>
    </row>
    <row r="256" spans="1:66" x14ac:dyDescent="0.25">
      <c r="A256" s="17" t="s">
        <v>283</v>
      </c>
      <c r="B256" s="4">
        <v>107</v>
      </c>
      <c r="C256" s="4" t="s">
        <v>298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f t="shared" si="15"/>
        <v>0</v>
      </c>
      <c r="N256" s="36">
        <f t="shared" si="16"/>
        <v>0</v>
      </c>
      <c r="O256" s="5">
        <v>0</v>
      </c>
      <c r="P256" s="36" t="s">
        <v>625</v>
      </c>
      <c r="Q256" s="6" t="s">
        <v>625</v>
      </c>
      <c r="R256" s="6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36">
        <f t="shared" si="17"/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6">
        <v>0</v>
      </c>
      <c r="AM256" s="5">
        <v>0</v>
      </c>
      <c r="AN256" s="6">
        <v>0</v>
      </c>
      <c r="AO256" s="5">
        <v>0</v>
      </c>
      <c r="AP256" s="6">
        <v>0</v>
      </c>
      <c r="AQ256" s="5">
        <v>0</v>
      </c>
      <c r="AR256" s="5">
        <v>0</v>
      </c>
      <c r="AS256" s="5">
        <v>0</v>
      </c>
      <c r="AT256" s="5">
        <f t="shared" si="18"/>
        <v>0</v>
      </c>
      <c r="AU256" s="36">
        <f t="shared" si="19"/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48">
        <v>0</v>
      </c>
      <c r="BK256" s="5">
        <v>0</v>
      </c>
      <c r="BL256" s="5">
        <v>0</v>
      </c>
      <c r="BM256" s="5">
        <v>0</v>
      </c>
      <c r="BN256" s="5">
        <v>0</v>
      </c>
    </row>
    <row r="257" spans="1:66" x14ac:dyDescent="0.25">
      <c r="A257" s="17" t="s">
        <v>283</v>
      </c>
      <c r="B257" s="4">
        <v>108</v>
      </c>
      <c r="C257" s="4" t="s">
        <v>299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f t="shared" si="15"/>
        <v>0</v>
      </c>
      <c r="N257" s="36">
        <f t="shared" si="16"/>
        <v>0</v>
      </c>
      <c r="O257" s="5">
        <v>0</v>
      </c>
      <c r="P257" s="36" t="s">
        <v>625</v>
      </c>
      <c r="Q257" s="6" t="s">
        <v>625</v>
      </c>
      <c r="R257" s="6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36">
        <f t="shared" si="17"/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6">
        <v>0</v>
      </c>
      <c r="AM257" s="5">
        <v>0</v>
      </c>
      <c r="AN257" s="6">
        <v>0</v>
      </c>
      <c r="AO257" s="5">
        <v>0</v>
      </c>
      <c r="AP257" s="6">
        <v>0</v>
      </c>
      <c r="AQ257" s="5">
        <v>0</v>
      </c>
      <c r="AR257" s="5">
        <v>0</v>
      </c>
      <c r="AS257" s="5">
        <v>0</v>
      </c>
      <c r="AT257" s="5">
        <f t="shared" si="18"/>
        <v>0</v>
      </c>
      <c r="AU257" s="36">
        <f t="shared" si="19"/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48">
        <v>0</v>
      </c>
      <c r="BK257" s="5">
        <v>0</v>
      </c>
      <c r="BL257" s="5">
        <v>0</v>
      </c>
      <c r="BM257" s="5">
        <v>0</v>
      </c>
      <c r="BN257" s="5">
        <v>0</v>
      </c>
    </row>
    <row r="258" spans="1:66" x14ac:dyDescent="0.25">
      <c r="A258" s="17" t="s">
        <v>283</v>
      </c>
      <c r="B258" s="4">
        <v>109</v>
      </c>
      <c r="C258" s="4" t="s">
        <v>560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f t="shared" si="15"/>
        <v>0</v>
      </c>
      <c r="N258" s="36">
        <f t="shared" si="16"/>
        <v>0</v>
      </c>
      <c r="O258" s="5">
        <v>0</v>
      </c>
      <c r="P258" s="36" t="s">
        <v>625</v>
      </c>
      <c r="Q258" s="6" t="s">
        <v>625</v>
      </c>
      <c r="R258" s="6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36">
        <f t="shared" si="17"/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6">
        <v>0</v>
      </c>
      <c r="AM258" s="5">
        <v>0</v>
      </c>
      <c r="AN258" s="6">
        <v>0</v>
      </c>
      <c r="AO258" s="5">
        <v>0</v>
      </c>
      <c r="AP258" s="6">
        <v>0</v>
      </c>
      <c r="AQ258" s="5">
        <v>0</v>
      </c>
      <c r="AR258" s="5">
        <v>0</v>
      </c>
      <c r="AS258" s="5">
        <v>0</v>
      </c>
      <c r="AT258" s="5">
        <f t="shared" si="18"/>
        <v>0</v>
      </c>
      <c r="AU258" s="36">
        <f t="shared" si="19"/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48">
        <v>0</v>
      </c>
      <c r="BK258" s="5">
        <v>0</v>
      </c>
      <c r="BL258" s="5">
        <v>0</v>
      </c>
      <c r="BM258" s="5">
        <v>0</v>
      </c>
      <c r="BN258" s="5">
        <v>0</v>
      </c>
    </row>
    <row r="259" spans="1:66" x14ac:dyDescent="0.25">
      <c r="A259" s="17" t="s">
        <v>283</v>
      </c>
      <c r="B259" s="4">
        <v>110</v>
      </c>
      <c r="C259" s="4" t="s">
        <v>300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f t="shared" si="15"/>
        <v>0</v>
      </c>
      <c r="N259" s="36">
        <f t="shared" si="16"/>
        <v>0</v>
      </c>
      <c r="O259" s="5">
        <v>0</v>
      </c>
      <c r="P259" s="36" t="s">
        <v>625</v>
      </c>
      <c r="Q259" s="6" t="s">
        <v>625</v>
      </c>
      <c r="R259" s="6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36">
        <f t="shared" si="17"/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6">
        <v>0</v>
      </c>
      <c r="AM259" s="5">
        <v>0</v>
      </c>
      <c r="AN259" s="6">
        <v>0</v>
      </c>
      <c r="AO259" s="5">
        <v>0</v>
      </c>
      <c r="AP259" s="6">
        <v>0</v>
      </c>
      <c r="AQ259" s="5">
        <v>0</v>
      </c>
      <c r="AR259" s="5">
        <v>0</v>
      </c>
      <c r="AS259" s="5">
        <v>0</v>
      </c>
      <c r="AT259" s="5">
        <f t="shared" si="18"/>
        <v>0</v>
      </c>
      <c r="AU259" s="36">
        <f t="shared" si="19"/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48">
        <v>0</v>
      </c>
      <c r="BK259" s="5">
        <v>0</v>
      </c>
      <c r="BL259" s="5">
        <v>0</v>
      </c>
      <c r="BM259" s="5">
        <v>0</v>
      </c>
      <c r="BN259" s="5">
        <v>0</v>
      </c>
    </row>
    <row r="260" spans="1:66" x14ac:dyDescent="0.25">
      <c r="A260" s="17" t="s">
        <v>283</v>
      </c>
      <c r="B260" s="4">
        <v>1001</v>
      </c>
      <c r="C260" s="4" t="s">
        <v>285</v>
      </c>
      <c r="D260" s="5">
        <v>3795064655479</v>
      </c>
      <c r="E260" s="5">
        <v>22725065862462</v>
      </c>
      <c r="F260" s="5">
        <v>38567236765379</v>
      </c>
      <c r="G260" s="5">
        <v>0</v>
      </c>
      <c r="H260" s="5">
        <v>65087367283320</v>
      </c>
      <c r="I260" s="5">
        <v>12055841469365</v>
      </c>
      <c r="J260" s="5">
        <v>26691816379627</v>
      </c>
      <c r="K260" s="5">
        <v>26339709434328</v>
      </c>
      <c r="L260" s="5">
        <v>58039434868977</v>
      </c>
      <c r="M260" s="5">
        <f t="shared" ref="M260:M323" si="20">H260-L260</f>
        <v>7047932414343</v>
      </c>
      <c r="N260" s="36">
        <f t="shared" ref="N260:N323" si="21">IFERROR(M260/L260*100,0)</f>
        <v>12.143351206388523</v>
      </c>
      <c r="O260" s="5">
        <v>1219821980767</v>
      </c>
      <c r="P260" s="36">
        <v>1.93</v>
      </c>
      <c r="Q260" s="6">
        <v>4.63</v>
      </c>
      <c r="R260" s="6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1256597260522</v>
      </c>
      <c r="AA260" s="5">
        <v>0</v>
      </c>
      <c r="AB260" s="5">
        <v>1256597260522</v>
      </c>
      <c r="AC260" s="5">
        <v>0</v>
      </c>
      <c r="AD260" s="36">
        <f t="shared" ref="AD260:AD323" si="22">IFERROR((X260-AC260)/AC260*100,0)</f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6">
        <v>0</v>
      </c>
      <c r="AM260" s="5">
        <v>0</v>
      </c>
      <c r="AN260" s="6">
        <v>0</v>
      </c>
      <c r="AO260" s="5">
        <v>0</v>
      </c>
      <c r="AP260" s="6">
        <v>0</v>
      </c>
      <c r="AQ260" s="5">
        <v>0</v>
      </c>
      <c r="AR260" s="5">
        <v>0</v>
      </c>
      <c r="AS260" s="5">
        <v>0</v>
      </c>
      <c r="AT260" s="5">
        <f t="shared" ref="AT260:AT323" si="23">AR260-AS260</f>
        <v>0</v>
      </c>
      <c r="AU260" s="36">
        <f t="shared" ref="AU260:AU323" si="24">IFERROR(AT260/AS260*100,0)</f>
        <v>0</v>
      </c>
      <c r="AV260" s="5">
        <v>0</v>
      </c>
      <c r="AW260" s="5">
        <v>0</v>
      </c>
      <c r="AX260" s="5">
        <v>1006734534069</v>
      </c>
      <c r="AY260" s="5">
        <v>1201690629790</v>
      </c>
      <c r="AZ260" s="5">
        <v>11563743183</v>
      </c>
      <c r="BA260" s="5">
        <v>89575922235816</v>
      </c>
      <c r="BB260" s="5">
        <v>0</v>
      </c>
      <c r="BC260" s="5">
        <v>65087367283320</v>
      </c>
      <c r="BD260" s="5">
        <v>20306512987842</v>
      </c>
      <c r="BE260" s="5">
        <v>38578800508562</v>
      </c>
      <c r="BF260" s="5">
        <v>6202053786916</v>
      </c>
      <c r="BG260" s="5">
        <v>0</v>
      </c>
      <c r="BH260" s="5">
        <v>0</v>
      </c>
      <c r="BI260" s="5">
        <v>0</v>
      </c>
      <c r="BJ260" s="48">
        <v>0</v>
      </c>
      <c r="BK260" s="5">
        <v>0</v>
      </c>
      <c r="BL260" s="5">
        <v>0</v>
      </c>
      <c r="BM260" s="5">
        <v>0</v>
      </c>
      <c r="BN260" s="5">
        <v>0</v>
      </c>
    </row>
    <row r="261" spans="1:66" x14ac:dyDescent="0.25">
      <c r="A261" s="17" t="s">
        <v>283</v>
      </c>
      <c r="B261" s="4">
        <v>1002</v>
      </c>
      <c r="C261" s="4" t="s">
        <v>286</v>
      </c>
      <c r="D261" s="5">
        <v>0</v>
      </c>
      <c r="E261" s="5">
        <v>21792000</v>
      </c>
      <c r="F261" s="5">
        <v>0</v>
      </c>
      <c r="G261" s="5">
        <v>0</v>
      </c>
      <c r="H261" s="5">
        <v>21792000</v>
      </c>
      <c r="I261" s="5">
        <v>0</v>
      </c>
      <c r="J261" s="5">
        <v>0</v>
      </c>
      <c r="K261" s="5">
        <v>21792000</v>
      </c>
      <c r="L261" s="5">
        <v>16716000</v>
      </c>
      <c r="M261" s="5">
        <f t="shared" si="20"/>
        <v>5076000</v>
      </c>
      <c r="N261" s="36">
        <f t="shared" si="21"/>
        <v>30.366116295764538</v>
      </c>
      <c r="O261" s="5">
        <v>0</v>
      </c>
      <c r="P261" s="36">
        <v>0</v>
      </c>
      <c r="Q261" s="6">
        <v>0</v>
      </c>
      <c r="R261" s="6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36">
        <f t="shared" si="22"/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6">
        <v>0</v>
      </c>
      <c r="AM261" s="5">
        <v>0</v>
      </c>
      <c r="AN261" s="6">
        <v>0</v>
      </c>
      <c r="AO261" s="5">
        <v>0</v>
      </c>
      <c r="AP261" s="6">
        <v>0</v>
      </c>
      <c r="AQ261" s="5">
        <v>0</v>
      </c>
      <c r="AR261" s="5">
        <v>0</v>
      </c>
      <c r="AS261" s="5">
        <v>0</v>
      </c>
      <c r="AT261" s="5">
        <f t="shared" si="23"/>
        <v>0</v>
      </c>
      <c r="AU261" s="36">
        <f t="shared" si="24"/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21792000</v>
      </c>
      <c r="BD261" s="5">
        <v>21792000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48">
        <v>0</v>
      </c>
      <c r="BK261" s="5">
        <v>0</v>
      </c>
      <c r="BL261" s="5">
        <v>0</v>
      </c>
      <c r="BM261" s="5">
        <v>0</v>
      </c>
      <c r="BN261" s="5">
        <v>0</v>
      </c>
    </row>
    <row r="262" spans="1:66" x14ac:dyDescent="0.25">
      <c r="A262" s="17" t="s">
        <v>283</v>
      </c>
      <c r="B262" s="4">
        <v>1003</v>
      </c>
      <c r="C262" s="4" t="s">
        <v>287</v>
      </c>
      <c r="D262" s="5">
        <v>0</v>
      </c>
      <c r="E262" s="5">
        <v>1000000000</v>
      </c>
      <c r="F262" s="5">
        <v>0</v>
      </c>
      <c r="G262" s="5">
        <v>0</v>
      </c>
      <c r="H262" s="5">
        <v>1000000000</v>
      </c>
      <c r="I262" s="5">
        <v>0</v>
      </c>
      <c r="J262" s="5">
        <v>0</v>
      </c>
      <c r="K262" s="5">
        <v>1000000000</v>
      </c>
      <c r="L262" s="5">
        <v>1600180000</v>
      </c>
      <c r="M262" s="5">
        <f t="shared" si="20"/>
        <v>-600180000</v>
      </c>
      <c r="N262" s="36">
        <f t="shared" si="21"/>
        <v>-37.507030459073356</v>
      </c>
      <c r="O262" s="5">
        <v>0</v>
      </c>
      <c r="P262" s="36">
        <v>0</v>
      </c>
      <c r="Q262" s="6">
        <v>0</v>
      </c>
      <c r="R262" s="6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36">
        <f t="shared" si="22"/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6">
        <v>0</v>
      </c>
      <c r="AM262" s="5">
        <v>0</v>
      </c>
      <c r="AN262" s="6">
        <v>0</v>
      </c>
      <c r="AO262" s="5">
        <v>0</v>
      </c>
      <c r="AP262" s="6">
        <v>0</v>
      </c>
      <c r="AQ262" s="5">
        <v>0</v>
      </c>
      <c r="AR262" s="5">
        <v>0</v>
      </c>
      <c r="AS262" s="5">
        <v>0</v>
      </c>
      <c r="AT262" s="5">
        <f t="shared" si="23"/>
        <v>0</v>
      </c>
      <c r="AU262" s="36">
        <f t="shared" si="24"/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1000000000</v>
      </c>
      <c r="BD262" s="5">
        <v>1000000000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48">
        <v>0</v>
      </c>
      <c r="BK262" s="5">
        <v>0</v>
      </c>
      <c r="BL262" s="5">
        <v>0</v>
      </c>
      <c r="BM262" s="5">
        <v>0</v>
      </c>
      <c r="BN262" s="5">
        <v>0</v>
      </c>
    </row>
    <row r="263" spans="1:66" x14ac:dyDescent="0.25">
      <c r="A263" s="17" t="s">
        <v>283</v>
      </c>
      <c r="B263" s="4">
        <v>1004</v>
      </c>
      <c r="C263" s="4" t="s">
        <v>288</v>
      </c>
      <c r="D263" s="5">
        <v>0</v>
      </c>
      <c r="E263" s="5">
        <v>273351670</v>
      </c>
      <c r="F263" s="5">
        <v>0</v>
      </c>
      <c r="G263" s="5">
        <v>0</v>
      </c>
      <c r="H263" s="5">
        <v>273351670</v>
      </c>
      <c r="I263" s="5">
        <v>0</v>
      </c>
      <c r="J263" s="5">
        <v>0</v>
      </c>
      <c r="K263" s="5">
        <v>273351670</v>
      </c>
      <c r="L263" s="5">
        <v>273351670</v>
      </c>
      <c r="M263" s="5">
        <f t="shared" si="20"/>
        <v>0</v>
      </c>
      <c r="N263" s="36">
        <f t="shared" si="21"/>
        <v>0</v>
      </c>
      <c r="O263" s="5">
        <v>0</v>
      </c>
      <c r="P263" s="36">
        <v>0</v>
      </c>
      <c r="Q263" s="6">
        <v>0</v>
      </c>
      <c r="R263" s="6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36">
        <f t="shared" si="22"/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6">
        <v>0</v>
      </c>
      <c r="AM263" s="5">
        <v>0</v>
      </c>
      <c r="AN263" s="6">
        <v>0</v>
      </c>
      <c r="AO263" s="5">
        <v>0</v>
      </c>
      <c r="AP263" s="6">
        <v>0</v>
      </c>
      <c r="AQ263" s="5">
        <v>0</v>
      </c>
      <c r="AR263" s="5">
        <v>0</v>
      </c>
      <c r="AS263" s="5">
        <v>0</v>
      </c>
      <c r="AT263" s="5">
        <f t="shared" si="23"/>
        <v>0</v>
      </c>
      <c r="AU263" s="36">
        <f t="shared" si="24"/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273351670</v>
      </c>
      <c r="BD263" s="5">
        <v>273351670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48">
        <v>0</v>
      </c>
      <c r="BK263" s="5">
        <v>0</v>
      </c>
      <c r="BL263" s="5">
        <v>0</v>
      </c>
      <c r="BM263" s="5">
        <v>0</v>
      </c>
      <c r="BN263" s="5">
        <v>0</v>
      </c>
    </row>
    <row r="264" spans="1:66" x14ac:dyDescent="0.25">
      <c r="A264" s="17" t="s">
        <v>283</v>
      </c>
      <c r="B264" s="4">
        <v>1005</v>
      </c>
      <c r="C264" s="4" t="s">
        <v>289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f t="shared" si="20"/>
        <v>0</v>
      </c>
      <c r="N264" s="36">
        <f t="shared" si="21"/>
        <v>0</v>
      </c>
      <c r="O264" s="5">
        <v>0</v>
      </c>
      <c r="P264" s="36" t="s">
        <v>625</v>
      </c>
      <c r="Q264" s="6" t="s">
        <v>625</v>
      </c>
      <c r="R264" s="6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48397031649</v>
      </c>
      <c r="AD264" s="36">
        <f t="shared" si="22"/>
        <v>-100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6">
        <v>0</v>
      </c>
      <c r="AM264" s="5">
        <v>0</v>
      </c>
      <c r="AN264" s="6">
        <v>0</v>
      </c>
      <c r="AO264" s="5">
        <v>0</v>
      </c>
      <c r="AP264" s="6">
        <v>0</v>
      </c>
      <c r="AQ264" s="5">
        <v>0</v>
      </c>
      <c r="AR264" s="5">
        <v>0</v>
      </c>
      <c r="AS264" s="5">
        <v>33625941</v>
      </c>
      <c r="AT264" s="5">
        <f t="shared" si="23"/>
        <v>-33625941</v>
      </c>
      <c r="AU264" s="36">
        <f t="shared" si="24"/>
        <v>-100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48">
        <v>0</v>
      </c>
      <c r="BK264" s="5">
        <v>0</v>
      </c>
      <c r="BL264" s="5">
        <v>0</v>
      </c>
      <c r="BM264" s="5">
        <v>0</v>
      </c>
      <c r="BN264" s="5">
        <v>0</v>
      </c>
    </row>
    <row r="265" spans="1:66" x14ac:dyDescent="0.25">
      <c r="A265" s="17" t="s">
        <v>283</v>
      </c>
      <c r="B265" s="4">
        <v>1010</v>
      </c>
      <c r="C265" s="4" t="s">
        <v>291</v>
      </c>
      <c r="D265" s="5">
        <v>0</v>
      </c>
      <c r="E265" s="5">
        <v>165000000</v>
      </c>
      <c r="F265" s="5">
        <v>0</v>
      </c>
      <c r="G265" s="5">
        <v>34035547972357</v>
      </c>
      <c r="H265" s="5">
        <v>34035712972357</v>
      </c>
      <c r="I265" s="5">
        <v>0</v>
      </c>
      <c r="J265" s="5">
        <v>34956244457906</v>
      </c>
      <c r="K265" s="5">
        <v>-920531485549</v>
      </c>
      <c r="L265" s="5">
        <v>5074855106109</v>
      </c>
      <c r="M265" s="5">
        <f t="shared" si="20"/>
        <v>28960857866248</v>
      </c>
      <c r="N265" s="36">
        <f t="shared" si="21"/>
        <v>570.67359088509841</v>
      </c>
      <c r="O265" s="5">
        <v>0</v>
      </c>
      <c r="P265" s="36">
        <v>0</v>
      </c>
      <c r="Q265" s="6">
        <v>0</v>
      </c>
      <c r="R265" s="6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36">
        <f t="shared" si="22"/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6">
        <v>0</v>
      </c>
      <c r="AM265" s="5">
        <v>0</v>
      </c>
      <c r="AN265" s="6">
        <v>0</v>
      </c>
      <c r="AO265" s="5">
        <v>0</v>
      </c>
      <c r="AP265" s="6">
        <v>0</v>
      </c>
      <c r="AQ265" s="5">
        <v>0</v>
      </c>
      <c r="AR265" s="5">
        <v>0</v>
      </c>
      <c r="AS265" s="5">
        <v>0</v>
      </c>
      <c r="AT265" s="5">
        <f t="shared" si="23"/>
        <v>0</v>
      </c>
      <c r="AU265" s="36">
        <f t="shared" si="24"/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34035712972357</v>
      </c>
      <c r="BD265" s="5">
        <v>34035712972357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48">
        <v>0</v>
      </c>
      <c r="BK265" s="5">
        <v>0</v>
      </c>
      <c r="BL265" s="5">
        <v>0</v>
      </c>
      <c r="BM265" s="5">
        <v>0</v>
      </c>
      <c r="BN265" s="5">
        <v>0</v>
      </c>
    </row>
    <row r="266" spans="1:66" x14ac:dyDescent="0.25">
      <c r="A266" s="17" t="s">
        <v>283</v>
      </c>
      <c r="B266" s="4">
        <v>1011</v>
      </c>
      <c r="C266" s="4" t="s">
        <v>292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f t="shared" si="20"/>
        <v>0</v>
      </c>
      <c r="N266" s="36">
        <f t="shared" si="21"/>
        <v>0</v>
      </c>
      <c r="O266" s="5">
        <v>0</v>
      </c>
      <c r="P266" s="36" t="s">
        <v>625</v>
      </c>
      <c r="Q266" s="6" t="s">
        <v>625</v>
      </c>
      <c r="R266" s="6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36">
        <f t="shared" si="22"/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6">
        <v>0</v>
      </c>
      <c r="AM266" s="5">
        <v>0</v>
      </c>
      <c r="AN266" s="6">
        <v>0</v>
      </c>
      <c r="AO266" s="5">
        <v>0</v>
      </c>
      <c r="AP266" s="6">
        <v>0</v>
      </c>
      <c r="AQ266" s="5">
        <v>0</v>
      </c>
      <c r="AR266" s="5">
        <v>0</v>
      </c>
      <c r="AS266" s="5">
        <v>0</v>
      </c>
      <c r="AT266" s="5">
        <f t="shared" si="23"/>
        <v>0</v>
      </c>
      <c r="AU266" s="36">
        <f t="shared" si="24"/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48">
        <v>0</v>
      </c>
      <c r="BK266" s="5">
        <v>0</v>
      </c>
      <c r="BL266" s="5">
        <v>0</v>
      </c>
      <c r="BM266" s="5">
        <v>0</v>
      </c>
      <c r="BN266" s="5">
        <v>0</v>
      </c>
    </row>
    <row r="267" spans="1:66" x14ac:dyDescent="0.25">
      <c r="A267" s="17" t="s">
        <v>283</v>
      </c>
      <c r="B267" s="18">
        <v>1017</v>
      </c>
      <c r="C267" s="18" t="s">
        <v>570</v>
      </c>
      <c r="D267" s="19">
        <v>0</v>
      </c>
      <c r="E267" s="19">
        <v>0</v>
      </c>
      <c r="F267" s="19">
        <v>0</v>
      </c>
      <c r="G267" s="19">
        <v>0</v>
      </c>
      <c r="H267" s="19">
        <v>0</v>
      </c>
      <c r="I267" s="19">
        <v>0</v>
      </c>
      <c r="J267" s="19">
        <v>0</v>
      </c>
      <c r="K267" s="19">
        <v>0</v>
      </c>
      <c r="L267" s="19">
        <v>0</v>
      </c>
      <c r="M267" s="5">
        <f t="shared" si="20"/>
        <v>0</v>
      </c>
      <c r="N267" s="36">
        <f t="shared" si="21"/>
        <v>0</v>
      </c>
      <c r="O267" s="19">
        <v>0</v>
      </c>
      <c r="P267" s="36" t="s">
        <v>625</v>
      </c>
      <c r="Q267" s="20" t="s">
        <v>625</v>
      </c>
      <c r="R267" s="20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>
        <v>0</v>
      </c>
      <c r="Y267" s="5">
        <v>0</v>
      </c>
      <c r="Z267" s="19">
        <v>0</v>
      </c>
      <c r="AA267" s="19">
        <v>0</v>
      </c>
      <c r="AB267" s="19">
        <v>0</v>
      </c>
      <c r="AC267" s="19">
        <v>0</v>
      </c>
      <c r="AD267" s="36">
        <f t="shared" si="22"/>
        <v>0</v>
      </c>
      <c r="AE267" s="19">
        <v>0</v>
      </c>
      <c r="AF267" s="19">
        <v>0</v>
      </c>
      <c r="AG267" s="19">
        <v>0</v>
      </c>
      <c r="AH267" s="19">
        <v>0</v>
      </c>
      <c r="AI267" s="19">
        <v>0</v>
      </c>
      <c r="AJ267" s="19">
        <v>0</v>
      </c>
      <c r="AK267" s="19">
        <v>0</v>
      </c>
      <c r="AL267" s="20">
        <v>0</v>
      </c>
      <c r="AM267" s="19">
        <v>0</v>
      </c>
      <c r="AN267" s="20">
        <v>0</v>
      </c>
      <c r="AO267" s="19">
        <v>0</v>
      </c>
      <c r="AP267" s="20">
        <v>0</v>
      </c>
      <c r="AQ267" s="19">
        <v>0</v>
      </c>
      <c r="AR267" s="19">
        <v>0</v>
      </c>
      <c r="AS267" s="19">
        <v>0</v>
      </c>
      <c r="AT267" s="5">
        <f t="shared" si="23"/>
        <v>0</v>
      </c>
      <c r="AU267" s="36">
        <f t="shared" si="24"/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>
        <v>0</v>
      </c>
      <c r="BC267" s="19">
        <v>0</v>
      </c>
      <c r="BD267" s="19">
        <v>0</v>
      </c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50">
        <v>0</v>
      </c>
      <c r="BK267" s="19">
        <v>0</v>
      </c>
      <c r="BL267" s="19">
        <v>0</v>
      </c>
      <c r="BM267" s="19">
        <v>0</v>
      </c>
      <c r="BN267" s="19">
        <v>0</v>
      </c>
    </row>
    <row r="268" spans="1:66" s="32" customFormat="1" x14ac:dyDescent="0.25">
      <c r="A268" s="17" t="s">
        <v>283</v>
      </c>
      <c r="B268" s="8">
        <v>1075</v>
      </c>
      <c r="C268" s="8" t="s">
        <v>624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5">
        <f t="shared" si="20"/>
        <v>0</v>
      </c>
      <c r="N268" s="36">
        <f t="shared" si="21"/>
        <v>0</v>
      </c>
      <c r="O268" s="9">
        <v>0</v>
      </c>
      <c r="P268" s="36" t="s">
        <v>625</v>
      </c>
      <c r="Q268" s="10" t="s">
        <v>625</v>
      </c>
      <c r="R268" s="10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36">
        <f t="shared" si="22"/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10">
        <v>0</v>
      </c>
      <c r="AM268" s="9">
        <v>0</v>
      </c>
      <c r="AN268" s="10">
        <v>0</v>
      </c>
      <c r="AO268" s="9">
        <v>0</v>
      </c>
      <c r="AP268" s="10">
        <v>0</v>
      </c>
      <c r="AQ268" s="9">
        <v>0</v>
      </c>
      <c r="AR268" s="9">
        <v>0</v>
      </c>
      <c r="AS268" s="9">
        <v>0</v>
      </c>
      <c r="AT268" s="5">
        <f t="shared" si="23"/>
        <v>0</v>
      </c>
      <c r="AU268" s="36">
        <f t="shared" si="24"/>
        <v>0</v>
      </c>
      <c r="AV268" s="9">
        <v>0</v>
      </c>
      <c r="AW268" s="9">
        <v>0</v>
      </c>
      <c r="AX268" s="9">
        <v>0</v>
      </c>
      <c r="AY268" s="9">
        <v>0</v>
      </c>
      <c r="AZ268" s="9">
        <v>0</v>
      </c>
      <c r="BA268" s="9">
        <v>0</v>
      </c>
      <c r="BB268" s="9">
        <v>0</v>
      </c>
      <c r="BC268" s="9">
        <v>0</v>
      </c>
      <c r="BD268" s="9">
        <v>0</v>
      </c>
      <c r="BE268" s="9">
        <v>0</v>
      </c>
      <c r="BF268" s="9">
        <v>0</v>
      </c>
      <c r="BG268" s="9">
        <v>0</v>
      </c>
      <c r="BH268" s="9">
        <v>0</v>
      </c>
      <c r="BI268" s="9">
        <v>0</v>
      </c>
      <c r="BJ268" s="51">
        <v>0</v>
      </c>
      <c r="BK268" s="9">
        <v>0</v>
      </c>
      <c r="BL268" s="9">
        <v>0</v>
      </c>
      <c r="BM268" s="9">
        <v>0</v>
      </c>
      <c r="BN268" s="9">
        <v>0</v>
      </c>
    </row>
    <row r="269" spans="1:66" x14ac:dyDescent="0.25">
      <c r="A269" s="30" t="s">
        <v>623</v>
      </c>
      <c r="B269" s="13" t="s">
        <v>625</v>
      </c>
      <c r="C269" s="13" t="s">
        <v>625</v>
      </c>
      <c r="D269" s="14">
        <v>3795064655479</v>
      </c>
      <c r="E269" s="14">
        <v>22726874432769</v>
      </c>
      <c r="F269" s="14">
        <v>38567236765379</v>
      </c>
      <c r="G269" s="14">
        <v>34035547972357</v>
      </c>
      <c r="H269" s="14">
        <v>99124723825984</v>
      </c>
      <c r="I269" s="14">
        <v>12055841469365</v>
      </c>
      <c r="J269" s="14">
        <v>61648060837533</v>
      </c>
      <c r="K269" s="14">
        <v>25420821519086</v>
      </c>
      <c r="L269" s="14">
        <v>63116343076920</v>
      </c>
      <c r="M269" s="14">
        <f t="shared" si="20"/>
        <v>36008380749064</v>
      </c>
      <c r="N269" s="41">
        <f t="shared" si="21"/>
        <v>57.050803315997769</v>
      </c>
      <c r="O269" s="14">
        <v>1219821980767</v>
      </c>
      <c r="P269" s="41">
        <v>1.27</v>
      </c>
      <c r="Q269" s="15">
        <v>4.8</v>
      </c>
      <c r="R269" s="15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1256597260522</v>
      </c>
      <c r="AA269" s="14">
        <v>0</v>
      </c>
      <c r="AB269" s="14">
        <v>1256597260522</v>
      </c>
      <c r="AC269" s="14">
        <v>48397031649</v>
      </c>
      <c r="AD269" s="41">
        <f t="shared" si="22"/>
        <v>-100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5">
        <v>0</v>
      </c>
      <c r="AM269" s="14">
        <v>0</v>
      </c>
      <c r="AN269" s="15">
        <v>0</v>
      </c>
      <c r="AO269" s="14">
        <v>0</v>
      </c>
      <c r="AP269" s="15">
        <v>0</v>
      </c>
      <c r="AQ269" s="14">
        <v>0</v>
      </c>
      <c r="AR269" s="14">
        <v>0</v>
      </c>
      <c r="AS269" s="14">
        <v>33625941</v>
      </c>
      <c r="AT269" s="14">
        <f t="shared" si="23"/>
        <v>-33625941</v>
      </c>
      <c r="AU269" s="41">
        <f t="shared" si="24"/>
        <v>-100</v>
      </c>
      <c r="AV269" s="14">
        <v>0</v>
      </c>
      <c r="AW269" s="14">
        <v>0</v>
      </c>
      <c r="AX269" s="14">
        <v>1006734534069</v>
      </c>
      <c r="AY269" s="14">
        <v>1201690629790</v>
      </c>
      <c r="AZ269" s="14">
        <v>11563743183</v>
      </c>
      <c r="BA269" s="14">
        <v>89575922235816</v>
      </c>
      <c r="BB269" s="14">
        <v>0</v>
      </c>
      <c r="BC269" s="14">
        <v>99124723825984</v>
      </c>
      <c r="BD269" s="14">
        <v>54343869530506</v>
      </c>
      <c r="BE269" s="14">
        <v>38578800508562</v>
      </c>
      <c r="BF269" s="14">
        <v>6202053786916</v>
      </c>
      <c r="BG269" s="14">
        <v>0</v>
      </c>
      <c r="BH269" s="14">
        <v>0</v>
      </c>
      <c r="BI269" s="14">
        <v>0</v>
      </c>
      <c r="BJ269" s="49">
        <v>0</v>
      </c>
      <c r="BK269" s="14">
        <v>0</v>
      </c>
      <c r="BL269" s="14">
        <v>0</v>
      </c>
      <c r="BM269" s="14">
        <v>0</v>
      </c>
      <c r="BN269" s="14">
        <v>0</v>
      </c>
    </row>
    <row r="270" spans="1:66" x14ac:dyDescent="0.25">
      <c r="A270" s="17" t="s">
        <v>301</v>
      </c>
      <c r="B270" s="4">
        <v>2200</v>
      </c>
      <c r="C270" s="4" t="s">
        <v>301</v>
      </c>
      <c r="D270" s="5">
        <v>2885785437745</v>
      </c>
      <c r="E270" s="5">
        <v>291304463008</v>
      </c>
      <c r="F270" s="5">
        <v>26750000000</v>
      </c>
      <c r="G270" s="5">
        <v>15796729523</v>
      </c>
      <c r="H270" s="5">
        <v>3219636630276</v>
      </c>
      <c r="I270" s="5">
        <v>279522710282</v>
      </c>
      <c r="J270" s="5">
        <v>22889533927</v>
      </c>
      <c r="K270" s="5">
        <v>2917224386067</v>
      </c>
      <c r="L270" s="5">
        <v>4893725792392</v>
      </c>
      <c r="M270" s="5">
        <f t="shared" si="20"/>
        <v>-1674089162116</v>
      </c>
      <c r="N270" s="36">
        <f t="shared" si="21"/>
        <v>-34.208887729643784</v>
      </c>
      <c r="O270" s="5">
        <v>22810211873882</v>
      </c>
      <c r="P270" s="36">
        <v>810.28</v>
      </c>
      <c r="Q270" s="6">
        <v>781.91</v>
      </c>
      <c r="R270" s="6">
        <v>50.68</v>
      </c>
      <c r="S270" s="5">
        <v>8598009045580</v>
      </c>
      <c r="T270" s="5">
        <v>12718632735111</v>
      </c>
      <c r="U270" s="5">
        <v>95416194384</v>
      </c>
      <c r="V270" s="5">
        <v>10331549257435</v>
      </c>
      <c r="W270" s="5">
        <v>2291667283292</v>
      </c>
      <c r="X270" s="5">
        <v>21316641780691</v>
      </c>
      <c r="Y270" s="5">
        <v>503348900175</v>
      </c>
      <c r="Z270" s="5">
        <v>4754626111928</v>
      </c>
      <c r="AA270" s="5">
        <v>16861008105</v>
      </c>
      <c r="AB270" s="5">
        <v>26088128900724</v>
      </c>
      <c r="AC270" s="5">
        <v>17352252405467</v>
      </c>
      <c r="AD270" s="36">
        <f t="shared" si="22"/>
        <v>22.846540510066461</v>
      </c>
      <c r="AE270" s="5">
        <v>6048580658642</v>
      </c>
      <c r="AF270" s="5">
        <v>5915426183093</v>
      </c>
      <c r="AG270" s="5">
        <v>498909406400</v>
      </c>
      <c r="AH270" s="5">
        <v>321387403007</v>
      </c>
      <c r="AI270" s="5">
        <v>33935435233</v>
      </c>
      <c r="AJ270" s="5">
        <v>0</v>
      </c>
      <c r="AK270" s="5">
        <v>0</v>
      </c>
      <c r="AL270" s="6">
        <v>3</v>
      </c>
      <c r="AM270" s="5">
        <v>330540106715</v>
      </c>
      <c r="AN270" s="6">
        <v>75</v>
      </c>
      <c r="AO270" s="5">
        <v>1376187191462</v>
      </c>
      <c r="AP270" s="6">
        <v>80</v>
      </c>
      <c r="AQ270" s="5">
        <v>1894240226381</v>
      </c>
      <c r="AR270" s="5">
        <v>12718632735111</v>
      </c>
      <c r="AS270" s="5">
        <v>6320921984664</v>
      </c>
      <c r="AT270" s="5">
        <f t="shared" si="23"/>
        <v>6397710750447</v>
      </c>
      <c r="AU270" s="36">
        <f t="shared" si="24"/>
        <v>101.21483489227217</v>
      </c>
      <c r="AV270" s="5">
        <v>2531560377585</v>
      </c>
      <c r="AW270" s="5">
        <v>485680171972</v>
      </c>
      <c r="AX270" s="5">
        <v>987885482208</v>
      </c>
      <c r="AY270" s="5">
        <v>345009388792</v>
      </c>
      <c r="AZ270" s="5">
        <v>1184816178846</v>
      </c>
      <c r="BA270" s="5">
        <v>1278331073391</v>
      </c>
      <c r="BB270" s="5">
        <v>651790314072</v>
      </c>
      <c r="BC270" s="5">
        <v>3219636630276</v>
      </c>
      <c r="BD270" s="5">
        <v>1537002603592</v>
      </c>
      <c r="BE270" s="5">
        <v>1211566178846</v>
      </c>
      <c r="BF270" s="5">
        <v>471067847838</v>
      </c>
      <c r="BG270" s="5">
        <v>3267912656556</v>
      </c>
      <c r="BH270" s="5">
        <v>2780668002086</v>
      </c>
      <c r="BI270" s="5">
        <v>0</v>
      </c>
      <c r="BJ270" s="48">
        <v>1152982014142</v>
      </c>
      <c r="BK270" s="5">
        <v>33865327874</v>
      </c>
      <c r="BL270" s="5">
        <v>0</v>
      </c>
      <c r="BM270" s="5">
        <v>317092367737</v>
      </c>
      <c r="BN270" s="5">
        <v>4295035270</v>
      </c>
    </row>
    <row r="271" spans="1:66" x14ac:dyDescent="0.25">
      <c r="A271" s="17" t="s">
        <v>301</v>
      </c>
      <c r="B271" s="4">
        <v>2201</v>
      </c>
      <c r="C271" s="4" t="s">
        <v>302</v>
      </c>
      <c r="D271" s="5">
        <v>3515615326213</v>
      </c>
      <c r="E271" s="5">
        <v>104372005506</v>
      </c>
      <c r="F271" s="5">
        <v>0</v>
      </c>
      <c r="G271" s="5">
        <v>0</v>
      </c>
      <c r="H271" s="5">
        <v>3619987331719</v>
      </c>
      <c r="I271" s="5">
        <v>212733304890</v>
      </c>
      <c r="J271" s="5">
        <v>7504640447</v>
      </c>
      <c r="K271" s="5">
        <v>3399749386382</v>
      </c>
      <c r="L271" s="5">
        <v>1706927998248</v>
      </c>
      <c r="M271" s="5">
        <f t="shared" si="20"/>
        <v>1913059333471</v>
      </c>
      <c r="N271" s="36">
        <f t="shared" si="21"/>
        <v>112.07615877380735</v>
      </c>
      <c r="O271" s="5">
        <v>3494977232818</v>
      </c>
      <c r="P271" s="36">
        <v>108.19</v>
      </c>
      <c r="Q271" s="6">
        <v>102.8</v>
      </c>
      <c r="R271" s="6">
        <v>29.52</v>
      </c>
      <c r="S271" s="5">
        <v>2268110900871</v>
      </c>
      <c r="T271" s="5">
        <v>1084481085329</v>
      </c>
      <c r="U271" s="5">
        <v>9275345387</v>
      </c>
      <c r="V271" s="5">
        <v>806219615063</v>
      </c>
      <c r="W271" s="5">
        <v>268986124879</v>
      </c>
      <c r="X271" s="5">
        <v>3352591986200</v>
      </c>
      <c r="Y271" s="5">
        <v>71610297946</v>
      </c>
      <c r="Z271" s="5">
        <v>534006362214</v>
      </c>
      <c r="AA271" s="5">
        <v>29835702550</v>
      </c>
      <c r="AB271" s="5">
        <v>3916434050964</v>
      </c>
      <c r="AC271" s="5">
        <v>4415417905336</v>
      </c>
      <c r="AD271" s="36">
        <f t="shared" si="22"/>
        <v>-24.070788811441442</v>
      </c>
      <c r="AE271" s="5">
        <v>1834375390101</v>
      </c>
      <c r="AF271" s="5">
        <v>1834375390101</v>
      </c>
      <c r="AG271" s="5">
        <v>301601965979</v>
      </c>
      <c r="AH271" s="5">
        <v>76830692458</v>
      </c>
      <c r="AI271" s="5">
        <v>0</v>
      </c>
      <c r="AJ271" s="5">
        <v>0</v>
      </c>
      <c r="AK271" s="5">
        <v>0</v>
      </c>
      <c r="AL271" s="6">
        <v>1</v>
      </c>
      <c r="AM271" s="5">
        <v>150000000000</v>
      </c>
      <c r="AN271" s="6">
        <v>67</v>
      </c>
      <c r="AO271" s="5">
        <v>678425090908</v>
      </c>
      <c r="AP271" s="6">
        <v>60</v>
      </c>
      <c r="AQ271" s="5">
        <v>419335530726</v>
      </c>
      <c r="AR271" s="5">
        <v>1084481085329</v>
      </c>
      <c r="AS271" s="5">
        <v>1294256836936</v>
      </c>
      <c r="AT271" s="5">
        <f t="shared" si="23"/>
        <v>-209775751607</v>
      </c>
      <c r="AU271" s="36">
        <f t="shared" si="24"/>
        <v>-16.208201156087327</v>
      </c>
      <c r="AV271" s="5">
        <v>2517306030110</v>
      </c>
      <c r="AW271" s="5">
        <v>248753141447</v>
      </c>
      <c r="AX271" s="5">
        <v>989731739887</v>
      </c>
      <c r="AY271" s="5">
        <v>504140374557</v>
      </c>
      <c r="AZ271" s="5">
        <v>1612144220929</v>
      </c>
      <c r="BA271" s="5">
        <v>478447380352</v>
      </c>
      <c r="BB271" s="5">
        <v>1391343829848</v>
      </c>
      <c r="BC271" s="5">
        <v>3619987331719</v>
      </c>
      <c r="BD271" s="5">
        <v>1598244119950</v>
      </c>
      <c r="BE271" s="5">
        <v>1612144220929</v>
      </c>
      <c r="BF271" s="5">
        <v>409598990840</v>
      </c>
      <c r="BG271" s="5">
        <v>1493522087061</v>
      </c>
      <c r="BH271" s="5">
        <v>340853303040</v>
      </c>
      <c r="BI271" s="5">
        <v>0</v>
      </c>
      <c r="BJ271" s="48">
        <v>268792412147</v>
      </c>
      <c r="BK271" s="5">
        <v>922045702945</v>
      </c>
      <c r="BL271" s="5">
        <v>0</v>
      </c>
      <c r="BM271" s="5">
        <v>0</v>
      </c>
      <c r="BN271" s="5">
        <v>76830692458</v>
      </c>
    </row>
    <row r="272" spans="1:66" x14ac:dyDescent="0.25">
      <c r="A272" s="17" t="s">
        <v>301</v>
      </c>
      <c r="B272" s="4">
        <v>2202</v>
      </c>
      <c r="C272" s="4" t="s">
        <v>303</v>
      </c>
      <c r="D272" s="5">
        <v>3350645046151</v>
      </c>
      <c r="E272" s="5">
        <v>89570622151</v>
      </c>
      <c r="F272" s="5">
        <v>0</v>
      </c>
      <c r="G272" s="5">
        <v>0</v>
      </c>
      <c r="H272" s="5">
        <v>3440215668302</v>
      </c>
      <c r="I272" s="5">
        <v>222296860607</v>
      </c>
      <c r="J272" s="5">
        <v>14187483076</v>
      </c>
      <c r="K272" s="5">
        <v>3203731324619</v>
      </c>
      <c r="L272" s="5">
        <v>1630698695684</v>
      </c>
      <c r="M272" s="5">
        <f t="shared" si="20"/>
        <v>1809516972618</v>
      </c>
      <c r="N272" s="36">
        <f t="shared" si="21"/>
        <v>110.96574599631934</v>
      </c>
      <c r="O272" s="5">
        <v>4248584260737</v>
      </c>
      <c r="P272" s="36">
        <v>141.35</v>
      </c>
      <c r="Q272" s="6">
        <v>132.61000000000001</v>
      </c>
      <c r="R272" s="6">
        <v>23.8</v>
      </c>
      <c r="S272" s="5">
        <v>3307265681707</v>
      </c>
      <c r="T272" s="5">
        <v>1046236757152</v>
      </c>
      <c r="U272" s="5">
        <v>65294295366</v>
      </c>
      <c r="V272" s="5">
        <v>659807902504</v>
      </c>
      <c r="W272" s="5">
        <v>321134559282</v>
      </c>
      <c r="X272" s="5">
        <v>4353502438859</v>
      </c>
      <c r="Y272" s="5">
        <v>111216368353</v>
      </c>
      <c r="Z272" s="5">
        <v>491275766249</v>
      </c>
      <c r="AA272" s="5">
        <v>17966000570</v>
      </c>
      <c r="AB272" s="5">
        <v>4862744205678</v>
      </c>
      <c r="AC272" s="5">
        <v>3605438802721</v>
      </c>
      <c r="AD272" s="36">
        <f t="shared" si="22"/>
        <v>20.748199513841186</v>
      </c>
      <c r="AE272" s="5">
        <v>2946982973186</v>
      </c>
      <c r="AF272" s="5">
        <v>2818440376425</v>
      </c>
      <c r="AG272" s="5">
        <v>0</v>
      </c>
      <c r="AH272" s="5">
        <v>12439570987</v>
      </c>
      <c r="AI272" s="5">
        <v>0</v>
      </c>
      <c r="AJ272" s="5">
        <v>0</v>
      </c>
      <c r="AK272" s="5">
        <v>0</v>
      </c>
      <c r="AL272" s="6">
        <v>0</v>
      </c>
      <c r="AM272" s="5">
        <v>0</v>
      </c>
      <c r="AN272" s="6">
        <v>64</v>
      </c>
      <c r="AO272" s="5">
        <v>529159093654</v>
      </c>
      <c r="AP272" s="6">
        <v>36</v>
      </c>
      <c r="AQ272" s="5">
        <v>274899541693</v>
      </c>
      <c r="AR272" s="5">
        <v>1046236757152</v>
      </c>
      <c r="AS272" s="5">
        <v>497289174180</v>
      </c>
      <c r="AT272" s="5">
        <f t="shared" si="23"/>
        <v>548947582972</v>
      </c>
      <c r="AU272" s="36">
        <f t="shared" si="24"/>
        <v>110.3880018858608</v>
      </c>
      <c r="AV272" s="5">
        <v>2306441205807</v>
      </c>
      <c r="AW272" s="5">
        <v>1090221451410</v>
      </c>
      <c r="AX272" s="5">
        <v>1522713571585</v>
      </c>
      <c r="AY272" s="5">
        <v>260966629269</v>
      </c>
      <c r="AZ272" s="5">
        <v>892848003027</v>
      </c>
      <c r="BA272" s="5">
        <v>938861539662</v>
      </c>
      <c r="BB272" s="5">
        <v>727129785578</v>
      </c>
      <c r="BC272" s="5">
        <v>3440215668302</v>
      </c>
      <c r="BD272" s="5">
        <v>1873250823005</v>
      </c>
      <c r="BE272" s="5">
        <v>892848003027</v>
      </c>
      <c r="BF272" s="5">
        <v>674116842270</v>
      </c>
      <c r="BG272" s="5">
        <v>2128015383115</v>
      </c>
      <c r="BH272" s="5">
        <v>818967590071</v>
      </c>
      <c r="BI272" s="5">
        <v>0</v>
      </c>
      <c r="BJ272" s="48">
        <v>127361382282</v>
      </c>
      <c r="BK272" s="5">
        <v>458784989336</v>
      </c>
      <c r="BL272" s="5">
        <v>0</v>
      </c>
      <c r="BM272" s="5">
        <v>180000000000</v>
      </c>
      <c r="BN272" s="5">
        <v>212439570987</v>
      </c>
    </row>
    <row r="273" spans="1:66" x14ac:dyDescent="0.25">
      <c r="A273" s="17" t="s">
        <v>301</v>
      </c>
      <c r="B273" s="4">
        <v>2203</v>
      </c>
      <c r="C273" s="4" t="s">
        <v>304</v>
      </c>
      <c r="D273" s="5">
        <v>1719352437115</v>
      </c>
      <c r="E273" s="5">
        <v>67081211938</v>
      </c>
      <c r="F273" s="5">
        <v>0</v>
      </c>
      <c r="G273" s="5">
        <v>0</v>
      </c>
      <c r="H273" s="5">
        <v>1786433649053</v>
      </c>
      <c r="I273" s="5">
        <v>160216808197</v>
      </c>
      <c r="J273" s="5">
        <v>6714567760</v>
      </c>
      <c r="K273" s="5">
        <v>1619502273096</v>
      </c>
      <c r="L273" s="5">
        <v>1403865423421</v>
      </c>
      <c r="M273" s="5">
        <f t="shared" si="20"/>
        <v>382568225632</v>
      </c>
      <c r="N273" s="36">
        <f t="shared" si="21"/>
        <v>27.251061195006944</v>
      </c>
      <c r="O273" s="5">
        <v>2251702573198</v>
      </c>
      <c r="P273" s="36">
        <v>142.93</v>
      </c>
      <c r="Q273" s="6">
        <v>139.04</v>
      </c>
      <c r="R273" s="6">
        <v>7.27</v>
      </c>
      <c r="S273" s="5">
        <v>2260628716212</v>
      </c>
      <c r="T273" s="5">
        <v>178406548652</v>
      </c>
      <c r="U273" s="5">
        <v>64056189495</v>
      </c>
      <c r="V273" s="5">
        <v>3420809743</v>
      </c>
      <c r="W273" s="5">
        <v>110929549414</v>
      </c>
      <c r="X273" s="5">
        <v>2439035264864</v>
      </c>
      <c r="Y273" s="5">
        <v>7268092718</v>
      </c>
      <c r="Z273" s="5">
        <v>104974629427</v>
      </c>
      <c r="AA273" s="5">
        <v>9338985581</v>
      </c>
      <c r="AB273" s="5">
        <v>2553348879872</v>
      </c>
      <c r="AC273" s="5">
        <v>3336830048152</v>
      </c>
      <c r="AD273" s="36">
        <f t="shared" si="22"/>
        <v>-26.905619115520008</v>
      </c>
      <c r="AE273" s="5">
        <v>1402765029195</v>
      </c>
      <c r="AF273" s="5">
        <v>1326454568855</v>
      </c>
      <c r="AG273" s="5">
        <v>71183132569</v>
      </c>
      <c r="AH273" s="5">
        <v>18750983746</v>
      </c>
      <c r="AI273" s="5">
        <v>276979234303</v>
      </c>
      <c r="AJ273" s="5">
        <v>0</v>
      </c>
      <c r="AK273" s="5">
        <v>0</v>
      </c>
      <c r="AL273" s="6">
        <v>1</v>
      </c>
      <c r="AM273" s="5">
        <v>256812829680</v>
      </c>
      <c r="AN273" s="6">
        <v>5</v>
      </c>
      <c r="AO273" s="5">
        <v>26163000000</v>
      </c>
      <c r="AP273" s="6">
        <v>31</v>
      </c>
      <c r="AQ273" s="5">
        <v>871158518894</v>
      </c>
      <c r="AR273" s="5">
        <v>178406548652</v>
      </c>
      <c r="AS273" s="5">
        <v>4224346793</v>
      </c>
      <c r="AT273" s="5">
        <f t="shared" si="23"/>
        <v>174182201859</v>
      </c>
      <c r="AU273" s="36">
        <f t="shared" si="24"/>
        <v>4123.2931478928413</v>
      </c>
      <c r="AV273" s="5">
        <v>2227308611175</v>
      </c>
      <c r="AW273" s="5">
        <v>860512527688</v>
      </c>
      <c r="AX273" s="5">
        <v>280954250860</v>
      </c>
      <c r="AY273" s="5">
        <v>238381375090</v>
      </c>
      <c r="AZ273" s="5">
        <v>572747904940</v>
      </c>
      <c r="BA273" s="5">
        <v>998921195345</v>
      </c>
      <c r="BB273" s="5">
        <v>310360411906</v>
      </c>
      <c r="BC273" s="5">
        <v>1786433649053</v>
      </c>
      <c r="BD273" s="5">
        <v>586416837888</v>
      </c>
      <c r="BE273" s="5">
        <v>572747904940</v>
      </c>
      <c r="BF273" s="5">
        <v>627268906225</v>
      </c>
      <c r="BG273" s="5">
        <v>635394408855</v>
      </c>
      <c r="BH273" s="5">
        <v>767370620340</v>
      </c>
      <c r="BI273" s="5">
        <v>0</v>
      </c>
      <c r="BJ273" s="48">
        <v>0</v>
      </c>
      <c r="BK273" s="5">
        <v>463653749429</v>
      </c>
      <c r="BL273" s="5">
        <v>0</v>
      </c>
      <c r="BM273" s="5">
        <v>0</v>
      </c>
      <c r="BN273" s="5">
        <v>18750983746</v>
      </c>
    </row>
    <row r="274" spans="1:66" x14ac:dyDescent="0.25">
      <c r="A274" s="17" t="s">
        <v>301</v>
      </c>
      <c r="B274" s="4">
        <v>2204</v>
      </c>
      <c r="C274" s="4" t="s">
        <v>305</v>
      </c>
      <c r="D274" s="5">
        <v>2286515828211</v>
      </c>
      <c r="E274" s="5">
        <v>184375400924</v>
      </c>
      <c r="F274" s="5">
        <v>0</v>
      </c>
      <c r="G274" s="5">
        <v>0</v>
      </c>
      <c r="H274" s="5">
        <v>2470891229135</v>
      </c>
      <c r="I274" s="5">
        <v>165882791116</v>
      </c>
      <c r="J274" s="5">
        <v>2416780195</v>
      </c>
      <c r="K274" s="5">
        <v>2302591657824</v>
      </c>
      <c r="L274" s="5">
        <v>1611876467956</v>
      </c>
      <c r="M274" s="5">
        <f t="shared" si="20"/>
        <v>859014761179</v>
      </c>
      <c r="N274" s="36">
        <f t="shared" si="21"/>
        <v>53.292840875597967</v>
      </c>
      <c r="O274" s="5">
        <v>1788688561336</v>
      </c>
      <c r="P274" s="36">
        <v>82.35</v>
      </c>
      <c r="Q274" s="6">
        <v>77.680000000000007</v>
      </c>
      <c r="R274" s="6">
        <v>1.73</v>
      </c>
      <c r="S274" s="5">
        <v>1906631189612</v>
      </c>
      <c r="T274" s="5">
        <v>34747096685</v>
      </c>
      <c r="U274" s="5">
        <v>34194735664</v>
      </c>
      <c r="V274" s="5">
        <v>552361021</v>
      </c>
      <c r="W274" s="5">
        <v>0</v>
      </c>
      <c r="X274" s="5">
        <v>1941378286297</v>
      </c>
      <c r="Y274" s="5">
        <v>368282426</v>
      </c>
      <c r="Z274" s="5">
        <v>82583683376</v>
      </c>
      <c r="AA274" s="5">
        <v>10900000000</v>
      </c>
      <c r="AB274" s="5">
        <v>2034861969673</v>
      </c>
      <c r="AC274" s="5">
        <v>2967277188698</v>
      </c>
      <c r="AD274" s="36">
        <f t="shared" si="22"/>
        <v>-34.573746810999822</v>
      </c>
      <c r="AE274" s="5">
        <v>1780559062483</v>
      </c>
      <c r="AF274" s="5">
        <v>1754559062483</v>
      </c>
      <c r="AG274" s="5">
        <v>0</v>
      </c>
      <c r="AH274" s="5">
        <v>51508846965</v>
      </c>
      <c r="AI274" s="5">
        <v>10076694723</v>
      </c>
      <c r="AJ274" s="5">
        <v>0</v>
      </c>
      <c r="AK274" s="5">
        <v>0</v>
      </c>
      <c r="AL274" s="6">
        <v>0</v>
      </c>
      <c r="AM274" s="5">
        <v>0</v>
      </c>
      <c r="AN274" s="6">
        <v>37</v>
      </c>
      <c r="AO274" s="5">
        <v>263639757169</v>
      </c>
      <c r="AP274" s="6">
        <v>55</v>
      </c>
      <c r="AQ274" s="5">
        <v>1803067476974</v>
      </c>
      <c r="AR274" s="5">
        <v>34747096685</v>
      </c>
      <c r="AS274" s="5">
        <v>319219163</v>
      </c>
      <c r="AT274" s="5">
        <f t="shared" si="23"/>
        <v>34427877522</v>
      </c>
      <c r="AU274" s="36">
        <f t="shared" si="24"/>
        <v>10785.028442042498</v>
      </c>
      <c r="AV274" s="5">
        <v>2452229538971</v>
      </c>
      <c r="AW274" s="5">
        <v>100415911242</v>
      </c>
      <c r="AX274" s="5">
        <v>592423069888</v>
      </c>
      <c r="AY274" s="5">
        <v>432758533143</v>
      </c>
      <c r="AZ274" s="5">
        <v>758278115766</v>
      </c>
      <c r="BA274" s="5">
        <v>552001666354</v>
      </c>
      <c r="BB274" s="5">
        <v>530765724393</v>
      </c>
      <c r="BC274" s="5">
        <v>2470891229135</v>
      </c>
      <c r="BD274" s="5">
        <v>1209557003955</v>
      </c>
      <c r="BE274" s="5">
        <v>758278115766</v>
      </c>
      <c r="BF274" s="5">
        <v>503056109414</v>
      </c>
      <c r="BG274" s="5">
        <v>1532067526679</v>
      </c>
      <c r="BH274" s="5">
        <v>248491535804</v>
      </c>
      <c r="BI274" s="5">
        <v>0</v>
      </c>
      <c r="BJ274" s="48">
        <v>0</v>
      </c>
      <c r="BK274" s="5">
        <v>109265636249</v>
      </c>
      <c r="BL274" s="5">
        <v>0</v>
      </c>
      <c r="BM274" s="5">
        <v>0</v>
      </c>
      <c r="BN274" s="5">
        <v>51508846965</v>
      </c>
    </row>
    <row r="275" spans="1:66" x14ac:dyDescent="0.25">
      <c r="A275" s="17" t="s">
        <v>301</v>
      </c>
      <c r="B275" s="18">
        <v>2205</v>
      </c>
      <c r="C275" s="18" t="s">
        <v>306</v>
      </c>
      <c r="D275" s="19">
        <v>4480816100925</v>
      </c>
      <c r="E275" s="19">
        <v>358769410366</v>
      </c>
      <c r="F275" s="19">
        <v>0</v>
      </c>
      <c r="G275" s="19">
        <v>0</v>
      </c>
      <c r="H275" s="19">
        <v>4839585511291</v>
      </c>
      <c r="I275" s="19">
        <v>360644375608</v>
      </c>
      <c r="J275" s="19">
        <v>32517369238</v>
      </c>
      <c r="K275" s="19">
        <v>4446423766445</v>
      </c>
      <c r="L275" s="19">
        <v>2167557531207</v>
      </c>
      <c r="M275" s="5">
        <f t="shared" si="20"/>
        <v>2672027980084</v>
      </c>
      <c r="N275" s="36">
        <f t="shared" si="21"/>
        <v>123.27368208751011</v>
      </c>
      <c r="O275" s="19">
        <v>5982570805186</v>
      </c>
      <c r="P275" s="36">
        <v>147.9</v>
      </c>
      <c r="Q275" s="20">
        <v>134.55000000000001</v>
      </c>
      <c r="R275" s="20">
        <v>11.72</v>
      </c>
      <c r="S275" s="19">
        <v>5916967489817</v>
      </c>
      <c r="T275" s="19">
        <v>709247504006</v>
      </c>
      <c r="U275" s="19">
        <v>17309905231</v>
      </c>
      <c r="V275" s="19">
        <v>130841812556</v>
      </c>
      <c r="W275" s="19">
        <v>561095786219</v>
      </c>
      <c r="X275" s="19">
        <v>6626214993823</v>
      </c>
      <c r="Y275" s="5">
        <v>129827385390</v>
      </c>
      <c r="Z275" s="19">
        <v>507504137525</v>
      </c>
      <c r="AA275" s="19">
        <v>23847854000</v>
      </c>
      <c r="AB275" s="19">
        <v>7157566985348</v>
      </c>
      <c r="AC275" s="19">
        <v>3547020022856</v>
      </c>
      <c r="AD275" s="36">
        <f t="shared" si="22"/>
        <v>86.810758076513054</v>
      </c>
      <c r="AE275" s="19">
        <v>5810707950965</v>
      </c>
      <c r="AF275" s="19">
        <v>5721814794177</v>
      </c>
      <c r="AG275" s="19">
        <v>379086180000</v>
      </c>
      <c r="AH275" s="19">
        <v>106326235868</v>
      </c>
      <c r="AI275" s="19">
        <v>0</v>
      </c>
      <c r="AJ275" s="19">
        <v>0</v>
      </c>
      <c r="AK275" s="19">
        <v>0</v>
      </c>
      <c r="AL275" s="20">
        <v>2</v>
      </c>
      <c r="AM275" s="19">
        <v>378285156541</v>
      </c>
      <c r="AN275" s="20">
        <v>58</v>
      </c>
      <c r="AO275" s="19">
        <v>1583311877875</v>
      </c>
      <c r="AP275" s="20">
        <v>80</v>
      </c>
      <c r="AQ275" s="19">
        <v>2650536694888</v>
      </c>
      <c r="AR275" s="19">
        <v>709247504006</v>
      </c>
      <c r="AS275" s="19">
        <v>892378915093</v>
      </c>
      <c r="AT275" s="5">
        <f t="shared" si="23"/>
        <v>-183131411087</v>
      </c>
      <c r="AU275" s="36">
        <f t="shared" si="24"/>
        <v>-20.521709779294238</v>
      </c>
      <c r="AV275" s="19">
        <v>2967519623679</v>
      </c>
      <c r="AW275" s="19">
        <v>769587017259</v>
      </c>
      <c r="AX275" s="19">
        <v>1426355671144</v>
      </c>
      <c r="AY275" s="19">
        <v>819874115001</v>
      </c>
      <c r="AZ275" s="19">
        <v>1383055934233</v>
      </c>
      <c r="BA275" s="19">
        <v>989963494891</v>
      </c>
      <c r="BB275" s="19">
        <v>933462689605</v>
      </c>
      <c r="BC275" s="19">
        <v>4839585511291</v>
      </c>
      <c r="BD275" s="19">
        <v>2604999196511</v>
      </c>
      <c r="BE275" s="19">
        <v>1383055934233</v>
      </c>
      <c r="BF275" s="19">
        <v>851530380547</v>
      </c>
      <c r="BG275" s="19">
        <v>4751055723562</v>
      </c>
      <c r="BH275" s="19">
        <v>1059652227403</v>
      </c>
      <c r="BI275" s="19">
        <v>0</v>
      </c>
      <c r="BJ275" s="50">
        <v>222500000000</v>
      </c>
      <c r="BK275" s="19">
        <v>167260657364</v>
      </c>
      <c r="BL275" s="19">
        <v>0</v>
      </c>
      <c r="BM275" s="19">
        <v>69062573770</v>
      </c>
      <c r="BN275" s="19">
        <v>34326235868</v>
      </c>
    </row>
    <row r="276" spans="1:66" x14ac:dyDescent="0.25">
      <c r="A276" s="17" t="s">
        <v>301</v>
      </c>
      <c r="B276" s="4">
        <v>2206</v>
      </c>
      <c r="C276" s="4" t="s">
        <v>307</v>
      </c>
      <c r="D276" s="5">
        <v>2406873574178</v>
      </c>
      <c r="E276" s="5">
        <v>317328041952</v>
      </c>
      <c r="F276" s="5">
        <v>0</v>
      </c>
      <c r="G276" s="5">
        <v>0</v>
      </c>
      <c r="H276" s="5">
        <v>2724201616130</v>
      </c>
      <c r="I276" s="5">
        <v>203926810076</v>
      </c>
      <c r="J276" s="5">
        <v>23744218819</v>
      </c>
      <c r="K276" s="5">
        <v>2496530587235</v>
      </c>
      <c r="L276" s="5">
        <v>2171390022605</v>
      </c>
      <c r="M276" s="5">
        <f t="shared" si="20"/>
        <v>552811593525</v>
      </c>
      <c r="N276" s="36">
        <f t="shared" si="21"/>
        <v>25.458880614261837</v>
      </c>
      <c r="O276" s="5">
        <v>3837929253249</v>
      </c>
      <c r="P276" s="36">
        <v>159.63999999999999</v>
      </c>
      <c r="Q276" s="6">
        <v>153.72999999999999</v>
      </c>
      <c r="R276" s="6">
        <v>1.0900000000000001</v>
      </c>
      <c r="S276" s="5">
        <v>4094846849662</v>
      </c>
      <c r="T276" s="5">
        <v>45935029288</v>
      </c>
      <c r="U276" s="5">
        <v>42890325568</v>
      </c>
      <c r="V276" s="5">
        <v>1456859245</v>
      </c>
      <c r="W276" s="5">
        <v>1587844475</v>
      </c>
      <c r="X276" s="5">
        <v>4140781878950</v>
      </c>
      <c r="Y276" s="5">
        <v>1320014217</v>
      </c>
      <c r="Z276" s="5">
        <v>185382823444</v>
      </c>
      <c r="AA276" s="5">
        <v>22849460214</v>
      </c>
      <c r="AB276" s="5">
        <v>4349014162608</v>
      </c>
      <c r="AC276" s="5">
        <v>3867212012608</v>
      </c>
      <c r="AD276" s="36">
        <f t="shared" si="22"/>
        <v>7.0740850372335258</v>
      </c>
      <c r="AE276" s="5">
        <v>4395448703909</v>
      </c>
      <c r="AF276" s="5">
        <v>4279096725839</v>
      </c>
      <c r="AG276" s="5">
        <v>681787188694</v>
      </c>
      <c r="AH276" s="5">
        <v>552032520234</v>
      </c>
      <c r="AI276" s="5">
        <v>81728588616</v>
      </c>
      <c r="AJ276" s="5">
        <v>0</v>
      </c>
      <c r="AK276" s="5">
        <v>0</v>
      </c>
      <c r="AL276" s="6">
        <v>10</v>
      </c>
      <c r="AM276" s="5">
        <v>558626388000</v>
      </c>
      <c r="AN276" s="6">
        <v>131</v>
      </c>
      <c r="AO276" s="5">
        <v>1443259357474</v>
      </c>
      <c r="AP276" s="6">
        <v>54</v>
      </c>
      <c r="AQ276" s="5">
        <v>631162805693</v>
      </c>
      <c r="AR276" s="5">
        <v>45935029288</v>
      </c>
      <c r="AS276" s="5">
        <v>7172555657</v>
      </c>
      <c r="AT276" s="5">
        <f t="shared" si="23"/>
        <v>38762473631</v>
      </c>
      <c r="AU276" s="36">
        <f t="shared" si="24"/>
        <v>540.42764510541042</v>
      </c>
      <c r="AV276" s="5">
        <v>3718419757146</v>
      </c>
      <c r="AW276" s="5">
        <v>319947198135</v>
      </c>
      <c r="AX276" s="5">
        <v>730041543889</v>
      </c>
      <c r="AY276" s="5">
        <v>278111905286</v>
      </c>
      <c r="AZ276" s="5">
        <v>829080577265</v>
      </c>
      <c r="BA276" s="5">
        <v>756328552842</v>
      </c>
      <c r="BB276" s="5">
        <v>654948224639</v>
      </c>
      <c r="BC276" s="5">
        <v>2724201616130</v>
      </c>
      <c r="BD276" s="5">
        <v>1325481491127</v>
      </c>
      <c r="BE276" s="5">
        <v>829080577265</v>
      </c>
      <c r="BF276" s="5">
        <v>569639547738</v>
      </c>
      <c r="BG276" s="5">
        <v>1881232890281</v>
      </c>
      <c r="BH276" s="5">
        <v>2514215813628</v>
      </c>
      <c r="BI276" s="5">
        <v>0</v>
      </c>
      <c r="BJ276" s="48">
        <v>0</v>
      </c>
      <c r="BK276" s="5">
        <v>463354140434</v>
      </c>
      <c r="BL276" s="5">
        <v>220572464084</v>
      </c>
      <c r="BM276" s="5">
        <v>0</v>
      </c>
      <c r="BN276" s="5">
        <v>352347766814</v>
      </c>
    </row>
    <row r="277" spans="1:66" x14ac:dyDescent="0.25">
      <c r="A277" s="17" t="s">
        <v>301</v>
      </c>
      <c r="B277" s="4">
        <v>2207</v>
      </c>
      <c r="C277" s="4" t="s">
        <v>308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f t="shared" si="20"/>
        <v>0</v>
      </c>
      <c r="N277" s="36">
        <f t="shared" si="21"/>
        <v>0</v>
      </c>
      <c r="O277" s="5">
        <v>0</v>
      </c>
      <c r="P277" s="36" t="s">
        <v>625</v>
      </c>
      <c r="Q277" s="6" t="s">
        <v>625</v>
      </c>
      <c r="R277" s="6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36">
        <f t="shared" si="22"/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6">
        <v>0</v>
      </c>
      <c r="AM277" s="5">
        <v>0</v>
      </c>
      <c r="AN277" s="6">
        <v>0</v>
      </c>
      <c r="AO277" s="5">
        <v>0</v>
      </c>
      <c r="AP277" s="6">
        <v>0</v>
      </c>
      <c r="AQ277" s="5">
        <v>0</v>
      </c>
      <c r="AR277" s="5">
        <v>0</v>
      </c>
      <c r="AS277" s="5">
        <v>0</v>
      </c>
      <c r="AT277" s="5">
        <f t="shared" si="23"/>
        <v>0</v>
      </c>
      <c r="AU277" s="36">
        <f t="shared" si="24"/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48">
        <v>0</v>
      </c>
      <c r="BK277" s="5">
        <v>0</v>
      </c>
      <c r="BL277" s="5">
        <v>0</v>
      </c>
      <c r="BM277" s="5">
        <v>0</v>
      </c>
      <c r="BN277" s="5">
        <v>0</v>
      </c>
    </row>
    <row r="278" spans="1:66" s="32" customFormat="1" x14ac:dyDescent="0.25">
      <c r="A278" s="17" t="s">
        <v>301</v>
      </c>
      <c r="B278" s="8">
        <v>2299</v>
      </c>
      <c r="C278" s="8" t="s">
        <v>309</v>
      </c>
      <c r="D278" s="9">
        <v>0</v>
      </c>
      <c r="E278" s="9">
        <v>75542809727</v>
      </c>
      <c r="F278" s="9">
        <v>0</v>
      </c>
      <c r="G278" s="9">
        <v>0</v>
      </c>
      <c r="H278" s="9">
        <v>75542809727</v>
      </c>
      <c r="I278" s="9">
        <v>6516751399</v>
      </c>
      <c r="J278" s="9">
        <v>4199235000</v>
      </c>
      <c r="K278" s="9">
        <v>64826823328</v>
      </c>
      <c r="L278" s="9">
        <v>83208244524</v>
      </c>
      <c r="M278" s="5">
        <f t="shared" si="20"/>
        <v>-7665434797</v>
      </c>
      <c r="N278" s="36">
        <f t="shared" si="21"/>
        <v>-9.2123500992609415</v>
      </c>
      <c r="O278" s="9">
        <v>0</v>
      </c>
      <c r="P278" s="36">
        <v>0</v>
      </c>
      <c r="Q278" s="10">
        <v>0</v>
      </c>
      <c r="R278" s="10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36">
        <f t="shared" si="22"/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10">
        <v>0</v>
      </c>
      <c r="AM278" s="9">
        <v>0</v>
      </c>
      <c r="AN278" s="10">
        <v>0</v>
      </c>
      <c r="AO278" s="9">
        <v>0</v>
      </c>
      <c r="AP278" s="10">
        <v>0</v>
      </c>
      <c r="AQ278" s="9">
        <v>0</v>
      </c>
      <c r="AR278" s="9">
        <v>0</v>
      </c>
      <c r="AS278" s="9">
        <v>0</v>
      </c>
      <c r="AT278" s="5">
        <f t="shared" si="23"/>
        <v>0</v>
      </c>
      <c r="AU278" s="36">
        <f t="shared" si="24"/>
        <v>0</v>
      </c>
      <c r="AV278" s="9">
        <v>0</v>
      </c>
      <c r="AW278" s="9">
        <v>0</v>
      </c>
      <c r="AX278" s="9">
        <v>0</v>
      </c>
      <c r="AY278" s="9">
        <v>0</v>
      </c>
      <c r="AZ278" s="9">
        <v>0</v>
      </c>
      <c r="BA278" s="9">
        <v>0</v>
      </c>
      <c r="BB278" s="9">
        <v>0</v>
      </c>
      <c r="BC278" s="9">
        <v>75542809727</v>
      </c>
      <c r="BD278" s="9">
        <v>75542809727</v>
      </c>
      <c r="BE278" s="9">
        <v>0</v>
      </c>
      <c r="BF278" s="9">
        <v>0</v>
      </c>
      <c r="BG278" s="9">
        <v>0</v>
      </c>
      <c r="BH278" s="9">
        <v>0</v>
      </c>
      <c r="BI278" s="9">
        <v>0</v>
      </c>
      <c r="BJ278" s="51">
        <v>0</v>
      </c>
      <c r="BK278" s="9">
        <v>0</v>
      </c>
      <c r="BL278" s="9">
        <v>0</v>
      </c>
      <c r="BM278" s="9">
        <v>0</v>
      </c>
      <c r="BN278" s="9">
        <v>0</v>
      </c>
    </row>
    <row r="279" spans="1:66" x14ac:dyDescent="0.25">
      <c r="A279" s="30" t="s">
        <v>591</v>
      </c>
      <c r="B279" s="13" t="s">
        <v>625</v>
      </c>
      <c r="C279" s="13" t="s">
        <v>625</v>
      </c>
      <c r="D279" s="14">
        <v>20645603750538</v>
      </c>
      <c r="E279" s="14">
        <v>1488343965572</v>
      </c>
      <c r="F279" s="14">
        <v>26750000000</v>
      </c>
      <c r="G279" s="14">
        <v>15796729523</v>
      </c>
      <c r="H279" s="14">
        <v>22176494445633</v>
      </c>
      <c r="I279" s="14">
        <v>1611740412175</v>
      </c>
      <c r="J279" s="14">
        <v>114173828462</v>
      </c>
      <c r="K279" s="14">
        <v>20450580204996</v>
      </c>
      <c r="L279" s="14">
        <v>15669250176037</v>
      </c>
      <c r="M279" s="14">
        <f t="shared" si="20"/>
        <v>6507244269596</v>
      </c>
      <c r="N279" s="41">
        <f t="shared" si="21"/>
        <v>41.528753427828569</v>
      </c>
      <c r="O279" s="14">
        <v>44414664560406</v>
      </c>
      <c r="P279" s="41">
        <v>229.8</v>
      </c>
      <c r="Q279" s="15">
        <v>217.18</v>
      </c>
      <c r="R279" s="15">
        <v>32.659999999999997</v>
      </c>
      <c r="S279" s="14">
        <v>28352459873461</v>
      </c>
      <c r="T279" s="14">
        <v>15817686756223</v>
      </c>
      <c r="U279" s="14">
        <v>328436991095</v>
      </c>
      <c r="V279" s="14">
        <v>11933848617567</v>
      </c>
      <c r="W279" s="14">
        <v>3555401147561</v>
      </c>
      <c r="X279" s="14">
        <v>44170146629684</v>
      </c>
      <c r="Y279" s="14">
        <v>824959341225</v>
      </c>
      <c r="Z279" s="14">
        <v>6660353514163</v>
      </c>
      <c r="AA279" s="14">
        <v>131599011020</v>
      </c>
      <c r="AB279" s="14">
        <v>50962099154867</v>
      </c>
      <c r="AC279" s="14">
        <v>39091448385838</v>
      </c>
      <c r="AD279" s="41">
        <f t="shared" si="22"/>
        <v>12.991839528989937</v>
      </c>
      <c r="AE279" s="14">
        <v>24219419768481</v>
      </c>
      <c r="AF279" s="14">
        <v>23650167100973</v>
      </c>
      <c r="AG279" s="14">
        <v>1932567873642</v>
      </c>
      <c r="AH279" s="14">
        <v>1139276253265</v>
      </c>
      <c r="AI279" s="14">
        <v>402719952875</v>
      </c>
      <c r="AJ279" s="14">
        <v>0</v>
      </c>
      <c r="AK279" s="14">
        <v>0</v>
      </c>
      <c r="AL279" s="15">
        <v>17</v>
      </c>
      <c r="AM279" s="14">
        <v>1674264480936</v>
      </c>
      <c r="AN279" s="15">
        <v>437</v>
      </c>
      <c r="AO279" s="14">
        <v>5900145368542</v>
      </c>
      <c r="AP279" s="15">
        <v>396</v>
      </c>
      <c r="AQ279" s="14">
        <v>8544400795249</v>
      </c>
      <c r="AR279" s="14">
        <v>15817686756223</v>
      </c>
      <c r="AS279" s="14">
        <v>9016563032486</v>
      </c>
      <c r="AT279" s="14">
        <f t="shared" si="23"/>
        <v>6801123723737</v>
      </c>
      <c r="AU279" s="41">
        <f t="shared" si="24"/>
        <v>75.429226183336837</v>
      </c>
      <c r="AV279" s="14">
        <v>18720785144473</v>
      </c>
      <c r="AW279" s="14">
        <v>3875117419153</v>
      </c>
      <c r="AX279" s="14">
        <v>6530105329461</v>
      </c>
      <c r="AY279" s="14">
        <v>2879242321138</v>
      </c>
      <c r="AZ279" s="14">
        <v>7232970935006</v>
      </c>
      <c r="BA279" s="14">
        <v>5992854902837</v>
      </c>
      <c r="BB279" s="14">
        <v>5199800980041</v>
      </c>
      <c r="BC279" s="14">
        <v>22176494445633</v>
      </c>
      <c r="BD279" s="14">
        <v>10810494885755</v>
      </c>
      <c r="BE279" s="14">
        <v>7259720935006</v>
      </c>
      <c r="BF279" s="14">
        <v>4106278624872</v>
      </c>
      <c r="BG279" s="14">
        <v>15689200676109</v>
      </c>
      <c r="BH279" s="14">
        <v>8530219092372</v>
      </c>
      <c r="BI279" s="14">
        <v>0</v>
      </c>
      <c r="BJ279" s="49">
        <v>1771635808571</v>
      </c>
      <c r="BK279" s="14">
        <v>2618230203631</v>
      </c>
      <c r="BL279" s="14">
        <v>220572464084</v>
      </c>
      <c r="BM279" s="14">
        <v>566154941507</v>
      </c>
      <c r="BN279" s="14">
        <v>750499132108</v>
      </c>
    </row>
    <row r="280" spans="1:66" x14ac:dyDescent="0.25">
      <c r="A280" s="17" t="s">
        <v>592</v>
      </c>
      <c r="B280" s="4">
        <v>2300</v>
      </c>
      <c r="C280" s="4" t="s">
        <v>310</v>
      </c>
      <c r="D280" s="5">
        <v>2140752183511</v>
      </c>
      <c r="E280" s="5">
        <v>390066392649</v>
      </c>
      <c r="F280" s="5">
        <v>0</v>
      </c>
      <c r="G280" s="5">
        <v>1488808520679</v>
      </c>
      <c r="H280" s="5">
        <v>4019627096839</v>
      </c>
      <c r="I280" s="5">
        <v>260934350596</v>
      </c>
      <c r="J280" s="5">
        <v>9445551976</v>
      </c>
      <c r="K280" s="5">
        <v>3749247194267</v>
      </c>
      <c r="L280" s="5">
        <v>2736548573936</v>
      </c>
      <c r="M280" s="5">
        <f t="shared" si="20"/>
        <v>1283078522903</v>
      </c>
      <c r="N280" s="36">
        <f t="shared" si="21"/>
        <v>46.886743949059081</v>
      </c>
      <c r="O280" s="5">
        <v>5055006404385</v>
      </c>
      <c r="P280" s="36">
        <v>182.97</v>
      </c>
      <c r="Q280" s="6">
        <v>134.83000000000001</v>
      </c>
      <c r="R280" s="6">
        <v>4.7699999999999996</v>
      </c>
      <c r="S280" s="5">
        <v>6781926210131</v>
      </c>
      <c r="T280" s="5">
        <v>307248964129</v>
      </c>
      <c r="U280" s="5">
        <v>20549781515</v>
      </c>
      <c r="V280" s="5">
        <v>97989223283</v>
      </c>
      <c r="W280" s="5">
        <v>188709959331</v>
      </c>
      <c r="X280" s="5">
        <v>7089175174260</v>
      </c>
      <c r="Y280" s="5">
        <v>43410374459</v>
      </c>
      <c r="Z280" s="5">
        <v>251412041240</v>
      </c>
      <c r="AA280" s="5">
        <v>14146592355</v>
      </c>
      <c r="AB280" s="5">
        <v>7354733807855</v>
      </c>
      <c r="AC280" s="5">
        <v>5851637540969</v>
      </c>
      <c r="AD280" s="36">
        <f t="shared" si="22"/>
        <v>21.148569517962152</v>
      </c>
      <c r="AE280" s="5">
        <v>3111168731367</v>
      </c>
      <c r="AF280" s="5">
        <v>3064525246673</v>
      </c>
      <c r="AG280" s="5">
        <v>0</v>
      </c>
      <c r="AH280" s="5">
        <v>1753736503</v>
      </c>
      <c r="AI280" s="5">
        <v>0</v>
      </c>
      <c r="AJ280" s="5">
        <v>0</v>
      </c>
      <c r="AK280" s="5">
        <v>0</v>
      </c>
      <c r="AL280" s="6">
        <v>0</v>
      </c>
      <c r="AM280" s="5">
        <v>0</v>
      </c>
      <c r="AN280" s="6">
        <v>254</v>
      </c>
      <c r="AO280" s="5">
        <v>1841116530769</v>
      </c>
      <c r="AP280" s="6">
        <v>878</v>
      </c>
      <c r="AQ280" s="5">
        <v>1732739338419</v>
      </c>
      <c r="AR280" s="5">
        <v>307248964129</v>
      </c>
      <c r="AS280" s="5">
        <v>256046306933</v>
      </c>
      <c r="AT280" s="5">
        <f t="shared" si="23"/>
        <v>51202657196</v>
      </c>
      <c r="AU280" s="36">
        <f t="shared" si="24"/>
        <v>19.99742070460648</v>
      </c>
      <c r="AV280" s="5">
        <v>2366442628108</v>
      </c>
      <c r="AW280" s="5">
        <v>287104619526</v>
      </c>
      <c r="AX280" s="5">
        <v>499613507097</v>
      </c>
      <c r="AY280" s="5">
        <v>552264549383</v>
      </c>
      <c r="AZ280" s="5">
        <v>704955882940</v>
      </c>
      <c r="BA280" s="5">
        <v>469767682759</v>
      </c>
      <c r="BB280" s="5">
        <v>320170746455</v>
      </c>
      <c r="BC280" s="5">
        <v>4019627096839</v>
      </c>
      <c r="BD280" s="5">
        <v>2768499606256</v>
      </c>
      <c r="BE280" s="5">
        <v>704955882940</v>
      </c>
      <c r="BF280" s="5">
        <v>546171607643</v>
      </c>
      <c r="BG280" s="5">
        <v>1461744156755</v>
      </c>
      <c r="BH280" s="5">
        <v>1649424574612</v>
      </c>
      <c r="BI280" s="5">
        <v>0</v>
      </c>
      <c r="BJ280" s="48">
        <v>1520947302</v>
      </c>
      <c r="BK280" s="5">
        <v>0</v>
      </c>
      <c r="BL280" s="5">
        <v>986413628</v>
      </c>
      <c r="BM280" s="5">
        <v>112000488</v>
      </c>
      <c r="BN280" s="5">
        <v>1178846465</v>
      </c>
    </row>
    <row r="281" spans="1:66" x14ac:dyDescent="0.25">
      <c r="A281" s="17" t="s">
        <v>592</v>
      </c>
      <c r="B281" s="8">
        <v>2301</v>
      </c>
      <c r="C281" s="8" t="s">
        <v>311</v>
      </c>
      <c r="D281" s="9">
        <v>2483286079728</v>
      </c>
      <c r="E281" s="9">
        <v>26228815551</v>
      </c>
      <c r="F281" s="9">
        <v>0</v>
      </c>
      <c r="G281" s="9">
        <v>0</v>
      </c>
      <c r="H281" s="9">
        <v>2509514895279</v>
      </c>
      <c r="I281" s="9">
        <v>241568975017</v>
      </c>
      <c r="J281" s="9">
        <v>3761665000</v>
      </c>
      <c r="K281" s="9">
        <v>2264184255262</v>
      </c>
      <c r="L281" s="9">
        <v>1758777988525</v>
      </c>
      <c r="M281" s="5">
        <f t="shared" si="20"/>
        <v>750736906754</v>
      </c>
      <c r="N281" s="36">
        <f t="shared" si="21"/>
        <v>42.685143415037039</v>
      </c>
      <c r="O281" s="9">
        <v>2443390116277</v>
      </c>
      <c r="P281" s="36">
        <v>105.6</v>
      </c>
      <c r="Q281" s="10">
        <v>107.91</v>
      </c>
      <c r="R281" s="10">
        <v>0.27</v>
      </c>
      <c r="S281" s="9">
        <v>2463222107962</v>
      </c>
      <c r="T281" s="9">
        <v>7165456400</v>
      </c>
      <c r="U281" s="9">
        <v>7165456400</v>
      </c>
      <c r="V281" s="9">
        <v>0</v>
      </c>
      <c r="W281" s="9">
        <v>0</v>
      </c>
      <c r="X281" s="9">
        <v>2470387564362</v>
      </c>
      <c r="Y281" s="5">
        <v>7036905</v>
      </c>
      <c r="Z281" s="9">
        <v>154979899240</v>
      </c>
      <c r="AA281" s="9">
        <v>24784030889</v>
      </c>
      <c r="AB281" s="9">
        <v>2650151494491</v>
      </c>
      <c r="AC281" s="9">
        <v>1972653383103</v>
      </c>
      <c r="AD281" s="36">
        <f t="shared" si="22"/>
        <v>25.231710016691327</v>
      </c>
      <c r="AE281" s="9">
        <v>1373540074692</v>
      </c>
      <c r="AF281" s="9">
        <v>1351732164063</v>
      </c>
      <c r="AG281" s="9">
        <v>0</v>
      </c>
      <c r="AH281" s="9">
        <v>2041731412</v>
      </c>
      <c r="AI281" s="9">
        <v>0</v>
      </c>
      <c r="AJ281" s="9">
        <v>0</v>
      </c>
      <c r="AK281" s="9">
        <v>0</v>
      </c>
      <c r="AL281" s="10">
        <v>0</v>
      </c>
      <c r="AM281" s="9">
        <v>0</v>
      </c>
      <c r="AN281" s="10">
        <v>47</v>
      </c>
      <c r="AO281" s="9">
        <v>339835879132</v>
      </c>
      <c r="AP281" s="10">
        <v>20</v>
      </c>
      <c r="AQ281" s="9">
        <v>125033964582</v>
      </c>
      <c r="AR281" s="9">
        <v>7165456400</v>
      </c>
      <c r="AS281" s="9">
        <v>0</v>
      </c>
      <c r="AT281" s="5">
        <f t="shared" si="23"/>
        <v>7165456400</v>
      </c>
      <c r="AU281" s="36">
        <f t="shared" si="24"/>
        <v>0</v>
      </c>
      <c r="AV281" s="9">
        <v>828776985048</v>
      </c>
      <c r="AW281" s="9">
        <v>206106426199</v>
      </c>
      <c r="AX281" s="9">
        <v>377778289248</v>
      </c>
      <c r="AY281" s="9">
        <v>840846000752</v>
      </c>
      <c r="AZ281" s="9">
        <v>422357654728</v>
      </c>
      <c r="BA281" s="9">
        <v>1012853914400</v>
      </c>
      <c r="BB281" s="9">
        <v>338152550136</v>
      </c>
      <c r="BC281" s="9">
        <v>2509514895279</v>
      </c>
      <c r="BD281" s="9">
        <v>1244853105551</v>
      </c>
      <c r="BE281" s="9">
        <v>422189854728</v>
      </c>
      <c r="BF281" s="9">
        <v>842471935000</v>
      </c>
      <c r="BG281" s="9">
        <v>988421219888</v>
      </c>
      <c r="BH281" s="9">
        <v>385118854804</v>
      </c>
      <c r="BI281" s="9">
        <v>0</v>
      </c>
      <c r="BJ281" s="51">
        <v>0</v>
      </c>
      <c r="BK281" s="9">
        <v>0</v>
      </c>
      <c r="BL281" s="9">
        <v>0</v>
      </c>
      <c r="BM281" s="9">
        <v>0</v>
      </c>
      <c r="BN281" s="9">
        <v>2041731412</v>
      </c>
    </row>
    <row r="282" spans="1:66" x14ac:dyDescent="0.25">
      <c r="A282" s="17" t="s">
        <v>592</v>
      </c>
      <c r="B282" s="4">
        <v>2302</v>
      </c>
      <c r="C282" s="4" t="s">
        <v>312</v>
      </c>
      <c r="D282" s="5">
        <v>3945240118261</v>
      </c>
      <c r="E282" s="5">
        <v>439989948640</v>
      </c>
      <c r="F282" s="5">
        <v>0</v>
      </c>
      <c r="G282" s="5">
        <v>0</v>
      </c>
      <c r="H282" s="5">
        <v>4385230066901</v>
      </c>
      <c r="I282" s="5">
        <v>284247461079</v>
      </c>
      <c r="J282" s="5">
        <v>1232380469</v>
      </c>
      <c r="K282" s="5">
        <v>4099750225353</v>
      </c>
      <c r="L282" s="5">
        <v>2592662606267</v>
      </c>
      <c r="M282" s="5">
        <f t="shared" si="20"/>
        <v>1792567460634</v>
      </c>
      <c r="N282" s="36">
        <f t="shared" si="21"/>
        <v>69.140020622081522</v>
      </c>
      <c r="O282" s="5">
        <v>2422931855772</v>
      </c>
      <c r="P282" s="36">
        <v>61.98</v>
      </c>
      <c r="Q282" s="6">
        <v>59.1</v>
      </c>
      <c r="R282" s="6">
        <v>7.23</v>
      </c>
      <c r="S282" s="5">
        <v>2377650832348</v>
      </c>
      <c r="T282" s="5">
        <v>187070023098</v>
      </c>
      <c r="U282" s="5">
        <v>121346845182</v>
      </c>
      <c r="V282" s="5">
        <v>56972414960</v>
      </c>
      <c r="W282" s="5">
        <v>8750762956</v>
      </c>
      <c r="X282" s="5">
        <v>2564720855446</v>
      </c>
      <c r="Y282" s="5">
        <v>9300187502</v>
      </c>
      <c r="Z282" s="5">
        <v>151465317736</v>
      </c>
      <c r="AA282" s="5">
        <v>1706040000</v>
      </c>
      <c r="AB282" s="5">
        <v>2717892213182</v>
      </c>
      <c r="AC282" s="5">
        <v>2483366343185</v>
      </c>
      <c r="AD282" s="36">
        <f t="shared" si="22"/>
        <v>3.2759770818452876</v>
      </c>
      <c r="AE282" s="5">
        <v>1653201097252</v>
      </c>
      <c r="AF282" s="5">
        <v>1354600197929</v>
      </c>
      <c r="AG282" s="5">
        <v>222055142530</v>
      </c>
      <c r="AH282" s="5">
        <v>0</v>
      </c>
      <c r="AI282" s="5">
        <v>0</v>
      </c>
      <c r="AJ282" s="5">
        <v>0</v>
      </c>
      <c r="AK282" s="5">
        <v>0</v>
      </c>
      <c r="AL282" s="6">
        <v>0</v>
      </c>
      <c r="AM282" s="5">
        <v>0</v>
      </c>
      <c r="AN282" s="6">
        <v>100</v>
      </c>
      <c r="AO282" s="5">
        <v>2077082093516</v>
      </c>
      <c r="AP282" s="6">
        <v>167</v>
      </c>
      <c r="AQ282" s="5">
        <v>4038665522429</v>
      </c>
      <c r="AR282" s="5">
        <v>187070023098</v>
      </c>
      <c r="AS282" s="5">
        <v>17296581717</v>
      </c>
      <c r="AT282" s="5">
        <f t="shared" si="23"/>
        <v>169773441381</v>
      </c>
      <c r="AU282" s="36">
        <f t="shared" si="24"/>
        <v>981.54331392622873</v>
      </c>
      <c r="AV282" s="5">
        <v>1321564988103</v>
      </c>
      <c r="AW282" s="5">
        <v>699287621566</v>
      </c>
      <c r="AX282" s="5">
        <v>1050249419944</v>
      </c>
      <c r="AY282" s="5">
        <v>1744272933343</v>
      </c>
      <c r="AZ282" s="5">
        <v>736306120146</v>
      </c>
      <c r="BA282" s="5">
        <v>474071399220</v>
      </c>
      <c r="BB282" s="5">
        <v>570494257800</v>
      </c>
      <c r="BC282" s="5">
        <v>4385230066901</v>
      </c>
      <c r="BD282" s="5">
        <v>3234399757227</v>
      </c>
      <c r="BE282" s="5">
        <v>736306120146</v>
      </c>
      <c r="BF282" s="5">
        <v>414524189528</v>
      </c>
      <c r="BG282" s="5">
        <v>1505769269581</v>
      </c>
      <c r="BH282" s="5">
        <v>147431827671</v>
      </c>
      <c r="BI282" s="5">
        <v>0</v>
      </c>
      <c r="BJ282" s="48">
        <v>0</v>
      </c>
      <c r="BK282" s="5">
        <v>333945947257</v>
      </c>
      <c r="BL282" s="5">
        <v>0</v>
      </c>
      <c r="BM282" s="5">
        <v>0</v>
      </c>
      <c r="BN282" s="5">
        <v>0</v>
      </c>
    </row>
    <row r="283" spans="1:66" x14ac:dyDescent="0.25">
      <c r="A283" s="17" t="s">
        <v>592</v>
      </c>
      <c r="B283" s="4">
        <v>2303</v>
      </c>
      <c r="C283" s="4" t="s">
        <v>313</v>
      </c>
      <c r="D283" s="5">
        <v>2230361293859</v>
      </c>
      <c r="E283" s="5">
        <v>317876701857</v>
      </c>
      <c r="F283" s="5">
        <v>0</v>
      </c>
      <c r="G283" s="5">
        <v>0</v>
      </c>
      <c r="H283" s="5">
        <v>2548237995716</v>
      </c>
      <c r="I283" s="5">
        <v>181572603182</v>
      </c>
      <c r="J283" s="5">
        <v>4538276557</v>
      </c>
      <c r="K283" s="5">
        <v>2362127115977</v>
      </c>
      <c r="L283" s="5">
        <v>1418378792032</v>
      </c>
      <c r="M283" s="5">
        <f t="shared" si="20"/>
        <v>1129859203684</v>
      </c>
      <c r="N283" s="36">
        <f t="shared" si="21"/>
        <v>79.658495320938869</v>
      </c>
      <c r="O283" s="5">
        <v>1216801592174</v>
      </c>
      <c r="P283" s="36">
        <v>50.35</v>
      </c>
      <c r="Q283" s="6">
        <v>51.51</v>
      </c>
      <c r="R283" s="6">
        <v>5.99</v>
      </c>
      <c r="S283" s="5">
        <v>1137230044142</v>
      </c>
      <c r="T283" s="5">
        <v>76321401092</v>
      </c>
      <c r="U283" s="5">
        <v>28833296363</v>
      </c>
      <c r="V283" s="5">
        <v>38339834329</v>
      </c>
      <c r="W283" s="5">
        <v>9148270400</v>
      </c>
      <c r="X283" s="5">
        <v>1213551445234</v>
      </c>
      <c r="Y283" s="5">
        <v>548989724</v>
      </c>
      <c r="Z283" s="5">
        <v>55748473299</v>
      </c>
      <c r="AA283" s="5">
        <v>13800000000</v>
      </c>
      <c r="AB283" s="5">
        <v>1283099918533</v>
      </c>
      <c r="AC283" s="5">
        <v>1061579995195</v>
      </c>
      <c r="AD283" s="36">
        <f t="shared" si="22"/>
        <v>14.315590980130008</v>
      </c>
      <c r="AE283" s="5">
        <v>498662704690</v>
      </c>
      <c r="AF283" s="5">
        <v>498662704690</v>
      </c>
      <c r="AG283" s="5">
        <v>0</v>
      </c>
      <c r="AH283" s="5">
        <v>8726318801</v>
      </c>
      <c r="AI283" s="5">
        <v>0</v>
      </c>
      <c r="AJ283" s="5">
        <v>0</v>
      </c>
      <c r="AK283" s="5">
        <v>0</v>
      </c>
      <c r="AL283" s="6">
        <v>0</v>
      </c>
      <c r="AM283" s="5">
        <v>0</v>
      </c>
      <c r="AN283" s="6">
        <v>305</v>
      </c>
      <c r="AO283" s="5">
        <v>2916548987828</v>
      </c>
      <c r="AP283" s="6">
        <v>346</v>
      </c>
      <c r="AQ283" s="5">
        <v>2268632998093</v>
      </c>
      <c r="AR283" s="5">
        <v>76321401092</v>
      </c>
      <c r="AS283" s="5">
        <v>31626340548</v>
      </c>
      <c r="AT283" s="5">
        <f t="shared" si="23"/>
        <v>44695060544</v>
      </c>
      <c r="AU283" s="36">
        <f t="shared" si="24"/>
        <v>141.32226419356141</v>
      </c>
      <c r="AV283" s="5">
        <v>345653203732</v>
      </c>
      <c r="AW283" s="5">
        <v>111553139474</v>
      </c>
      <c r="AX283" s="5">
        <v>450355355808</v>
      </c>
      <c r="AY283" s="5">
        <v>1293365339321</v>
      </c>
      <c r="AZ283" s="5">
        <v>308631632276</v>
      </c>
      <c r="BA283" s="5">
        <v>195005867242</v>
      </c>
      <c r="BB283" s="5">
        <v>203169704725</v>
      </c>
      <c r="BC283" s="5">
        <v>2548237995716</v>
      </c>
      <c r="BD283" s="5">
        <v>2061325372106</v>
      </c>
      <c r="BE283" s="5">
        <v>308631632276</v>
      </c>
      <c r="BF283" s="5">
        <v>178280991334</v>
      </c>
      <c r="BG283" s="5">
        <v>295064000690</v>
      </c>
      <c r="BH283" s="5">
        <v>203598704000</v>
      </c>
      <c r="BI283" s="5">
        <v>0</v>
      </c>
      <c r="BJ283" s="48">
        <v>0</v>
      </c>
      <c r="BK283" s="5">
        <v>0</v>
      </c>
      <c r="BL283" s="5">
        <v>0</v>
      </c>
      <c r="BM283" s="5">
        <v>0</v>
      </c>
      <c r="BN283" s="5">
        <v>8726318801</v>
      </c>
    </row>
    <row r="284" spans="1:66" x14ac:dyDescent="0.25">
      <c r="A284" s="17" t="s">
        <v>592</v>
      </c>
      <c r="B284" s="4">
        <v>2304</v>
      </c>
      <c r="C284" s="4" t="s">
        <v>314</v>
      </c>
      <c r="D284" s="5">
        <v>1201682418784</v>
      </c>
      <c r="E284" s="5">
        <v>64098600412</v>
      </c>
      <c r="F284" s="5">
        <v>42565021740</v>
      </c>
      <c r="G284" s="5">
        <v>0</v>
      </c>
      <c r="H284" s="5">
        <v>1308346040936</v>
      </c>
      <c r="I284" s="5">
        <v>111391608812</v>
      </c>
      <c r="J284" s="5">
        <v>12008139000</v>
      </c>
      <c r="K284" s="5">
        <v>1184946293124</v>
      </c>
      <c r="L284" s="5">
        <v>1172572207094</v>
      </c>
      <c r="M284" s="5">
        <f t="shared" si="20"/>
        <v>135773833842</v>
      </c>
      <c r="N284" s="36">
        <f t="shared" si="21"/>
        <v>11.57914480836024</v>
      </c>
      <c r="O284" s="5">
        <v>1095718368130</v>
      </c>
      <c r="P284" s="36">
        <v>91.11</v>
      </c>
      <c r="Q284" s="6">
        <v>92.47</v>
      </c>
      <c r="R284" s="6">
        <v>1.74</v>
      </c>
      <c r="S284" s="5">
        <v>1065592500228</v>
      </c>
      <c r="T284" s="5">
        <v>20419087519</v>
      </c>
      <c r="U284" s="5">
        <v>14644187659</v>
      </c>
      <c r="V284" s="5">
        <v>4960868769</v>
      </c>
      <c r="W284" s="5">
        <v>814031091</v>
      </c>
      <c r="X284" s="5">
        <v>1086011587747</v>
      </c>
      <c r="Y284" s="5">
        <v>306085930</v>
      </c>
      <c r="Z284" s="5">
        <v>84761513169</v>
      </c>
      <c r="AA284" s="5">
        <v>21249115280</v>
      </c>
      <c r="AB284" s="5">
        <v>1192022216196</v>
      </c>
      <c r="AC284" s="5">
        <v>831460330919</v>
      </c>
      <c r="AD284" s="36">
        <f t="shared" si="22"/>
        <v>30.614961094613918</v>
      </c>
      <c r="AE284" s="5">
        <v>646238308096</v>
      </c>
      <c r="AF284" s="5">
        <v>646238308096</v>
      </c>
      <c r="AG284" s="5">
        <v>0</v>
      </c>
      <c r="AH284" s="5">
        <v>458415615</v>
      </c>
      <c r="AI284" s="5">
        <v>0</v>
      </c>
      <c r="AJ284" s="5">
        <v>0</v>
      </c>
      <c r="AK284" s="5">
        <v>0</v>
      </c>
      <c r="AL284" s="6">
        <v>0</v>
      </c>
      <c r="AM284" s="5">
        <v>0</v>
      </c>
      <c r="AN284" s="6">
        <v>107</v>
      </c>
      <c r="AO284" s="5">
        <v>349045857564</v>
      </c>
      <c r="AP284" s="6">
        <v>166</v>
      </c>
      <c r="AQ284" s="5">
        <v>729750891347</v>
      </c>
      <c r="AR284" s="5">
        <v>20419087519</v>
      </c>
      <c r="AS284" s="5">
        <v>5638365256</v>
      </c>
      <c r="AT284" s="5">
        <f t="shared" si="23"/>
        <v>14780722263</v>
      </c>
      <c r="AU284" s="36">
        <f t="shared" si="24"/>
        <v>262.14552608615185</v>
      </c>
      <c r="AV284" s="5">
        <v>378693697512</v>
      </c>
      <c r="AW284" s="5">
        <v>71996951070</v>
      </c>
      <c r="AX284" s="5">
        <v>308822814087</v>
      </c>
      <c r="AY284" s="5">
        <v>562534251850</v>
      </c>
      <c r="AZ284" s="5">
        <v>204616852847</v>
      </c>
      <c r="BA284" s="5">
        <v>270136006104</v>
      </c>
      <c r="BB284" s="5">
        <v>151939047367</v>
      </c>
      <c r="BC284" s="5">
        <v>1308346040936</v>
      </c>
      <c r="BD284" s="5">
        <v>935455666349</v>
      </c>
      <c r="BE284" s="5">
        <v>247163874587</v>
      </c>
      <c r="BF284" s="5">
        <v>125726500000</v>
      </c>
      <c r="BG284" s="5">
        <v>514658222575</v>
      </c>
      <c r="BH284" s="5">
        <v>131580085521</v>
      </c>
      <c r="BI284" s="5">
        <v>0</v>
      </c>
      <c r="BJ284" s="48">
        <v>0</v>
      </c>
      <c r="BK284" s="5">
        <v>0</v>
      </c>
      <c r="BL284" s="5">
        <v>0</v>
      </c>
      <c r="BM284" s="5">
        <v>0</v>
      </c>
      <c r="BN284" s="5">
        <v>458415615</v>
      </c>
    </row>
    <row r="285" spans="1:66" x14ac:dyDescent="0.25">
      <c r="A285" s="17" t="s">
        <v>592</v>
      </c>
      <c r="B285" s="4">
        <v>2305</v>
      </c>
      <c r="C285" s="4" t="s">
        <v>315</v>
      </c>
      <c r="D285" s="5">
        <v>2181596195178</v>
      </c>
      <c r="E285" s="5">
        <v>29276727387</v>
      </c>
      <c r="F285" s="5">
        <v>0</v>
      </c>
      <c r="G285" s="5">
        <v>0</v>
      </c>
      <c r="H285" s="5">
        <v>2210872922565</v>
      </c>
      <c r="I285" s="5">
        <v>177171524597</v>
      </c>
      <c r="J285" s="5">
        <v>10205022440</v>
      </c>
      <c r="K285" s="5">
        <v>2023496375528</v>
      </c>
      <c r="L285" s="5">
        <v>1324928511788</v>
      </c>
      <c r="M285" s="5">
        <f t="shared" si="20"/>
        <v>885944410777</v>
      </c>
      <c r="N285" s="36">
        <f t="shared" si="21"/>
        <v>66.867336833246355</v>
      </c>
      <c r="O285" s="5">
        <v>373897114256</v>
      </c>
      <c r="P285" s="36">
        <v>17.34</v>
      </c>
      <c r="Q285" s="6">
        <v>18.48</v>
      </c>
      <c r="R285" s="6">
        <v>3.73</v>
      </c>
      <c r="S285" s="5">
        <v>359998304910</v>
      </c>
      <c r="T285" s="5">
        <v>14300176370</v>
      </c>
      <c r="U285" s="5">
        <v>8908251917</v>
      </c>
      <c r="V285" s="5">
        <v>5391924453</v>
      </c>
      <c r="W285" s="5">
        <v>0</v>
      </c>
      <c r="X285" s="5">
        <v>374298481280</v>
      </c>
      <c r="Y285" s="5">
        <v>683851</v>
      </c>
      <c r="Z285" s="5">
        <v>3296568529</v>
      </c>
      <c r="AA285" s="5">
        <v>5748956000</v>
      </c>
      <c r="AB285" s="5">
        <v>383344005809</v>
      </c>
      <c r="AC285" s="5">
        <v>278386718357</v>
      </c>
      <c r="AD285" s="36">
        <f t="shared" si="22"/>
        <v>34.452707905412296</v>
      </c>
      <c r="AE285" s="5">
        <v>215185627541</v>
      </c>
      <c r="AF285" s="5">
        <v>215185627541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6">
        <v>0</v>
      </c>
      <c r="AM285" s="5">
        <v>0</v>
      </c>
      <c r="AN285" s="6">
        <v>46</v>
      </c>
      <c r="AO285" s="5">
        <v>476662153358</v>
      </c>
      <c r="AP285" s="6">
        <v>96</v>
      </c>
      <c r="AQ285" s="5">
        <v>196617192142</v>
      </c>
      <c r="AR285" s="5">
        <v>14300176370</v>
      </c>
      <c r="AS285" s="5">
        <v>2150771299</v>
      </c>
      <c r="AT285" s="5">
        <f t="shared" si="23"/>
        <v>12149405071</v>
      </c>
      <c r="AU285" s="36">
        <f t="shared" si="24"/>
        <v>564.88595866277649</v>
      </c>
      <c r="AV285" s="5">
        <v>101145740747</v>
      </c>
      <c r="AW285" s="5">
        <v>21361382439</v>
      </c>
      <c r="AX285" s="5">
        <v>247766356519</v>
      </c>
      <c r="AY285" s="5">
        <v>1235889901504</v>
      </c>
      <c r="AZ285" s="5">
        <v>570476937155</v>
      </c>
      <c r="BA285" s="5">
        <v>250997250672</v>
      </c>
      <c r="BB285" s="5">
        <v>528791398260</v>
      </c>
      <c r="BC285" s="5">
        <v>2210872922565</v>
      </c>
      <c r="BD285" s="5">
        <v>1512692115271</v>
      </c>
      <c r="BE285" s="5">
        <v>570476937155</v>
      </c>
      <c r="BF285" s="5">
        <v>127703870139</v>
      </c>
      <c r="BG285" s="5">
        <v>180835627541</v>
      </c>
      <c r="BH285" s="5">
        <v>34350000000</v>
      </c>
      <c r="BI285" s="5">
        <v>0</v>
      </c>
      <c r="BJ285" s="48">
        <v>0</v>
      </c>
      <c r="BK285" s="5">
        <v>0</v>
      </c>
      <c r="BL285" s="5">
        <v>0</v>
      </c>
      <c r="BM285" s="5">
        <v>0</v>
      </c>
      <c r="BN285" s="5">
        <v>0</v>
      </c>
    </row>
    <row r="286" spans="1:66" x14ac:dyDescent="0.25">
      <c r="A286" s="17" t="s">
        <v>592</v>
      </c>
      <c r="B286" s="18">
        <v>2306</v>
      </c>
      <c r="C286" s="18" t="s">
        <v>316</v>
      </c>
      <c r="D286" s="19">
        <v>3320290300349</v>
      </c>
      <c r="E286" s="19">
        <v>129246774815</v>
      </c>
      <c r="F286" s="19">
        <v>0</v>
      </c>
      <c r="G286" s="19">
        <v>0</v>
      </c>
      <c r="H286" s="19">
        <v>3449537075164</v>
      </c>
      <c r="I286" s="19">
        <v>226713855549</v>
      </c>
      <c r="J286" s="19">
        <v>6271312498</v>
      </c>
      <c r="K286" s="19">
        <v>3216551907117</v>
      </c>
      <c r="L286" s="19">
        <v>3458777728219</v>
      </c>
      <c r="M286" s="5">
        <f t="shared" si="20"/>
        <v>-9240653055</v>
      </c>
      <c r="N286" s="36">
        <f t="shared" si="21"/>
        <v>-0.26716527574491505</v>
      </c>
      <c r="O286" s="19">
        <v>2567127496285</v>
      </c>
      <c r="P286" s="36">
        <v>83.6</v>
      </c>
      <c r="Q286" s="20">
        <v>79.81</v>
      </c>
      <c r="R286" s="20">
        <v>3.63</v>
      </c>
      <c r="S286" s="19">
        <v>2696735833207</v>
      </c>
      <c r="T286" s="19">
        <v>102330862661</v>
      </c>
      <c r="U286" s="19">
        <v>50439300769</v>
      </c>
      <c r="V286" s="19">
        <v>23245989348</v>
      </c>
      <c r="W286" s="19">
        <v>28645572544</v>
      </c>
      <c r="X286" s="19">
        <v>2799066695868</v>
      </c>
      <c r="Y286" s="5">
        <v>2465234303</v>
      </c>
      <c r="Z286" s="19">
        <v>72354990614</v>
      </c>
      <c r="AA286" s="19">
        <v>12396220000</v>
      </c>
      <c r="AB286" s="19">
        <v>2883817906482</v>
      </c>
      <c r="AC286" s="19">
        <v>1602939844182</v>
      </c>
      <c r="AD286" s="36">
        <f t="shared" si="22"/>
        <v>74.620819741142455</v>
      </c>
      <c r="AE286" s="19">
        <v>2135508046917</v>
      </c>
      <c r="AF286" s="19">
        <v>2135508046917</v>
      </c>
      <c r="AG286" s="19">
        <v>0</v>
      </c>
      <c r="AH286" s="19">
        <v>0</v>
      </c>
      <c r="AI286" s="19">
        <v>0</v>
      </c>
      <c r="AJ286" s="19">
        <v>0</v>
      </c>
      <c r="AK286" s="19">
        <v>0</v>
      </c>
      <c r="AL286" s="20">
        <v>0</v>
      </c>
      <c r="AM286" s="19">
        <v>0</v>
      </c>
      <c r="AN286" s="20">
        <v>86</v>
      </c>
      <c r="AO286" s="19">
        <v>1009825651372</v>
      </c>
      <c r="AP286" s="20">
        <v>105</v>
      </c>
      <c r="AQ286" s="19">
        <v>551680305156</v>
      </c>
      <c r="AR286" s="19">
        <v>102330862661</v>
      </c>
      <c r="AS286" s="19">
        <v>170416160938</v>
      </c>
      <c r="AT286" s="5">
        <f t="shared" si="23"/>
        <v>-68085298277</v>
      </c>
      <c r="AU286" s="36">
        <f t="shared" si="24"/>
        <v>-39.952371830374979</v>
      </c>
      <c r="AV286" s="19">
        <v>988822755597</v>
      </c>
      <c r="AW286" s="19">
        <v>249633897580</v>
      </c>
      <c r="AX286" s="19">
        <v>1070602052188</v>
      </c>
      <c r="AY286" s="19">
        <v>216690026985</v>
      </c>
      <c r="AZ286" s="19">
        <v>212939185229</v>
      </c>
      <c r="BA286" s="19">
        <v>1902015231247</v>
      </c>
      <c r="BB286" s="19">
        <v>82493460098</v>
      </c>
      <c r="BC286" s="19">
        <v>3449537075164</v>
      </c>
      <c r="BD286" s="19">
        <v>1416538853988</v>
      </c>
      <c r="BE286" s="19">
        <v>212939185229</v>
      </c>
      <c r="BF286" s="19">
        <v>1820059035947</v>
      </c>
      <c r="BG286" s="19">
        <v>1567131508255</v>
      </c>
      <c r="BH286" s="19">
        <v>568376538662</v>
      </c>
      <c r="BI286" s="19">
        <v>0</v>
      </c>
      <c r="BJ286" s="50">
        <v>0</v>
      </c>
      <c r="BK286" s="19">
        <v>0</v>
      </c>
      <c r="BL286" s="19">
        <v>0</v>
      </c>
      <c r="BM286" s="19">
        <v>26659033566</v>
      </c>
      <c r="BN286" s="19">
        <v>50787000000</v>
      </c>
    </row>
    <row r="287" spans="1:66" x14ac:dyDescent="0.25">
      <c r="A287" s="17" t="s">
        <v>592</v>
      </c>
      <c r="B287" s="4">
        <v>2307</v>
      </c>
      <c r="C287" s="4" t="s">
        <v>317</v>
      </c>
      <c r="D287" s="5">
        <v>1589539801679</v>
      </c>
      <c r="E287" s="5">
        <v>343596695083</v>
      </c>
      <c r="F287" s="5">
        <v>0</v>
      </c>
      <c r="G287" s="5">
        <v>0</v>
      </c>
      <c r="H287" s="5">
        <v>1933136496762</v>
      </c>
      <c r="I287" s="5">
        <v>100931008029</v>
      </c>
      <c r="J287" s="5">
        <v>5741484371</v>
      </c>
      <c r="K287" s="5">
        <v>1826464004362</v>
      </c>
      <c r="L287" s="5">
        <v>968707100934</v>
      </c>
      <c r="M287" s="5">
        <f t="shared" si="20"/>
        <v>964429395828</v>
      </c>
      <c r="N287" s="36">
        <f t="shared" si="21"/>
        <v>99.558410885821374</v>
      </c>
      <c r="O287" s="5">
        <v>948054590116</v>
      </c>
      <c r="P287" s="36">
        <v>54.5</v>
      </c>
      <c r="Q287" s="6">
        <v>51.91</v>
      </c>
      <c r="R287" s="6">
        <v>3.17</v>
      </c>
      <c r="S287" s="5">
        <v>941789373949</v>
      </c>
      <c r="T287" s="5">
        <v>33141389642</v>
      </c>
      <c r="U287" s="5">
        <v>19289086971</v>
      </c>
      <c r="V287" s="5">
        <v>10528422879</v>
      </c>
      <c r="W287" s="5">
        <v>3323879792</v>
      </c>
      <c r="X287" s="5">
        <v>974930763591</v>
      </c>
      <c r="Y287" s="5">
        <v>213982346</v>
      </c>
      <c r="Z287" s="5">
        <v>71213705400</v>
      </c>
      <c r="AA287" s="5">
        <v>7350000000</v>
      </c>
      <c r="AB287" s="5">
        <v>1053494468991</v>
      </c>
      <c r="AC287" s="5">
        <v>879042000363</v>
      </c>
      <c r="AD287" s="36">
        <f t="shared" si="22"/>
        <v>10.908325562191884</v>
      </c>
      <c r="AE287" s="5">
        <v>404020903067</v>
      </c>
      <c r="AF287" s="5">
        <v>404020903067</v>
      </c>
      <c r="AG287" s="5">
        <v>0</v>
      </c>
      <c r="AH287" s="5">
        <v>69340400</v>
      </c>
      <c r="AI287" s="5">
        <v>0</v>
      </c>
      <c r="AJ287" s="5">
        <v>0</v>
      </c>
      <c r="AK287" s="5">
        <v>0</v>
      </c>
      <c r="AL287" s="6">
        <v>0</v>
      </c>
      <c r="AM287" s="5">
        <v>0</v>
      </c>
      <c r="AN287" s="6">
        <v>227</v>
      </c>
      <c r="AO287" s="5">
        <v>3026957352461</v>
      </c>
      <c r="AP287" s="6">
        <v>292</v>
      </c>
      <c r="AQ287" s="5">
        <v>2123137215299</v>
      </c>
      <c r="AR287" s="5">
        <v>33141389642</v>
      </c>
      <c r="AS287" s="5">
        <v>5870241883</v>
      </c>
      <c r="AT287" s="5">
        <f t="shared" si="23"/>
        <v>27271147759</v>
      </c>
      <c r="AU287" s="36">
        <f t="shared" si="24"/>
        <v>464.56599749281571</v>
      </c>
      <c r="AV287" s="5">
        <v>308465196475</v>
      </c>
      <c r="AW287" s="5">
        <v>71234412745</v>
      </c>
      <c r="AX287" s="5">
        <v>741947904275</v>
      </c>
      <c r="AY287" s="5">
        <v>317497118798</v>
      </c>
      <c r="AZ287" s="5">
        <v>343558439771</v>
      </c>
      <c r="BA287" s="5">
        <v>243446762335</v>
      </c>
      <c r="BB287" s="5">
        <v>319622848115</v>
      </c>
      <c r="BC287" s="5">
        <v>1933136496762</v>
      </c>
      <c r="BD287" s="5">
        <v>1403041711542</v>
      </c>
      <c r="BE287" s="5">
        <v>343558439771</v>
      </c>
      <c r="BF287" s="5">
        <v>186536345449</v>
      </c>
      <c r="BG287" s="5">
        <v>279244154795</v>
      </c>
      <c r="BH287" s="5">
        <v>124776748272</v>
      </c>
      <c r="BI287" s="5">
        <v>0</v>
      </c>
      <c r="BJ287" s="48">
        <v>0</v>
      </c>
      <c r="BK287" s="5">
        <v>0</v>
      </c>
      <c r="BL287" s="5">
        <v>0</v>
      </c>
      <c r="BM287" s="5">
        <v>0</v>
      </c>
      <c r="BN287" s="5">
        <v>69340400</v>
      </c>
    </row>
    <row r="288" spans="1:66" x14ac:dyDescent="0.25">
      <c r="A288" s="17" t="s">
        <v>592</v>
      </c>
      <c r="B288" s="4">
        <v>2308</v>
      </c>
      <c r="C288" s="4" t="s">
        <v>318</v>
      </c>
      <c r="D288" s="5">
        <v>1792922453501</v>
      </c>
      <c r="E288" s="5">
        <v>17401699663</v>
      </c>
      <c r="F288" s="5">
        <v>0</v>
      </c>
      <c r="G288" s="5">
        <v>0</v>
      </c>
      <c r="H288" s="5">
        <v>1810324153164</v>
      </c>
      <c r="I288" s="5">
        <v>143659779116</v>
      </c>
      <c r="J288" s="5">
        <v>6403671023</v>
      </c>
      <c r="K288" s="5">
        <v>1660260703025</v>
      </c>
      <c r="L288" s="5">
        <v>1227189703224</v>
      </c>
      <c r="M288" s="5">
        <f t="shared" si="20"/>
        <v>583134449940</v>
      </c>
      <c r="N288" s="36">
        <f t="shared" si="21"/>
        <v>47.517873431305993</v>
      </c>
      <c r="O288" s="5">
        <v>670839325824</v>
      </c>
      <c r="P288" s="36">
        <v>41.25</v>
      </c>
      <c r="Q288" s="6">
        <v>40.409999999999997</v>
      </c>
      <c r="R288" s="6">
        <v>0.08</v>
      </c>
      <c r="S288" s="5">
        <v>701090826920</v>
      </c>
      <c r="T288" s="5">
        <v>626897651</v>
      </c>
      <c r="U288" s="5">
        <v>626897651</v>
      </c>
      <c r="V288" s="5">
        <v>0</v>
      </c>
      <c r="W288" s="5">
        <v>0</v>
      </c>
      <c r="X288" s="5">
        <v>701717724571</v>
      </c>
      <c r="Y288" s="5">
        <v>0</v>
      </c>
      <c r="Z288" s="5">
        <v>35025639939</v>
      </c>
      <c r="AA288" s="5">
        <v>9938591100</v>
      </c>
      <c r="AB288" s="5">
        <v>746681955610</v>
      </c>
      <c r="AC288" s="5">
        <v>641556349185</v>
      </c>
      <c r="AD288" s="36">
        <f t="shared" si="22"/>
        <v>9.3774109573423914</v>
      </c>
      <c r="AE288" s="5">
        <v>277863167554</v>
      </c>
      <c r="AF288" s="5">
        <v>277863167554</v>
      </c>
      <c r="AG288" s="5">
        <v>0</v>
      </c>
      <c r="AH288" s="5">
        <v>228339302</v>
      </c>
      <c r="AI288" s="5">
        <v>0</v>
      </c>
      <c r="AJ288" s="5">
        <v>0</v>
      </c>
      <c r="AK288" s="5">
        <v>0</v>
      </c>
      <c r="AL288" s="6">
        <v>0</v>
      </c>
      <c r="AM288" s="5">
        <v>0</v>
      </c>
      <c r="AN288" s="6">
        <v>20</v>
      </c>
      <c r="AO288" s="5">
        <v>234826124487</v>
      </c>
      <c r="AP288" s="6">
        <v>12</v>
      </c>
      <c r="AQ288" s="5">
        <v>49231658396</v>
      </c>
      <c r="AR288" s="5">
        <v>626897651</v>
      </c>
      <c r="AS288" s="5">
        <v>0</v>
      </c>
      <c r="AT288" s="5">
        <f t="shared" si="23"/>
        <v>626897651</v>
      </c>
      <c r="AU288" s="36">
        <f t="shared" si="24"/>
        <v>0</v>
      </c>
      <c r="AV288" s="5">
        <v>222776285313</v>
      </c>
      <c r="AW288" s="5">
        <v>37214226879</v>
      </c>
      <c r="AX288" s="5">
        <v>181786033954</v>
      </c>
      <c r="AY288" s="5">
        <v>713328261462</v>
      </c>
      <c r="AZ288" s="5">
        <v>135019945061</v>
      </c>
      <c r="BA288" s="5">
        <v>901823877820</v>
      </c>
      <c r="BB288" s="5">
        <v>66609254605</v>
      </c>
      <c r="BC288" s="5">
        <v>1810324153164</v>
      </c>
      <c r="BD288" s="5">
        <v>912515995079</v>
      </c>
      <c r="BE288" s="5">
        <v>134510945061</v>
      </c>
      <c r="BF288" s="5">
        <v>763297213024</v>
      </c>
      <c r="BG288" s="5">
        <v>257463167554</v>
      </c>
      <c r="BH288" s="5">
        <v>20400000000</v>
      </c>
      <c r="BI288" s="5">
        <v>0</v>
      </c>
      <c r="BJ288" s="48">
        <v>0</v>
      </c>
      <c r="BK288" s="5">
        <v>0</v>
      </c>
      <c r="BL288" s="5">
        <v>0</v>
      </c>
      <c r="BM288" s="5">
        <v>0</v>
      </c>
      <c r="BN288" s="5">
        <v>228339302</v>
      </c>
    </row>
    <row r="289" spans="1:66" x14ac:dyDescent="0.25">
      <c r="A289" s="17" t="s">
        <v>592</v>
      </c>
      <c r="B289" s="4">
        <v>2309</v>
      </c>
      <c r="C289" s="4" t="s">
        <v>319</v>
      </c>
      <c r="D289" s="5">
        <v>997338819378</v>
      </c>
      <c r="E289" s="5">
        <v>5483003498</v>
      </c>
      <c r="F289" s="5">
        <v>0</v>
      </c>
      <c r="G289" s="5">
        <v>0</v>
      </c>
      <c r="H289" s="5">
        <v>1002821822876</v>
      </c>
      <c r="I289" s="5">
        <v>88063158483</v>
      </c>
      <c r="J289" s="5">
        <v>1349360000</v>
      </c>
      <c r="K289" s="5">
        <v>913409304393</v>
      </c>
      <c r="L289" s="5">
        <v>688073486063</v>
      </c>
      <c r="M289" s="5">
        <f t="shared" si="20"/>
        <v>314748336813</v>
      </c>
      <c r="N289" s="36">
        <f t="shared" si="21"/>
        <v>45.743418862702931</v>
      </c>
      <c r="O289" s="5">
        <v>580143395957</v>
      </c>
      <c r="P289" s="36">
        <v>61.22</v>
      </c>
      <c r="Q289" s="6">
        <v>63.51</v>
      </c>
      <c r="R289" s="6">
        <v>2.35</v>
      </c>
      <c r="S289" s="5">
        <v>575446837734</v>
      </c>
      <c r="T289" s="5">
        <v>14425325912</v>
      </c>
      <c r="U289" s="5">
        <v>11348489173</v>
      </c>
      <c r="V289" s="5">
        <v>3076836739</v>
      </c>
      <c r="W289" s="5">
        <v>0</v>
      </c>
      <c r="X289" s="5">
        <v>589872163646</v>
      </c>
      <c r="Y289" s="5">
        <v>0</v>
      </c>
      <c r="Z289" s="5">
        <v>19066947827</v>
      </c>
      <c r="AA289" s="5">
        <v>5000000000</v>
      </c>
      <c r="AB289" s="5">
        <v>613939111473</v>
      </c>
      <c r="AC289" s="5">
        <v>486906353370</v>
      </c>
      <c r="AD289" s="36">
        <f t="shared" si="22"/>
        <v>21.146943259899569</v>
      </c>
      <c r="AE289" s="5">
        <v>245971833530</v>
      </c>
      <c r="AF289" s="5">
        <v>245971833530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6">
        <v>0</v>
      </c>
      <c r="AM289" s="5">
        <v>0</v>
      </c>
      <c r="AN289" s="6">
        <v>5</v>
      </c>
      <c r="AO289" s="5">
        <v>40455280376</v>
      </c>
      <c r="AP289" s="6">
        <v>5</v>
      </c>
      <c r="AQ289" s="5">
        <v>12434646007</v>
      </c>
      <c r="AR289" s="5">
        <v>14425325912</v>
      </c>
      <c r="AS289" s="5">
        <v>2928973390</v>
      </c>
      <c r="AT289" s="5">
        <f t="shared" si="23"/>
        <v>11496352522</v>
      </c>
      <c r="AU289" s="36">
        <f t="shared" si="24"/>
        <v>392.50450554622483</v>
      </c>
      <c r="AV289" s="5">
        <v>134864828374</v>
      </c>
      <c r="AW289" s="5">
        <v>35969041704</v>
      </c>
      <c r="AX289" s="5">
        <v>86713766985</v>
      </c>
      <c r="AY289" s="5">
        <v>496662475121</v>
      </c>
      <c r="AZ289" s="5">
        <v>307267577272</v>
      </c>
      <c r="BA289" s="5">
        <v>106698111276</v>
      </c>
      <c r="BB289" s="5">
        <v>266839787572</v>
      </c>
      <c r="BC289" s="5">
        <v>1002821822876</v>
      </c>
      <c r="BD289" s="5">
        <v>588673259604</v>
      </c>
      <c r="BE289" s="5">
        <v>307267577272</v>
      </c>
      <c r="BF289" s="5">
        <v>106880986000</v>
      </c>
      <c r="BG289" s="5">
        <v>171271833530</v>
      </c>
      <c r="BH289" s="5">
        <v>74700000000</v>
      </c>
      <c r="BI289" s="5">
        <v>0</v>
      </c>
      <c r="BJ289" s="48">
        <v>0</v>
      </c>
      <c r="BK289" s="5">
        <v>0</v>
      </c>
      <c r="BL289" s="5">
        <v>0</v>
      </c>
      <c r="BM289" s="5">
        <v>0</v>
      </c>
      <c r="BN289" s="5">
        <v>0</v>
      </c>
    </row>
    <row r="290" spans="1:66" x14ac:dyDescent="0.25">
      <c r="A290" s="17" t="s">
        <v>592</v>
      </c>
      <c r="B290" s="4">
        <v>2310</v>
      </c>
      <c r="C290" s="4" t="s">
        <v>320</v>
      </c>
      <c r="D290" s="5">
        <v>968934762214</v>
      </c>
      <c r="E290" s="5">
        <v>41718841166</v>
      </c>
      <c r="F290" s="5">
        <v>0</v>
      </c>
      <c r="G290" s="5">
        <v>0</v>
      </c>
      <c r="H290" s="5">
        <v>1010653603380</v>
      </c>
      <c r="I290" s="5">
        <v>77729451263</v>
      </c>
      <c r="J290" s="5">
        <v>3680850086</v>
      </c>
      <c r="K290" s="5">
        <v>929243302031</v>
      </c>
      <c r="L290" s="5">
        <v>841000395787</v>
      </c>
      <c r="M290" s="5">
        <f t="shared" si="20"/>
        <v>169653207593</v>
      </c>
      <c r="N290" s="36">
        <f t="shared" si="21"/>
        <v>20.172785701752279</v>
      </c>
      <c r="O290" s="5">
        <v>744548121964</v>
      </c>
      <c r="P290" s="36">
        <v>76.34</v>
      </c>
      <c r="Q290" s="6">
        <v>80.12</v>
      </c>
      <c r="R290" s="6">
        <v>4.34</v>
      </c>
      <c r="S290" s="5">
        <v>712666944710</v>
      </c>
      <c r="T290" s="5">
        <v>33447926128</v>
      </c>
      <c r="U290" s="5">
        <v>23200587326</v>
      </c>
      <c r="V290" s="5">
        <v>10247338802</v>
      </c>
      <c r="W290" s="5">
        <v>0</v>
      </c>
      <c r="X290" s="5">
        <v>746114870838</v>
      </c>
      <c r="Y290" s="5">
        <v>0</v>
      </c>
      <c r="Z290" s="5">
        <v>23447371278</v>
      </c>
      <c r="AA290" s="5">
        <v>2000000000</v>
      </c>
      <c r="AB290" s="5">
        <v>771562242116</v>
      </c>
      <c r="AC290" s="5">
        <v>583348118967</v>
      </c>
      <c r="AD290" s="36">
        <f t="shared" si="22"/>
        <v>27.902164518714716</v>
      </c>
      <c r="AE290" s="5">
        <v>377412537299</v>
      </c>
      <c r="AF290" s="5">
        <v>377412537299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6">
        <v>0</v>
      </c>
      <c r="AM290" s="5">
        <v>0</v>
      </c>
      <c r="AN290" s="6">
        <v>57</v>
      </c>
      <c r="AO290" s="5">
        <v>332792870325</v>
      </c>
      <c r="AP290" s="6">
        <v>55</v>
      </c>
      <c r="AQ290" s="5">
        <v>286488373375</v>
      </c>
      <c r="AR290" s="5">
        <v>33447926128</v>
      </c>
      <c r="AS290" s="5">
        <v>8708336146</v>
      </c>
      <c r="AT290" s="5">
        <f t="shared" si="23"/>
        <v>24739589982</v>
      </c>
      <c r="AU290" s="36">
        <f t="shared" si="24"/>
        <v>284.09089368195362</v>
      </c>
      <c r="AV290" s="5">
        <v>205564924285</v>
      </c>
      <c r="AW290" s="5">
        <v>48401083863</v>
      </c>
      <c r="AX290" s="5">
        <v>147959626981</v>
      </c>
      <c r="AY290" s="5">
        <v>363926906464</v>
      </c>
      <c r="AZ290" s="5">
        <v>292133728769</v>
      </c>
      <c r="BA290" s="5">
        <v>232958106120</v>
      </c>
      <c r="BB290" s="5">
        <v>257931766217</v>
      </c>
      <c r="BC290" s="5">
        <v>1010653603380</v>
      </c>
      <c r="BD290" s="5">
        <v>553410645511</v>
      </c>
      <c r="BE290" s="5">
        <v>292133728769</v>
      </c>
      <c r="BF290" s="5">
        <v>165109229100</v>
      </c>
      <c r="BG290" s="5">
        <v>283403537299</v>
      </c>
      <c r="BH290" s="5">
        <v>94009000000</v>
      </c>
      <c r="BI290" s="5">
        <v>0</v>
      </c>
      <c r="BJ290" s="48">
        <v>0</v>
      </c>
      <c r="BK290" s="5">
        <v>0</v>
      </c>
      <c r="BL290" s="5">
        <v>0</v>
      </c>
      <c r="BM290" s="5">
        <v>0</v>
      </c>
      <c r="BN290" s="5">
        <v>0</v>
      </c>
    </row>
    <row r="291" spans="1:66" s="32" customFormat="1" x14ac:dyDescent="0.25">
      <c r="A291" s="17" t="s">
        <v>592</v>
      </c>
      <c r="B291" s="8">
        <v>2399</v>
      </c>
      <c r="C291" s="8" t="s">
        <v>321</v>
      </c>
      <c r="D291" s="9">
        <v>0</v>
      </c>
      <c r="E291" s="9">
        <v>803611020</v>
      </c>
      <c r="F291" s="9">
        <v>0</v>
      </c>
      <c r="G291" s="9">
        <v>0</v>
      </c>
      <c r="H291" s="9">
        <v>803611020</v>
      </c>
      <c r="I291" s="9">
        <v>71194681</v>
      </c>
      <c r="J291" s="9">
        <v>17460000000</v>
      </c>
      <c r="K291" s="9">
        <v>-16727583661</v>
      </c>
      <c r="L291" s="9">
        <v>236813500</v>
      </c>
      <c r="M291" s="5">
        <f t="shared" si="20"/>
        <v>566797520</v>
      </c>
      <c r="N291" s="36">
        <f t="shared" si="21"/>
        <v>239.34341581033175</v>
      </c>
      <c r="O291" s="9">
        <v>0</v>
      </c>
      <c r="P291" s="36">
        <v>0</v>
      </c>
      <c r="Q291" s="10">
        <v>0</v>
      </c>
      <c r="R291" s="10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36">
        <f t="shared" si="22"/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10">
        <v>0</v>
      </c>
      <c r="AM291" s="9">
        <v>0</v>
      </c>
      <c r="AN291" s="11">
        <v>0</v>
      </c>
      <c r="AO291" s="9">
        <v>0</v>
      </c>
      <c r="AP291" s="11">
        <v>0</v>
      </c>
      <c r="AQ291" s="9">
        <v>0</v>
      </c>
      <c r="AR291" s="9">
        <v>0</v>
      </c>
      <c r="AS291" s="9">
        <v>0</v>
      </c>
      <c r="AT291" s="5">
        <f t="shared" si="23"/>
        <v>0</v>
      </c>
      <c r="AU291" s="36">
        <f t="shared" si="24"/>
        <v>0</v>
      </c>
      <c r="AV291" s="9">
        <v>0</v>
      </c>
      <c r="AW291" s="9">
        <v>0</v>
      </c>
      <c r="AX291" s="9">
        <v>0</v>
      </c>
      <c r="AY291" s="9">
        <v>0</v>
      </c>
      <c r="AZ291" s="9">
        <v>0</v>
      </c>
      <c r="BA291" s="9">
        <v>0</v>
      </c>
      <c r="BB291" s="9">
        <v>0</v>
      </c>
      <c r="BC291" s="9">
        <v>803611020</v>
      </c>
      <c r="BD291" s="9">
        <v>803611020</v>
      </c>
      <c r="BE291" s="9">
        <v>0</v>
      </c>
      <c r="BF291" s="9">
        <v>0</v>
      </c>
      <c r="BG291" s="9">
        <v>0</v>
      </c>
      <c r="BH291" s="9">
        <v>0</v>
      </c>
      <c r="BI291" s="9">
        <v>0</v>
      </c>
      <c r="BJ291" s="51">
        <v>0</v>
      </c>
      <c r="BK291" s="9">
        <v>0</v>
      </c>
      <c r="BL291" s="9">
        <v>0</v>
      </c>
      <c r="BM291" s="9">
        <v>0</v>
      </c>
      <c r="BN291" s="9">
        <v>0</v>
      </c>
    </row>
    <row r="292" spans="1:66" x14ac:dyDescent="0.25">
      <c r="A292" s="30" t="s">
        <v>593</v>
      </c>
      <c r="B292" s="13" t="s">
        <v>625</v>
      </c>
      <c r="C292" s="13" t="s">
        <v>625</v>
      </c>
      <c r="D292" s="14">
        <v>22851944426442</v>
      </c>
      <c r="E292" s="14">
        <v>1805787811741</v>
      </c>
      <c r="F292" s="14">
        <v>42565021740</v>
      </c>
      <c r="G292" s="14">
        <v>1488808520679</v>
      </c>
      <c r="H292" s="14">
        <v>26189105780602</v>
      </c>
      <c r="I292" s="14">
        <v>1894054970404</v>
      </c>
      <c r="J292" s="14">
        <v>82097713420</v>
      </c>
      <c r="K292" s="14">
        <v>24212953096778</v>
      </c>
      <c r="L292" s="14">
        <v>18187853907369</v>
      </c>
      <c r="M292" s="14">
        <f t="shared" si="20"/>
        <v>8001251873233</v>
      </c>
      <c r="N292" s="41">
        <f t="shared" si="21"/>
        <v>43.99228140924977</v>
      </c>
      <c r="O292" s="14">
        <v>18118458381140</v>
      </c>
      <c r="P292" s="41">
        <v>82.67</v>
      </c>
      <c r="Q292" s="15">
        <v>74.83</v>
      </c>
      <c r="R292" s="15">
        <v>3.94</v>
      </c>
      <c r="S292" s="14">
        <v>19813349816241</v>
      </c>
      <c r="T292" s="14">
        <v>796497510602</v>
      </c>
      <c r="U292" s="14">
        <v>306352180926</v>
      </c>
      <c r="V292" s="14">
        <v>250752853562</v>
      </c>
      <c r="W292" s="14">
        <v>239392476114</v>
      </c>
      <c r="X292" s="14">
        <v>20609847326843</v>
      </c>
      <c r="Y292" s="14">
        <v>56252575020</v>
      </c>
      <c r="Z292" s="14">
        <v>922772468271</v>
      </c>
      <c r="AA292" s="14">
        <v>118119545624</v>
      </c>
      <c r="AB292" s="14">
        <v>21650739340738</v>
      </c>
      <c r="AC292" s="14">
        <v>16672876977795</v>
      </c>
      <c r="AD292" s="41">
        <f t="shared" si="22"/>
        <v>23.613023440953064</v>
      </c>
      <c r="AE292" s="14">
        <v>10938773032005</v>
      </c>
      <c r="AF292" s="14">
        <v>10571720737359</v>
      </c>
      <c r="AG292" s="14">
        <v>222055142530</v>
      </c>
      <c r="AH292" s="14">
        <v>13277882033</v>
      </c>
      <c r="AI292" s="14">
        <v>0</v>
      </c>
      <c r="AJ292" s="14">
        <v>0</v>
      </c>
      <c r="AK292" s="14">
        <v>0</v>
      </c>
      <c r="AL292" s="15">
        <v>0</v>
      </c>
      <c r="AM292" s="14">
        <v>0</v>
      </c>
      <c r="AN292" s="16">
        <v>1254</v>
      </c>
      <c r="AO292" s="14">
        <v>12645148781188</v>
      </c>
      <c r="AP292" s="16">
        <v>2142</v>
      </c>
      <c r="AQ292" s="14">
        <v>12114412105245</v>
      </c>
      <c r="AR292" s="14">
        <v>796497510602</v>
      </c>
      <c r="AS292" s="14">
        <v>500682078110</v>
      </c>
      <c r="AT292" s="14">
        <f t="shared" si="23"/>
        <v>295815432492</v>
      </c>
      <c r="AU292" s="41">
        <f t="shared" si="24"/>
        <v>59.082488753873321</v>
      </c>
      <c r="AV292" s="14">
        <v>7202771233294</v>
      </c>
      <c r="AW292" s="14">
        <v>1839862803045</v>
      </c>
      <c r="AX292" s="14">
        <v>5163595127086</v>
      </c>
      <c r="AY292" s="14">
        <v>8337277764983</v>
      </c>
      <c r="AZ292" s="14">
        <v>4238263956194</v>
      </c>
      <c r="BA292" s="14">
        <v>6059774209195</v>
      </c>
      <c r="BB292" s="14">
        <v>3106214821350</v>
      </c>
      <c r="BC292" s="14">
        <v>26189105780602</v>
      </c>
      <c r="BD292" s="14">
        <v>16632209699504</v>
      </c>
      <c r="BE292" s="14">
        <v>4280134177934</v>
      </c>
      <c r="BF292" s="14">
        <v>5276761903164</v>
      </c>
      <c r="BG292" s="14">
        <v>7505006698463</v>
      </c>
      <c r="BH292" s="14">
        <v>3433766333542</v>
      </c>
      <c r="BI292" s="14">
        <v>0</v>
      </c>
      <c r="BJ292" s="49">
        <v>1520947302</v>
      </c>
      <c r="BK292" s="14">
        <v>333945947257</v>
      </c>
      <c r="BL292" s="14">
        <v>986413628</v>
      </c>
      <c r="BM292" s="14">
        <v>26771034054</v>
      </c>
      <c r="BN292" s="14">
        <v>63489991995</v>
      </c>
    </row>
    <row r="293" spans="1:66" s="32" customFormat="1" x14ac:dyDescent="0.25">
      <c r="A293" s="24" t="s">
        <v>594</v>
      </c>
      <c r="B293" s="8">
        <v>313</v>
      </c>
      <c r="C293" s="8" t="s">
        <v>322</v>
      </c>
      <c r="D293" s="9">
        <v>112478237589176</v>
      </c>
      <c r="E293" s="9">
        <v>2542242228690</v>
      </c>
      <c r="F293" s="9">
        <v>63642408001</v>
      </c>
      <c r="G293" s="9">
        <v>2714846431306</v>
      </c>
      <c r="H293" s="9">
        <v>117798968657173</v>
      </c>
      <c r="I293" s="9">
        <v>4378193832953</v>
      </c>
      <c r="J293" s="9">
        <v>693126393971</v>
      </c>
      <c r="K293" s="9">
        <v>112727648430249</v>
      </c>
      <c r="L293" s="9">
        <v>100102742218267</v>
      </c>
      <c r="M293" s="5">
        <f t="shared" si="20"/>
        <v>17696226438906</v>
      </c>
      <c r="N293" s="36">
        <f t="shared" si="21"/>
        <v>17.678063604212383</v>
      </c>
      <c r="O293" s="9">
        <v>115748354868632</v>
      </c>
      <c r="P293" s="36">
        <v>121.98</v>
      </c>
      <c r="Q293" s="10">
        <v>102.68</v>
      </c>
      <c r="R293" s="10">
        <v>14.96</v>
      </c>
      <c r="S293" s="9">
        <v>108931551786695</v>
      </c>
      <c r="T293" s="9">
        <v>11515430822903</v>
      </c>
      <c r="U293" s="9">
        <v>1830365844131</v>
      </c>
      <c r="V293" s="9">
        <v>1980431104049</v>
      </c>
      <c r="W293" s="9">
        <v>7704633874723</v>
      </c>
      <c r="X293" s="9">
        <v>120446982609598</v>
      </c>
      <c r="Y293" s="9">
        <v>9978439765841</v>
      </c>
      <c r="Z293" s="9">
        <v>23198429207479</v>
      </c>
      <c r="AA293" s="9">
        <v>49220191046</v>
      </c>
      <c r="AB293" s="9">
        <v>143694632008123</v>
      </c>
      <c r="AC293" s="9">
        <v>63902984930416</v>
      </c>
      <c r="AD293" s="36">
        <f t="shared" si="22"/>
        <v>88.484125961804125</v>
      </c>
      <c r="AE293" s="9">
        <v>45066545274956</v>
      </c>
      <c r="AF293" s="9">
        <v>42055034677707</v>
      </c>
      <c r="AG293" s="9">
        <v>4269326500698</v>
      </c>
      <c r="AH293" s="9">
        <v>2341614667168</v>
      </c>
      <c r="AI293" s="9">
        <v>44939210817</v>
      </c>
      <c r="AJ293" s="9">
        <v>0</v>
      </c>
      <c r="AK293" s="9">
        <v>0</v>
      </c>
      <c r="AL293" s="10">
        <v>57</v>
      </c>
      <c r="AM293" s="9">
        <v>15372554004597</v>
      </c>
      <c r="AN293" s="10">
        <v>576</v>
      </c>
      <c r="AO293" s="9">
        <v>21538992128743</v>
      </c>
      <c r="AP293" s="10">
        <v>317</v>
      </c>
      <c r="AQ293" s="9">
        <v>13623076967791</v>
      </c>
      <c r="AR293" s="9">
        <v>11515430822903</v>
      </c>
      <c r="AS293" s="9">
        <v>5757159516806</v>
      </c>
      <c r="AT293" s="5">
        <f t="shared" si="23"/>
        <v>5758271306097</v>
      </c>
      <c r="AU293" s="36">
        <f t="shared" si="24"/>
        <v>100.01931142063643</v>
      </c>
      <c r="AV293" s="9">
        <v>32380793905703</v>
      </c>
      <c r="AW293" s="9">
        <v>2707729083887</v>
      </c>
      <c r="AX293" s="9">
        <v>12790007060115</v>
      </c>
      <c r="AY293" s="9">
        <v>1726792094215</v>
      </c>
      <c r="AZ293" s="9">
        <v>10536362163097</v>
      </c>
      <c r="BA293" s="9">
        <v>150141350589745</v>
      </c>
      <c r="BB293" s="9">
        <v>1111861592470</v>
      </c>
      <c r="BC293" s="9">
        <v>59553318757173</v>
      </c>
      <c r="BD293" s="9">
        <v>19005917076928</v>
      </c>
      <c r="BE293" s="9">
        <v>10600004571098</v>
      </c>
      <c r="BF293" s="9">
        <v>88193047009147</v>
      </c>
      <c r="BG293" s="9">
        <v>21364793628742</v>
      </c>
      <c r="BH293" s="9">
        <v>23701751646214</v>
      </c>
      <c r="BI293" s="9">
        <v>125657</v>
      </c>
      <c r="BJ293" s="51">
        <v>4554997605626</v>
      </c>
      <c r="BK293" s="9">
        <v>2798166097230</v>
      </c>
      <c r="BL293" s="9">
        <v>0</v>
      </c>
      <c r="BM293" s="9">
        <v>539938824246</v>
      </c>
      <c r="BN293" s="9">
        <v>2341614667168</v>
      </c>
    </row>
    <row r="294" spans="1:66" x14ac:dyDescent="0.25">
      <c r="A294" s="30" t="s">
        <v>595</v>
      </c>
      <c r="B294" s="13" t="s">
        <v>625</v>
      </c>
      <c r="C294" s="13" t="s">
        <v>625</v>
      </c>
      <c r="D294" s="14">
        <v>112478237589176</v>
      </c>
      <c r="E294" s="14">
        <v>2542242228690</v>
      </c>
      <c r="F294" s="14">
        <v>63642408001</v>
      </c>
      <c r="G294" s="14">
        <v>2714846431306</v>
      </c>
      <c r="H294" s="14">
        <v>117798968657173</v>
      </c>
      <c r="I294" s="14">
        <v>4378193832953</v>
      </c>
      <c r="J294" s="14">
        <v>693126393971</v>
      </c>
      <c r="K294" s="14">
        <v>112727648430249</v>
      </c>
      <c r="L294" s="14">
        <v>100102742218267</v>
      </c>
      <c r="M294" s="14">
        <f t="shared" si="20"/>
        <v>17696226438906</v>
      </c>
      <c r="N294" s="41">
        <f t="shared" si="21"/>
        <v>17.678063604212383</v>
      </c>
      <c r="O294" s="14">
        <v>115748354868632</v>
      </c>
      <c r="P294" s="41">
        <v>121.98</v>
      </c>
      <c r="Q294" s="15">
        <v>102.68</v>
      </c>
      <c r="R294" s="15">
        <v>14.96</v>
      </c>
      <c r="S294" s="14">
        <v>108931551786695</v>
      </c>
      <c r="T294" s="14">
        <v>11515430822903</v>
      </c>
      <c r="U294" s="14">
        <v>1830365844131</v>
      </c>
      <c r="V294" s="14">
        <v>1980431104049</v>
      </c>
      <c r="W294" s="14">
        <v>7704633874723</v>
      </c>
      <c r="X294" s="14">
        <v>120446982609598</v>
      </c>
      <c r="Y294" s="14">
        <v>9978439765841</v>
      </c>
      <c r="Z294" s="14">
        <v>23198429207479</v>
      </c>
      <c r="AA294" s="14">
        <v>49220191046</v>
      </c>
      <c r="AB294" s="14">
        <v>143694632008123</v>
      </c>
      <c r="AC294" s="14">
        <v>63902984930416</v>
      </c>
      <c r="AD294" s="41">
        <f t="shared" si="22"/>
        <v>88.484125961804125</v>
      </c>
      <c r="AE294" s="14">
        <v>45066545274956</v>
      </c>
      <c r="AF294" s="14">
        <v>42055034677707</v>
      </c>
      <c r="AG294" s="14">
        <v>4269326500698</v>
      </c>
      <c r="AH294" s="14">
        <v>2341614667168</v>
      </c>
      <c r="AI294" s="14">
        <v>44939210817</v>
      </c>
      <c r="AJ294" s="14">
        <v>0</v>
      </c>
      <c r="AK294" s="14">
        <v>0</v>
      </c>
      <c r="AL294" s="15">
        <v>57</v>
      </c>
      <c r="AM294" s="14">
        <v>15372554004597</v>
      </c>
      <c r="AN294" s="16">
        <v>576</v>
      </c>
      <c r="AO294" s="14">
        <v>21538992128743</v>
      </c>
      <c r="AP294" s="16">
        <v>317</v>
      </c>
      <c r="AQ294" s="14">
        <v>13623076967791</v>
      </c>
      <c r="AR294" s="14">
        <v>11515430822903</v>
      </c>
      <c r="AS294" s="14">
        <v>5757159516806</v>
      </c>
      <c r="AT294" s="14">
        <f t="shared" si="23"/>
        <v>5758271306097</v>
      </c>
      <c r="AU294" s="41">
        <f t="shared" si="24"/>
        <v>100.01931142063643</v>
      </c>
      <c r="AV294" s="14">
        <v>32380793905703</v>
      </c>
      <c r="AW294" s="14">
        <v>2707729083887</v>
      </c>
      <c r="AX294" s="14">
        <v>12790007060115</v>
      </c>
      <c r="AY294" s="14">
        <v>1726792094215</v>
      </c>
      <c r="AZ294" s="14">
        <v>10536362163097</v>
      </c>
      <c r="BA294" s="14">
        <v>150141350589745</v>
      </c>
      <c r="BB294" s="14">
        <v>1111861592470</v>
      </c>
      <c r="BC294" s="14">
        <v>59553318757173</v>
      </c>
      <c r="BD294" s="14">
        <v>19005917076928</v>
      </c>
      <c r="BE294" s="14">
        <v>10600004571098</v>
      </c>
      <c r="BF294" s="14">
        <v>88193047009147</v>
      </c>
      <c r="BG294" s="14">
        <v>21364793628742</v>
      </c>
      <c r="BH294" s="14">
        <v>23701751646214</v>
      </c>
      <c r="BI294" s="14">
        <v>125657</v>
      </c>
      <c r="BJ294" s="49">
        <v>4554997605626</v>
      </c>
      <c r="BK294" s="14">
        <v>2798166097230</v>
      </c>
      <c r="BL294" s="14">
        <v>0</v>
      </c>
      <c r="BM294" s="14">
        <v>539938824246</v>
      </c>
      <c r="BN294" s="14">
        <v>2341614667168</v>
      </c>
    </row>
    <row r="295" spans="1:66" x14ac:dyDescent="0.25">
      <c r="A295" s="17" t="s">
        <v>596</v>
      </c>
      <c r="B295" s="4">
        <v>2400</v>
      </c>
      <c r="C295" s="4" t="s">
        <v>323</v>
      </c>
      <c r="D295" s="5">
        <v>5501145487215</v>
      </c>
      <c r="E295" s="5">
        <v>409869976058</v>
      </c>
      <c r="F295" s="5">
        <v>21000000000</v>
      </c>
      <c r="G295" s="5">
        <v>3339521230</v>
      </c>
      <c r="H295" s="5">
        <v>5935354984503</v>
      </c>
      <c r="I295" s="5">
        <v>351020211276</v>
      </c>
      <c r="J295" s="5">
        <v>49734452458</v>
      </c>
      <c r="K295" s="5">
        <v>5534600320769</v>
      </c>
      <c r="L295" s="5">
        <v>2658144217981</v>
      </c>
      <c r="M295" s="5">
        <f t="shared" si="20"/>
        <v>3277210766522</v>
      </c>
      <c r="N295" s="36">
        <f t="shared" si="21"/>
        <v>123.28942667419354</v>
      </c>
      <c r="O295" s="5">
        <v>14778126750066</v>
      </c>
      <c r="P295" s="36">
        <v>331.94</v>
      </c>
      <c r="Q295" s="6">
        <v>267.01</v>
      </c>
      <c r="R295" s="6">
        <v>4.9400000000000004</v>
      </c>
      <c r="S295" s="5">
        <v>18152000562103</v>
      </c>
      <c r="T295" s="5">
        <v>940683478828</v>
      </c>
      <c r="U295" s="5">
        <v>588855655668</v>
      </c>
      <c r="V295" s="5">
        <v>92787560</v>
      </c>
      <c r="W295" s="5">
        <v>351735035600</v>
      </c>
      <c r="X295" s="5">
        <v>19092684040931</v>
      </c>
      <c r="Y295" s="5">
        <v>32390414499</v>
      </c>
      <c r="Z295" s="5">
        <v>594201057293</v>
      </c>
      <c r="AA295" s="5">
        <v>15149917060</v>
      </c>
      <c r="AB295" s="5">
        <v>19702035015284</v>
      </c>
      <c r="AC295" s="5">
        <v>11675751951102</v>
      </c>
      <c r="AD295" s="36">
        <f t="shared" si="22"/>
        <v>63.524234849207829</v>
      </c>
      <c r="AE295" s="5">
        <v>12379468291689</v>
      </c>
      <c r="AF295" s="5">
        <v>12264672291689</v>
      </c>
      <c r="AG295" s="5">
        <v>0</v>
      </c>
      <c r="AH295" s="5">
        <v>3858802388</v>
      </c>
      <c r="AI295" s="5">
        <v>0</v>
      </c>
      <c r="AJ295" s="5">
        <v>0</v>
      </c>
      <c r="AK295" s="5">
        <v>0</v>
      </c>
      <c r="AL295" s="6">
        <v>0</v>
      </c>
      <c r="AM295" s="5">
        <v>0</v>
      </c>
      <c r="AN295" s="6">
        <v>59</v>
      </c>
      <c r="AO295" s="5">
        <v>1538753915962</v>
      </c>
      <c r="AP295" s="6">
        <v>152</v>
      </c>
      <c r="AQ295" s="5">
        <v>2076184788719</v>
      </c>
      <c r="AR295" s="5">
        <v>940683478828</v>
      </c>
      <c r="AS295" s="5">
        <v>144322271208</v>
      </c>
      <c r="AT295" s="5">
        <f t="shared" si="23"/>
        <v>796361207620</v>
      </c>
      <c r="AU295" s="36">
        <f t="shared" si="24"/>
        <v>551.79370512557216</v>
      </c>
      <c r="AV295" s="5">
        <v>6232121036612</v>
      </c>
      <c r="AW295" s="5">
        <v>1054131116162</v>
      </c>
      <c r="AX295" s="5">
        <v>2953837880294</v>
      </c>
      <c r="AY295" s="5">
        <v>476085977805</v>
      </c>
      <c r="AZ295" s="5">
        <v>786359802538</v>
      </c>
      <c r="BA295" s="5">
        <v>1720239270730</v>
      </c>
      <c r="BB295" s="5">
        <v>547839411922</v>
      </c>
      <c r="BC295" s="5">
        <v>5935354984503</v>
      </c>
      <c r="BD295" s="5">
        <v>3627593506977</v>
      </c>
      <c r="BE295" s="5">
        <v>807359802538</v>
      </c>
      <c r="BF295" s="5">
        <v>1500401674988</v>
      </c>
      <c r="BG295" s="5">
        <v>8448979107212</v>
      </c>
      <c r="BH295" s="5">
        <v>3930489184477</v>
      </c>
      <c r="BI295" s="5">
        <v>0</v>
      </c>
      <c r="BJ295" s="48">
        <v>0</v>
      </c>
      <c r="BK295" s="5">
        <v>0</v>
      </c>
      <c r="BL295" s="5">
        <v>0</v>
      </c>
      <c r="BM295" s="5">
        <v>0</v>
      </c>
      <c r="BN295" s="5">
        <v>3858802388</v>
      </c>
    </row>
    <row r="296" spans="1:66" x14ac:dyDescent="0.25">
      <c r="A296" s="17" t="s">
        <v>596</v>
      </c>
      <c r="B296" s="4">
        <v>2401</v>
      </c>
      <c r="C296" s="4" t="s">
        <v>324</v>
      </c>
      <c r="D296" s="5">
        <v>1033512400403</v>
      </c>
      <c r="E296" s="5">
        <v>8775316342</v>
      </c>
      <c r="F296" s="5">
        <v>0</v>
      </c>
      <c r="G296" s="5">
        <v>0</v>
      </c>
      <c r="H296" s="5">
        <v>1042287716745</v>
      </c>
      <c r="I296" s="5">
        <v>119054871545</v>
      </c>
      <c r="J296" s="5">
        <v>3789996701</v>
      </c>
      <c r="K296" s="5">
        <v>919442848499</v>
      </c>
      <c r="L296" s="5">
        <v>995443933110</v>
      </c>
      <c r="M296" s="5">
        <f t="shared" si="20"/>
        <v>46843783635</v>
      </c>
      <c r="N296" s="36">
        <f t="shared" si="21"/>
        <v>4.7058183868426475</v>
      </c>
      <c r="O296" s="5">
        <v>2077797868266</v>
      </c>
      <c r="P296" s="36">
        <v>231.35</v>
      </c>
      <c r="Q296" s="6">
        <v>225.98</v>
      </c>
      <c r="R296" s="6">
        <v>55.24</v>
      </c>
      <c r="S296" s="5">
        <v>629009704715</v>
      </c>
      <c r="T296" s="5">
        <v>1286651868147</v>
      </c>
      <c r="U296" s="5">
        <v>312534085894</v>
      </c>
      <c r="V296" s="5">
        <v>618397725443</v>
      </c>
      <c r="W296" s="5">
        <v>355720056810</v>
      </c>
      <c r="X296" s="5">
        <v>1915661572862</v>
      </c>
      <c r="Y296" s="5">
        <v>45349915178</v>
      </c>
      <c r="Z296" s="5">
        <v>490547381938</v>
      </c>
      <c r="AA296" s="5">
        <v>5100000000</v>
      </c>
      <c r="AB296" s="5">
        <v>2411308954800</v>
      </c>
      <c r="AC296" s="5">
        <v>1707914395754</v>
      </c>
      <c r="AD296" s="36">
        <f t="shared" si="22"/>
        <v>12.163793315664687</v>
      </c>
      <c r="AE296" s="5">
        <v>564252194917</v>
      </c>
      <c r="AF296" s="5">
        <v>559069794919</v>
      </c>
      <c r="AG296" s="5">
        <v>259688909264</v>
      </c>
      <c r="AH296" s="5">
        <v>0</v>
      </c>
      <c r="AI296" s="5">
        <v>0</v>
      </c>
      <c r="AJ296" s="5">
        <v>0</v>
      </c>
      <c r="AK296" s="5">
        <v>0</v>
      </c>
      <c r="AL296" s="6">
        <v>0</v>
      </c>
      <c r="AM296" s="5">
        <v>0</v>
      </c>
      <c r="AN296" s="6">
        <v>33</v>
      </c>
      <c r="AO296" s="5">
        <v>148864775000</v>
      </c>
      <c r="AP296" s="6">
        <v>12</v>
      </c>
      <c r="AQ296" s="5">
        <v>91559663221</v>
      </c>
      <c r="AR296" s="5">
        <v>1286651868147</v>
      </c>
      <c r="AS296" s="5">
        <v>350709583274</v>
      </c>
      <c r="AT296" s="5">
        <f t="shared" si="23"/>
        <v>935942284873</v>
      </c>
      <c r="AU296" s="36">
        <f t="shared" si="24"/>
        <v>266.87103219012221</v>
      </c>
      <c r="AV296" s="5">
        <v>404993332428</v>
      </c>
      <c r="AW296" s="5">
        <v>83381643456</v>
      </c>
      <c r="AX296" s="5">
        <v>319055396194</v>
      </c>
      <c r="AY296" s="5">
        <v>168560398865</v>
      </c>
      <c r="AZ296" s="5">
        <v>201814605344</v>
      </c>
      <c r="BA296" s="5">
        <v>792052852308</v>
      </c>
      <c r="BB296" s="5">
        <v>130913365480</v>
      </c>
      <c r="BC296" s="5">
        <v>1042287716745</v>
      </c>
      <c r="BD296" s="5">
        <v>496391111401</v>
      </c>
      <c r="BE296" s="5">
        <v>201814605344</v>
      </c>
      <c r="BF296" s="5">
        <v>344082000000</v>
      </c>
      <c r="BG296" s="5">
        <v>420685449150</v>
      </c>
      <c r="BH296" s="5">
        <v>143566745767</v>
      </c>
      <c r="BI296" s="5">
        <v>0</v>
      </c>
      <c r="BJ296" s="48">
        <v>27528079839</v>
      </c>
      <c r="BK296" s="5">
        <v>78447724781</v>
      </c>
      <c r="BL296" s="5">
        <v>0</v>
      </c>
      <c r="BM296" s="5">
        <v>0</v>
      </c>
      <c r="BN296" s="5">
        <v>0</v>
      </c>
    </row>
    <row r="297" spans="1:66" x14ac:dyDescent="0.25">
      <c r="A297" s="17" t="s">
        <v>596</v>
      </c>
      <c r="B297" s="4">
        <v>2402</v>
      </c>
      <c r="C297" s="4" t="s">
        <v>325</v>
      </c>
      <c r="D297" s="5">
        <v>2266733064098</v>
      </c>
      <c r="E297" s="5">
        <v>97419325372</v>
      </c>
      <c r="F297" s="5">
        <v>0</v>
      </c>
      <c r="G297" s="5">
        <v>0</v>
      </c>
      <c r="H297" s="5">
        <v>2364152389470</v>
      </c>
      <c r="I297" s="5">
        <v>163667721488</v>
      </c>
      <c r="J297" s="5">
        <v>16414223348</v>
      </c>
      <c r="K297" s="5">
        <v>2184070444634</v>
      </c>
      <c r="L297" s="5">
        <v>1594528983636</v>
      </c>
      <c r="M297" s="5">
        <f t="shared" si="20"/>
        <v>769623405834</v>
      </c>
      <c r="N297" s="36">
        <f t="shared" si="21"/>
        <v>48.266504637565752</v>
      </c>
      <c r="O297" s="5">
        <v>2857903923588</v>
      </c>
      <c r="P297" s="36">
        <v>151.52000000000001</v>
      </c>
      <c r="Q297" s="6">
        <v>130.85</v>
      </c>
      <c r="R297" s="6">
        <v>1.53</v>
      </c>
      <c r="S297" s="5">
        <v>3416048049405</v>
      </c>
      <c r="T297" s="5">
        <v>52203474360</v>
      </c>
      <c r="U297" s="5">
        <v>32850010847</v>
      </c>
      <c r="V297" s="5">
        <v>17328907307</v>
      </c>
      <c r="W297" s="5">
        <v>2024556206</v>
      </c>
      <c r="X297" s="5">
        <v>3468251523765</v>
      </c>
      <c r="Y297" s="5">
        <v>2640229073</v>
      </c>
      <c r="Z297" s="5">
        <v>107439197588</v>
      </c>
      <c r="AA297" s="5">
        <v>6506440000</v>
      </c>
      <c r="AB297" s="5">
        <v>3582197161353</v>
      </c>
      <c r="AC297" s="5">
        <v>2404686396866</v>
      </c>
      <c r="AD297" s="36">
        <f t="shared" si="22"/>
        <v>44.228849478465555</v>
      </c>
      <c r="AE297" s="5">
        <v>2989921526635</v>
      </c>
      <c r="AF297" s="5">
        <v>2578316913466</v>
      </c>
      <c r="AG297" s="5">
        <v>927255997613</v>
      </c>
      <c r="AH297" s="5">
        <v>13897824321</v>
      </c>
      <c r="AI297" s="5">
        <v>0</v>
      </c>
      <c r="AJ297" s="5">
        <v>0</v>
      </c>
      <c r="AK297" s="5">
        <v>0</v>
      </c>
      <c r="AL297" s="6">
        <v>24</v>
      </c>
      <c r="AM297" s="5">
        <v>1724095307811</v>
      </c>
      <c r="AN297" s="6">
        <v>96</v>
      </c>
      <c r="AO297" s="5">
        <v>1498978810888</v>
      </c>
      <c r="AP297" s="6">
        <v>14</v>
      </c>
      <c r="AQ297" s="5">
        <v>152765484000</v>
      </c>
      <c r="AR297" s="5">
        <v>52203474360</v>
      </c>
      <c r="AS297" s="5">
        <v>28533003490</v>
      </c>
      <c r="AT297" s="5">
        <f t="shared" si="23"/>
        <v>23670470870</v>
      </c>
      <c r="AU297" s="36">
        <f t="shared" si="24"/>
        <v>82.958216713132998</v>
      </c>
      <c r="AV297" s="5">
        <v>1653361772127</v>
      </c>
      <c r="AW297" s="5">
        <v>418521376429</v>
      </c>
      <c r="AX297" s="5">
        <v>874010380098</v>
      </c>
      <c r="AY297" s="5">
        <v>520285736821</v>
      </c>
      <c r="AZ297" s="5">
        <v>440304018375</v>
      </c>
      <c r="BA297" s="5">
        <v>488021816684</v>
      </c>
      <c r="BB297" s="5">
        <v>264885880757</v>
      </c>
      <c r="BC297" s="5">
        <v>2364152389470</v>
      </c>
      <c r="BD297" s="5">
        <v>1491715442291</v>
      </c>
      <c r="BE297" s="5">
        <v>440304018375</v>
      </c>
      <c r="BF297" s="5">
        <v>432132928804</v>
      </c>
      <c r="BG297" s="5">
        <v>2743553022440</v>
      </c>
      <c r="BH297" s="5">
        <v>246368504195</v>
      </c>
      <c r="BI297" s="5">
        <v>0</v>
      </c>
      <c r="BJ297" s="48">
        <v>0</v>
      </c>
      <c r="BK297" s="5">
        <v>713371613432</v>
      </c>
      <c r="BL297" s="5">
        <v>0</v>
      </c>
      <c r="BM297" s="5">
        <v>0</v>
      </c>
      <c r="BN297" s="5">
        <v>13897824321</v>
      </c>
    </row>
    <row r="298" spans="1:66" x14ac:dyDescent="0.25">
      <c r="A298" s="17" t="s">
        <v>596</v>
      </c>
      <c r="B298" s="4">
        <v>2403</v>
      </c>
      <c r="C298" s="4" t="s">
        <v>326</v>
      </c>
      <c r="D298" s="5">
        <v>1912725147299</v>
      </c>
      <c r="E298" s="5">
        <v>27517403640</v>
      </c>
      <c r="F298" s="5">
        <v>0</v>
      </c>
      <c r="G298" s="5">
        <v>0</v>
      </c>
      <c r="H298" s="5">
        <v>1940242550939</v>
      </c>
      <c r="I298" s="5">
        <v>165790986080</v>
      </c>
      <c r="J298" s="5">
        <v>1339558471</v>
      </c>
      <c r="K298" s="5">
        <v>1773112006388</v>
      </c>
      <c r="L298" s="5">
        <v>1380710724070</v>
      </c>
      <c r="M298" s="5">
        <f t="shared" si="20"/>
        <v>559531826869</v>
      </c>
      <c r="N298" s="36">
        <f t="shared" si="21"/>
        <v>40.524913518425933</v>
      </c>
      <c r="O298" s="5">
        <v>2809616542726</v>
      </c>
      <c r="P298" s="36">
        <v>169.53</v>
      </c>
      <c r="Q298" s="6">
        <v>158.46</v>
      </c>
      <c r="R298" s="6">
        <v>1.6</v>
      </c>
      <c r="S298" s="5">
        <v>3091152446475</v>
      </c>
      <c r="T298" s="5">
        <v>52204371881</v>
      </c>
      <c r="U298" s="5">
        <v>44980047838</v>
      </c>
      <c r="V298" s="5">
        <v>7224324043</v>
      </c>
      <c r="W298" s="5">
        <v>0</v>
      </c>
      <c r="X298" s="5">
        <v>3143356818356</v>
      </c>
      <c r="Y298" s="5">
        <v>419845442</v>
      </c>
      <c r="Z298" s="5">
        <v>139402221649</v>
      </c>
      <c r="AA298" s="5">
        <v>6500000000</v>
      </c>
      <c r="AB298" s="5">
        <v>3289259040005</v>
      </c>
      <c r="AC298" s="5">
        <v>2121273517275</v>
      </c>
      <c r="AD298" s="36">
        <f t="shared" si="22"/>
        <v>48.182532462573427</v>
      </c>
      <c r="AE298" s="5">
        <v>2110924372249</v>
      </c>
      <c r="AF298" s="5">
        <v>1821823343022</v>
      </c>
      <c r="AG298" s="5">
        <v>0</v>
      </c>
      <c r="AH298" s="5">
        <v>0</v>
      </c>
      <c r="AI298" s="5">
        <v>17529043232</v>
      </c>
      <c r="AJ298" s="5">
        <v>0</v>
      </c>
      <c r="AK298" s="5">
        <v>0</v>
      </c>
      <c r="AL298" s="6">
        <v>0</v>
      </c>
      <c r="AM298" s="5">
        <v>0</v>
      </c>
      <c r="AN298" s="6">
        <v>85</v>
      </c>
      <c r="AO298" s="5">
        <v>561264315306</v>
      </c>
      <c r="AP298" s="6">
        <v>25</v>
      </c>
      <c r="AQ298" s="5">
        <v>151863261324</v>
      </c>
      <c r="AR298" s="5">
        <v>52204371881</v>
      </c>
      <c r="AS298" s="5">
        <v>21392105179</v>
      </c>
      <c r="AT298" s="5">
        <f t="shared" si="23"/>
        <v>30812266702</v>
      </c>
      <c r="AU298" s="36">
        <f t="shared" si="24"/>
        <v>144.03569187873805</v>
      </c>
      <c r="AV298" s="5">
        <v>1148852225133</v>
      </c>
      <c r="AW298" s="5">
        <v>255468949652</v>
      </c>
      <c r="AX298" s="5">
        <v>448526640814</v>
      </c>
      <c r="AY298" s="5">
        <v>375783310446</v>
      </c>
      <c r="AZ298" s="5">
        <v>482161434129</v>
      </c>
      <c r="BA298" s="5">
        <v>768083671774</v>
      </c>
      <c r="BB298" s="5">
        <v>387034113174</v>
      </c>
      <c r="BC298" s="5">
        <v>1940242550939</v>
      </c>
      <c r="BD298" s="5">
        <v>851827354900</v>
      </c>
      <c r="BE298" s="5">
        <v>481331434129</v>
      </c>
      <c r="BF298" s="5">
        <v>607083761910</v>
      </c>
      <c r="BG298" s="5">
        <v>1687673620405</v>
      </c>
      <c r="BH298" s="5">
        <v>423250751844</v>
      </c>
      <c r="BI298" s="5">
        <v>0</v>
      </c>
      <c r="BJ298" s="48">
        <v>0</v>
      </c>
      <c r="BK298" s="5">
        <v>0</v>
      </c>
      <c r="BL298" s="5">
        <v>0</v>
      </c>
      <c r="BM298" s="5">
        <v>0</v>
      </c>
      <c r="BN298" s="5">
        <v>0</v>
      </c>
    </row>
    <row r="299" spans="1:66" x14ac:dyDescent="0.25">
      <c r="A299" s="17" t="s">
        <v>596</v>
      </c>
      <c r="B299" s="18">
        <v>2404</v>
      </c>
      <c r="C299" s="18" t="s">
        <v>327</v>
      </c>
      <c r="D299" s="19">
        <v>1649614077359</v>
      </c>
      <c r="E299" s="19">
        <v>26949041045</v>
      </c>
      <c r="F299" s="19">
        <v>0</v>
      </c>
      <c r="G299" s="19">
        <v>0</v>
      </c>
      <c r="H299" s="19">
        <v>1676563118404</v>
      </c>
      <c r="I299" s="19">
        <v>149276557618</v>
      </c>
      <c r="J299" s="19">
        <v>1375007800</v>
      </c>
      <c r="K299" s="19">
        <v>1525911552986</v>
      </c>
      <c r="L299" s="19">
        <v>1126423848743</v>
      </c>
      <c r="M299" s="5">
        <f t="shared" si="20"/>
        <v>550139269661</v>
      </c>
      <c r="N299" s="36">
        <f t="shared" si="21"/>
        <v>48.839455083884445</v>
      </c>
      <c r="O299" s="19">
        <v>1815892631116</v>
      </c>
      <c r="P299" s="36">
        <v>125.37</v>
      </c>
      <c r="Q299" s="20">
        <v>119</v>
      </c>
      <c r="R299" s="20">
        <v>1.7</v>
      </c>
      <c r="S299" s="19">
        <v>1953839083611</v>
      </c>
      <c r="T299" s="19">
        <v>30408791159</v>
      </c>
      <c r="U299" s="19">
        <v>25882530999</v>
      </c>
      <c r="V299" s="19">
        <v>1482068741</v>
      </c>
      <c r="W299" s="19">
        <v>3044191419</v>
      </c>
      <c r="X299" s="19">
        <v>1984247874770</v>
      </c>
      <c r="Y299" s="5">
        <v>5409401969</v>
      </c>
      <c r="Z299" s="19">
        <v>106984027221</v>
      </c>
      <c r="AA299" s="19">
        <v>10601300000</v>
      </c>
      <c r="AB299" s="19">
        <v>2101833201991</v>
      </c>
      <c r="AC299" s="19">
        <v>1232751251038</v>
      </c>
      <c r="AD299" s="36">
        <f t="shared" si="22"/>
        <v>60.960929717104364</v>
      </c>
      <c r="AE299" s="19">
        <v>1325508060971</v>
      </c>
      <c r="AF299" s="19">
        <v>1176889415565</v>
      </c>
      <c r="AG299" s="19">
        <v>0</v>
      </c>
      <c r="AH299" s="19">
        <v>0</v>
      </c>
      <c r="AI299" s="19">
        <v>0</v>
      </c>
      <c r="AJ299" s="19">
        <v>0</v>
      </c>
      <c r="AK299" s="19">
        <v>0</v>
      </c>
      <c r="AL299" s="20">
        <v>0</v>
      </c>
      <c r="AM299" s="19">
        <v>0</v>
      </c>
      <c r="AN299" s="21">
        <v>141</v>
      </c>
      <c r="AO299" s="19">
        <v>557999027254</v>
      </c>
      <c r="AP299" s="21">
        <v>26</v>
      </c>
      <c r="AQ299" s="19">
        <v>84200924000</v>
      </c>
      <c r="AR299" s="19">
        <v>30408791159</v>
      </c>
      <c r="AS299" s="19">
        <v>15139019451</v>
      </c>
      <c r="AT299" s="5">
        <f t="shared" si="23"/>
        <v>15269771708</v>
      </c>
      <c r="AU299" s="36">
        <f t="shared" si="24"/>
        <v>100.86367718479524</v>
      </c>
      <c r="AV299" s="19">
        <v>559774209712</v>
      </c>
      <c r="AW299" s="19">
        <v>83586122202</v>
      </c>
      <c r="AX299" s="19">
        <v>302533879010</v>
      </c>
      <c r="AY299" s="19">
        <v>468600786321</v>
      </c>
      <c r="AZ299" s="19">
        <v>494431120088</v>
      </c>
      <c r="BA299" s="19">
        <v>656265237192</v>
      </c>
      <c r="BB299" s="19">
        <v>432733421335</v>
      </c>
      <c r="BC299" s="19">
        <v>1676563118404</v>
      </c>
      <c r="BD299" s="19">
        <v>798083706376</v>
      </c>
      <c r="BE299" s="19">
        <v>494431120088</v>
      </c>
      <c r="BF299" s="19">
        <v>384048291940</v>
      </c>
      <c r="BG299" s="19">
        <v>1090121046635</v>
      </c>
      <c r="BH299" s="19">
        <v>235387014336</v>
      </c>
      <c r="BI299" s="19">
        <v>0</v>
      </c>
      <c r="BJ299" s="50">
        <v>0</v>
      </c>
      <c r="BK299" s="19">
        <v>0</v>
      </c>
      <c r="BL299" s="19">
        <v>0</v>
      </c>
      <c r="BM299" s="19">
        <v>0</v>
      </c>
      <c r="BN299" s="19">
        <v>0</v>
      </c>
    </row>
    <row r="300" spans="1:66" x14ac:dyDescent="0.25">
      <c r="A300" s="17" t="s">
        <v>596</v>
      </c>
      <c r="B300" s="4">
        <v>2405</v>
      </c>
      <c r="C300" s="4" t="s">
        <v>328</v>
      </c>
      <c r="D300" s="5">
        <v>1683160753298</v>
      </c>
      <c r="E300" s="5">
        <v>39172695097</v>
      </c>
      <c r="F300" s="5">
        <v>0</v>
      </c>
      <c r="G300" s="5">
        <v>0</v>
      </c>
      <c r="H300" s="5">
        <v>1722333448395</v>
      </c>
      <c r="I300" s="5">
        <v>141667825085</v>
      </c>
      <c r="J300" s="5">
        <v>3945892959</v>
      </c>
      <c r="K300" s="5">
        <v>1576719730351</v>
      </c>
      <c r="L300" s="5">
        <v>964729245790</v>
      </c>
      <c r="M300" s="5">
        <f t="shared" si="20"/>
        <v>757604202605</v>
      </c>
      <c r="N300" s="36">
        <f t="shared" si="21"/>
        <v>78.530241092111922</v>
      </c>
      <c r="O300" s="5">
        <v>1402489107394</v>
      </c>
      <c r="P300" s="36">
        <v>91.12</v>
      </c>
      <c r="Q300" s="6">
        <v>88.95</v>
      </c>
      <c r="R300" s="6">
        <v>2.81</v>
      </c>
      <c r="S300" s="5">
        <v>1444086452642</v>
      </c>
      <c r="T300" s="5">
        <v>40187323171</v>
      </c>
      <c r="U300" s="5">
        <v>29620607521</v>
      </c>
      <c r="V300" s="5">
        <v>8285680550</v>
      </c>
      <c r="W300" s="5">
        <v>2281035100</v>
      </c>
      <c r="X300" s="5">
        <v>1484273775813</v>
      </c>
      <c r="Y300" s="5">
        <v>3843797178</v>
      </c>
      <c r="Z300" s="5">
        <v>76241771156</v>
      </c>
      <c r="AA300" s="5">
        <v>8939294821</v>
      </c>
      <c r="AB300" s="5">
        <v>1569454841790</v>
      </c>
      <c r="AC300" s="5">
        <v>1128153448396</v>
      </c>
      <c r="AD300" s="36">
        <f t="shared" si="22"/>
        <v>31.566656816351461</v>
      </c>
      <c r="AE300" s="5">
        <v>689509290174</v>
      </c>
      <c r="AF300" s="5">
        <v>689509290174</v>
      </c>
      <c r="AG300" s="5">
        <v>0</v>
      </c>
      <c r="AH300" s="5">
        <v>0</v>
      </c>
      <c r="AI300" s="5">
        <v>0</v>
      </c>
      <c r="AJ300" s="5">
        <v>39000000000</v>
      </c>
      <c r="AK300" s="5">
        <v>0</v>
      </c>
      <c r="AL300" s="6">
        <v>0</v>
      </c>
      <c r="AM300" s="5">
        <v>0</v>
      </c>
      <c r="AN300" s="6">
        <v>145</v>
      </c>
      <c r="AO300" s="5">
        <v>578251905929</v>
      </c>
      <c r="AP300" s="6">
        <v>62</v>
      </c>
      <c r="AQ300" s="5">
        <v>331828603998</v>
      </c>
      <c r="AR300" s="5">
        <v>40187323171</v>
      </c>
      <c r="AS300" s="5">
        <v>13979748234</v>
      </c>
      <c r="AT300" s="5">
        <f t="shared" si="23"/>
        <v>26207574937</v>
      </c>
      <c r="AU300" s="36">
        <f t="shared" si="24"/>
        <v>187.46814676719879</v>
      </c>
      <c r="AV300" s="5">
        <v>353240633475</v>
      </c>
      <c r="AW300" s="5">
        <v>98617746438</v>
      </c>
      <c r="AX300" s="5">
        <v>149517485168</v>
      </c>
      <c r="AY300" s="5">
        <v>543603314710</v>
      </c>
      <c r="AZ300" s="5">
        <v>178400153420</v>
      </c>
      <c r="BA300" s="5">
        <v>856890198144</v>
      </c>
      <c r="BB300" s="5">
        <v>39704050268</v>
      </c>
      <c r="BC300" s="5">
        <v>1722333448395</v>
      </c>
      <c r="BD300" s="5">
        <v>732293494975</v>
      </c>
      <c r="BE300" s="5">
        <v>178154953420</v>
      </c>
      <c r="BF300" s="5">
        <v>811885000000</v>
      </c>
      <c r="BG300" s="5">
        <v>271858381703</v>
      </c>
      <c r="BH300" s="5">
        <v>417650908471</v>
      </c>
      <c r="BI300" s="5">
        <v>0</v>
      </c>
      <c r="BJ300" s="48">
        <v>0</v>
      </c>
      <c r="BK300" s="5">
        <v>0</v>
      </c>
      <c r="BL300" s="5">
        <v>0</v>
      </c>
      <c r="BM300" s="5">
        <v>0</v>
      </c>
      <c r="BN300" s="5">
        <v>0</v>
      </c>
    </row>
    <row r="301" spans="1:66" x14ac:dyDescent="0.25">
      <c r="A301" s="17" t="s">
        <v>596</v>
      </c>
      <c r="B301" s="4">
        <v>2406</v>
      </c>
      <c r="C301" s="4" t="s">
        <v>329</v>
      </c>
      <c r="D301" s="5">
        <v>1794827443600</v>
      </c>
      <c r="E301" s="5">
        <v>32061301958</v>
      </c>
      <c r="F301" s="5">
        <v>0</v>
      </c>
      <c r="G301" s="5">
        <v>0</v>
      </c>
      <c r="H301" s="5">
        <v>1826888745558</v>
      </c>
      <c r="I301" s="5">
        <v>172815888711</v>
      </c>
      <c r="J301" s="5">
        <v>4121382997</v>
      </c>
      <c r="K301" s="5">
        <v>1649951473850</v>
      </c>
      <c r="L301" s="5">
        <v>1293799791001</v>
      </c>
      <c r="M301" s="5">
        <f t="shared" si="20"/>
        <v>533088954557</v>
      </c>
      <c r="N301" s="36">
        <f t="shared" si="21"/>
        <v>41.203357603308497</v>
      </c>
      <c r="O301" s="5">
        <v>1763401009535</v>
      </c>
      <c r="P301" s="36">
        <v>113.18</v>
      </c>
      <c r="Q301" s="6">
        <v>106.88</v>
      </c>
      <c r="R301" s="6">
        <v>3.96</v>
      </c>
      <c r="S301" s="5">
        <v>1831203685611</v>
      </c>
      <c r="T301" s="5">
        <v>81114799670</v>
      </c>
      <c r="U301" s="5">
        <v>40999933255</v>
      </c>
      <c r="V301" s="5">
        <v>8981813980</v>
      </c>
      <c r="W301" s="5">
        <v>31133052435</v>
      </c>
      <c r="X301" s="5">
        <v>1912318485281</v>
      </c>
      <c r="Y301" s="5">
        <v>835032667</v>
      </c>
      <c r="Z301" s="5">
        <v>134501340913</v>
      </c>
      <c r="AA301" s="5">
        <v>20849973973</v>
      </c>
      <c r="AB301" s="5">
        <v>2067669800167</v>
      </c>
      <c r="AC301" s="5">
        <v>1471381042195</v>
      </c>
      <c r="AD301" s="36">
        <f t="shared" si="22"/>
        <v>29.967590341398676</v>
      </c>
      <c r="AE301" s="5">
        <v>1171292596504</v>
      </c>
      <c r="AF301" s="5">
        <v>1118504563629</v>
      </c>
      <c r="AG301" s="5">
        <v>38694200482</v>
      </c>
      <c r="AH301" s="5">
        <v>119644773</v>
      </c>
      <c r="AI301" s="5">
        <v>7725975619</v>
      </c>
      <c r="AJ301" s="5">
        <v>0</v>
      </c>
      <c r="AK301" s="5">
        <v>0</v>
      </c>
      <c r="AL301" s="6">
        <v>5</v>
      </c>
      <c r="AM301" s="5">
        <v>171139756824</v>
      </c>
      <c r="AN301" s="6">
        <v>47</v>
      </c>
      <c r="AO301" s="5">
        <v>172933290192</v>
      </c>
      <c r="AP301" s="6">
        <v>14</v>
      </c>
      <c r="AQ301" s="5">
        <v>401160640409</v>
      </c>
      <c r="AR301" s="5">
        <v>81114799670</v>
      </c>
      <c r="AS301" s="5">
        <v>67112060285</v>
      </c>
      <c r="AT301" s="5">
        <f t="shared" si="23"/>
        <v>14002739385</v>
      </c>
      <c r="AU301" s="36">
        <f t="shared" si="24"/>
        <v>20.864713921068084</v>
      </c>
      <c r="AV301" s="5">
        <v>664839901109</v>
      </c>
      <c r="AW301" s="5">
        <v>184811689169</v>
      </c>
      <c r="AX301" s="5">
        <v>198055053428</v>
      </c>
      <c r="AY301" s="5">
        <v>667697719118</v>
      </c>
      <c r="AZ301" s="5">
        <v>294844537829</v>
      </c>
      <c r="BA301" s="5">
        <v>894111906229</v>
      </c>
      <c r="BB301" s="5">
        <v>172017795830</v>
      </c>
      <c r="BC301" s="5">
        <v>1826888745558</v>
      </c>
      <c r="BD301" s="5">
        <v>897814217014</v>
      </c>
      <c r="BE301" s="5">
        <v>294844537829</v>
      </c>
      <c r="BF301" s="5">
        <v>634229990715</v>
      </c>
      <c r="BG301" s="5">
        <v>849126256942</v>
      </c>
      <c r="BH301" s="5">
        <v>322166339562</v>
      </c>
      <c r="BI301" s="5">
        <v>0</v>
      </c>
      <c r="BJ301" s="48">
        <v>0</v>
      </c>
      <c r="BK301" s="5">
        <v>38694210483</v>
      </c>
      <c r="BL301" s="5">
        <v>0</v>
      </c>
      <c r="BM301" s="5">
        <v>31028095569</v>
      </c>
      <c r="BN301" s="5">
        <v>119644773</v>
      </c>
    </row>
    <row r="302" spans="1:66" x14ac:dyDescent="0.25">
      <c r="A302" s="17" t="s">
        <v>596</v>
      </c>
      <c r="B302" s="4">
        <v>2407</v>
      </c>
      <c r="C302" s="4" t="s">
        <v>330</v>
      </c>
      <c r="D302" s="5">
        <v>1307764262638</v>
      </c>
      <c r="E302" s="5">
        <v>41095352310</v>
      </c>
      <c r="F302" s="5">
        <v>0</v>
      </c>
      <c r="G302" s="5">
        <v>0</v>
      </c>
      <c r="H302" s="5">
        <v>1348859614948</v>
      </c>
      <c r="I302" s="5">
        <v>144470676883</v>
      </c>
      <c r="J302" s="5">
        <v>12690536133</v>
      </c>
      <c r="K302" s="5">
        <v>1191698401932</v>
      </c>
      <c r="L302" s="5">
        <v>1225260413038</v>
      </c>
      <c r="M302" s="5">
        <f t="shared" si="20"/>
        <v>123599201910</v>
      </c>
      <c r="N302" s="36">
        <f t="shared" si="21"/>
        <v>10.087586328161793</v>
      </c>
      <c r="O302" s="5">
        <v>1282075176796</v>
      </c>
      <c r="P302" s="36">
        <v>109.23</v>
      </c>
      <c r="Q302" s="6">
        <v>107.58</v>
      </c>
      <c r="R302" s="6">
        <v>2.0099999999999998</v>
      </c>
      <c r="S302" s="5">
        <v>1363821610831</v>
      </c>
      <c r="T302" s="5">
        <v>29552428891</v>
      </c>
      <c r="U302" s="5">
        <v>26904165314</v>
      </c>
      <c r="V302" s="5">
        <v>2648263577</v>
      </c>
      <c r="W302" s="5">
        <v>0</v>
      </c>
      <c r="X302" s="5">
        <v>1393374039722</v>
      </c>
      <c r="Y302" s="5">
        <v>0</v>
      </c>
      <c r="Z302" s="5">
        <v>73983707095</v>
      </c>
      <c r="AA302" s="5">
        <v>5980000000</v>
      </c>
      <c r="AB302" s="5">
        <v>1473337746817</v>
      </c>
      <c r="AC302" s="5">
        <v>1452025484394</v>
      </c>
      <c r="AD302" s="36">
        <f t="shared" si="22"/>
        <v>-4.0392847992249985</v>
      </c>
      <c r="AE302" s="5">
        <v>649449673711</v>
      </c>
      <c r="AF302" s="5">
        <v>645110407959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6">
        <v>0</v>
      </c>
      <c r="AM302" s="5">
        <v>0</v>
      </c>
      <c r="AN302" s="6">
        <v>98</v>
      </c>
      <c r="AO302" s="5">
        <v>361289102161</v>
      </c>
      <c r="AP302" s="6">
        <v>69</v>
      </c>
      <c r="AQ302" s="5">
        <v>178525685839</v>
      </c>
      <c r="AR302" s="5">
        <v>29552428891</v>
      </c>
      <c r="AS302" s="5">
        <v>5633467140</v>
      </c>
      <c r="AT302" s="5">
        <f t="shared" si="23"/>
        <v>23918961751</v>
      </c>
      <c r="AU302" s="36">
        <f t="shared" si="24"/>
        <v>424.58686909106564</v>
      </c>
      <c r="AV302" s="5">
        <v>661171154795</v>
      </c>
      <c r="AW302" s="5">
        <v>77174715040</v>
      </c>
      <c r="AX302" s="5">
        <v>313317146804</v>
      </c>
      <c r="AY302" s="5">
        <v>359020468150</v>
      </c>
      <c r="AZ302" s="5">
        <v>298472847684</v>
      </c>
      <c r="BA302" s="5">
        <v>728358543352</v>
      </c>
      <c r="BB302" s="5">
        <v>146693476991</v>
      </c>
      <c r="BC302" s="5">
        <v>1348859614948</v>
      </c>
      <c r="BD302" s="5">
        <v>713432967264</v>
      </c>
      <c r="BE302" s="5">
        <v>298472847684</v>
      </c>
      <c r="BF302" s="5">
        <v>336953800000</v>
      </c>
      <c r="BG302" s="5">
        <v>369118500000</v>
      </c>
      <c r="BH302" s="5">
        <v>280331173711</v>
      </c>
      <c r="BI302" s="5">
        <v>0</v>
      </c>
      <c r="BJ302" s="48">
        <v>0</v>
      </c>
      <c r="BK302" s="5">
        <v>0</v>
      </c>
      <c r="BL302" s="5">
        <v>0</v>
      </c>
      <c r="BM302" s="5">
        <v>0</v>
      </c>
      <c r="BN302" s="5">
        <v>0</v>
      </c>
    </row>
    <row r="303" spans="1:66" x14ac:dyDescent="0.25">
      <c r="A303" s="17" t="s">
        <v>596</v>
      </c>
      <c r="B303" s="4">
        <v>2408</v>
      </c>
      <c r="C303" s="4" t="s">
        <v>331</v>
      </c>
      <c r="D303" s="5">
        <v>1263962313550</v>
      </c>
      <c r="E303" s="5">
        <v>14151646620</v>
      </c>
      <c r="F303" s="5">
        <v>0</v>
      </c>
      <c r="G303" s="5">
        <v>0</v>
      </c>
      <c r="H303" s="5">
        <v>1278113960170</v>
      </c>
      <c r="I303" s="5">
        <v>82886618042</v>
      </c>
      <c r="J303" s="5">
        <v>2042286519</v>
      </c>
      <c r="K303" s="5">
        <v>1193185055609</v>
      </c>
      <c r="L303" s="5">
        <v>721079779276</v>
      </c>
      <c r="M303" s="5">
        <f t="shared" si="20"/>
        <v>557034180894</v>
      </c>
      <c r="N303" s="36">
        <f t="shared" si="21"/>
        <v>77.250007128655042</v>
      </c>
      <c r="O303" s="5">
        <v>782094201435</v>
      </c>
      <c r="P303" s="36">
        <v>68</v>
      </c>
      <c r="Q303" s="6">
        <v>65.55</v>
      </c>
      <c r="R303" s="6">
        <v>1.3</v>
      </c>
      <c r="S303" s="5">
        <v>802691079293</v>
      </c>
      <c r="T303" s="5">
        <v>11034901618</v>
      </c>
      <c r="U303" s="5">
        <v>11034901618</v>
      </c>
      <c r="V303" s="5">
        <v>0</v>
      </c>
      <c r="W303" s="5">
        <v>0</v>
      </c>
      <c r="X303" s="5">
        <v>813725980911</v>
      </c>
      <c r="Y303" s="5">
        <v>297844152</v>
      </c>
      <c r="Z303" s="5">
        <v>48326433263</v>
      </c>
      <c r="AA303" s="5">
        <v>7098859100</v>
      </c>
      <c r="AB303" s="5">
        <v>869151273274</v>
      </c>
      <c r="AC303" s="5">
        <v>710857772770</v>
      </c>
      <c r="AD303" s="36">
        <f t="shared" si="22"/>
        <v>14.470997164475444</v>
      </c>
      <c r="AE303" s="5">
        <v>461900639158</v>
      </c>
      <c r="AF303" s="5">
        <v>461900639158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6">
        <v>0</v>
      </c>
      <c r="AM303" s="5">
        <v>0</v>
      </c>
      <c r="AN303" s="6">
        <v>11</v>
      </c>
      <c r="AO303" s="5">
        <v>334781209963</v>
      </c>
      <c r="AP303" s="6">
        <v>7</v>
      </c>
      <c r="AQ303" s="5">
        <v>51150764730</v>
      </c>
      <c r="AR303" s="5">
        <v>11034901618</v>
      </c>
      <c r="AS303" s="5">
        <v>4854236103</v>
      </c>
      <c r="AT303" s="5">
        <f t="shared" si="23"/>
        <v>6180665515</v>
      </c>
      <c r="AU303" s="36">
        <f t="shared" si="24"/>
        <v>127.32519358051506</v>
      </c>
      <c r="AV303" s="5">
        <v>362072576668</v>
      </c>
      <c r="AW303" s="5">
        <v>51537498303</v>
      </c>
      <c r="AX303" s="5">
        <v>602866986237</v>
      </c>
      <c r="AY303" s="5">
        <v>226611644780</v>
      </c>
      <c r="AZ303" s="5">
        <v>194033710689</v>
      </c>
      <c r="BA303" s="5">
        <v>584028180524</v>
      </c>
      <c r="BB303" s="5">
        <v>55025867181</v>
      </c>
      <c r="BC303" s="5">
        <v>1278113960170</v>
      </c>
      <c r="BD303" s="5">
        <v>843630277637</v>
      </c>
      <c r="BE303" s="5">
        <v>194033710689</v>
      </c>
      <c r="BF303" s="5">
        <v>240449971844</v>
      </c>
      <c r="BG303" s="5">
        <v>289356146575</v>
      </c>
      <c r="BH303" s="5">
        <v>172544492583</v>
      </c>
      <c r="BI303" s="5">
        <v>0</v>
      </c>
      <c r="BJ303" s="48">
        <v>0</v>
      </c>
      <c r="BK303" s="5">
        <v>0</v>
      </c>
      <c r="BL303" s="5">
        <v>0</v>
      </c>
      <c r="BM303" s="5">
        <v>0</v>
      </c>
      <c r="BN303" s="5">
        <v>0</v>
      </c>
    </row>
    <row r="304" spans="1:66" x14ac:dyDescent="0.25">
      <c r="A304" s="17" t="s">
        <v>596</v>
      </c>
      <c r="B304" s="4">
        <v>2409</v>
      </c>
      <c r="C304" s="4" t="s">
        <v>332</v>
      </c>
      <c r="D304" s="5">
        <v>1258489685997</v>
      </c>
      <c r="E304" s="5">
        <v>365159001114</v>
      </c>
      <c r="F304" s="5">
        <v>0</v>
      </c>
      <c r="G304" s="5">
        <v>0</v>
      </c>
      <c r="H304" s="5">
        <v>1623648687111</v>
      </c>
      <c r="I304" s="5">
        <v>138317652662</v>
      </c>
      <c r="J304" s="5">
        <v>5425906390</v>
      </c>
      <c r="K304" s="5">
        <v>1479905128059</v>
      </c>
      <c r="L304" s="5">
        <v>985161900335</v>
      </c>
      <c r="M304" s="5">
        <f t="shared" si="20"/>
        <v>638486786776</v>
      </c>
      <c r="N304" s="36">
        <f t="shared" si="21"/>
        <v>64.8103409763294</v>
      </c>
      <c r="O304" s="5">
        <v>929847561542</v>
      </c>
      <c r="P304" s="36">
        <v>66.12</v>
      </c>
      <c r="Q304" s="6">
        <v>62.83</v>
      </c>
      <c r="R304" s="6">
        <v>3.11</v>
      </c>
      <c r="S304" s="5">
        <v>989119242503</v>
      </c>
      <c r="T304" s="5">
        <v>33427350106</v>
      </c>
      <c r="U304" s="5">
        <v>19093802815</v>
      </c>
      <c r="V304" s="5">
        <v>14333547291</v>
      </c>
      <c r="W304" s="5">
        <v>0</v>
      </c>
      <c r="X304" s="5">
        <v>1022546592609</v>
      </c>
      <c r="Y304" s="5">
        <v>0</v>
      </c>
      <c r="Z304" s="5">
        <v>48622986361</v>
      </c>
      <c r="AA304" s="5">
        <v>2349992000</v>
      </c>
      <c r="AB304" s="5">
        <v>1073519570970</v>
      </c>
      <c r="AC304" s="5">
        <v>902978825327</v>
      </c>
      <c r="AD304" s="36">
        <f t="shared" si="22"/>
        <v>13.241480744434995</v>
      </c>
      <c r="AE304" s="5">
        <v>536280833517</v>
      </c>
      <c r="AF304" s="5">
        <v>536280833517</v>
      </c>
      <c r="AG304" s="5">
        <v>0</v>
      </c>
      <c r="AH304" s="5">
        <v>12774307663</v>
      </c>
      <c r="AI304" s="5">
        <v>0</v>
      </c>
      <c r="AJ304" s="5">
        <v>0</v>
      </c>
      <c r="AK304" s="5">
        <v>0</v>
      </c>
      <c r="AL304" s="6">
        <v>0</v>
      </c>
      <c r="AM304" s="5">
        <v>0</v>
      </c>
      <c r="AN304" s="6">
        <v>126</v>
      </c>
      <c r="AO304" s="5">
        <v>5868227761599</v>
      </c>
      <c r="AP304" s="6">
        <v>114</v>
      </c>
      <c r="AQ304" s="5">
        <v>4349498559174</v>
      </c>
      <c r="AR304" s="5">
        <v>33427350106</v>
      </c>
      <c r="AS304" s="5">
        <v>90926759245</v>
      </c>
      <c r="AT304" s="5">
        <f t="shared" si="23"/>
        <v>-57499409139</v>
      </c>
      <c r="AU304" s="36">
        <f t="shared" si="24"/>
        <v>-63.237059823136555</v>
      </c>
      <c r="AV304" s="5">
        <v>441296185402</v>
      </c>
      <c r="AW304" s="5">
        <v>210495293838</v>
      </c>
      <c r="AX304" s="5">
        <v>222238112722</v>
      </c>
      <c r="AY304" s="5">
        <v>420331361935</v>
      </c>
      <c r="AZ304" s="5">
        <v>226005791962</v>
      </c>
      <c r="BA304" s="5">
        <v>589315061126</v>
      </c>
      <c r="BB304" s="5">
        <v>157516537672</v>
      </c>
      <c r="BC304" s="5">
        <v>1623648687111</v>
      </c>
      <c r="BD304" s="5">
        <v>1007728475771</v>
      </c>
      <c r="BE304" s="5">
        <v>226005791962</v>
      </c>
      <c r="BF304" s="5">
        <v>389914419378</v>
      </c>
      <c r="BG304" s="5">
        <v>375569938054</v>
      </c>
      <c r="BH304" s="5">
        <v>160710895463</v>
      </c>
      <c r="BI304" s="5">
        <v>0</v>
      </c>
      <c r="BJ304" s="48">
        <v>0</v>
      </c>
      <c r="BK304" s="5">
        <v>0</v>
      </c>
      <c r="BL304" s="5">
        <v>85455000</v>
      </c>
      <c r="BM304" s="5">
        <v>0</v>
      </c>
      <c r="BN304" s="5">
        <v>13942102663</v>
      </c>
    </row>
    <row r="305" spans="1:66" x14ac:dyDescent="0.25">
      <c r="A305" s="17" t="s">
        <v>596</v>
      </c>
      <c r="B305" s="4">
        <v>2410</v>
      </c>
      <c r="C305" s="4" t="s">
        <v>333</v>
      </c>
      <c r="D305" s="5">
        <v>1442144405402</v>
      </c>
      <c r="E305" s="5">
        <v>7134542567</v>
      </c>
      <c r="F305" s="5">
        <v>0</v>
      </c>
      <c r="G305" s="5">
        <v>0</v>
      </c>
      <c r="H305" s="5">
        <v>1449278947969</v>
      </c>
      <c r="I305" s="5">
        <v>140997972903</v>
      </c>
      <c r="J305" s="5">
        <v>525857104</v>
      </c>
      <c r="K305" s="5">
        <v>1307755117962</v>
      </c>
      <c r="L305" s="5">
        <v>1168226076120</v>
      </c>
      <c r="M305" s="5">
        <f t="shared" si="20"/>
        <v>281052871849</v>
      </c>
      <c r="N305" s="36">
        <f t="shared" si="21"/>
        <v>24.058089234102177</v>
      </c>
      <c r="O305" s="5">
        <v>1792190925218</v>
      </c>
      <c r="P305" s="36">
        <v>147.22</v>
      </c>
      <c r="Q305" s="6">
        <v>137.04</v>
      </c>
      <c r="R305" s="6">
        <v>1.4</v>
      </c>
      <c r="S305" s="5">
        <v>2015918349244</v>
      </c>
      <c r="T305" s="5">
        <v>29328072706</v>
      </c>
      <c r="U305" s="5">
        <v>24098196225</v>
      </c>
      <c r="V305" s="5">
        <v>4582510252</v>
      </c>
      <c r="W305" s="5">
        <v>647366229</v>
      </c>
      <c r="X305" s="5">
        <v>2045246421950</v>
      </c>
      <c r="Y305" s="5">
        <v>552129796</v>
      </c>
      <c r="Z305" s="5">
        <v>83437195219</v>
      </c>
      <c r="AA305" s="5">
        <v>5000000000</v>
      </c>
      <c r="AB305" s="5">
        <v>2133683617169</v>
      </c>
      <c r="AC305" s="5">
        <v>1611987083633</v>
      </c>
      <c r="AD305" s="36">
        <f t="shared" si="22"/>
        <v>26.877345526897528</v>
      </c>
      <c r="AE305" s="5">
        <v>908577135748</v>
      </c>
      <c r="AF305" s="5">
        <v>908577135748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6">
        <v>0</v>
      </c>
      <c r="AM305" s="5">
        <v>0</v>
      </c>
      <c r="AN305" s="6">
        <v>49</v>
      </c>
      <c r="AO305" s="5">
        <v>241239046682</v>
      </c>
      <c r="AP305" s="6">
        <v>7</v>
      </c>
      <c r="AQ305" s="5">
        <v>31311419715</v>
      </c>
      <c r="AR305" s="5">
        <v>29328072706</v>
      </c>
      <c r="AS305" s="5">
        <v>19599271926</v>
      </c>
      <c r="AT305" s="5">
        <f t="shared" si="23"/>
        <v>9728800780</v>
      </c>
      <c r="AU305" s="36">
        <f t="shared" si="24"/>
        <v>49.638582579661893</v>
      </c>
      <c r="AV305" s="5">
        <v>506843458231</v>
      </c>
      <c r="AW305" s="5">
        <v>118910514858</v>
      </c>
      <c r="AX305" s="5">
        <v>171755994162</v>
      </c>
      <c r="AY305" s="5">
        <v>406873148746</v>
      </c>
      <c r="AZ305" s="5">
        <v>249739097846</v>
      </c>
      <c r="BA305" s="5">
        <v>943697945872</v>
      </c>
      <c r="BB305" s="5">
        <v>136662723225</v>
      </c>
      <c r="BC305" s="5">
        <v>1449278947969</v>
      </c>
      <c r="BD305" s="5">
        <v>585763685475</v>
      </c>
      <c r="BE305" s="5">
        <v>249739097846</v>
      </c>
      <c r="BF305" s="5">
        <v>613776164648</v>
      </c>
      <c r="BG305" s="5">
        <v>475174080000</v>
      </c>
      <c r="BH305" s="5">
        <v>433403055748</v>
      </c>
      <c r="BI305" s="5">
        <v>0</v>
      </c>
      <c r="BJ305" s="48">
        <v>0</v>
      </c>
      <c r="BK305" s="5">
        <v>0</v>
      </c>
      <c r="BL305" s="5">
        <v>0</v>
      </c>
      <c r="BM305" s="5">
        <v>0</v>
      </c>
      <c r="BN305" s="5">
        <v>0</v>
      </c>
    </row>
    <row r="306" spans="1:66" x14ac:dyDescent="0.25">
      <c r="A306" s="17" t="s">
        <v>596</v>
      </c>
      <c r="B306" s="4">
        <v>2411</v>
      </c>
      <c r="C306" s="4" t="s">
        <v>334</v>
      </c>
      <c r="D306" s="5">
        <v>2203805880516</v>
      </c>
      <c r="E306" s="5">
        <v>130744594959</v>
      </c>
      <c r="F306" s="5">
        <v>0</v>
      </c>
      <c r="G306" s="5">
        <v>0</v>
      </c>
      <c r="H306" s="5">
        <v>2334550475475</v>
      </c>
      <c r="I306" s="5">
        <v>240444634620</v>
      </c>
      <c r="J306" s="5">
        <v>1829763990</v>
      </c>
      <c r="K306" s="5">
        <v>2092276076865</v>
      </c>
      <c r="L306" s="5">
        <v>2871070988801</v>
      </c>
      <c r="M306" s="5">
        <f t="shared" si="20"/>
        <v>-536520513326</v>
      </c>
      <c r="N306" s="36">
        <f t="shared" si="21"/>
        <v>-18.687121127229897</v>
      </c>
      <c r="O306" s="5">
        <v>2497822698208</v>
      </c>
      <c r="P306" s="36">
        <v>125.92</v>
      </c>
      <c r="Q306" s="6">
        <v>119.38</v>
      </c>
      <c r="R306" s="6">
        <v>6.14</v>
      </c>
      <c r="S306" s="5">
        <v>2633791720596</v>
      </c>
      <c r="T306" s="5">
        <v>122141646331</v>
      </c>
      <c r="U306" s="5">
        <v>55903347688</v>
      </c>
      <c r="V306" s="5">
        <v>1368159898</v>
      </c>
      <c r="W306" s="5">
        <v>64870138745</v>
      </c>
      <c r="X306" s="5">
        <v>2755933366927</v>
      </c>
      <c r="Y306" s="5">
        <v>58225100931</v>
      </c>
      <c r="Z306" s="5">
        <v>178342964260</v>
      </c>
      <c r="AA306" s="5">
        <v>5500000000</v>
      </c>
      <c r="AB306" s="5">
        <v>2939776331187</v>
      </c>
      <c r="AC306" s="5">
        <v>3726320305534</v>
      </c>
      <c r="AD306" s="36">
        <f t="shared" si="22"/>
        <v>-26.041425831425911</v>
      </c>
      <c r="AE306" s="5">
        <v>2552095904157</v>
      </c>
      <c r="AF306" s="5">
        <v>2485425904157</v>
      </c>
      <c r="AG306" s="5">
        <v>6334229228</v>
      </c>
      <c r="AH306" s="5">
        <v>0</v>
      </c>
      <c r="AI306" s="5">
        <v>0</v>
      </c>
      <c r="AJ306" s="5">
        <v>0</v>
      </c>
      <c r="AK306" s="5">
        <v>0</v>
      </c>
      <c r="AL306" s="6">
        <v>1</v>
      </c>
      <c r="AM306" s="5">
        <v>21114097425</v>
      </c>
      <c r="AN306" s="6">
        <v>158</v>
      </c>
      <c r="AO306" s="5">
        <v>1311704214589</v>
      </c>
      <c r="AP306" s="6">
        <v>102</v>
      </c>
      <c r="AQ306" s="5">
        <v>1245839914633</v>
      </c>
      <c r="AR306" s="5">
        <v>122141646331</v>
      </c>
      <c r="AS306" s="5">
        <v>115950653545</v>
      </c>
      <c r="AT306" s="5">
        <f t="shared" si="23"/>
        <v>6190992786</v>
      </c>
      <c r="AU306" s="36">
        <f t="shared" si="24"/>
        <v>5.3393341018102145</v>
      </c>
      <c r="AV306" s="5">
        <v>3235858495186</v>
      </c>
      <c r="AW306" s="5">
        <v>349884795182</v>
      </c>
      <c r="AX306" s="5">
        <v>614846177326</v>
      </c>
      <c r="AY306" s="5">
        <v>483353939045</v>
      </c>
      <c r="AZ306" s="5">
        <v>378811763545</v>
      </c>
      <c r="BA306" s="5">
        <v>761872600408</v>
      </c>
      <c r="BB306" s="5">
        <v>282713841224</v>
      </c>
      <c r="BC306" s="5">
        <v>2334550475475</v>
      </c>
      <c r="BD306" s="5">
        <v>1228944711330</v>
      </c>
      <c r="BE306" s="5">
        <v>378811763545</v>
      </c>
      <c r="BF306" s="5">
        <v>726794000600</v>
      </c>
      <c r="BG306" s="5">
        <v>2082758400528</v>
      </c>
      <c r="BH306" s="5">
        <v>469337503629</v>
      </c>
      <c r="BI306" s="5">
        <v>0</v>
      </c>
      <c r="BJ306" s="48">
        <v>0</v>
      </c>
      <c r="BK306" s="5">
        <v>6334229228</v>
      </c>
      <c r="BL306" s="5">
        <v>0</v>
      </c>
      <c r="BM306" s="5">
        <v>0</v>
      </c>
      <c r="BN306" s="5">
        <v>0</v>
      </c>
    </row>
    <row r="307" spans="1:66" x14ac:dyDescent="0.25">
      <c r="A307" s="17" t="s">
        <v>596</v>
      </c>
      <c r="B307" s="4">
        <v>2412</v>
      </c>
      <c r="C307" s="4" t="s">
        <v>335</v>
      </c>
      <c r="D307" s="5">
        <v>913160615887</v>
      </c>
      <c r="E307" s="5">
        <v>48844273177</v>
      </c>
      <c r="F307" s="5">
        <v>0</v>
      </c>
      <c r="G307" s="5">
        <v>0</v>
      </c>
      <c r="H307" s="5">
        <v>962004889064</v>
      </c>
      <c r="I307" s="5">
        <v>79979466160</v>
      </c>
      <c r="J307" s="5">
        <v>714992244</v>
      </c>
      <c r="K307" s="5">
        <v>881310430660</v>
      </c>
      <c r="L307" s="5">
        <v>962428591190</v>
      </c>
      <c r="M307" s="5">
        <f t="shared" si="20"/>
        <v>-423702126</v>
      </c>
      <c r="N307" s="36">
        <f t="shared" si="21"/>
        <v>-4.4024266306979851E-2</v>
      </c>
      <c r="O307" s="5">
        <v>1012763804748</v>
      </c>
      <c r="P307" s="36">
        <v>121.25</v>
      </c>
      <c r="Q307" s="6">
        <v>114.92</v>
      </c>
      <c r="R307" s="6">
        <v>2.58</v>
      </c>
      <c r="S307" s="5">
        <v>1064478456691</v>
      </c>
      <c r="T307" s="5">
        <v>27468031743</v>
      </c>
      <c r="U307" s="5">
        <v>22397714253</v>
      </c>
      <c r="V307" s="5">
        <v>4137799482</v>
      </c>
      <c r="W307" s="5">
        <v>932518008</v>
      </c>
      <c r="X307" s="5">
        <v>1091946488434</v>
      </c>
      <c r="Y307" s="5">
        <v>2629154995</v>
      </c>
      <c r="Z307" s="5">
        <v>66959711168</v>
      </c>
      <c r="AA307" s="5">
        <v>7499600000</v>
      </c>
      <c r="AB307" s="5">
        <v>1166405799602</v>
      </c>
      <c r="AC307" s="5">
        <v>709244430554</v>
      </c>
      <c r="AD307" s="36">
        <f t="shared" si="22"/>
        <v>53.959120635049118</v>
      </c>
      <c r="AE307" s="5">
        <v>704264303594</v>
      </c>
      <c r="AF307" s="5">
        <v>704264303594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6">
        <v>0</v>
      </c>
      <c r="AM307" s="5">
        <v>0</v>
      </c>
      <c r="AN307" s="6">
        <v>69</v>
      </c>
      <c r="AO307" s="5">
        <v>277886770000</v>
      </c>
      <c r="AP307" s="6">
        <v>22</v>
      </c>
      <c r="AQ307" s="5">
        <v>405292964794</v>
      </c>
      <c r="AR307" s="5">
        <v>27468031743</v>
      </c>
      <c r="AS307" s="5">
        <v>13831481725</v>
      </c>
      <c r="AT307" s="5">
        <f t="shared" si="23"/>
        <v>13636550018</v>
      </c>
      <c r="AU307" s="36">
        <f t="shared" si="24"/>
        <v>98.590666489132062</v>
      </c>
      <c r="AV307" s="5">
        <v>342388810063</v>
      </c>
      <c r="AW307" s="5">
        <v>79317482328</v>
      </c>
      <c r="AX307" s="5">
        <v>52641809685</v>
      </c>
      <c r="AY307" s="5">
        <v>390359080459</v>
      </c>
      <c r="AZ307" s="5">
        <v>251499725743</v>
      </c>
      <c r="BA307" s="5">
        <v>330015679316</v>
      </c>
      <c r="BB307" s="5">
        <v>178124818849</v>
      </c>
      <c r="BC307" s="5">
        <v>962004889064</v>
      </c>
      <c r="BD307" s="5">
        <v>491845163321</v>
      </c>
      <c r="BE307" s="5">
        <v>251499725743</v>
      </c>
      <c r="BF307" s="5">
        <v>218660000000</v>
      </c>
      <c r="BG307" s="5">
        <v>464557270587</v>
      </c>
      <c r="BH307" s="5">
        <v>239707033007</v>
      </c>
      <c r="BI307" s="5">
        <v>0</v>
      </c>
      <c r="BJ307" s="48">
        <v>0</v>
      </c>
      <c r="BK307" s="5">
        <v>0</v>
      </c>
      <c r="BL307" s="5">
        <v>0</v>
      </c>
      <c r="BM307" s="5">
        <v>0</v>
      </c>
      <c r="BN307" s="5">
        <v>0</v>
      </c>
    </row>
    <row r="308" spans="1:66" x14ac:dyDescent="0.25">
      <c r="A308" s="17" t="s">
        <v>596</v>
      </c>
      <c r="B308" s="4">
        <v>2413</v>
      </c>
      <c r="C308" s="4" t="s">
        <v>336</v>
      </c>
      <c r="D308" s="5">
        <v>2771446323049</v>
      </c>
      <c r="E308" s="5">
        <v>288766882430</v>
      </c>
      <c r="F308" s="5">
        <v>0</v>
      </c>
      <c r="G308" s="5">
        <v>0</v>
      </c>
      <c r="H308" s="5">
        <v>3060213205479</v>
      </c>
      <c r="I308" s="5">
        <v>213311721349</v>
      </c>
      <c r="J308" s="5">
        <v>1151252333</v>
      </c>
      <c r="K308" s="5">
        <v>2845750231797</v>
      </c>
      <c r="L308" s="5">
        <v>2143540517080</v>
      </c>
      <c r="M308" s="5">
        <f t="shared" si="20"/>
        <v>916672688399</v>
      </c>
      <c r="N308" s="36">
        <f t="shared" si="21"/>
        <v>42.764420877274631</v>
      </c>
      <c r="O308" s="5">
        <v>2471059530315</v>
      </c>
      <c r="P308" s="36">
        <v>103.79</v>
      </c>
      <c r="Q308" s="6">
        <v>86.83</v>
      </c>
      <c r="R308" s="6">
        <v>2.73</v>
      </c>
      <c r="S308" s="5">
        <v>2820786921338</v>
      </c>
      <c r="T308" s="5">
        <v>85042324774</v>
      </c>
      <c r="U308" s="5">
        <v>27604935778</v>
      </c>
      <c r="V308" s="5">
        <v>13261399366</v>
      </c>
      <c r="W308" s="5">
        <v>44175989630</v>
      </c>
      <c r="X308" s="5">
        <v>2905829246112</v>
      </c>
      <c r="Y308" s="5">
        <v>1797195752</v>
      </c>
      <c r="Z308" s="5">
        <v>261788677241</v>
      </c>
      <c r="AA308" s="5">
        <v>8611042000</v>
      </c>
      <c r="AB308" s="5">
        <v>3176228965353</v>
      </c>
      <c r="AC308" s="5">
        <v>3357511007286</v>
      </c>
      <c r="AD308" s="36">
        <f t="shared" si="22"/>
        <v>-13.452875067090577</v>
      </c>
      <c r="AE308" s="5">
        <v>1227651161765</v>
      </c>
      <c r="AF308" s="5">
        <v>1227651161765</v>
      </c>
      <c r="AG308" s="5">
        <v>0</v>
      </c>
      <c r="AH308" s="5">
        <v>502312500</v>
      </c>
      <c r="AI308" s="5">
        <v>0</v>
      </c>
      <c r="AJ308" s="5">
        <v>0</v>
      </c>
      <c r="AK308" s="5">
        <v>0</v>
      </c>
      <c r="AL308" s="6">
        <v>0</v>
      </c>
      <c r="AM308" s="5">
        <v>0</v>
      </c>
      <c r="AN308" s="6">
        <v>98</v>
      </c>
      <c r="AO308" s="5">
        <v>1840948868141</v>
      </c>
      <c r="AP308" s="6">
        <v>148</v>
      </c>
      <c r="AQ308" s="5">
        <v>2963977539889</v>
      </c>
      <c r="AR308" s="5">
        <v>85042324774</v>
      </c>
      <c r="AS308" s="5">
        <v>103459364033</v>
      </c>
      <c r="AT308" s="5">
        <f t="shared" si="23"/>
        <v>-18417039259</v>
      </c>
      <c r="AU308" s="36">
        <f t="shared" si="24"/>
        <v>-17.801229913926004</v>
      </c>
      <c r="AV308" s="5">
        <v>1556043555785</v>
      </c>
      <c r="AW308" s="5">
        <v>715443950655</v>
      </c>
      <c r="AX308" s="5">
        <v>761969163028</v>
      </c>
      <c r="AY308" s="5">
        <v>329582298611</v>
      </c>
      <c r="AZ308" s="5">
        <v>636812203534</v>
      </c>
      <c r="BA308" s="5">
        <v>1171979711280</v>
      </c>
      <c r="BB308" s="5">
        <v>302441530809</v>
      </c>
      <c r="BC308" s="5">
        <v>3060213205479</v>
      </c>
      <c r="BD308" s="5">
        <v>1289224999023</v>
      </c>
      <c r="BE308" s="5">
        <v>636812203534</v>
      </c>
      <c r="BF308" s="5">
        <v>1134176002922</v>
      </c>
      <c r="BG308" s="5">
        <v>418106234651</v>
      </c>
      <c r="BH308" s="5">
        <v>809544927114</v>
      </c>
      <c r="BI308" s="5">
        <v>0</v>
      </c>
      <c r="BJ308" s="48">
        <v>0</v>
      </c>
      <c r="BK308" s="5">
        <v>0</v>
      </c>
      <c r="BL308" s="5">
        <v>0</v>
      </c>
      <c r="BM308" s="5">
        <v>0</v>
      </c>
      <c r="BN308" s="5">
        <v>502312500</v>
      </c>
    </row>
    <row r="309" spans="1:66" x14ac:dyDescent="0.25">
      <c r="A309" s="17" t="s">
        <v>596</v>
      </c>
      <c r="B309" s="4">
        <v>2414</v>
      </c>
      <c r="C309" s="4" t="s">
        <v>337</v>
      </c>
      <c r="D309" s="5">
        <v>2035494204285</v>
      </c>
      <c r="E309" s="5">
        <v>53953812562</v>
      </c>
      <c r="F309" s="5">
        <v>0</v>
      </c>
      <c r="G309" s="5">
        <v>0</v>
      </c>
      <c r="H309" s="5">
        <v>2089448016847</v>
      </c>
      <c r="I309" s="5">
        <v>180510413188</v>
      </c>
      <c r="J309" s="5">
        <v>2420364687</v>
      </c>
      <c r="K309" s="5">
        <v>1906517238972</v>
      </c>
      <c r="L309" s="5">
        <v>1211863731420</v>
      </c>
      <c r="M309" s="5">
        <f t="shared" si="20"/>
        <v>877584285427</v>
      </c>
      <c r="N309" s="36">
        <f t="shared" si="21"/>
        <v>72.416086287085392</v>
      </c>
      <c r="O309" s="5">
        <v>2029233567017</v>
      </c>
      <c r="P309" s="36">
        <v>104.45</v>
      </c>
      <c r="Q309" s="6">
        <v>106.44</v>
      </c>
      <c r="R309" s="6">
        <v>3.57</v>
      </c>
      <c r="S309" s="5">
        <v>2045150053216</v>
      </c>
      <c r="T309" s="5">
        <v>72266441162</v>
      </c>
      <c r="U309" s="5">
        <v>52809452293</v>
      </c>
      <c r="V309" s="5">
        <v>15087689959</v>
      </c>
      <c r="W309" s="5">
        <v>4369298910</v>
      </c>
      <c r="X309" s="5">
        <v>2117416494378</v>
      </c>
      <c r="Y309" s="5">
        <v>5644155052</v>
      </c>
      <c r="Z309" s="5">
        <v>59585209471</v>
      </c>
      <c r="AA309" s="5">
        <v>5498210000</v>
      </c>
      <c r="AB309" s="5">
        <v>2182499913849</v>
      </c>
      <c r="AC309" s="5">
        <v>1881445938856</v>
      </c>
      <c r="AD309" s="36">
        <f t="shared" si="22"/>
        <v>12.541979051786109</v>
      </c>
      <c r="AE309" s="5">
        <v>980675178489</v>
      </c>
      <c r="AF309" s="5">
        <v>980675178489</v>
      </c>
      <c r="AG309" s="5">
        <v>0</v>
      </c>
      <c r="AH309" s="5">
        <v>2369263900</v>
      </c>
      <c r="AI309" s="5">
        <v>0</v>
      </c>
      <c r="AJ309" s="5">
        <v>0</v>
      </c>
      <c r="AK309" s="5">
        <v>0</v>
      </c>
      <c r="AL309" s="6">
        <v>0</v>
      </c>
      <c r="AM309" s="5">
        <v>0</v>
      </c>
      <c r="AN309" s="6">
        <v>134</v>
      </c>
      <c r="AO309" s="5">
        <v>798437803500</v>
      </c>
      <c r="AP309" s="6">
        <v>18</v>
      </c>
      <c r="AQ309" s="5">
        <v>153025650000</v>
      </c>
      <c r="AR309" s="5">
        <v>72266441162</v>
      </c>
      <c r="AS309" s="5">
        <v>29302864702</v>
      </c>
      <c r="AT309" s="5">
        <f t="shared" si="23"/>
        <v>42963576460</v>
      </c>
      <c r="AU309" s="36">
        <f t="shared" si="24"/>
        <v>146.61903160979213</v>
      </c>
      <c r="AV309" s="5">
        <v>721153076934</v>
      </c>
      <c r="AW309" s="5">
        <v>162246319622</v>
      </c>
      <c r="AX309" s="5">
        <v>345140880306</v>
      </c>
      <c r="AY309" s="5">
        <v>510193284572</v>
      </c>
      <c r="AZ309" s="5">
        <v>713539188308</v>
      </c>
      <c r="BA309" s="5">
        <v>774152853135</v>
      </c>
      <c r="BB309" s="5">
        <v>517480265956</v>
      </c>
      <c r="BC309" s="5">
        <v>2089448016847</v>
      </c>
      <c r="BD309" s="5">
        <v>909287977440</v>
      </c>
      <c r="BE309" s="5">
        <v>713511188308</v>
      </c>
      <c r="BF309" s="5">
        <v>466648851099</v>
      </c>
      <c r="BG309" s="5">
        <v>679870389589</v>
      </c>
      <c r="BH309" s="5">
        <v>300804788900</v>
      </c>
      <c r="BI309" s="5">
        <v>0</v>
      </c>
      <c r="BJ309" s="48">
        <v>0</v>
      </c>
      <c r="BK309" s="5">
        <v>0</v>
      </c>
      <c r="BL309" s="5">
        <v>0</v>
      </c>
      <c r="BM309" s="5">
        <v>0</v>
      </c>
      <c r="BN309" s="5">
        <v>2369263900</v>
      </c>
    </row>
    <row r="310" spans="1:66" x14ac:dyDescent="0.25">
      <c r="A310" s="17" t="s">
        <v>596</v>
      </c>
      <c r="B310" s="4">
        <v>2415</v>
      </c>
      <c r="C310" s="4" t="s">
        <v>338</v>
      </c>
      <c r="D310" s="5">
        <v>1832179907383</v>
      </c>
      <c r="E310" s="5">
        <v>3761672592</v>
      </c>
      <c r="F310" s="5">
        <v>0</v>
      </c>
      <c r="G310" s="5">
        <v>0</v>
      </c>
      <c r="H310" s="5">
        <v>1835941579975</v>
      </c>
      <c r="I310" s="5">
        <v>210280265782</v>
      </c>
      <c r="J310" s="5">
        <v>607269700</v>
      </c>
      <c r="K310" s="5">
        <v>1625054044493</v>
      </c>
      <c r="L310" s="5">
        <v>1388806830112</v>
      </c>
      <c r="M310" s="5">
        <f t="shared" si="20"/>
        <v>447134749863</v>
      </c>
      <c r="N310" s="36">
        <f t="shared" si="21"/>
        <v>32.195604181104216</v>
      </c>
      <c r="O310" s="5">
        <v>1174472882431</v>
      </c>
      <c r="P310" s="36">
        <v>73.86</v>
      </c>
      <c r="Q310" s="6">
        <v>72.27</v>
      </c>
      <c r="R310" s="6">
        <v>2.2799999999999998</v>
      </c>
      <c r="S310" s="5">
        <v>1216484887527</v>
      </c>
      <c r="T310" s="5">
        <v>30748240249</v>
      </c>
      <c r="U310" s="5">
        <v>26974609959</v>
      </c>
      <c r="V310" s="5">
        <v>3514149490</v>
      </c>
      <c r="W310" s="5">
        <v>259480800</v>
      </c>
      <c r="X310" s="5">
        <v>1247233127776</v>
      </c>
      <c r="Y310" s="5">
        <v>125039146</v>
      </c>
      <c r="Z310" s="5">
        <v>91962471123</v>
      </c>
      <c r="AA310" s="5">
        <v>16873887000</v>
      </c>
      <c r="AB310" s="5">
        <v>1356069485899</v>
      </c>
      <c r="AC310" s="5">
        <v>957733729472</v>
      </c>
      <c r="AD310" s="36">
        <f t="shared" si="22"/>
        <v>30.22754544351293</v>
      </c>
      <c r="AE310" s="5">
        <v>860738106969</v>
      </c>
      <c r="AF310" s="5">
        <v>860738106969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6">
        <v>0</v>
      </c>
      <c r="AM310" s="5">
        <v>0</v>
      </c>
      <c r="AN310" s="6">
        <v>19</v>
      </c>
      <c r="AO310" s="5">
        <v>382396999959</v>
      </c>
      <c r="AP310" s="6">
        <v>6</v>
      </c>
      <c r="AQ310" s="5">
        <v>7154110000</v>
      </c>
      <c r="AR310" s="5">
        <v>30748240249</v>
      </c>
      <c r="AS310" s="5">
        <v>9707975784</v>
      </c>
      <c r="AT310" s="5">
        <f t="shared" si="23"/>
        <v>21040264465</v>
      </c>
      <c r="AU310" s="36">
        <f t="shared" si="24"/>
        <v>216.73173618414953</v>
      </c>
      <c r="AV310" s="5">
        <v>603143424436</v>
      </c>
      <c r="AW310" s="5">
        <v>141317654732</v>
      </c>
      <c r="AX310" s="5">
        <v>247665023663</v>
      </c>
      <c r="AY310" s="5">
        <v>348407315724</v>
      </c>
      <c r="AZ310" s="5">
        <v>383760479851</v>
      </c>
      <c r="BA310" s="5">
        <v>1516000926601</v>
      </c>
      <c r="BB310" s="5">
        <v>334922858348</v>
      </c>
      <c r="BC310" s="5">
        <v>1835941579975</v>
      </c>
      <c r="BD310" s="5">
        <v>599834011979</v>
      </c>
      <c r="BE310" s="5">
        <v>383760479851</v>
      </c>
      <c r="BF310" s="5">
        <v>852347088145</v>
      </c>
      <c r="BG310" s="5">
        <v>568973566969</v>
      </c>
      <c r="BH310" s="5">
        <v>291764540000</v>
      </c>
      <c r="BI310" s="5">
        <v>0</v>
      </c>
      <c r="BJ310" s="48">
        <v>0</v>
      </c>
      <c r="BK310" s="5">
        <v>0</v>
      </c>
      <c r="BL310" s="5">
        <v>0</v>
      </c>
      <c r="BM310" s="5">
        <v>0</v>
      </c>
      <c r="BN310" s="5">
        <v>0</v>
      </c>
    </row>
    <row r="311" spans="1:66" x14ac:dyDescent="0.25">
      <c r="A311" s="17" t="s">
        <v>596</v>
      </c>
      <c r="B311" s="4">
        <v>2416</v>
      </c>
      <c r="C311" s="4" t="s">
        <v>339</v>
      </c>
      <c r="D311" s="5">
        <v>1869420205677</v>
      </c>
      <c r="E311" s="5">
        <v>128068100069</v>
      </c>
      <c r="F311" s="5">
        <v>0</v>
      </c>
      <c r="G311" s="5">
        <v>0</v>
      </c>
      <c r="H311" s="5">
        <v>1997488305746</v>
      </c>
      <c r="I311" s="5">
        <v>172284059475</v>
      </c>
      <c r="J311" s="5">
        <v>681365980</v>
      </c>
      <c r="K311" s="5">
        <v>1824522880291</v>
      </c>
      <c r="L311" s="5">
        <v>1560161532115</v>
      </c>
      <c r="M311" s="5">
        <f t="shared" si="20"/>
        <v>437326773631</v>
      </c>
      <c r="N311" s="36">
        <f t="shared" si="21"/>
        <v>28.03086505011742</v>
      </c>
      <c r="O311" s="5">
        <v>1426230452121</v>
      </c>
      <c r="P311" s="36">
        <v>81.3</v>
      </c>
      <c r="Q311" s="6">
        <v>78.17</v>
      </c>
      <c r="R311" s="6">
        <v>6.04</v>
      </c>
      <c r="S311" s="5">
        <v>1459983007029</v>
      </c>
      <c r="T311" s="5">
        <v>94396213909</v>
      </c>
      <c r="U311" s="5">
        <v>34902502114</v>
      </c>
      <c r="V311" s="5">
        <v>35865145406</v>
      </c>
      <c r="W311" s="5">
        <v>23628566389</v>
      </c>
      <c r="X311" s="5">
        <v>1554379220938</v>
      </c>
      <c r="Y311" s="5">
        <v>3690794568</v>
      </c>
      <c r="Z311" s="5">
        <v>58578401155</v>
      </c>
      <c r="AA311" s="5">
        <v>10986619900</v>
      </c>
      <c r="AB311" s="5">
        <v>1623944241993</v>
      </c>
      <c r="AC311" s="5">
        <v>1821751708414</v>
      </c>
      <c r="AD311" s="36">
        <f t="shared" si="22"/>
        <v>-14.676670055590177</v>
      </c>
      <c r="AE311" s="5">
        <v>1117588565390</v>
      </c>
      <c r="AF311" s="5">
        <v>1117588565390</v>
      </c>
      <c r="AG311" s="5">
        <v>251735352200</v>
      </c>
      <c r="AH311" s="5">
        <v>139500079748</v>
      </c>
      <c r="AI311" s="5">
        <v>0</v>
      </c>
      <c r="AJ311" s="5">
        <v>0</v>
      </c>
      <c r="AK311" s="5">
        <v>0</v>
      </c>
      <c r="AL311" s="6">
        <v>10</v>
      </c>
      <c r="AM311" s="5">
        <v>299430316062</v>
      </c>
      <c r="AN311" s="6">
        <v>234</v>
      </c>
      <c r="AO311" s="5">
        <v>1844612787791</v>
      </c>
      <c r="AP311" s="6">
        <v>144</v>
      </c>
      <c r="AQ311" s="5">
        <v>518735637572</v>
      </c>
      <c r="AR311" s="5">
        <v>94396213909</v>
      </c>
      <c r="AS311" s="5">
        <v>41049614886</v>
      </c>
      <c r="AT311" s="5">
        <f t="shared" si="23"/>
        <v>53346599023</v>
      </c>
      <c r="AU311" s="36">
        <f t="shared" si="24"/>
        <v>129.95639343060901</v>
      </c>
      <c r="AV311" s="5">
        <v>1206349854932</v>
      </c>
      <c r="AW311" s="5">
        <v>283005155531</v>
      </c>
      <c r="AX311" s="5">
        <v>465037000520</v>
      </c>
      <c r="AY311" s="5">
        <v>293510862737</v>
      </c>
      <c r="AZ311" s="5">
        <v>329362342420</v>
      </c>
      <c r="BA311" s="5">
        <v>908970680984</v>
      </c>
      <c r="BB311" s="5">
        <v>183732105804</v>
      </c>
      <c r="BC311" s="5">
        <v>1997488305746</v>
      </c>
      <c r="BD311" s="5">
        <v>886579959380</v>
      </c>
      <c r="BE311" s="5">
        <v>329362342420</v>
      </c>
      <c r="BF311" s="5">
        <v>781546003946</v>
      </c>
      <c r="BG311" s="5">
        <v>820970217600</v>
      </c>
      <c r="BH311" s="5">
        <v>296618347790</v>
      </c>
      <c r="BI311" s="5">
        <v>0</v>
      </c>
      <c r="BJ311" s="48">
        <v>1512613874</v>
      </c>
      <c r="BK311" s="5">
        <v>244643077709</v>
      </c>
      <c r="BL311" s="5">
        <v>27661654061</v>
      </c>
      <c r="BM311" s="5">
        <v>17821917588</v>
      </c>
      <c r="BN311" s="5">
        <v>8532079748</v>
      </c>
    </row>
    <row r="312" spans="1:66" x14ac:dyDescent="0.25">
      <c r="A312" s="17" t="s">
        <v>596</v>
      </c>
      <c r="B312" s="4">
        <v>2417</v>
      </c>
      <c r="C312" s="4" t="s">
        <v>340</v>
      </c>
      <c r="D312" s="5">
        <v>2325100545828</v>
      </c>
      <c r="E312" s="5">
        <v>93963006052</v>
      </c>
      <c r="F312" s="5">
        <v>0</v>
      </c>
      <c r="G312" s="5">
        <v>0</v>
      </c>
      <c r="H312" s="5">
        <v>2419063551880</v>
      </c>
      <c r="I312" s="5">
        <v>231762944122</v>
      </c>
      <c r="J312" s="5">
        <v>745832922</v>
      </c>
      <c r="K312" s="5">
        <v>2186554774836</v>
      </c>
      <c r="L312" s="5">
        <v>2838497819084</v>
      </c>
      <c r="M312" s="5">
        <f t="shared" si="20"/>
        <v>-419434267204</v>
      </c>
      <c r="N312" s="36">
        <f t="shared" si="21"/>
        <v>-14.776628129992853</v>
      </c>
      <c r="O312" s="5">
        <v>3434282614390</v>
      </c>
      <c r="P312" s="36">
        <v>162.72</v>
      </c>
      <c r="Q312" s="6">
        <v>157.06</v>
      </c>
      <c r="R312" s="6">
        <v>25.13</v>
      </c>
      <c r="S312" s="5">
        <v>2694771357646</v>
      </c>
      <c r="T312" s="5">
        <v>989009236900</v>
      </c>
      <c r="U312" s="5">
        <v>151685921537</v>
      </c>
      <c r="V312" s="5">
        <v>836455842861</v>
      </c>
      <c r="W312" s="5">
        <v>867472502</v>
      </c>
      <c r="X312" s="5">
        <v>3683780594546</v>
      </c>
      <c r="Y312" s="5">
        <v>305069479</v>
      </c>
      <c r="Z312" s="5">
        <v>246646428214</v>
      </c>
      <c r="AA312" s="5">
        <v>5980000000</v>
      </c>
      <c r="AB312" s="5">
        <v>3936407022760</v>
      </c>
      <c r="AC312" s="5">
        <v>3286843356560</v>
      </c>
      <c r="AD312" s="36">
        <f t="shared" si="22"/>
        <v>12.076548679868738</v>
      </c>
      <c r="AE312" s="5">
        <v>1392837031417</v>
      </c>
      <c r="AF312" s="5">
        <v>1362751843200</v>
      </c>
      <c r="AG312" s="5">
        <v>24625359990</v>
      </c>
      <c r="AH312" s="5">
        <v>23683500000</v>
      </c>
      <c r="AI312" s="5">
        <v>0</v>
      </c>
      <c r="AJ312" s="5">
        <v>0</v>
      </c>
      <c r="AK312" s="5">
        <v>0</v>
      </c>
      <c r="AL312" s="6">
        <v>0</v>
      </c>
      <c r="AM312" s="5">
        <v>0</v>
      </c>
      <c r="AN312" s="6">
        <v>96</v>
      </c>
      <c r="AO312" s="5">
        <v>1042942538871</v>
      </c>
      <c r="AP312" s="6">
        <v>104</v>
      </c>
      <c r="AQ312" s="5">
        <v>1836312420971</v>
      </c>
      <c r="AR312" s="5">
        <v>989009236900</v>
      </c>
      <c r="AS312" s="5">
        <v>4835094227</v>
      </c>
      <c r="AT312" s="5">
        <f t="shared" si="23"/>
        <v>984174142673</v>
      </c>
      <c r="AU312" s="36">
        <f t="shared" si="24"/>
        <v>20354.807920333835</v>
      </c>
      <c r="AV312" s="5">
        <v>1165665023891</v>
      </c>
      <c r="AW312" s="5">
        <v>475925464158</v>
      </c>
      <c r="AX312" s="5">
        <v>274425678510</v>
      </c>
      <c r="AY312" s="5">
        <v>272212674273</v>
      </c>
      <c r="AZ312" s="5">
        <v>419867371474</v>
      </c>
      <c r="BA312" s="5">
        <v>1646793354543</v>
      </c>
      <c r="BB312" s="5">
        <v>193861919406</v>
      </c>
      <c r="BC312" s="5">
        <v>2419063551880</v>
      </c>
      <c r="BD312" s="5">
        <v>640601358835</v>
      </c>
      <c r="BE312" s="5">
        <v>419867371474</v>
      </c>
      <c r="BF312" s="5">
        <v>1358594821571</v>
      </c>
      <c r="BG312" s="5">
        <v>762757593417</v>
      </c>
      <c r="BH312" s="5">
        <v>630079438000</v>
      </c>
      <c r="BI312" s="5">
        <v>0</v>
      </c>
      <c r="BJ312" s="48">
        <v>0</v>
      </c>
      <c r="BK312" s="5">
        <v>408625170230</v>
      </c>
      <c r="BL312" s="5">
        <v>23683500000</v>
      </c>
      <c r="BM312" s="5">
        <v>0</v>
      </c>
      <c r="BN312" s="5">
        <v>0</v>
      </c>
    </row>
    <row r="313" spans="1:66" x14ac:dyDescent="0.25">
      <c r="A313" s="17" t="s">
        <v>596</v>
      </c>
      <c r="B313" s="4">
        <v>2418</v>
      </c>
      <c r="C313" s="4" t="s">
        <v>341</v>
      </c>
      <c r="D313" s="5">
        <v>4776667157740</v>
      </c>
      <c r="E313" s="5">
        <v>216663696417</v>
      </c>
      <c r="F313" s="5">
        <v>0</v>
      </c>
      <c r="G313" s="5">
        <v>0</v>
      </c>
      <c r="H313" s="5">
        <v>4993330854157</v>
      </c>
      <c r="I313" s="5">
        <v>410776371886</v>
      </c>
      <c r="J313" s="5">
        <v>1402496655</v>
      </c>
      <c r="K313" s="5">
        <v>4581151985616</v>
      </c>
      <c r="L313" s="5">
        <v>2769044160861</v>
      </c>
      <c r="M313" s="5">
        <f t="shared" si="20"/>
        <v>2224286693296</v>
      </c>
      <c r="N313" s="36">
        <f t="shared" si="21"/>
        <v>80.326876860078158</v>
      </c>
      <c r="O313" s="5">
        <v>4883682223708</v>
      </c>
      <c r="P313" s="36">
        <v>110.24</v>
      </c>
      <c r="Q313" s="6">
        <v>106.6</v>
      </c>
      <c r="R313" s="6">
        <v>12.15</v>
      </c>
      <c r="S313" s="5">
        <v>4580258200342</v>
      </c>
      <c r="T313" s="5">
        <v>654538337045</v>
      </c>
      <c r="U313" s="5">
        <v>74681535419</v>
      </c>
      <c r="V313" s="5">
        <v>458446598988</v>
      </c>
      <c r="W313" s="5">
        <v>121410202638</v>
      </c>
      <c r="X313" s="5">
        <v>5234796537387</v>
      </c>
      <c r="Y313" s="5">
        <v>14440689186</v>
      </c>
      <c r="Z313" s="5">
        <v>251341203129</v>
      </c>
      <c r="AA313" s="5">
        <v>18598891500</v>
      </c>
      <c r="AB313" s="5">
        <v>5504736632016</v>
      </c>
      <c r="AC313" s="5">
        <v>4173745195443</v>
      </c>
      <c r="AD313" s="36">
        <f t="shared" si="22"/>
        <v>25.422044045776502</v>
      </c>
      <c r="AE313" s="5">
        <v>4495772986431</v>
      </c>
      <c r="AF313" s="5">
        <v>4495772986431</v>
      </c>
      <c r="AG313" s="5">
        <v>610398892272</v>
      </c>
      <c r="AH313" s="5">
        <v>0</v>
      </c>
      <c r="AI313" s="5">
        <v>0</v>
      </c>
      <c r="AJ313" s="5">
        <v>0</v>
      </c>
      <c r="AK313" s="5">
        <v>0</v>
      </c>
      <c r="AL313" s="6">
        <v>0</v>
      </c>
      <c r="AM313" s="5">
        <v>0</v>
      </c>
      <c r="AN313" s="6">
        <v>102</v>
      </c>
      <c r="AO313" s="5">
        <v>990493949896</v>
      </c>
      <c r="AP313" s="6">
        <v>116</v>
      </c>
      <c r="AQ313" s="5">
        <v>3381601641417</v>
      </c>
      <c r="AR313" s="5">
        <v>654538337045</v>
      </c>
      <c r="AS313" s="5">
        <v>125662856807</v>
      </c>
      <c r="AT313" s="5">
        <f t="shared" si="23"/>
        <v>528875480238</v>
      </c>
      <c r="AU313" s="36">
        <f t="shared" si="24"/>
        <v>420.86857936890317</v>
      </c>
      <c r="AV313" s="5">
        <v>3568402198213</v>
      </c>
      <c r="AW313" s="5">
        <v>1997470017618</v>
      </c>
      <c r="AX313" s="5">
        <v>808520205118</v>
      </c>
      <c r="AY313" s="5">
        <v>714048156428</v>
      </c>
      <c r="AZ313" s="5">
        <v>1389100129599</v>
      </c>
      <c r="BA313" s="5">
        <v>2130637337291</v>
      </c>
      <c r="BB313" s="5">
        <v>1145463823846</v>
      </c>
      <c r="BC313" s="5">
        <v>4993330854157</v>
      </c>
      <c r="BD313" s="5">
        <v>1739232057963</v>
      </c>
      <c r="BE313" s="5">
        <v>1389100129599</v>
      </c>
      <c r="BF313" s="5">
        <v>1864998666595</v>
      </c>
      <c r="BG313" s="5">
        <v>3746101381263</v>
      </c>
      <c r="BH313" s="5">
        <v>749671605168</v>
      </c>
      <c r="BI313" s="5">
        <v>0</v>
      </c>
      <c r="BJ313" s="48">
        <v>121005168901</v>
      </c>
      <c r="BK313" s="5">
        <v>710073230697</v>
      </c>
      <c r="BL313" s="5">
        <v>0</v>
      </c>
      <c r="BM313" s="5">
        <v>0</v>
      </c>
      <c r="BN313" s="5">
        <v>5600000000</v>
      </c>
    </row>
    <row r="314" spans="1:66" x14ac:dyDescent="0.25">
      <c r="A314" s="17" t="s">
        <v>596</v>
      </c>
      <c r="B314" s="4">
        <v>2419</v>
      </c>
      <c r="C314" s="4" t="s">
        <v>342</v>
      </c>
      <c r="D314" s="5">
        <v>1554276033643</v>
      </c>
      <c r="E314" s="5">
        <v>18336992111</v>
      </c>
      <c r="F314" s="5">
        <v>0</v>
      </c>
      <c r="G314" s="5">
        <v>0</v>
      </c>
      <c r="H314" s="5">
        <v>1572613025754</v>
      </c>
      <c r="I314" s="5">
        <v>163217365956</v>
      </c>
      <c r="J314" s="5">
        <v>1166586127</v>
      </c>
      <c r="K314" s="5">
        <v>1408229073671</v>
      </c>
      <c r="L314" s="5">
        <v>1273779273178</v>
      </c>
      <c r="M314" s="5">
        <f t="shared" si="20"/>
        <v>298833752576</v>
      </c>
      <c r="N314" s="36">
        <f t="shared" si="21"/>
        <v>23.460403138012158</v>
      </c>
      <c r="O314" s="5">
        <v>1384685797884</v>
      </c>
      <c r="P314" s="36">
        <v>101.82</v>
      </c>
      <c r="Q314" s="6">
        <v>98.33</v>
      </c>
      <c r="R314" s="6">
        <v>4.72</v>
      </c>
      <c r="S314" s="5">
        <v>1458372862416</v>
      </c>
      <c r="T314" s="5">
        <v>74345113395</v>
      </c>
      <c r="U314" s="5">
        <v>47413568867</v>
      </c>
      <c r="V314" s="5">
        <v>24635782229</v>
      </c>
      <c r="W314" s="5">
        <v>2295762299</v>
      </c>
      <c r="X314" s="5">
        <v>1532717975811</v>
      </c>
      <c r="Y314" s="5">
        <v>1235505637</v>
      </c>
      <c r="Z314" s="5">
        <v>62250651087</v>
      </c>
      <c r="AA314" s="5">
        <v>6254910000</v>
      </c>
      <c r="AB314" s="5">
        <v>1601223536898</v>
      </c>
      <c r="AC314" s="5">
        <v>1119229938833</v>
      </c>
      <c r="AD314" s="36">
        <f t="shared" si="22"/>
        <v>36.943975731129584</v>
      </c>
      <c r="AE314" s="5">
        <v>848097335415</v>
      </c>
      <c r="AF314" s="5">
        <v>781480335415</v>
      </c>
      <c r="AG314" s="5">
        <v>0</v>
      </c>
      <c r="AH314" s="5">
        <v>702703568</v>
      </c>
      <c r="AI314" s="5">
        <v>0</v>
      </c>
      <c r="AJ314" s="5">
        <v>0</v>
      </c>
      <c r="AK314" s="5">
        <v>0</v>
      </c>
      <c r="AL314" s="6">
        <v>0</v>
      </c>
      <c r="AM314" s="5">
        <v>0</v>
      </c>
      <c r="AN314" s="6">
        <v>94</v>
      </c>
      <c r="AO314" s="5">
        <v>140338867532</v>
      </c>
      <c r="AP314" s="6">
        <v>31</v>
      </c>
      <c r="AQ314" s="5">
        <v>57149376490</v>
      </c>
      <c r="AR314" s="5">
        <v>74345113395</v>
      </c>
      <c r="AS314" s="5">
        <v>35875658460</v>
      </c>
      <c r="AT314" s="5">
        <f t="shared" si="23"/>
        <v>38469454935</v>
      </c>
      <c r="AU314" s="36">
        <f t="shared" si="24"/>
        <v>107.22996200304445</v>
      </c>
      <c r="AV314" s="5">
        <v>489981210938</v>
      </c>
      <c r="AW314" s="5">
        <v>160135406464</v>
      </c>
      <c r="AX314" s="5">
        <v>129888164514</v>
      </c>
      <c r="AY314" s="5">
        <v>693282876882</v>
      </c>
      <c r="AZ314" s="5">
        <v>216731507320</v>
      </c>
      <c r="BA314" s="5">
        <v>952979396475</v>
      </c>
      <c r="BB314" s="5">
        <v>115872937878</v>
      </c>
      <c r="BC314" s="5">
        <v>1572613025754</v>
      </c>
      <c r="BD314" s="5">
        <v>841508033507</v>
      </c>
      <c r="BE314" s="5">
        <v>216731507320</v>
      </c>
      <c r="BF314" s="5">
        <v>514373484927</v>
      </c>
      <c r="BG314" s="5">
        <v>267498359872</v>
      </c>
      <c r="BH314" s="5">
        <v>580598975543</v>
      </c>
      <c r="BI314" s="5">
        <v>0</v>
      </c>
      <c r="BJ314" s="48">
        <v>0</v>
      </c>
      <c r="BK314" s="5">
        <v>0</v>
      </c>
      <c r="BL314" s="5">
        <v>0</v>
      </c>
      <c r="BM314" s="5">
        <v>0</v>
      </c>
      <c r="BN314" s="5">
        <v>702703568</v>
      </c>
    </row>
    <row r="315" spans="1:66" x14ac:dyDescent="0.25">
      <c r="A315" s="17" t="s">
        <v>596</v>
      </c>
      <c r="B315" s="4">
        <v>2420</v>
      </c>
      <c r="C315" s="4" t="s">
        <v>343</v>
      </c>
      <c r="D315" s="5">
        <v>2382252171013</v>
      </c>
      <c r="E315" s="5">
        <v>114151771067</v>
      </c>
      <c r="F315" s="5">
        <v>0</v>
      </c>
      <c r="G315" s="5">
        <v>0</v>
      </c>
      <c r="H315" s="5">
        <v>2496403942080</v>
      </c>
      <c r="I315" s="5">
        <v>158543399816</v>
      </c>
      <c r="J315" s="5">
        <v>1967967774</v>
      </c>
      <c r="K315" s="5">
        <v>2335892574490</v>
      </c>
      <c r="L315" s="5">
        <v>1668048551287</v>
      </c>
      <c r="M315" s="5">
        <f t="shared" si="20"/>
        <v>828355390793</v>
      </c>
      <c r="N315" s="36">
        <f t="shared" si="21"/>
        <v>49.660148690148972</v>
      </c>
      <c r="O315" s="5">
        <v>3946154562218</v>
      </c>
      <c r="P315" s="36">
        <v>174.66</v>
      </c>
      <c r="Q315" s="6">
        <v>168.94</v>
      </c>
      <c r="R315" s="6">
        <v>12.79</v>
      </c>
      <c r="S315" s="5">
        <v>3529593703686</v>
      </c>
      <c r="T315" s="5">
        <v>557516493501</v>
      </c>
      <c r="U315" s="5">
        <v>12773855942</v>
      </c>
      <c r="V315" s="5">
        <v>542700853444</v>
      </c>
      <c r="W315" s="5">
        <v>2041784115</v>
      </c>
      <c r="X315" s="5">
        <v>4087110197187</v>
      </c>
      <c r="Y315" s="5">
        <v>298284001</v>
      </c>
      <c r="Z315" s="5">
        <v>273112654318</v>
      </c>
      <c r="AA315" s="5">
        <v>0</v>
      </c>
      <c r="AB315" s="5">
        <v>4360222851505</v>
      </c>
      <c r="AC315" s="5">
        <v>4070712177791</v>
      </c>
      <c r="AD315" s="36">
        <f t="shared" si="22"/>
        <v>0.40282925148735266</v>
      </c>
      <c r="AE315" s="5">
        <v>2530683237694</v>
      </c>
      <c r="AF315" s="5">
        <v>2486378771942</v>
      </c>
      <c r="AG315" s="5">
        <v>0</v>
      </c>
      <c r="AH315" s="5">
        <v>147134194643</v>
      </c>
      <c r="AI315" s="5">
        <v>0</v>
      </c>
      <c r="AJ315" s="5">
        <v>0</v>
      </c>
      <c r="AK315" s="5">
        <v>0</v>
      </c>
      <c r="AL315" s="6">
        <v>0</v>
      </c>
      <c r="AM315" s="5">
        <v>0</v>
      </c>
      <c r="AN315" s="6">
        <v>123</v>
      </c>
      <c r="AO315" s="5">
        <v>781666814835</v>
      </c>
      <c r="AP315" s="6">
        <v>104</v>
      </c>
      <c r="AQ315" s="5">
        <v>1286061783440</v>
      </c>
      <c r="AR315" s="5">
        <v>557516493501</v>
      </c>
      <c r="AS315" s="5">
        <v>23338102030</v>
      </c>
      <c r="AT315" s="5">
        <f t="shared" si="23"/>
        <v>534178391471</v>
      </c>
      <c r="AU315" s="36">
        <f t="shared" si="24"/>
        <v>2288.8681812442996</v>
      </c>
      <c r="AV315" s="5">
        <v>2548518159336</v>
      </c>
      <c r="AW315" s="5">
        <v>1213666521272</v>
      </c>
      <c r="AX315" s="5">
        <v>496347226883</v>
      </c>
      <c r="AY315" s="5">
        <v>1276780745336</v>
      </c>
      <c r="AZ315" s="5">
        <v>332408626768</v>
      </c>
      <c r="BA315" s="5">
        <v>343490814630</v>
      </c>
      <c r="BB315" s="5">
        <v>110790675499</v>
      </c>
      <c r="BC315" s="5">
        <v>2496403942080</v>
      </c>
      <c r="BD315" s="5">
        <v>1887279743286</v>
      </c>
      <c r="BE315" s="5">
        <v>332408626768</v>
      </c>
      <c r="BF315" s="5">
        <v>276715572026</v>
      </c>
      <c r="BG315" s="5">
        <v>1743687577938</v>
      </c>
      <c r="BH315" s="5">
        <v>786995659756</v>
      </c>
      <c r="BI315" s="5">
        <v>0</v>
      </c>
      <c r="BJ315" s="48">
        <v>0</v>
      </c>
      <c r="BK315" s="5">
        <v>0</v>
      </c>
      <c r="BL315" s="5">
        <v>0</v>
      </c>
      <c r="BM315" s="5">
        <v>1456962456</v>
      </c>
      <c r="BN315" s="5">
        <v>147134194643</v>
      </c>
    </row>
    <row r="316" spans="1:66" x14ac:dyDescent="0.25">
      <c r="A316" s="17" t="s">
        <v>596</v>
      </c>
      <c r="B316" s="4">
        <v>2421</v>
      </c>
      <c r="C316" s="4" t="s">
        <v>344</v>
      </c>
      <c r="D316" s="5">
        <v>1310318293082</v>
      </c>
      <c r="E316" s="5">
        <v>31054645387</v>
      </c>
      <c r="F316" s="5">
        <v>0</v>
      </c>
      <c r="G316" s="5">
        <v>0</v>
      </c>
      <c r="H316" s="5">
        <v>1341372938469</v>
      </c>
      <c r="I316" s="5">
        <v>109042707142</v>
      </c>
      <c r="J316" s="5">
        <v>4466306601</v>
      </c>
      <c r="K316" s="5">
        <v>1227863924726</v>
      </c>
      <c r="L316" s="5">
        <v>946082689100</v>
      </c>
      <c r="M316" s="5">
        <f t="shared" si="20"/>
        <v>395290249369</v>
      </c>
      <c r="N316" s="36">
        <f t="shared" si="21"/>
        <v>41.781786510123773</v>
      </c>
      <c r="O316" s="5">
        <v>1230573353193</v>
      </c>
      <c r="P316" s="36">
        <v>105.82</v>
      </c>
      <c r="Q316" s="6">
        <v>100.22</v>
      </c>
      <c r="R316" s="6">
        <v>3.07</v>
      </c>
      <c r="S316" s="5">
        <v>1315778338214</v>
      </c>
      <c r="T316" s="5">
        <v>43572406935</v>
      </c>
      <c r="U316" s="5">
        <v>38425632757</v>
      </c>
      <c r="V316" s="5">
        <v>5146774178</v>
      </c>
      <c r="W316" s="5">
        <v>0</v>
      </c>
      <c r="X316" s="5">
        <v>1359350745149</v>
      </c>
      <c r="Y316" s="5">
        <v>0</v>
      </c>
      <c r="Z316" s="5">
        <v>52101599708</v>
      </c>
      <c r="AA316" s="5">
        <v>8000000000</v>
      </c>
      <c r="AB316" s="5">
        <v>1419452344857</v>
      </c>
      <c r="AC316" s="5">
        <v>1232777986197</v>
      </c>
      <c r="AD316" s="36">
        <f t="shared" si="22"/>
        <v>10.267279296774648</v>
      </c>
      <c r="AE316" s="5">
        <v>771772237441</v>
      </c>
      <c r="AF316" s="5">
        <v>737181798785</v>
      </c>
      <c r="AG316" s="5">
        <v>0</v>
      </c>
      <c r="AH316" s="5">
        <v>673078605</v>
      </c>
      <c r="AI316" s="5">
        <v>0</v>
      </c>
      <c r="AJ316" s="5">
        <v>0</v>
      </c>
      <c r="AK316" s="5">
        <v>0</v>
      </c>
      <c r="AL316" s="6">
        <v>0</v>
      </c>
      <c r="AM316" s="5">
        <v>0</v>
      </c>
      <c r="AN316" s="6">
        <v>19</v>
      </c>
      <c r="AO316" s="5">
        <v>117374006600</v>
      </c>
      <c r="AP316" s="6">
        <v>76</v>
      </c>
      <c r="AQ316" s="5">
        <v>400410121306</v>
      </c>
      <c r="AR316" s="5">
        <v>43572406935</v>
      </c>
      <c r="AS316" s="5">
        <v>19784394673</v>
      </c>
      <c r="AT316" s="5">
        <f t="shared" si="23"/>
        <v>23788012262</v>
      </c>
      <c r="AU316" s="36">
        <f t="shared" si="24"/>
        <v>120.23624000214565</v>
      </c>
      <c r="AV316" s="5">
        <v>617066030282</v>
      </c>
      <c r="AW316" s="5">
        <v>130524596756</v>
      </c>
      <c r="AX316" s="5">
        <v>107429881317</v>
      </c>
      <c r="AY316" s="5">
        <v>217932002288</v>
      </c>
      <c r="AZ316" s="5">
        <v>293585009477</v>
      </c>
      <c r="BA316" s="5">
        <v>715931812744</v>
      </c>
      <c r="BB316" s="5">
        <v>247736219081</v>
      </c>
      <c r="BC316" s="5">
        <v>1341372938469</v>
      </c>
      <c r="BD316" s="5">
        <v>356416528992</v>
      </c>
      <c r="BE316" s="5">
        <v>293585009477</v>
      </c>
      <c r="BF316" s="5">
        <v>691371400000</v>
      </c>
      <c r="BG316" s="5">
        <v>378432912235</v>
      </c>
      <c r="BH316" s="5">
        <v>393339325206</v>
      </c>
      <c r="BI316" s="5">
        <v>0</v>
      </c>
      <c r="BJ316" s="48">
        <v>0</v>
      </c>
      <c r="BK316" s="5">
        <v>0</v>
      </c>
      <c r="BL316" s="5">
        <v>0</v>
      </c>
      <c r="BM316" s="5">
        <v>0</v>
      </c>
      <c r="BN316" s="5">
        <v>673078605</v>
      </c>
    </row>
    <row r="317" spans="1:66" x14ac:dyDescent="0.25">
      <c r="A317" s="17" t="s">
        <v>596</v>
      </c>
      <c r="B317" s="4">
        <v>2422</v>
      </c>
      <c r="C317" s="4" t="s">
        <v>345</v>
      </c>
      <c r="D317" s="5">
        <v>624786700541</v>
      </c>
      <c r="E317" s="5">
        <v>4001740281</v>
      </c>
      <c r="F317" s="5">
        <v>0</v>
      </c>
      <c r="G317" s="5">
        <v>0</v>
      </c>
      <c r="H317" s="5">
        <v>628788440822</v>
      </c>
      <c r="I317" s="5">
        <v>51194961169</v>
      </c>
      <c r="J317" s="5">
        <v>11179836766</v>
      </c>
      <c r="K317" s="5">
        <v>566413642887</v>
      </c>
      <c r="L317" s="5">
        <v>395623273372</v>
      </c>
      <c r="M317" s="5">
        <f t="shared" si="20"/>
        <v>233165167450</v>
      </c>
      <c r="N317" s="36">
        <f t="shared" si="21"/>
        <v>58.936160520252677</v>
      </c>
      <c r="O317" s="5">
        <v>680468505616</v>
      </c>
      <c r="P317" s="36">
        <v>131.91</v>
      </c>
      <c r="Q317" s="6">
        <v>120.14</v>
      </c>
      <c r="R317" s="6">
        <v>1.2</v>
      </c>
      <c r="S317" s="5">
        <v>779095559356</v>
      </c>
      <c r="T317" s="5">
        <v>9974787987</v>
      </c>
      <c r="U317" s="5">
        <v>9974787987</v>
      </c>
      <c r="V317" s="5">
        <v>0</v>
      </c>
      <c r="W317" s="5">
        <v>0</v>
      </c>
      <c r="X317" s="5">
        <v>789070347343</v>
      </c>
      <c r="Y317" s="5">
        <v>0</v>
      </c>
      <c r="Z317" s="5">
        <v>34352045127</v>
      </c>
      <c r="AA317" s="5">
        <v>6000000000</v>
      </c>
      <c r="AB317" s="5">
        <v>829422392470</v>
      </c>
      <c r="AC317" s="5">
        <v>517769594139</v>
      </c>
      <c r="AD317" s="36">
        <f t="shared" si="22"/>
        <v>52.397969342936513</v>
      </c>
      <c r="AE317" s="5">
        <v>447110684350</v>
      </c>
      <c r="AF317" s="5">
        <v>352297203261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6">
        <v>0</v>
      </c>
      <c r="AM317" s="5">
        <v>0</v>
      </c>
      <c r="AN317" s="6">
        <v>9</v>
      </c>
      <c r="AO317" s="5">
        <v>46053979812</v>
      </c>
      <c r="AP317" s="6">
        <v>0</v>
      </c>
      <c r="AQ317" s="5">
        <v>0</v>
      </c>
      <c r="AR317" s="5">
        <v>9974787987</v>
      </c>
      <c r="AS317" s="5">
        <v>234905704</v>
      </c>
      <c r="AT317" s="5">
        <f t="shared" si="23"/>
        <v>9739882283</v>
      </c>
      <c r="AU317" s="36">
        <f t="shared" si="24"/>
        <v>4146.2944990897286</v>
      </c>
      <c r="AV317" s="5">
        <v>206107422224</v>
      </c>
      <c r="AW317" s="5">
        <v>35370532467</v>
      </c>
      <c r="AX317" s="5">
        <v>25713363809</v>
      </c>
      <c r="AY317" s="5">
        <v>92104694443</v>
      </c>
      <c r="AZ317" s="5">
        <v>252998667529</v>
      </c>
      <c r="BA317" s="5">
        <v>280715540348</v>
      </c>
      <c r="BB317" s="5">
        <v>251603839003</v>
      </c>
      <c r="BC317" s="5">
        <v>628788440822</v>
      </c>
      <c r="BD317" s="5">
        <v>121819798533</v>
      </c>
      <c r="BE317" s="5">
        <v>252998667529</v>
      </c>
      <c r="BF317" s="5">
        <v>253969974760</v>
      </c>
      <c r="BG317" s="5">
        <v>325470681300</v>
      </c>
      <c r="BH317" s="5">
        <v>121640003050</v>
      </c>
      <c r="BI317" s="5">
        <v>0</v>
      </c>
      <c r="BJ317" s="48">
        <v>0</v>
      </c>
      <c r="BK317" s="5">
        <v>0</v>
      </c>
      <c r="BL317" s="5">
        <v>0</v>
      </c>
      <c r="BM317" s="5">
        <v>0</v>
      </c>
      <c r="BN317" s="5">
        <v>0</v>
      </c>
    </row>
    <row r="318" spans="1:66" s="32" customFormat="1" x14ac:dyDescent="0.25">
      <c r="A318" s="17" t="s">
        <v>596</v>
      </c>
      <c r="B318" s="8">
        <v>2499</v>
      </c>
      <c r="C318" s="8" t="s">
        <v>346</v>
      </c>
      <c r="D318" s="9">
        <v>0</v>
      </c>
      <c r="E318" s="9">
        <v>668848826</v>
      </c>
      <c r="F318" s="9">
        <v>0</v>
      </c>
      <c r="G318" s="9">
        <v>0</v>
      </c>
      <c r="H318" s="9">
        <v>668848826</v>
      </c>
      <c r="I318" s="9">
        <v>81208279</v>
      </c>
      <c r="J318" s="9">
        <v>2250000000</v>
      </c>
      <c r="K318" s="9">
        <v>-1662359453</v>
      </c>
      <c r="L318" s="9">
        <v>7466060976</v>
      </c>
      <c r="M318" s="5">
        <f t="shared" si="20"/>
        <v>-6797212150</v>
      </c>
      <c r="N318" s="36">
        <f t="shared" si="21"/>
        <v>-91.041476514188062</v>
      </c>
      <c r="O318" s="9">
        <v>0</v>
      </c>
      <c r="P318" s="36">
        <v>0</v>
      </c>
      <c r="Q318" s="10">
        <v>0</v>
      </c>
      <c r="R318" s="10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36">
        <f t="shared" si="22"/>
        <v>0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10">
        <v>0</v>
      </c>
      <c r="AM318" s="9">
        <v>0</v>
      </c>
      <c r="AN318" s="11">
        <v>0</v>
      </c>
      <c r="AO318" s="9">
        <v>0</v>
      </c>
      <c r="AP318" s="11">
        <v>0</v>
      </c>
      <c r="AQ318" s="9">
        <v>0</v>
      </c>
      <c r="AR318" s="9">
        <v>0</v>
      </c>
      <c r="AS318" s="9">
        <v>0</v>
      </c>
      <c r="AT318" s="5">
        <f t="shared" si="23"/>
        <v>0</v>
      </c>
      <c r="AU318" s="36">
        <f t="shared" si="24"/>
        <v>0</v>
      </c>
      <c r="AV318" s="9">
        <v>0</v>
      </c>
      <c r="AW318" s="9">
        <v>0</v>
      </c>
      <c r="AX318" s="9">
        <v>0</v>
      </c>
      <c r="AY318" s="9">
        <v>0</v>
      </c>
      <c r="AZ318" s="9">
        <v>0</v>
      </c>
      <c r="BA318" s="9">
        <v>0</v>
      </c>
      <c r="BB318" s="9">
        <v>0</v>
      </c>
      <c r="BC318" s="9">
        <v>668848826</v>
      </c>
      <c r="BD318" s="9">
        <v>668848826</v>
      </c>
      <c r="BE318" s="9">
        <v>0</v>
      </c>
      <c r="BF318" s="9">
        <v>0</v>
      </c>
      <c r="BG318" s="9">
        <v>0</v>
      </c>
      <c r="BH318" s="9">
        <v>0</v>
      </c>
      <c r="BI318" s="9">
        <v>0</v>
      </c>
      <c r="BJ318" s="51">
        <v>0</v>
      </c>
      <c r="BK318" s="9">
        <v>0</v>
      </c>
      <c r="BL318" s="9">
        <v>0</v>
      </c>
      <c r="BM318" s="9">
        <v>0</v>
      </c>
      <c r="BN318" s="9">
        <v>0</v>
      </c>
    </row>
    <row r="319" spans="1:66" x14ac:dyDescent="0.25">
      <c r="A319" s="30" t="s">
        <v>597</v>
      </c>
      <c r="B319" s="13" t="s">
        <v>625</v>
      </c>
      <c r="C319" s="13" t="s">
        <v>625</v>
      </c>
      <c r="D319" s="14">
        <v>45712987079503</v>
      </c>
      <c r="E319" s="14">
        <v>2202285638053</v>
      </c>
      <c r="F319" s="14">
        <v>21000000000</v>
      </c>
      <c r="G319" s="14">
        <v>3339521230</v>
      </c>
      <c r="H319" s="14">
        <v>47939612238786</v>
      </c>
      <c r="I319" s="14">
        <v>3991396501237</v>
      </c>
      <c r="J319" s="14">
        <v>131989136659</v>
      </c>
      <c r="K319" s="14">
        <v>43816226600890</v>
      </c>
      <c r="L319" s="14">
        <v>34149922931676</v>
      </c>
      <c r="M319" s="14">
        <f t="shared" si="20"/>
        <v>13789689307110</v>
      </c>
      <c r="N319" s="41">
        <f t="shared" si="21"/>
        <v>40.379854838030326</v>
      </c>
      <c r="O319" s="14">
        <v>58462865689531</v>
      </c>
      <c r="P319" s="41">
        <v>146.79</v>
      </c>
      <c r="Q319" s="15">
        <v>133.43</v>
      </c>
      <c r="R319" s="15">
        <v>7.86</v>
      </c>
      <c r="S319" s="14">
        <v>61287435334490</v>
      </c>
      <c r="T319" s="14">
        <v>5347816134468</v>
      </c>
      <c r="U319" s="14">
        <v>1712401802588</v>
      </c>
      <c r="V319" s="14">
        <v>2623977824045</v>
      </c>
      <c r="W319" s="14">
        <v>1011436507835</v>
      </c>
      <c r="X319" s="14">
        <v>66635251468958</v>
      </c>
      <c r="Y319" s="14">
        <v>180129598701</v>
      </c>
      <c r="Z319" s="14">
        <v>3540709335697</v>
      </c>
      <c r="AA319" s="14">
        <v>193878937354</v>
      </c>
      <c r="AB319" s="14">
        <v>70369839742009</v>
      </c>
      <c r="AC319" s="14">
        <v>53274846537829</v>
      </c>
      <c r="AD319" s="41">
        <f t="shared" si="22"/>
        <v>25.078260754148101</v>
      </c>
      <c r="AE319" s="14">
        <v>41716371348385</v>
      </c>
      <c r="AF319" s="14">
        <v>40352860788244</v>
      </c>
      <c r="AG319" s="14">
        <v>2118732941049</v>
      </c>
      <c r="AH319" s="14">
        <v>345215712109</v>
      </c>
      <c r="AI319" s="14">
        <v>25255018851</v>
      </c>
      <c r="AJ319" s="14">
        <v>39000000000</v>
      </c>
      <c r="AK319" s="14">
        <v>0</v>
      </c>
      <c r="AL319" s="15">
        <v>40</v>
      </c>
      <c r="AM319" s="14">
        <v>2215779478122</v>
      </c>
      <c r="AN319" s="16">
        <v>2045</v>
      </c>
      <c r="AO319" s="14">
        <v>21437440762462</v>
      </c>
      <c r="AP319" s="16">
        <v>1373</v>
      </c>
      <c r="AQ319" s="14">
        <v>20155610955641</v>
      </c>
      <c r="AR319" s="14">
        <v>5347816134468</v>
      </c>
      <c r="AS319" s="14">
        <v>1285234492111</v>
      </c>
      <c r="AT319" s="14">
        <f t="shared" si="23"/>
        <v>4062581642357</v>
      </c>
      <c r="AU319" s="41">
        <f t="shared" si="24"/>
        <v>316.09653081160326</v>
      </c>
      <c r="AV319" s="14">
        <v>29249243747912</v>
      </c>
      <c r="AW319" s="14">
        <v>8380944562332</v>
      </c>
      <c r="AX319" s="14">
        <v>10885339529610</v>
      </c>
      <c r="AY319" s="14">
        <v>10255221798495</v>
      </c>
      <c r="AZ319" s="14">
        <v>9445044135472</v>
      </c>
      <c r="BA319" s="14">
        <v>20554605391690</v>
      </c>
      <c r="BB319" s="14">
        <v>6335771479538</v>
      </c>
      <c r="BC319" s="14">
        <v>47939612238786</v>
      </c>
      <c r="BD319" s="14">
        <v>23039517432496</v>
      </c>
      <c r="BE319" s="14">
        <v>9464940935472</v>
      </c>
      <c r="BF319" s="14">
        <v>15435153870818</v>
      </c>
      <c r="BG319" s="14">
        <v>29280400135065</v>
      </c>
      <c r="BH319" s="14">
        <v>12435971213320</v>
      </c>
      <c r="BI319" s="14">
        <v>0</v>
      </c>
      <c r="BJ319" s="49">
        <v>150045862614</v>
      </c>
      <c r="BK319" s="14">
        <v>2200189256560</v>
      </c>
      <c r="BL319" s="14">
        <v>51430609061</v>
      </c>
      <c r="BM319" s="14">
        <v>50306975613</v>
      </c>
      <c r="BN319" s="14">
        <v>197332007109</v>
      </c>
    </row>
    <row r="320" spans="1:66" x14ac:dyDescent="0.25">
      <c r="A320" s="17" t="s">
        <v>347</v>
      </c>
      <c r="B320" s="4">
        <v>2500</v>
      </c>
      <c r="C320" s="4" t="s">
        <v>347</v>
      </c>
      <c r="D320" s="5">
        <v>5397596067722</v>
      </c>
      <c r="E320" s="5">
        <v>270106940503</v>
      </c>
      <c r="F320" s="5">
        <v>68350000000</v>
      </c>
      <c r="G320" s="5">
        <v>19272159372</v>
      </c>
      <c r="H320" s="5">
        <v>5755325167597</v>
      </c>
      <c r="I320" s="5">
        <v>423442668713</v>
      </c>
      <c r="J320" s="5">
        <v>41107508662</v>
      </c>
      <c r="K320" s="5">
        <v>5290774990222</v>
      </c>
      <c r="L320" s="5">
        <v>4216230953488</v>
      </c>
      <c r="M320" s="5">
        <f t="shared" si="20"/>
        <v>1539094214109</v>
      </c>
      <c r="N320" s="36">
        <f t="shared" si="21"/>
        <v>36.504030046924719</v>
      </c>
      <c r="O320" s="5">
        <v>7515412205905</v>
      </c>
      <c r="P320" s="36">
        <v>174.53</v>
      </c>
      <c r="Q320" s="6">
        <v>142.05000000000001</v>
      </c>
      <c r="R320" s="6">
        <v>1.44</v>
      </c>
      <c r="S320" s="5">
        <v>9593350477577</v>
      </c>
      <c r="T320" s="5">
        <v>141941700767</v>
      </c>
      <c r="U320" s="5">
        <v>72328408146</v>
      </c>
      <c r="V320" s="5">
        <v>58288674487</v>
      </c>
      <c r="W320" s="5">
        <v>11324618134</v>
      </c>
      <c r="X320" s="5">
        <v>9735292178344</v>
      </c>
      <c r="Y320" s="5">
        <v>2914545108</v>
      </c>
      <c r="Z320" s="5">
        <v>285377698948</v>
      </c>
      <c r="AA320" s="5">
        <v>24039749941</v>
      </c>
      <c r="AB320" s="5">
        <v>10044709627233</v>
      </c>
      <c r="AC320" s="5">
        <v>6909794267354</v>
      </c>
      <c r="AD320" s="36">
        <f t="shared" si="22"/>
        <v>40.89120170103098</v>
      </c>
      <c r="AE320" s="5">
        <v>5932052379553</v>
      </c>
      <c r="AF320" s="5">
        <v>5476305107588</v>
      </c>
      <c r="AG320" s="5">
        <v>163868083773</v>
      </c>
      <c r="AH320" s="5">
        <v>86703696604</v>
      </c>
      <c r="AI320" s="5">
        <v>10286307302</v>
      </c>
      <c r="AJ320" s="5">
        <v>0</v>
      </c>
      <c r="AK320" s="5">
        <v>0</v>
      </c>
      <c r="AL320" s="6">
        <v>4</v>
      </c>
      <c r="AM320" s="5">
        <v>427601364049</v>
      </c>
      <c r="AN320" s="6">
        <v>158</v>
      </c>
      <c r="AO320" s="5">
        <v>1169497301338</v>
      </c>
      <c r="AP320" s="6">
        <v>266</v>
      </c>
      <c r="AQ320" s="5">
        <v>7759226421666</v>
      </c>
      <c r="AR320" s="5">
        <v>141941700767</v>
      </c>
      <c r="AS320" s="5">
        <v>89126831096</v>
      </c>
      <c r="AT320" s="5">
        <f t="shared" si="23"/>
        <v>52814869671</v>
      </c>
      <c r="AU320" s="36">
        <f t="shared" si="24"/>
        <v>59.25810333603382</v>
      </c>
      <c r="AV320" s="5">
        <v>3308638483936</v>
      </c>
      <c r="AW320" s="5">
        <v>862139072337</v>
      </c>
      <c r="AX320" s="5">
        <v>2026717217399</v>
      </c>
      <c r="AY320" s="5">
        <v>658155732569</v>
      </c>
      <c r="AZ320" s="5">
        <v>1254619810786</v>
      </c>
      <c r="BA320" s="5">
        <v>1889681883124</v>
      </c>
      <c r="BB320" s="5">
        <v>694013588480</v>
      </c>
      <c r="BC320" s="5">
        <v>5755325167597</v>
      </c>
      <c r="BD320" s="5">
        <v>2929144450008</v>
      </c>
      <c r="BE320" s="5">
        <v>1322969810786</v>
      </c>
      <c r="BF320" s="5">
        <v>1503210906803</v>
      </c>
      <c r="BG320" s="5">
        <v>3610687700625</v>
      </c>
      <c r="BH320" s="5">
        <v>2321364678928</v>
      </c>
      <c r="BI320" s="5">
        <v>0</v>
      </c>
      <c r="BJ320" s="48">
        <v>0</v>
      </c>
      <c r="BK320" s="5">
        <v>174868054230</v>
      </c>
      <c r="BL320" s="5">
        <v>0</v>
      </c>
      <c r="BM320" s="5">
        <v>0</v>
      </c>
      <c r="BN320" s="5">
        <v>86703696604</v>
      </c>
    </row>
    <row r="321" spans="1:66" x14ac:dyDescent="0.25">
      <c r="A321" s="17" t="s">
        <v>347</v>
      </c>
      <c r="B321" s="4">
        <v>2501</v>
      </c>
      <c r="C321" s="4" t="s">
        <v>348</v>
      </c>
      <c r="D321" s="5">
        <v>2283200499018</v>
      </c>
      <c r="E321" s="5">
        <v>9145644359</v>
      </c>
      <c r="F321" s="5">
        <v>0</v>
      </c>
      <c r="G321" s="5">
        <v>0</v>
      </c>
      <c r="H321" s="5">
        <v>2292346143377</v>
      </c>
      <c r="I321" s="5">
        <v>193758791329</v>
      </c>
      <c r="J321" s="5">
        <v>2305239461</v>
      </c>
      <c r="K321" s="5">
        <v>2096282112587</v>
      </c>
      <c r="L321" s="5">
        <v>1614783910411</v>
      </c>
      <c r="M321" s="5">
        <f t="shared" si="20"/>
        <v>677562232966</v>
      </c>
      <c r="N321" s="36">
        <f t="shared" si="21"/>
        <v>41.959932136897784</v>
      </c>
      <c r="O321" s="5">
        <v>2970572765486</v>
      </c>
      <c r="P321" s="36">
        <v>153.97</v>
      </c>
      <c r="Q321" s="6">
        <v>141.71</v>
      </c>
      <c r="R321" s="6">
        <v>5.37</v>
      </c>
      <c r="S321" s="5">
        <v>3096268743165</v>
      </c>
      <c r="T321" s="5">
        <v>189547316742</v>
      </c>
      <c r="U321" s="5">
        <v>73535684332</v>
      </c>
      <c r="V321" s="5">
        <v>115478720410</v>
      </c>
      <c r="W321" s="5">
        <v>532912000</v>
      </c>
      <c r="X321" s="5">
        <v>3285816059907</v>
      </c>
      <c r="Y321" s="5">
        <v>19904807</v>
      </c>
      <c r="Z321" s="5">
        <v>219698661924</v>
      </c>
      <c r="AA321" s="5">
        <v>23899409894</v>
      </c>
      <c r="AB321" s="5">
        <v>3529414131725</v>
      </c>
      <c r="AC321" s="5">
        <v>2242139565274</v>
      </c>
      <c r="AD321" s="36">
        <f t="shared" si="22"/>
        <v>46.548239493978947</v>
      </c>
      <c r="AE321" s="5">
        <v>1863331149203</v>
      </c>
      <c r="AF321" s="5">
        <v>1863331149203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6">
        <v>0</v>
      </c>
      <c r="AM321" s="5">
        <v>0</v>
      </c>
      <c r="AN321" s="6">
        <v>50</v>
      </c>
      <c r="AO321" s="5">
        <v>140531121154</v>
      </c>
      <c r="AP321" s="6">
        <v>11</v>
      </c>
      <c r="AQ321" s="5">
        <v>25207943048</v>
      </c>
      <c r="AR321" s="5">
        <v>189547316742</v>
      </c>
      <c r="AS321" s="5">
        <v>75454583043</v>
      </c>
      <c r="AT321" s="5">
        <f t="shared" si="23"/>
        <v>114092733699</v>
      </c>
      <c r="AU321" s="36">
        <f t="shared" si="24"/>
        <v>151.20716210701332</v>
      </c>
      <c r="AV321" s="5">
        <v>873344578421</v>
      </c>
      <c r="AW321" s="5">
        <v>226593571285</v>
      </c>
      <c r="AX321" s="5">
        <v>378912153372</v>
      </c>
      <c r="AY321" s="5">
        <v>445178885737</v>
      </c>
      <c r="AZ321" s="5">
        <v>631511971517</v>
      </c>
      <c r="BA321" s="5">
        <v>852854826960</v>
      </c>
      <c r="BB321" s="5">
        <v>396435573580</v>
      </c>
      <c r="BC321" s="5">
        <v>2292346143377</v>
      </c>
      <c r="BD321" s="5">
        <v>833236683468</v>
      </c>
      <c r="BE321" s="5">
        <v>631511971517</v>
      </c>
      <c r="BF321" s="5">
        <v>827597488392</v>
      </c>
      <c r="BG321" s="5">
        <v>1390480270881</v>
      </c>
      <c r="BH321" s="5">
        <v>472850878322</v>
      </c>
      <c r="BI321" s="5">
        <v>0</v>
      </c>
      <c r="BJ321" s="48">
        <v>0</v>
      </c>
      <c r="BK321" s="5">
        <v>0</v>
      </c>
      <c r="BL321" s="5">
        <v>0</v>
      </c>
      <c r="BM321" s="5">
        <v>0</v>
      </c>
      <c r="BN321" s="5">
        <v>0</v>
      </c>
    </row>
    <row r="322" spans="1:66" x14ac:dyDescent="0.25">
      <c r="A322" s="17" t="s">
        <v>347</v>
      </c>
      <c r="B322" s="4">
        <v>2502</v>
      </c>
      <c r="C322" s="4" t="s">
        <v>349</v>
      </c>
      <c r="D322" s="5">
        <v>1432408807329</v>
      </c>
      <c r="E322" s="5">
        <v>8558198193</v>
      </c>
      <c r="F322" s="5">
        <v>0</v>
      </c>
      <c r="G322" s="5">
        <v>0</v>
      </c>
      <c r="H322" s="5">
        <v>1440967005522</v>
      </c>
      <c r="I322" s="5">
        <v>90714955968</v>
      </c>
      <c r="J322" s="5">
        <v>2689196367</v>
      </c>
      <c r="K322" s="5">
        <v>1347562853187</v>
      </c>
      <c r="L322" s="5">
        <v>736486714718</v>
      </c>
      <c r="M322" s="5">
        <f t="shared" si="20"/>
        <v>704480290804</v>
      </c>
      <c r="N322" s="36">
        <f t="shared" si="21"/>
        <v>95.654174980433254</v>
      </c>
      <c r="O322" s="5">
        <v>1392458132323</v>
      </c>
      <c r="P322" s="36">
        <v>106.55</v>
      </c>
      <c r="Q322" s="6">
        <v>103.33</v>
      </c>
      <c r="R322" s="6">
        <v>2.2000000000000002</v>
      </c>
      <c r="S322" s="5">
        <v>1280577407375</v>
      </c>
      <c r="T322" s="5">
        <v>33143955981</v>
      </c>
      <c r="U322" s="5">
        <v>19537180760</v>
      </c>
      <c r="V322" s="5">
        <v>11143221113</v>
      </c>
      <c r="W322" s="5">
        <v>2463554108</v>
      </c>
      <c r="X322" s="5">
        <v>1313721363356</v>
      </c>
      <c r="Y322" s="5">
        <v>651037767</v>
      </c>
      <c r="Z322" s="5">
        <v>192437634676</v>
      </c>
      <c r="AA322" s="5">
        <v>29224220000</v>
      </c>
      <c r="AB322" s="5">
        <v>1535383218032</v>
      </c>
      <c r="AC322" s="5">
        <v>1373080404561</v>
      </c>
      <c r="AD322" s="36">
        <f t="shared" si="22"/>
        <v>-4.3230564654353376</v>
      </c>
      <c r="AE322" s="5">
        <v>476555877896</v>
      </c>
      <c r="AF322" s="5">
        <v>476555877896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6">
        <v>0</v>
      </c>
      <c r="AM322" s="5">
        <v>0</v>
      </c>
      <c r="AN322" s="6">
        <v>4</v>
      </c>
      <c r="AO322" s="5">
        <v>14565000000</v>
      </c>
      <c r="AP322" s="6">
        <v>4</v>
      </c>
      <c r="AQ322" s="5">
        <v>7370000000</v>
      </c>
      <c r="AR322" s="5">
        <v>33143955981</v>
      </c>
      <c r="AS322" s="5">
        <v>47180268889</v>
      </c>
      <c r="AT322" s="5">
        <f t="shared" si="23"/>
        <v>-14036312908</v>
      </c>
      <c r="AU322" s="36">
        <f t="shared" si="24"/>
        <v>-29.750387690716494</v>
      </c>
      <c r="AV322" s="5">
        <v>424560162690</v>
      </c>
      <c r="AW322" s="5">
        <v>170100303095</v>
      </c>
      <c r="AX322" s="5">
        <v>406045165797</v>
      </c>
      <c r="AY322" s="5">
        <v>236390083245</v>
      </c>
      <c r="AZ322" s="5">
        <v>423212558287</v>
      </c>
      <c r="BA322" s="5">
        <v>384118808804</v>
      </c>
      <c r="BB322" s="5">
        <v>320211846828</v>
      </c>
      <c r="BC322" s="5">
        <v>1440967005522</v>
      </c>
      <c r="BD322" s="5">
        <v>650993447235</v>
      </c>
      <c r="BE322" s="5">
        <v>423212558287</v>
      </c>
      <c r="BF322" s="5">
        <v>366761000000</v>
      </c>
      <c r="BG322" s="5">
        <v>193148474160</v>
      </c>
      <c r="BH322" s="5">
        <v>283407403736</v>
      </c>
      <c r="BI322" s="5">
        <v>0</v>
      </c>
      <c r="BJ322" s="48">
        <v>0</v>
      </c>
      <c r="BK322" s="5">
        <v>0</v>
      </c>
      <c r="BL322" s="5">
        <v>0</v>
      </c>
      <c r="BM322" s="5">
        <v>0</v>
      </c>
      <c r="BN322" s="5">
        <v>0</v>
      </c>
    </row>
    <row r="323" spans="1:66" x14ac:dyDescent="0.25">
      <c r="A323" s="17" t="s">
        <v>347</v>
      </c>
      <c r="B323" s="4">
        <v>2503</v>
      </c>
      <c r="C323" s="4" t="s">
        <v>350</v>
      </c>
      <c r="D323" s="5">
        <v>3527014344198</v>
      </c>
      <c r="E323" s="5">
        <v>53251014007</v>
      </c>
      <c r="F323" s="5">
        <v>0</v>
      </c>
      <c r="G323" s="5">
        <v>0</v>
      </c>
      <c r="H323" s="5">
        <v>3580265358205</v>
      </c>
      <c r="I323" s="5">
        <v>242633586699</v>
      </c>
      <c r="J323" s="5">
        <v>1339748832</v>
      </c>
      <c r="K323" s="5">
        <v>3336292022674</v>
      </c>
      <c r="L323" s="5">
        <v>2183999738079</v>
      </c>
      <c r="M323" s="5">
        <f t="shared" si="20"/>
        <v>1396265620126</v>
      </c>
      <c r="N323" s="36">
        <f t="shared" si="21"/>
        <v>63.931583680230922</v>
      </c>
      <c r="O323" s="5">
        <v>5072898958055</v>
      </c>
      <c r="P323" s="36">
        <v>166.06</v>
      </c>
      <c r="Q323" s="6">
        <v>152.05000000000001</v>
      </c>
      <c r="R323" s="6">
        <v>11.27</v>
      </c>
      <c r="S323" s="5">
        <v>4933965805744</v>
      </c>
      <c r="T323" s="5">
        <v>605459468157</v>
      </c>
      <c r="U323" s="5">
        <v>6767533738</v>
      </c>
      <c r="V323" s="5">
        <v>2068392790</v>
      </c>
      <c r="W323" s="5">
        <v>596623541629</v>
      </c>
      <c r="X323" s="5">
        <v>5539425273901</v>
      </c>
      <c r="Y323" s="5">
        <v>64742530346</v>
      </c>
      <c r="Z323" s="5">
        <v>383555680454</v>
      </c>
      <c r="AA323" s="5">
        <v>22285263193</v>
      </c>
      <c r="AB323" s="5">
        <v>5945266217548</v>
      </c>
      <c r="AC323" s="5">
        <v>2758860768530</v>
      </c>
      <c r="AD323" s="36">
        <f t="shared" si="22"/>
        <v>100.78669199578943</v>
      </c>
      <c r="AE323" s="5">
        <v>4377194446254</v>
      </c>
      <c r="AF323" s="5">
        <v>3949738555848</v>
      </c>
      <c r="AG323" s="5">
        <v>0</v>
      </c>
      <c r="AH323" s="5">
        <v>592312499</v>
      </c>
      <c r="AI323" s="5">
        <v>0</v>
      </c>
      <c r="AJ323" s="5">
        <v>0</v>
      </c>
      <c r="AK323" s="5">
        <v>0</v>
      </c>
      <c r="AL323" s="6">
        <v>0</v>
      </c>
      <c r="AM323" s="5">
        <v>0</v>
      </c>
      <c r="AN323" s="6">
        <v>32</v>
      </c>
      <c r="AO323" s="5">
        <v>547082763308</v>
      </c>
      <c r="AP323" s="6">
        <v>13</v>
      </c>
      <c r="AQ323" s="5">
        <v>71414387103</v>
      </c>
      <c r="AR323" s="5">
        <v>605459468157</v>
      </c>
      <c r="AS323" s="5">
        <v>603260429674</v>
      </c>
      <c r="AT323" s="5">
        <f t="shared" si="23"/>
        <v>2199038483</v>
      </c>
      <c r="AU323" s="36">
        <f t="shared" si="24"/>
        <v>0.36452556389093071</v>
      </c>
      <c r="AV323" s="5">
        <v>1692406726684</v>
      </c>
      <c r="AW323" s="5">
        <v>142625313581</v>
      </c>
      <c r="AX323" s="5">
        <v>756612620455</v>
      </c>
      <c r="AY323" s="5">
        <v>429212854477</v>
      </c>
      <c r="AZ323" s="5">
        <v>1802484818066</v>
      </c>
      <c r="BA323" s="5">
        <v>576793329084</v>
      </c>
      <c r="BB323" s="5">
        <v>1331629539495</v>
      </c>
      <c r="BC323" s="5">
        <v>3580265358205</v>
      </c>
      <c r="BD323" s="5">
        <v>1239076488939</v>
      </c>
      <c r="BE323" s="5">
        <v>1802457818066</v>
      </c>
      <c r="BF323" s="5">
        <v>538731051200</v>
      </c>
      <c r="BG323" s="5">
        <v>3338217138446</v>
      </c>
      <c r="BH323" s="5">
        <v>1038977307808</v>
      </c>
      <c r="BI323" s="5">
        <v>0</v>
      </c>
      <c r="BJ323" s="48">
        <v>181079621629</v>
      </c>
      <c r="BK323" s="5">
        <v>0</v>
      </c>
      <c r="BL323" s="5">
        <v>0</v>
      </c>
      <c r="BM323" s="5">
        <v>0</v>
      </c>
      <c r="BN323" s="5">
        <v>592312499</v>
      </c>
    </row>
    <row r="324" spans="1:66" x14ac:dyDescent="0.25">
      <c r="A324" s="17" t="s">
        <v>347</v>
      </c>
      <c r="B324" s="18">
        <v>2504</v>
      </c>
      <c r="C324" s="18" t="s">
        <v>351</v>
      </c>
      <c r="D324" s="19">
        <v>1761091917491</v>
      </c>
      <c r="E324" s="19">
        <v>55258335294</v>
      </c>
      <c r="F324" s="19">
        <v>0</v>
      </c>
      <c r="G324" s="19">
        <v>0</v>
      </c>
      <c r="H324" s="19">
        <v>1816350252785</v>
      </c>
      <c r="I324" s="19">
        <v>142348755634</v>
      </c>
      <c r="J324" s="19">
        <v>5596926916</v>
      </c>
      <c r="K324" s="19">
        <v>1668404570235</v>
      </c>
      <c r="L324" s="19">
        <v>1301128351323</v>
      </c>
      <c r="M324" s="5">
        <f t="shared" ref="M324:M387" si="25">H324-L324</f>
        <v>515221901462</v>
      </c>
      <c r="N324" s="36">
        <f t="shared" ref="N324:N387" si="26">IFERROR(M324/L324*100,0)</f>
        <v>39.598084304143967</v>
      </c>
      <c r="O324" s="19">
        <v>2318028166445</v>
      </c>
      <c r="P324" s="36">
        <v>149.83000000000001</v>
      </c>
      <c r="Q324" s="20">
        <v>138.94</v>
      </c>
      <c r="R324" s="20">
        <v>3.85</v>
      </c>
      <c r="S324" s="19">
        <v>2481885803897</v>
      </c>
      <c r="T324" s="19">
        <v>104653726942</v>
      </c>
      <c r="U324" s="19">
        <v>75825836985</v>
      </c>
      <c r="V324" s="19">
        <v>22639292342</v>
      </c>
      <c r="W324" s="19">
        <v>6188597615</v>
      </c>
      <c r="X324" s="19">
        <v>2586539530839</v>
      </c>
      <c r="Y324" s="5">
        <v>111669509</v>
      </c>
      <c r="Z324" s="19">
        <v>121111247092</v>
      </c>
      <c r="AA324" s="19">
        <v>13799980000</v>
      </c>
      <c r="AB324" s="19">
        <v>2721450757931</v>
      </c>
      <c r="AC324" s="19">
        <v>1891592958290</v>
      </c>
      <c r="AD324" s="36">
        <f t="shared" ref="AD324:AD387" si="27">IFERROR((X324-AC324)/AC324*100,0)</f>
        <v>36.738695262284743</v>
      </c>
      <c r="AE324" s="19">
        <v>1677396930765</v>
      </c>
      <c r="AF324" s="19">
        <v>1677396930765</v>
      </c>
      <c r="AG324" s="19">
        <v>0</v>
      </c>
      <c r="AH324" s="19">
        <v>6440025600</v>
      </c>
      <c r="AI324" s="19">
        <v>0</v>
      </c>
      <c r="AJ324" s="19">
        <v>0</v>
      </c>
      <c r="AK324" s="19">
        <v>0</v>
      </c>
      <c r="AL324" s="20">
        <v>3</v>
      </c>
      <c r="AM324" s="19">
        <v>94765741663</v>
      </c>
      <c r="AN324" s="20">
        <v>66</v>
      </c>
      <c r="AO324" s="19">
        <v>208742262413</v>
      </c>
      <c r="AP324" s="20">
        <v>18</v>
      </c>
      <c r="AQ324" s="19">
        <v>34423348013</v>
      </c>
      <c r="AR324" s="19">
        <v>104653726942</v>
      </c>
      <c r="AS324" s="19">
        <v>49248816944</v>
      </c>
      <c r="AT324" s="5">
        <f t="shared" ref="AT324:AT387" si="28">AR324-AS324</f>
        <v>55404909998</v>
      </c>
      <c r="AU324" s="36">
        <f t="shared" ref="AU324:AU387" si="29">IFERROR(AT324/AS324*100,0)</f>
        <v>112.49998159549699</v>
      </c>
      <c r="AV324" s="19">
        <v>1009252621698</v>
      </c>
      <c r="AW324" s="19">
        <v>235622905918</v>
      </c>
      <c r="AX324" s="19">
        <v>319946273760</v>
      </c>
      <c r="AY324" s="19">
        <v>440025822815</v>
      </c>
      <c r="AZ324" s="19">
        <v>756257838817</v>
      </c>
      <c r="BA324" s="19">
        <v>452836263411</v>
      </c>
      <c r="BB324" s="19">
        <v>570792436259</v>
      </c>
      <c r="BC324" s="19">
        <v>1816350252785</v>
      </c>
      <c r="BD324" s="19">
        <v>774031211476</v>
      </c>
      <c r="BE324" s="19">
        <v>756257838817</v>
      </c>
      <c r="BF324" s="19">
        <v>286061202492</v>
      </c>
      <c r="BG324" s="19">
        <v>1167980264606</v>
      </c>
      <c r="BH324" s="19">
        <v>509416666159</v>
      </c>
      <c r="BI324" s="19">
        <v>0</v>
      </c>
      <c r="BJ324" s="50">
        <v>0</v>
      </c>
      <c r="BK324" s="19">
        <v>0</v>
      </c>
      <c r="BL324" s="19">
        <v>0</v>
      </c>
      <c r="BM324" s="19">
        <v>984241280</v>
      </c>
      <c r="BN324" s="19">
        <v>6440025600</v>
      </c>
    </row>
    <row r="325" spans="1:66" x14ac:dyDescent="0.25">
      <c r="A325" s="17" t="s">
        <v>347</v>
      </c>
      <c r="B325" s="4">
        <v>2505</v>
      </c>
      <c r="C325" s="4" t="s">
        <v>352</v>
      </c>
      <c r="D325" s="5">
        <v>4226093374299</v>
      </c>
      <c r="E325" s="5">
        <v>33687234148</v>
      </c>
      <c r="F325" s="5">
        <v>0</v>
      </c>
      <c r="G325" s="5">
        <v>0</v>
      </c>
      <c r="H325" s="5">
        <v>4259780608447</v>
      </c>
      <c r="I325" s="5">
        <v>238642430851</v>
      </c>
      <c r="J325" s="5">
        <v>3505810300</v>
      </c>
      <c r="K325" s="5">
        <v>4017632367296</v>
      </c>
      <c r="L325" s="5">
        <v>2113731153766</v>
      </c>
      <c r="M325" s="5">
        <f t="shared" si="25"/>
        <v>2146049454681</v>
      </c>
      <c r="N325" s="36">
        <f t="shared" si="26"/>
        <v>101.52896932315252</v>
      </c>
      <c r="O325" s="5">
        <v>4798597784291</v>
      </c>
      <c r="P325" s="36">
        <v>134.65</v>
      </c>
      <c r="Q325" s="6">
        <v>119.44</v>
      </c>
      <c r="R325" s="6">
        <v>5.04</v>
      </c>
      <c r="S325" s="5">
        <v>5217769291135</v>
      </c>
      <c r="T325" s="5">
        <v>280985757620</v>
      </c>
      <c r="U325" s="5">
        <v>238823608646</v>
      </c>
      <c r="V325" s="5">
        <v>32804088910</v>
      </c>
      <c r="W325" s="5">
        <v>9358060064</v>
      </c>
      <c r="X325" s="5">
        <v>5498755048755</v>
      </c>
      <c r="Y325" s="5">
        <v>7883068737</v>
      </c>
      <c r="Z325" s="5">
        <v>212785634394</v>
      </c>
      <c r="AA325" s="5">
        <v>24269346325</v>
      </c>
      <c r="AB325" s="5">
        <v>5735810029474</v>
      </c>
      <c r="AC325" s="5">
        <v>3465888749654</v>
      </c>
      <c r="AD325" s="36">
        <f t="shared" si="27"/>
        <v>58.653535815422273</v>
      </c>
      <c r="AE325" s="5">
        <v>4823721658059</v>
      </c>
      <c r="AF325" s="5">
        <v>4483000239988</v>
      </c>
      <c r="AG325" s="5">
        <v>118140650243</v>
      </c>
      <c r="AH325" s="5">
        <v>192254000000</v>
      </c>
      <c r="AI325" s="5">
        <v>0</v>
      </c>
      <c r="AJ325" s="5">
        <v>166670000000</v>
      </c>
      <c r="AK325" s="5">
        <v>0</v>
      </c>
      <c r="AL325" s="6">
        <v>2</v>
      </c>
      <c r="AM325" s="5">
        <v>142065547000</v>
      </c>
      <c r="AN325" s="6">
        <v>41</v>
      </c>
      <c r="AO325" s="5">
        <v>570083534946</v>
      </c>
      <c r="AP325" s="6">
        <v>10</v>
      </c>
      <c r="AQ325" s="5">
        <v>45396157820</v>
      </c>
      <c r="AR325" s="5">
        <v>280985757620</v>
      </c>
      <c r="AS325" s="5">
        <v>52290048313</v>
      </c>
      <c r="AT325" s="5">
        <f t="shared" si="28"/>
        <v>228695709307</v>
      </c>
      <c r="AU325" s="36">
        <f t="shared" si="29"/>
        <v>437.35991203921537</v>
      </c>
      <c r="AV325" s="5">
        <v>2638987808762</v>
      </c>
      <c r="AW325" s="5">
        <v>212030369145</v>
      </c>
      <c r="AX325" s="5">
        <v>2506657376670</v>
      </c>
      <c r="AY325" s="5">
        <v>495188052218</v>
      </c>
      <c r="AZ325" s="5">
        <v>756715745411</v>
      </c>
      <c r="BA325" s="5">
        <v>561386951816</v>
      </c>
      <c r="BB325" s="5">
        <v>482474201655</v>
      </c>
      <c r="BC325" s="5">
        <v>4259780608447</v>
      </c>
      <c r="BD325" s="5">
        <v>3035532663036</v>
      </c>
      <c r="BE325" s="5">
        <v>756715745411</v>
      </c>
      <c r="BF325" s="5">
        <v>467532200000</v>
      </c>
      <c r="BG325" s="5">
        <v>2750772795692</v>
      </c>
      <c r="BH325" s="5">
        <v>2072948862367</v>
      </c>
      <c r="BI325" s="5">
        <v>0</v>
      </c>
      <c r="BJ325" s="48">
        <v>0</v>
      </c>
      <c r="BK325" s="5">
        <v>118140650243</v>
      </c>
      <c r="BL325" s="5">
        <v>188556000000</v>
      </c>
      <c r="BM325" s="5">
        <v>0</v>
      </c>
      <c r="BN325" s="5">
        <v>1854000000</v>
      </c>
    </row>
    <row r="326" spans="1:66" x14ac:dyDescent="0.25">
      <c r="A326" s="17" t="s">
        <v>347</v>
      </c>
      <c r="B326" s="4">
        <v>2506</v>
      </c>
      <c r="C326" s="4" t="s">
        <v>353</v>
      </c>
      <c r="D326" s="5">
        <v>1338438033966</v>
      </c>
      <c r="E326" s="5">
        <v>3698145175</v>
      </c>
      <c r="F326" s="5">
        <v>0</v>
      </c>
      <c r="G326" s="5">
        <v>0</v>
      </c>
      <c r="H326" s="5">
        <v>1342136179141</v>
      </c>
      <c r="I326" s="5">
        <v>81900280079</v>
      </c>
      <c r="J326" s="5">
        <v>3189520000</v>
      </c>
      <c r="K326" s="5">
        <v>1257046379062</v>
      </c>
      <c r="L326" s="5">
        <v>479764891234</v>
      </c>
      <c r="M326" s="5">
        <f t="shared" si="25"/>
        <v>862371287907</v>
      </c>
      <c r="N326" s="36">
        <f t="shared" si="26"/>
        <v>179.74872769220372</v>
      </c>
      <c r="O326" s="5">
        <v>587177015161</v>
      </c>
      <c r="P326" s="36">
        <v>51.46</v>
      </c>
      <c r="Q326" s="6">
        <v>46.71</v>
      </c>
      <c r="R326" s="6">
        <v>2.5</v>
      </c>
      <c r="S326" s="5">
        <v>637069262030</v>
      </c>
      <c r="T326" s="5">
        <v>17290024726</v>
      </c>
      <c r="U326" s="5">
        <v>17039181842</v>
      </c>
      <c r="V326" s="5">
        <v>250842884</v>
      </c>
      <c r="W326" s="5">
        <v>0</v>
      </c>
      <c r="X326" s="5">
        <v>654359286756</v>
      </c>
      <c r="Y326" s="5">
        <v>0</v>
      </c>
      <c r="Z326" s="5">
        <v>32351909520</v>
      </c>
      <c r="AA326" s="5">
        <v>4001580000</v>
      </c>
      <c r="AB326" s="5">
        <v>690712776276</v>
      </c>
      <c r="AC326" s="5">
        <v>206286489696</v>
      </c>
      <c r="AD326" s="36">
        <f t="shared" si="27"/>
        <v>217.2089881990407</v>
      </c>
      <c r="AE326" s="5">
        <v>565286941836</v>
      </c>
      <c r="AF326" s="5">
        <v>565286941836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6">
        <v>0</v>
      </c>
      <c r="AM326" s="5">
        <v>0</v>
      </c>
      <c r="AN326" s="6">
        <v>6</v>
      </c>
      <c r="AO326" s="5">
        <v>14201005000</v>
      </c>
      <c r="AP326" s="6">
        <v>1</v>
      </c>
      <c r="AQ326" s="5">
        <v>2000000000</v>
      </c>
      <c r="AR326" s="5">
        <v>17290024726</v>
      </c>
      <c r="AS326" s="5">
        <v>0</v>
      </c>
      <c r="AT326" s="5">
        <f t="shared" si="28"/>
        <v>17290024726</v>
      </c>
      <c r="AU326" s="36">
        <f t="shared" si="29"/>
        <v>0</v>
      </c>
      <c r="AV326" s="5">
        <v>146304967887</v>
      </c>
      <c r="AW326" s="5">
        <v>15774406229</v>
      </c>
      <c r="AX326" s="5">
        <v>374857460080</v>
      </c>
      <c r="AY326" s="5">
        <v>167029124738</v>
      </c>
      <c r="AZ326" s="5">
        <v>318431010403</v>
      </c>
      <c r="BA326" s="5">
        <v>501612646729</v>
      </c>
      <c r="BB326" s="5">
        <v>317418947306</v>
      </c>
      <c r="BC326" s="5">
        <v>1342136179141</v>
      </c>
      <c r="BD326" s="5">
        <v>545584729993</v>
      </c>
      <c r="BE326" s="5">
        <v>318431010403</v>
      </c>
      <c r="BF326" s="5">
        <v>478120438745</v>
      </c>
      <c r="BG326" s="5">
        <v>370458451836</v>
      </c>
      <c r="BH326" s="5">
        <v>194828490000</v>
      </c>
      <c r="BI326" s="5">
        <v>0</v>
      </c>
      <c r="BJ326" s="48">
        <v>0</v>
      </c>
      <c r="BK326" s="5">
        <v>0</v>
      </c>
      <c r="BL326" s="5">
        <v>0</v>
      </c>
      <c r="BM326" s="5">
        <v>0</v>
      </c>
      <c r="BN326" s="5">
        <v>0</v>
      </c>
    </row>
    <row r="327" spans="1:66" s="32" customFormat="1" x14ac:dyDescent="0.25">
      <c r="A327" s="17" t="s">
        <v>347</v>
      </c>
      <c r="B327" s="8">
        <v>2599</v>
      </c>
      <c r="C327" s="8" t="s">
        <v>354</v>
      </c>
      <c r="D327" s="9">
        <v>0</v>
      </c>
      <c r="E327" s="9">
        <v>1370845802</v>
      </c>
      <c r="F327" s="9">
        <v>0</v>
      </c>
      <c r="G327" s="9">
        <v>0</v>
      </c>
      <c r="H327" s="9">
        <v>1370845802</v>
      </c>
      <c r="I327" s="9">
        <v>86689440</v>
      </c>
      <c r="J327" s="9">
        <v>5310750000</v>
      </c>
      <c r="K327" s="9">
        <v>-4026593638</v>
      </c>
      <c r="L327" s="9">
        <v>623612610</v>
      </c>
      <c r="M327" s="5">
        <f t="shared" si="25"/>
        <v>747233192</v>
      </c>
      <c r="N327" s="36">
        <f t="shared" si="26"/>
        <v>119.82329735121937</v>
      </c>
      <c r="O327" s="9">
        <v>0</v>
      </c>
      <c r="P327" s="36">
        <v>0</v>
      </c>
      <c r="Q327" s="10">
        <v>0</v>
      </c>
      <c r="R327" s="10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36">
        <f t="shared" si="27"/>
        <v>0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0</v>
      </c>
      <c r="AL327" s="10">
        <v>0</v>
      </c>
      <c r="AM327" s="9">
        <v>0</v>
      </c>
      <c r="AN327" s="10">
        <v>0</v>
      </c>
      <c r="AO327" s="9">
        <v>0</v>
      </c>
      <c r="AP327" s="10">
        <v>0</v>
      </c>
      <c r="AQ327" s="9">
        <v>0</v>
      </c>
      <c r="AR327" s="9">
        <v>0</v>
      </c>
      <c r="AS327" s="9">
        <v>0</v>
      </c>
      <c r="AT327" s="5">
        <f t="shared" si="28"/>
        <v>0</v>
      </c>
      <c r="AU327" s="36">
        <f t="shared" si="29"/>
        <v>0</v>
      </c>
      <c r="AV327" s="9">
        <v>0</v>
      </c>
      <c r="AW327" s="9">
        <v>0</v>
      </c>
      <c r="AX327" s="9">
        <v>0</v>
      </c>
      <c r="AY327" s="9">
        <v>0</v>
      </c>
      <c r="AZ327" s="9">
        <v>0</v>
      </c>
      <c r="BA327" s="9">
        <v>0</v>
      </c>
      <c r="BB327" s="9">
        <v>0</v>
      </c>
      <c r="BC327" s="9">
        <v>1370845802</v>
      </c>
      <c r="BD327" s="9">
        <v>1370845802</v>
      </c>
      <c r="BE327" s="9">
        <v>0</v>
      </c>
      <c r="BF327" s="9">
        <v>0</v>
      </c>
      <c r="BG327" s="9">
        <v>0</v>
      </c>
      <c r="BH327" s="9">
        <v>0</v>
      </c>
      <c r="BI327" s="9">
        <v>0</v>
      </c>
      <c r="BJ327" s="51">
        <v>0</v>
      </c>
      <c r="BK327" s="9">
        <v>0</v>
      </c>
      <c r="BL327" s="9">
        <v>0</v>
      </c>
      <c r="BM327" s="9">
        <v>0</v>
      </c>
      <c r="BN327" s="9">
        <v>0</v>
      </c>
    </row>
    <row r="328" spans="1:66" x14ac:dyDescent="0.25">
      <c r="A328" s="30" t="s">
        <v>598</v>
      </c>
      <c r="B328" s="13" t="s">
        <v>625</v>
      </c>
      <c r="C328" s="13" t="s">
        <v>625</v>
      </c>
      <c r="D328" s="14">
        <v>19965843044023</v>
      </c>
      <c r="E328" s="14">
        <v>435076357481</v>
      </c>
      <c r="F328" s="14">
        <v>68350000000</v>
      </c>
      <c r="G328" s="14">
        <v>19272159372</v>
      </c>
      <c r="H328" s="14">
        <v>20488541560876</v>
      </c>
      <c r="I328" s="14">
        <v>1413528158713</v>
      </c>
      <c r="J328" s="14">
        <v>65044700538</v>
      </c>
      <c r="K328" s="14">
        <v>19009968701625</v>
      </c>
      <c r="L328" s="14">
        <v>12646749325629</v>
      </c>
      <c r="M328" s="14">
        <f t="shared" si="25"/>
        <v>7841792235247</v>
      </c>
      <c r="N328" s="41">
        <f t="shared" si="26"/>
        <v>62.006386252595227</v>
      </c>
      <c r="O328" s="14">
        <v>24655145027666</v>
      </c>
      <c r="P328" s="41">
        <v>147.41</v>
      </c>
      <c r="Q328" s="15">
        <v>129.69999999999999</v>
      </c>
      <c r="R328" s="15">
        <v>4.8</v>
      </c>
      <c r="S328" s="14">
        <v>27240886790923</v>
      </c>
      <c r="T328" s="14">
        <v>1373021950935</v>
      </c>
      <c r="U328" s="14">
        <v>503857434449</v>
      </c>
      <c r="V328" s="14">
        <v>242673232936</v>
      </c>
      <c r="W328" s="14">
        <v>626491283550</v>
      </c>
      <c r="X328" s="14">
        <v>28613908741858</v>
      </c>
      <c r="Y328" s="14">
        <v>76322756274</v>
      </c>
      <c r="Z328" s="14">
        <v>1447318467008</v>
      </c>
      <c r="AA328" s="14">
        <v>141519549353</v>
      </c>
      <c r="AB328" s="14">
        <v>30202746758219</v>
      </c>
      <c r="AC328" s="14">
        <v>18847643203359</v>
      </c>
      <c r="AD328" s="41">
        <f t="shared" si="27"/>
        <v>51.816905875841655</v>
      </c>
      <c r="AE328" s="14">
        <v>19715539383566</v>
      </c>
      <c r="AF328" s="14">
        <v>18491614803124</v>
      </c>
      <c r="AG328" s="14">
        <v>282008734016</v>
      </c>
      <c r="AH328" s="14">
        <v>285990034703</v>
      </c>
      <c r="AI328" s="14">
        <v>10286307302</v>
      </c>
      <c r="AJ328" s="14">
        <v>166670000000</v>
      </c>
      <c r="AK328" s="14">
        <v>0</v>
      </c>
      <c r="AL328" s="15">
        <v>9</v>
      </c>
      <c r="AM328" s="14">
        <v>664432652712</v>
      </c>
      <c r="AN328" s="15">
        <v>357</v>
      </c>
      <c r="AO328" s="14">
        <v>2664702988159</v>
      </c>
      <c r="AP328" s="15">
        <v>323</v>
      </c>
      <c r="AQ328" s="14">
        <v>7945038257650</v>
      </c>
      <c r="AR328" s="14">
        <v>1373021950935</v>
      </c>
      <c r="AS328" s="14">
        <v>916560977959</v>
      </c>
      <c r="AT328" s="14">
        <f t="shared" si="28"/>
        <v>456460972976</v>
      </c>
      <c r="AU328" s="41">
        <f t="shared" si="29"/>
        <v>49.801484456871414</v>
      </c>
      <c r="AV328" s="14">
        <v>10093495350078</v>
      </c>
      <c r="AW328" s="14">
        <v>1864885941590</v>
      </c>
      <c r="AX328" s="14">
        <v>6769748267533</v>
      </c>
      <c r="AY328" s="14">
        <v>2871180555799</v>
      </c>
      <c r="AZ328" s="14">
        <v>5943233753287</v>
      </c>
      <c r="BA328" s="14">
        <v>5219284709928</v>
      </c>
      <c r="BB328" s="14">
        <v>4112976133603</v>
      </c>
      <c r="BC328" s="14">
        <v>20488541560876</v>
      </c>
      <c r="BD328" s="14">
        <v>10008970519957</v>
      </c>
      <c r="BE328" s="14">
        <v>6011556753287</v>
      </c>
      <c r="BF328" s="14">
        <v>4468014287632</v>
      </c>
      <c r="BG328" s="14">
        <v>12821745096246</v>
      </c>
      <c r="BH328" s="14">
        <v>6893794287320</v>
      </c>
      <c r="BI328" s="14">
        <v>0</v>
      </c>
      <c r="BJ328" s="49">
        <v>181079621629</v>
      </c>
      <c r="BK328" s="14">
        <v>293008704473</v>
      </c>
      <c r="BL328" s="14">
        <v>188556000000</v>
      </c>
      <c r="BM328" s="14">
        <v>984241280</v>
      </c>
      <c r="BN328" s="14">
        <v>95590034703</v>
      </c>
    </row>
    <row r="329" spans="1:66" x14ac:dyDescent="0.25">
      <c r="A329" s="17" t="s">
        <v>355</v>
      </c>
      <c r="B329" s="4">
        <v>2600</v>
      </c>
      <c r="C329" s="4" t="s">
        <v>355</v>
      </c>
      <c r="D329" s="5">
        <v>2534151969036</v>
      </c>
      <c r="E329" s="5">
        <v>56546692223</v>
      </c>
      <c r="F329" s="5">
        <v>0</v>
      </c>
      <c r="G329" s="5">
        <v>11759564100</v>
      </c>
      <c r="H329" s="5">
        <v>2602458225359</v>
      </c>
      <c r="I329" s="5">
        <v>272745375460</v>
      </c>
      <c r="J329" s="5">
        <v>22543523418</v>
      </c>
      <c r="K329" s="5">
        <v>2307169326481</v>
      </c>
      <c r="L329" s="5">
        <v>3403886519099</v>
      </c>
      <c r="M329" s="5">
        <f t="shared" si="25"/>
        <v>-801428293740</v>
      </c>
      <c r="N329" s="36">
        <f t="shared" si="26"/>
        <v>-23.544506823104548</v>
      </c>
      <c r="O329" s="5">
        <v>5697165342291</v>
      </c>
      <c r="P329" s="36">
        <v>278.42</v>
      </c>
      <c r="Q329" s="6">
        <v>246.93</v>
      </c>
      <c r="R329" s="6">
        <v>1.01</v>
      </c>
      <c r="S329" s="5">
        <v>6911182407521</v>
      </c>
      <c r="T329" s="5">
        <v>72256081621</v>
      </c>
      <c r="U329" s="5">
        <v>69718217931</v>
      </c>
      <c r="V329" s="5">
        <v>659082427</v>
      </c>
      <c r="W329" s="5">
        <v>1878781263</v>
      </c>
      <c r="X329" s="5">
        <v>6983438489142</v>
      </c>
      <c r="Y329" s="5">
        <v>901177658</v>
      </c>
      <c r="Z329" s="5">
        <v>237553680486</v>
      </c>
      <c r="AA329" s="5">
        <v>24669860240</v>
      </c>
      <c r="AB329" s="5">
        <v>7245662029868</v>
      </c>
      <c r="AC329" s="5">
        <v>5251162078941</v>
      </c>
      <c r="AD329" s="36">
        <f t="shared" si="27"/>
        <v>32.988439209447286</v>
      </c>
      <c r="AE329" s="5">
        <v>5203428569338</v>
      </c>
      <c r="AF329" s="5">
        <v>5140145129616</v>
      </c>
      <c r="AG329" s="5">
        <v>26090002229</v>
      </c>
      <c r="AH329" s="5">
        <v>0</v>
      </c>
      <c r="AI329" s="5">
        <v>0</v>
      </c>
      <c r="AJ329" s="5">
        <v>0</v>
      </c>
      <c r="AK329" s="5">
        <v>0</v>
      </c>
      <c r="AL329" s="6">
        <v>1</v>
      </c>
      <c r="AM329" s="5">
        <v>32612502787</v>
      </c>
      <c r="AN329" s="6">
        <v>55</v>
      </c>
      <c r="AO329" s="5">
        <v>233483392189</v>
      </c>
      <c r="AP329" s="6">
        <v>15</v>
      </c>
      <c r="AQ329" s="5">
        <v>190557584111</v>
      </c>
      <c r="AR329" s="5">
        <v>72256081621</v>
      </c>
      <c r="AS329" s="5">
        <v>10448899390</v>
      </c>
      <c r="AT329" s="5">
        <f t="shared" si="28"/>
        <v>61807182231</v>
      </c>
      <c r="AU329" s="36">
        <f t="shared" si="29"/>
        <v>591.5185889353271</v>
      </c>
      <c r="AV329" s="5">
        <v>3763891056817</v>
      </c>
      <c r="AW329" s="5">
        <v>511747950546</v>
      </c>
      <c r="AX329" s="5">
        <v>845018117504</v>
      </c>
      <c r="AY329" s="5">
        <v>241274517569</v>
      </c>
      <c r="AZ329" s="5">
        <v>805171781949</v>
      </c>
      <c r="BA329" s="5">
        <v>1198492119206</v>
      </c>
      <c r="BB329" s="5">
        <v>565494209796</v>
      </c>
      <c r="BC329" s="5">
        <v>2602458225359</v>
      </c>
      <c r="BD329" s="5">
        <v>1154598891396</v>
      </c>
      <c r="BE329" s="5">
        <v>805171781949</v>
      </c>
      <c r="BF329" s="5">
        <v>642687552014</v>
      </c>
      <c r="BG329" s="5">
        <v>3263239493047</v>
      </c>
      <c r="BH329" s="5">
        <v>1940189076291</v>
      </c>
      <c r="BI329" s="5">
        <v>0</v>
      </c>
      <c r="BJ329" s="48">
        <v>0</v>
      </c>
      <c r="BK329" s="5">
        <v>26090002229</v>
      </c>
      <c r="BL329" s="5">
        <v>0</v>
      </c>
      <c r="BM329" s="5">
        <v>0</v>
      </c>
      <c r="BN329" s="5">
        <v>0</v>
      </c>
    </row>
    <row r="330" spans="1:66" x14ac:dyDescent="0.25">
      <c r="A330" s="17" t="s">
        <v>355</v>
      </c>
      <c r="B330" s="18">
        <v>2601</v>
      </c>
      <c r="C330" s="18" t="s">
        <v>356</v>
      </c>
      <c r="D330" s="19">
        <v>1460293707766</v>
      </c>
      <c r="E330" s="19">
        <v>45857461512</v>
      </c>
      <c r="F330" s="19">
        <v>0</v>
      </c>
      <c r="G330" s="19">
        <v>0</v>
      </c>
      <c r="H330" s="19">
        <v>1506151169278</v>
      </c>
      <c r="I330" s="19">
        <v>119461908309</v>
      </c>
      <c r="J330" s="19">
        <v>3199065000</v>
      </c>
      <c r="K330" s="19">
        <v>1383490195969</v>
      </c>
      <c r="L330" s="19">
        <v>1150334946637</v>
      </c>
      <c r="M330" s="5">
        <f t="shared" si="25"/>
        <v>355816222641</v>
      </c>
      <c r="N330" s="36">
        <f t="shared" si="26"/>
        <v>30.931532044751609</v>
      </c>
      <c r="O330" s="19">
        <v>2494801646901</v>
      </c>
      <c r="P330" s="36">
        <v>196.39</v>
      </c>
      <c r="Q330" s="20">
        <v>180.33</v>
      </c>
      <c r="R330" s="20">
        <v>6.57</v>
      </c>
      <c r="S330" s="19">
        <v>2513134937725</v>
      </c>
      <c r="T330" s="19">
        <v>193579787484</v>
      </c>
      <c r="U330" s="19">
        <v>42100061971</v>
      </c>
      <c r="V330" s="19">
        <v>150692947263</v>
      </c>
      <c r="W330" s="19">
        <v>786778250</v>
      </c>
      <c r="X330" s="19">
        <v>2706714725209</v>
      </c>
      <c r="Y330" s="5">
        <v>784986029</v>
      </c>
      <c r="Z330" s="19">
        <v>226857654285</v>
      </c>
      <c r="AA330" s="19">
        <v>24373747300</v>
      </c>
      <c r="AB330" s="19">
        <v>2957946126794</v>
      </c>
      <c r="AC330" s="19">
        <v>2311697779137</v>
      </c>
      <c r="AD330" s="36">
        <f t="shared" si="27"/>
        <v>17.087741729780404</v>
      </c>
      <c r="AE330" s="19">
        <v>1423304682457</v>
      </c>
      <c r="AF330" s="19">
        <v>1352220080038</v>
      </c>
      <c r="AG330" s="19">
        <v>24529441354</v>
      </c>
      <c r="AH330" s="19">
        <v>0</v>
      </c>
      <c r="AI330" s="19">
        <v>0</v>
      </c>
      <c r="AJ330" s="19">
        <v>0</v>
      </c>
      <c r="AK330" s="19">
        <v>0</v>
      </c>
      <c r="AL330" s="20">
        <v>0</v>
      </c>
      <c r="AM330" s="19">
        <v>0</v>
      </c>
      <c r="AN330" s="20">
        <v>3</v>
      </c>
      <c r="AO330" s="19">
        <v>3480000000</v>
      </c>
      <c r="AP330" s="20">
        <v>13</v>
      </c>
      <c r="AQ330" s="19">
        <v>41104400000</v>
      </c>
      <c r="AR330" s="19">
        <v>193579787484</v>
      </c>
      <c r="AS330" s="19">
        <v>163438891298</v>
      </c>
      <c r="AT330" s="5">
        <f t="shared" si="28"/>
        <v>30140896186</v>
      </c>
      <c r="AU330" s="36">
        <f t="shared" si="29"/>
        <v>18.441691537813824</v>
      </c>
      <c r="AV330" s="19">
        <v>1022708931171</v>
      </c>
      <c r="AW330" s="19">
        <v>241651935539</v>
      </c>
      <c r="AX330" s="19">
        <v>549386088303</v>
      </c>
      <c r="AY330" s="19">
        <v>225626804855</v>
      </c>
      <c r="AZ330" s="19">
        <v>333347360609</v>
      </c>
      <c r="BA330" s="19">
        <v>372377648595</v>
      </c>
      <c r="BB330" s="19">
        <v>112774161591</v>
      </c>
      <c r="BC330" s="19">
        <v>1506151169278</v>
      </c>
      <c r="BD330" s="19">
        <v>787006194949</v>
      </c>
      <c r="BE330" s="19">
        <v>333347360609</v>
      </c>
      <c r="BF330" s="19">
        <v>385797613720</v>
      </c>
      <c r="BG330" s="19">
        <v>1171205708889</v>
      </c>
      <c r="BH330" s="19">
        <v>252098973568</v>
      </c>
      <c r="BI330" s="19">
        <v>0</v>
      </c>
      <c r="BJ330" s="50">
        <v>0</v>
      </c>
      <c r="BK330" s="19">
        <v>35964609690</v>
      </c>
      <c r="BL330" s="19">
        <v>0</v>
      </c>
      <c r="BM330" s="19">
        <v>0</v>
      </c>
      <c r="BN330" s="19">
        <v>585000000</v>
      </c>
    </row>
    <row r="331" spans="1:66" x14ac:dyDescent="0.25">
      <c r="A331" s="17" t="s">
        <v>355</v>
      </c>
      <c r="B331" s="8">
        <v>2602</v>
      </c>
      <c r="C331" s="8" t="s">
        <v>357</v>
      </c>
      <c r="D331" s="9">
        <v>2595859495645</v>
      </c>
      <c r="E331" s="9">
        <v>99243435626</v>
      </c>
      <c r="F331" s="9">
        <v>30000000000</v>
      </c>
      <c r="G331" s="9">
        <v>0</v>
      </c>
      <c r="H331" s="9">
        <v>2725102931271</v>
      </c>
      <c r="I331" s="9">
        <v>265362392163</v>
      </c>
      <c r="J331" s="9">
        <v>2109506643</v>
      </c>
      <c r="K331" s="9">
        <v>2457631032465</v>
      </c>
      <c r="L331" s="9">
        <v>2119317095032</v>
      </c>
      <c r="M331" s="5">
        <f t="shared" si="25"/>
        <v>605785836239</v>
      </c>
      <c r="N331" s="36">
        <f t="shared" si="26"/>
        <v>28.58401122036215</v>
      </c>
      <c r="O331" s="9">
        <v>2315298952741</v>
      </c>
      <c r="P331" s="36">
        <v>94.91</v>
      </c>
      <c r="Q331" s="10">
        <v>94.21</v>
      </c>
      <c r="R331" s="10">
        <v>0.56999999999999995</v>
      </c>
      <c r="S331" s="9">
        <v>2413565746850</v>
      </c>
      <c r="T331" s="9">
        <v>14730652587</v>
      </c>
      <c r="U331" s="9">
        <v>12782198925</v>
      </c>
      <c r="V331" s="9">
        <v>1948453662</v>
      </c>
      <c r="W331" s="9">
        <v>0</v>
      </c>
      <c r="X331" s="9">
        <v>2428296399437</v>
      </c>
      <c r="Y331" s="5">
        <v>0</v>
      </c>
      <c r="Z331" s="9">
        <v>137797467801</v>
      </c>
      <c r="AA331" s="9">
        <v>20351733500</v>
      </c>
      <c r="AB331" s="9">
        <v>2586445600738</v>
      </c>
      <c r="AC331" s="9">
        <v>1772095364313</v>
      </c>
      <c r="AD331" s="36">
        <f t="shared" si="27"/>
        <v>37.029668286412672</v>
      </c>
      <c r="AE331" s="9">
        <v>2373475692338</v>
      </c>
      <c r="AF331" s="9">
        <v>2373475692338</v>
      </c>
      <c r="AG331" s="9">
        <v>20993756298</v>
      </c>
      <c r="AH331" s="9">
        <v>0</v>
      </c>
      <c r="AI331" s="9">
        <v>0</v>
      </c>
      <c r="AJ331" s="9">
        <v>0</v>
      </c>
      <c r="AK331" s="9">
        <v>0</v>
      </c>
      <c r="AL331" s="10">
        <v>2</v>
      </c>
      <c r="AM331" s="9">
        <v>202544111227</v>
      </c>
      <c r="AN331" s="10">
        <v>34</v>
      </c>
      <c r="AO331" s="9">
        <v>284931054232</v>
      </c>
      <c r="AP331" s="10">
        <v>29</v>
      </c>
      <c r="AQ331" s="9">
        <v>156058946037</v>
      </c>
      <c r="AR331" s="9">
        <v>14730652587</v>
      </c>
      <c r="AS331" s="9">
        <v>4371116747</v>
      </c>
      <c r="AT331" s="5">
        <f t="shared" si="28"/>
        <v>10359535840</v>
      </c>
      <c r="AU331" s="36">
        <f t="shared" si="29"/>
        <v>236.99975177075726</v>
      </c>
      <c r="AV331" s="9">
        <v>1585061819624</v>
      </c>
      <c r="AW331" s="9">
        <v>184349637864</v>
      </c>
      <c r="AX331" s="9">
        <v>740276433421</v>
      </c>
      <c r="AY331" s="9">
        <v>481933260183</v>
      </c>
      <c r="AZ331" s="9">
        <v>740547102041</v>
      </c>
      <c r="BA331" s="9">
        <v>855007201056</v>
      </c>
      <c r="BB331" s="9">
        <v>550272790278</v>
      </c>
      <c r="BC331" s="9">
        <v>2725102931271</v>
      </c>
      <c r="BD331" s="9">
        <v>1314801462749</v>
      </c>
      <c r="BE331" s="9">
        <v>770547102041</v>
      </c>
      <c r="BF331" s="9">
        <v>639754366481</v>
      </c>
      <c r="BG331" s="9">
        <v>1473684220137</v>
      </c>
      <c r="BH331" s="9">
        <v>899791472201</v>
      </c>
      <c r="BI331" s="9">
        <v>0</v>
      </c>
      <c r="BJ331" s="51">
        <v>0</v>
      </c>
      <c r="BK331" s="9">
        <v>20993756298</v>
      </c>
      <c r="BL331" s="9">
        <v>0</v>
      </c>
      <c r="BM331" s="9">
        <v>0</v>
      </c>
      <c r="BN331" s="9">
        <v>0</v>
      </c>
    </row>
    <row r="332" spans="1:66" x14ac:dyDescent="0.25">
      <c r="A332" s="17" t="s">
        <v>355</v>
      </c>
      <c r="B332" s="4">
        <v>2603</v>
      </c>
      <c r="C332" s="4" t="s">
        <v>358</v>
      </c>
      <c r="D332" s="5">
        <v>2160758238857</v>
      </c>
      <c r="E332" s="5">
        <v>35274679677</v>
      </c>
      <c r="F332" s="5">
        <v>0</v>
      </c>
      <c r="G332" s="5">
        <v>0</v>
      </c>
      <c r="H332" s="5">
        <v>2196032918534</v>
      </c>
      <c r="I332" s="5">
        <v>144374318612</v>
      </c>
      <c r="J332" s="5">
        <v>1318507822</v>
      </c>
      <c r="K332" s="5">
        <v>2050340092100</v>
      </c>
      <c r="L332" s="5">
        <v>1187482434394</v>
      </c>
      <c r="M332" s="5">
        <f t="shared" si="25"/>
        <v>1008550484140</v>
      </c>
      <c r="N332" s="36">
        <f t="shared" si="26"/>
        <v>84.931823404586765</v>
      </c>
      <c r="O332" s="5">
        <v>1960776514208</v>
      </c>
      <c r="P332" s="36">
        <v>99.14</v>
      </c>
      <c r="Q332" s="6">
        <v>95.63</v>
      </c>
      <c r="R332" s="6">
        <v>11.81</v>
      </c>
      <c r="S332" s="5">
        <v>1714827264381</v>
      </c>
      <c r="T332" s="5">
        <v>254471953995</v>
      </c>
      <c r="U332" s="5">
        <v>40921000211</v>
      </c>
      <c r="V332" s="5">
        <v>5233537179</v>
      </c>
      <c r="W332" s="5">
        <v>208317416605</v>
      </c>
      <c r="X332" s="5">
        <v>1969299218376</v>
      </c>
      <c r="Y332" s="5">
        <v>2662129766</v>
      </c>
      <c r="Z332" s="5">
        <v>185670169771</v>
      </c>
      <c r="AA332" s="5">
        <v>22100611875</v>
      </c>
      <c r="AB332" s="5">
        <v>2177070000022</v>
      </c>
      <c r="AC332" s="5">
        <v>1724408721693</v>
      </c>
      <c r="AD332" s="36">
        <f t="shared" si="27"/>
        <v>14.201418352985943</v>
      </c>
      <c r="AE332" s="5">
        <v>1485343854098</v>
      </c>
      <c r="AF332" s="5">
        <v>1485343854098</v>
      </c>
      <c r="AG332" s="5">
        <v>162246946312</v>
      </c>
      <c r="AH332" s="5">
        <v>0</v>
      </c>
      <c r="AI332" s="5">
        <v>0</v>
      </c>
      <c r="AJ332" s="5">
        <v>0</v>
      </c>
      <c r="AK332" s="5">
        <v>22336903146</v>
      </c>
      <c r="AL332" s="6">
        <v>1</v>
      </c>
      <c r="AM332" s="5">
        <v>22009237800</v>
      </c>
      <c r="AN332" s="6">
        <v>27</v>
      </c>
      <c r="AO332" s="5">
        <v>137099070627</v>
      </c>
      <c r="AP332" s="6">
        <v>10</v>
      </c>
      <c r="AQ332" s="5">
        <v>32299750000</v>
      </c>
      <c r="AR332" s="5">
        <v>254471953995</v>
      </c>
      <c r="AS332" s="5">
        <v>215764097209</v>
      </c>
      <c r="AT332" s="5">
        <f t="shared" si="28"/>
        <v>38707856786</v>
      </c>
      <c r="AU332" s="36">
        <f t="shared" si="29"/>
        <v>17.939896992457282</v>
      </c>
      <c r="AV332" s="5">
        <v>1214933120657</v>
      </c>
      <c r="AW332" s="5">
        <v>256841966580</v>
      </c>
      <c r="AX332" s="5">
        <v>853446467802</v>
      </c>
      <c r="AY332" s="5">
        <v>363684725888</v>
      </c>
      <c r="AZ332" s="5">
        <v>615026146323</v>
      </c>
      <c r="BA332" s="5">
        <v>533988672708</v>
      </c>
      <c r="BB332" s="5">
        <v>539857769553</v>
      </c>
      <c r="BC332" s="5">
        <v>2196032918534</v>
      </c>
      <c r="BD332" s="5">
        <v>1252407972211</v>
      </c>
      <c r="BE332" s="5">
        <v>615026146323</v>
      </c>
      <c r="BF332" s="5">
        <v>328598800000</v>
      </c>
      <c r="BG332" s="5">
        <v>1081058828038</v>
      </c>
      <c r="BH332" s="5">
        <v>404285026060</v>
      </c>
      <c r="BI332" s="5">
        <v>0</v>
      </c>
      <c r="BJ332" s="48">
        <v>0</v>
      </c>
      <c r="BK332" s="5">
        <v>162246946312</v>
      </c>
      <c r="BL332" s="5">
        <v>0</v>
      </c>
      <c r="BM332" s="5">
        <v>0</v>
      </c>
      <c r="BN332" s="5">
        <v>0</v>
      </c>
    </row>
    <row r="333" spans="1:66" x14ac:dyDescent="0.25">
      <c r="A333" s="17" t="s">
        <v>355</v>
      </c>
      <c r="B333" s="4">
        <v>2604</v>
      </c>
      <c r="C333" s="4" t="s">
        <v>359</v>
      </c>
      <c r="D333" s="5">
        <v>958484968027</v>
      </c>
      <c r="E333" s="5">
        <v>3309064248</v>
      </c>
      <c r="F333" s="5">
        <v>0</v>
      </c>
      <c r="G333" s="5">
        <v>0</v>
      </c>
      <c r="H333" s="5">
        <v>961794032275</v>
      </c>
      <c r="I333" s="5">
        <v>68603381962</v>
      </c>
      <c r="J333" s="5">
        <v>2354205000</v>
      </c>
      <c r="K333" s="5">
        <v>890836445313</v>
      </c>
      <c r="L333" s="5">
        <v>326776351129</v>
      </c>
      <c r="M333" s="5">
        <f t="shared" si="25"/>
        <v>635017681146</v>
      </c>
      <c r="N333" s="36">
        <f t="shared" si="26"/>
        <v>194.32791845310649</v>
      </c>
      <c r="O333" s="5">
        <v>764916293767</v>
      </c>
      <c r="P333" s="36">
        <v>91.25</v>
      </c>
      <c r="Q333" s="6">
        <v>85.86</v>
      </c>
      <c r="R333" s="6">
        <v>0.37</v>
      </c>
      <c r="S333" s="5">
        <v>819018301149</v>
      </c>
      <c r="T333" s="5">
        <v>3206430056</v>
      </c>
      <c r="U333" s="5">
        <v>3206430056</v>
      </c>
      <c r="V333" s="5">
        <v>0</v>
      </c>
      <c r="W333" s="5">
        <v>0</v>
      </c>
      <c r="X333" s="5">
        <v>822224731205</v>
      </c>
      <c r="Y333" s="5">
        <v>0</v>
      </c>
      <c r="Z333" s="5">
        <v>37011286183</v>
      </c>
      <c r="AA333" s="5">
        <v>18399350000</v>
      </c>
      <c r="AB333" s="5">
        <v>877635367388</v>
      </c>
      <c r="AC333" s="5">
        <v>226056969364</v>
      </c>
      <c r="AD333" s="36">
        <f t="shared" si="27"/>
        <v>263.72456620925612</v>
      </c>
      <c r="AE333" s="5">
        <v>734541629228</v>
      </c>
      <c r="AF333" s="5">
        <v>694424247311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6">
        <v>0</v>
      </c>
      <c r="AM333" s="5">
        <v>0</v>
      </c>
      <c r="AN333" s="6">
        <v>3</v>
      </c>
      <c r="AO333" s="5">
        <v>10494000000</v>
      </c>
      <c r="AP333" s="6">
        <v>1</v>
      </c>
      <c r="AQ333" s="5">
        <v>2862000000</v>
      </c>
      <c r="AR333" s="5">
        <v>3206430056</v>
      </c>
      <c r="AS333" s="5">
        <v>117059126</v>
      </c>
      <c r="AT333" s="5">
        <f t="shared" si="28"/>
        <v>3089370930</v>
      </c>
      <c r="AU333" s="36">
        <f t="shared" si="29"/>
        <v>2639.1542766174421</v>
      </c>
      <c r="AV333" s="5">
        <v>118112873028</v>
      </c>
      <c r="AW333" s="5">
        <v>5837368845</v>
      </c>
      <c r="AX333" s="5">
        <v>101780652621</v>
      </c>
      <c r="AY333" s="5">
        <v>220450118338</v>
      </c>
      <c r="AZ333" s="5">
        <v>425534197068</v>
      </c>
      <c r="BA333" s="5">
        <v>211450112768</v>
      </c>
      <c r="BB333" s="5">
        <v>415551129805</v>
      </c>
      <c r="BC333" s="5">
        <v>961794032275</v>
      </c>
      <c r="BD333" s="5">
        <v>325539835207</v>
      </c>
      <c r="BE333" s="5">
        <v>425534197068</v>
      </c>
      <c r="BF333" s="5">
        <v>210720000000</v>
      </c>
      <c r="BG333" s="5">
        <v>625457263475</v>
      </c>
      <c r="BH333" s="5">
        <v>109084365753</v>
      </c>
      <c r="BI333" s="5">
        <v>0</v>
      </c>
      <c r="BJ333" s="48">
        <v>0</v>
      </c>
      <c r="BK333" s="5">
        <v>0</v>
      </c>
      <c r="BL333" s="5">
        <v>0</v>
      </c>
      <c r="BM333" s="5">
        <v>0</v>
      </c>
      <c r="BN333" s="5">
        <v>0</v>
      </c>
    </row>
    <row r="334" spans="1:66" s="32" customFormat="1" x14ac:dyDescent="0.25">
      <c r="A334" s="17" t="s">
        <v>355</v>
      </c>
      <c r="B334" s="8">
        <v>2699</v>
      </c>
      <c r="C334" s="8" t="s">
        <v>360</v>
      </c>
      <c r="D334" s="9">
        <v>0</v>
      </c>
      <c r="E334" s="9">
        <v>1655649937</v>
      </c>
      <c r="F334" s="9">
        <v>0</v>
      </c>
      <c r="G334" s="9">
        <v>0</v>
      </c>
      <c r="H334" s="9">
        <v>1655649937</v>
      </c>
      <c r="I334" s="9">
        <v>136434530</v>
      </c>
      <c r="J334" s="9">
        <v>0</v>
      </c>
      <c r="K334" s="9">
        <v>1519215407</v>
      </c>
      <c r="L334" s="9">
        <v>1783660117</v>
      </c>
      <c r="M334" s="5">
        <f t="shared" si="25"/>
        <v>-128010180</v>
      </c>
      <c r="N334" s="36">
        <f t="shared" si="26"/>
        <v>-7.1768258302094452</v>
      </c>
      <c r="O334" s="9">
        <v>0</v>
      </c>
      <c r="P334" s="36">
        <v>0</v>
      </c>
      <c r="Q334" s="10">
        <v>0</v>
      </c>
      <c r="R334" s="10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36">
        <f t="shared" si="27"/>
        <v>0</v>
      </c>
      <c r="AE334" s="9">
        <v>0</v>
      </c>
      <c r="AF334" s="9">
        <v>0</v>
      </c>
      <c r="AG334" s="9">
        <v>0</v>
      </c>
      <c r="AH334" s="9">
        <v>0</v>
      </c>
      <c r="AI334" s="9">
        <v>0</v>
      </c>
      <c r="AJ334" s="9">
        <v>0</v>
      </c>
      <c r="AK334" s="9">
        <v>0</v>
      </c>
      <c r="AL334" s="10">
        <v>0</v>
      </c>
      <c r="AM334" s="9">
        <v>0</v>
      </c>
      <c r="AN334" s="10">
        <v>0</v>
      </c>
      <c r="AO334" s="9">
        <v>0</v>
      </c>
      <c r="AP334" s="10">
        <v>0</v>
      </c>
      <c r="AQ334" s="9">
        <v>0</v>
      </c>
      <c r="AR334" s="9">
        <v>0</v>
      </c>
      <c r="AS334" s="9">
        <v>0</v>
      </c>
      <c r="AT334" s="5">
        <f t="shared" si="28"/>
        <v>0</v>
      </c>
      <c r="AU334" s="36">
        <f t="shared" si="29"/>
        <v>0</v>
      </c>
      <c r="AV334" s="9">
        <v>0</v>
      </c>
      <c r="AW334" s="9">
        <v>0</v>
      </c>
      <c r="AX334" s="9">
        <v>0</v>
      </c>
      <c r="AY334" s="9">
        <v>0</v>
      </c>
      <c r="AZ334" s="9">
        <v>0</v>
      </c>
      <c r="BA334" s="9">
        <v>0</v>
      </c>
      <c r="BB334" s="9">
        <v>0</v>
      </c>
      <c r="BC334" s="9">
        <v>1655649937</v>
      </c>
      <c r="BD334" s="9">
        <v>1655649937</v>
      </c>
      <c r="BE334" s="9">
        <v>0</v>
      </c>
      <c r="BF334" s="9">
        <v>0</v>
      </c>
      <c r="BG334" s="9">
        <v>0</v>
      </c>
      <c r="BH334" s="9">
        <v>0</v>
      </c>
      <c r="BI334" s="9">
        <v>0</v>
      </c>
      <c r="BJ334" s="51">
        <v>0</v>
      </c>
      <c r="BK334" s="9">
        <v>0</v>
      </c>
      <c r="BL334" s="9">
        <v>0</v>
      </c>
      <c r="BM334" s="9">
        <v>0</v>
      </c>
      <c r="BN334" s="9">
        <v>0</v>
      </c>
    </row>
    <row r="335" spans="1:66" x14ac:dyDescent="0.25">
      <c r="A335" s="30" t="s">
        <v>599</v>
      </c>
      <c r="B335" s="13" t="s">
        <v>625</v>
      </c>
      <c r="C335" s="13" t="s">
        <v>625</v>
      </c>
      <c r="D335" s="14">
        <v>9709548379331</v>
      </c>
      <c r="E335" s="14">
        <v>241886983223</v>
      </c>
      <c r="F335" s="14">
        <v>30000000000</v>
      </c>
      <c r="G335" s="14">
        <v>11759564100</v>
      </c>
      <c r="H335" s="14">
        <v>9993194926654</v>
      </c>
      <c r="I335" s="14">
        <v>870683811036</v>
      </c>
      <c r="J335" s="14">
        <v>31524807883</v>
      </c>
      <c r="K335" s="14">
        <v>9090986307735</v>
      </c>
      <c r="L335" s="14">
        <v>8189581006408</v>
      </c>
      <c r="M335" s="14">
        <f t="shared" si="25"/>
        <v>1803613920246</v>
      </c>
      <c r="N335" s="41">
        <f t="shared" si="26"/>
        <v>22.023274680777302</v>
      </c>
      <c r="O335" s="14">
        <v>13232958749908</v>
      </c>
      <c r="P335" s="41">
        <v>158.56</v>
      </c>
      <c r="Q335" s="15">
        <v>145.56</v>
      </c>
      <c r="R335" s="15">
        <v>3.42</v>
      </c>
      <c r="S335" s="14">
        <v>14371728657626</v>
      </c>
      <c r="T335" s="14">
        <v>538244905743</v>
      </c>
      <c r="U335" s="14">
        <v>168727909094</v>
      </c>
      <c r="V335" s="14">
        <v>158534020531</v>
      </c>
      <c r="W335" s="14">
        <v>210982976118</v>
      </c>
      <c r="X335" s="14">
        <v>14909973563369</v>
      </c>
      <c r="Y335" s="14">
        <v>4348293453</v>
      </c>
      <c r="Z335" s="14">
        <v>824890258526</v>
      </c>
      <c r="AA335" s="14">
        <v>109895302915</v>
      </c>
      <c r="AB335" s="14">
        <v>15844759124810</v>
      </c>
      <c r="AC335" s="14">
        <v>11285420913448</v>
      </c>
      <c r="AD335" s="41">
        <f t="shared" si="27"/>
        <v>32.117124188091992</v>
      </c>
      <c r="AE335" s="14">
        <v>11220094427459</v>
      </c>
      <c r="AF335" s="14">
        <v>11045609003401</v>
      </c>
      <c r="AG335" s="14">
        <v>233860146193</v>
      </c>
      <c r="AH335" s="14">
        <v>0</v>
      </c>
      <c r="AI335" s="14">
        <v>0</v>
      </c>
      <c r="AJ335" s="14">
        <v>0</v>
      </c>
      <c r="AK335" s="14">
        <v>22336903146</v>
      </c>
      <c r="AL335" s="15">
        <v>4</v>
      </c>
      <c r="AM335" s="14">
        <v>257165851814</v>
      </c>
      <c r="AN335" s="15">
        <v>122</v>
      </c>
      <c r="AO335" s="14">
        <v>669487517048</v>
      </c>
      <c r="AP335" s="15">
        <v>68</v>
      </c>
      <c r="AQ335" s="14">
        <v>422882680148</v>
      </c>
      <c r="AR335" s="14">
        <v>538244905743</v>
      </c>
      <c r="AS335" s="14">
        <v>394140063770</v>
      </c>
      <c r="AT335" s="14">
        <f t="shared" si="28"/>
        <v>144104841973</v>
      </c>
      <c r="AU335" s="41">
        <f t="shared" si="29"/>
        <v>36.561835555263983</v>
      </c>
      <c r="AV335" s="14">
        <v>7704707801297</v>
      </c>
      <c r="AW335" s="14">
        <v>1200428859374</v>
      </c>
      <c r="AX335" s="14">
        <v>3089907759651</v>
      </c>
      <c r="AY335" s="14">
        <v>1532969426833</v>
      </c>
      <c r="AZ335" s="14">
        <v>2919626587990</v>
      </c>
      <c r="BA335" s="14">
        <v>3171315754333</v>
      </c>
      <c r="BB335" s="14">
        <v>2183950061023</v>
      </c>
      <c r="BC335" s="14">
        <v>9993194926654</v>
      </c>
      <c r="BD335" s="14">
        <v>4836010006449</v>
      </c>
      <c r="BE335" s="14">
        <v>2949626587990</v>
      </c>
      <c r="BF335" s="14">
        <v>2207558332215</v>
      </c>
      <c r="BG335" s="14">
        <v>7614645513586</v>
      </c>
      <c r="BH335" s="14">
        <v>3605448913873</v>
      </c>
      <c r="BI335" s="14">
        <v>0</v>
      </c>
      <c r="BJ335" s="49">
        <v>0</v>
      </c>
      <c r="BK335" s="14">
        <v>245295314529</v>
      </c>
      <c r="BL335" s="14">
        <v>0</v>
      </c>
      <c r="BM335" s="14">
        <v>0</v>
      </c>
      <c r="BN335" s="14">
        <v>585000000</v>
      </c>
    </row>
    <row r="336" spans="1:66" x14ac:dyDescent="0.25">
      <c r="A336" s="17" t="s">
        <v>600</v>
      </c>
      <c r="B336" s="4">
        <v>3300</v>
      </c>
      <c r="C336" s="4" t="s">
        <v>361</v>
      </c>
      <c r="D336" s="5">
        <v>3196120152549</v>
      </c>
      <c r="E336" s="5">
        <v>371679062586</v>
      </c>
      <c r="F336" s="5">
        <v>3750000000</v>
      </c>
      <c r="G336" s="5">
        <v>293112000</v>
      </c>
      <c r="H336" s="5">
        <v>3571842327135</v>
      </c>
      <c r="I336" s="5">
        <v>273659496024</v>
      </c>
      <c r="J336" s="5">
        <v>125376913430</v>
      </c>
      <c r="K336" s="5">
        <v>3172805917681</v>
      </c>
      <c r="L336" s="5">
        <v>3141168558399</v>
      </c>
      <c r="M336" s="5">
        <f t="shared" si="25"/>
        <v>430673768736</v>
      </c>
      <c r="N336" s="36">
        <f t="shared" si="26"/>
        <v>13.710622678443817</v>
      </c>
      <c r="O336" s="5">
        <v>12979734165721</v>
      </c>
      <c r="P336" s="36">
        <v>461.76</v>
      </c>
      <c r="Q336" s="6">
        <v>409.09</v>
      </c>
      <c r="R336" s="6">
        <v>1.69</v>
      </c>
      <c r="S336" s="5">
        <v>13808009430054</v>
      </c>
      <c r="T336" s="5">
        <v>227989706205</v>
      </c>
      <c r="U336" s="5">
        <v>98367539364</v>
      </c>
      <c r="V336" s="5">
        <v>107705055885</v>
      </c>
      <c r="W336" s="5">
        <v>21917110956</v>
      </c>
      <c r="X336" s="5">
        <v>14035999136259</v>
      </c>
      <c r="Y336" s="5">
        <v>50484148389</v>
      </c>
      <c r="Z336" s="5">
        <v>2442257196905</v>
      </c>
      <c r="AA336" s="5">
        <v>14997650336</v>
      </c>
      <c r="AB336" s="5">
        <v>16493253983500</v>
      </c>
      <c r="AC336" s="5">
        <v>9012214761626</v>
      </c>
      <c r="AD336" s="36">
        <f t="shared" si="27"/>
        <v>55.744170634107263</v>
      </c>
      <c r="AE336" s="5">
        <v>3759480152576</v>
      </c>
      <c r="AF336" s="5">
        <v>3630201152576</v>
      </c>
      <c r="AG336" s="5">
        <v>0</v>
      </c>
      <c r="AH336" s="5">
        <v>7650000000</v>
      </c>
      <c r="AI336" s="5">
        <v>0</v>
      </c>
      <c r="AJ336" s="5">
        <v>0</v>
      </c>
      <c r="AK336" s="5">
        <v>0</v>
      </c>
      <c r="AL336" s="6">
        <v>0</v>
      </c>
      <c r="AM336" s="5">
        <v>0</v>
      </c>
      <c r="AN336" s="6">
        <v>318</v>
      </c>
      <c r="AO336" s="5">
        <v>3729689354039</v>
      </c>
      <c r="AP336" s="6">
        <v>211</v>
      </c>
      <c r="AQ336" s="5">
        <v>2200505664363</v>
      </c>
      <c r="AR336" s="5">
        <v>227989706205</v>
      </c>
      <c r="AS336" s="5">
        <v>92696182883</v>
      </c>
      <c r="AT336" s="5">
        <f t="shared" si="28"/>
        <v>135293523322</v>
      </c>
      <c r="AU336" s="36">
        <f t="shared" si="29"/>
        <v>145.95371579945837</v>
      </c>
      <c r="AV336" s="5">
        <v>2359626435555</v>
      </c>
      <c r="AW336" s="5">
        <v>339571083184</v>
      </c>
      <c r="AX336" s="5">
        <v>830485515442</v>
      </c>
      <c r="AY336" s="5">
        <v>594157267617</v>
      </c>
      <c r="AZ336" s="5">
        <v>646438369490</v>
      </c>
      <c r="BA336" s="5">
        <v>1214459146424</v>
      </c>
      <c r="BB336" s="5">
        <v>494124413557</v>
      </c>
      <c r="BC336" s="5">
        <v>3571842327135</v>
      </c>
      <c r="BD336" s="5">
        <v>1685743821351</v>
      </c>
      <c r="BE336" s="5">
        <v>650188369490</v>
      </c>
      <c r="BF336" s="5">
        <v>1235910136294</v>
      </c>
      <c r="BG336" s="5">
        <v>1762224654276</v>
      </c>
      <c r="BH336" s="5">
        <v>1997255498300</v>
      </c>
      <c r="BI336" s="5">
        <v>0</v>
      </c>
      <c r="BJ336" s="48">
        <v>0</v>
      </c>
      <c r="BK336" s="5">
        <v>65076649987</v>
      </c>
      <c r="BL336" s="5">
        <v>3485846975</v>
      </c>
      <c r="BM336" s="5">
        <v>0</v>
      </c>
      <c r="BN336" s="5">
        <v>0</v>
      </c>
    </row>
    <row r="337" spans="1:66" x14ac:dyDescent="0.25">
      <c r="A337" s="17" t="s">
        <v>600</v>
      </c>
      <c r="B337" s="4">
        <v>3301</v>
      </c>
      <c r="C337" s="4" t="s">
        <v>362</v>
      </c>
      <c r="D337" s="5">
        <v>1484303337062</v>
      </c>
      <c r="E337" s="5">
        <v>206981029406</v>
      </c>
      <c r="F337" s="5">
        <v>0</v>
      </c>
      <c r="G337" s="5">
        <v>0</v>
      </c>
      <c r="H337" s="5">
        <v>1691284366468</v>
      </c>
      <c r="I337" s="5">
        <v>161421336610</v>
      </c>
      <c r="J337" s="5">
        <v>6743299546</v>
      </c>
      <c r="K337" s="5">
        <v>1523119730312</v>
      </c>
      <c r="L337" s="5">
        <v>2669741667175</v>
      </c>
      <c r="M337" s="5">
        <f t="shared" si="25"/>
        <v>-978457300707</v>
      </c>
      <c r="N337" s="36">
        <f t="shared" si="26"/>
        <v>-36.649886868730604</v>
      </c>
      <c r="O337" s="5">
        <v>2158392787835</v>
      </c>
      <c r="P337" s="36">
        <v>148.06</v>
      </c>
      <c r="Q337" s="6">
        <v>141.71</v>
      </c>
      <c r="R337" s="6">
        <v>4.42</v>
      </c>
      <c r="S337" s="5">
        <v>2244889072612</v>
      </c>
      <c r="T337" s="5">
        <v>104914935729</v>
      </c>
      <c r="U337" s="5">
        <v>78727983604</v>
      </c>
      <c r="V337" s="5">
        <v>5162782345</v>
      </c>
      <c r="W337" s="5">
        <v>21024169780</v>
      </c>
      <c r="X337" s="5">
        <v>2349804008341</v>
      </c>
      <c r="Y337" s="5">
        <v>5872684055</v>
      </c>
      <c r="Z337" s="5">
        <v>133340274987</v>
      </c>
      <c r="AA337" s="5">
        <v>21000000000</v>
      </c>
      <c r="AB337" s="5">
        <v>2504144283328</v>
      </c>
      <c r="AC337" s="5">
        <v>1733833698143</v>
      </c>
      <c r="AD337" s="36">
        <f t="shared" si="27"/>
        <v>35.526493161237262</v>
      </c>
      <c r="AE337" s="5">
        <v>1401781074435</v>
      </c>
      <c r="AF337" s="5">
        <v>1275393400961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6">
        <v>0</v>
      </c>
      <c r="AM337" s="5">
        <v>0</v>
      </c>
      <c r="AN337" s="6">
        <v>59</v>
      </c>
      <c r="AO337" s="5">
        <v>1057811837235</v>
      </c>
      <c r="AP337" s="6">
        <v>33</v>
      </c>
      <c r="AQ337" s="5">
        <v>5248965326746</v>
      </c>
      <c r="AR337" s="5">
        <v>104914935729</v>
      </c>
      <c r="AS337" s="5">
        <v>42770460021</v>
      </c>
      <c r="AT337" s="5">
        <f t="shared" si="28"/>
        <v>62144475708</v>
      </c>
      <c r="AU337" s="36">
        <f t="shared" si="29"/>
        <v>145.29765561905924</v>
      </c>
      <c r="AV337" s="5">
        <v>772124757115</v>
      </c>
      <c r="AW337" s="5">
        <v>183592210747</v>
      </c>
      <c r="AX337" s="5">
        <v>324505964239</v>
      </c>
      <c r="AY337" s="5">
        <v>228947171439</v>
      </c>
      <c r="AZ337" s="5">
        <v>348652701384</v>
      </c>
      <c r="BA337" s="5">
        <v>603894501732</v>
      </c>
      <c r="BB337" s="5">
        <v>263385609034</v>
      </c>
      <c r="BC337" s="5">
        <v>1691284366468</v>
      </c>
      <c r="BD337" s="5">
        <v>760434165084</v>
      </c>
      <c r="BE337" s="5">
        <v>348652701384</v>
      </c>
      <c r="BF337" s="5">
        <v>582197500000</v>
      </c>
      <c r="BG337" s="5">
        <v>842198995075</v>
      </c>
      <c r="BH337" s="5">
        <v>559582079360</v>
      </c>
      <c r="BI337" s="5">
        <v>0</v>
      </c>
      <c r="BJ337" s="48">
        <v>0</v>
      </c>
      <c r="BK337" s="5">
        <v>0</v>
      </c>
      <c r="BL337" s="5">
        <v>0</v>
      </c>
      <c r="BM337" s="5">
        <v>0</v>
      </c>
      <c r="BN337" s="5">
        <v>0</v>
      </c>
    </row>
    <row r="338" spans="1:66" x14ac:dyDescent="0.25">
      <c r="A338" s="17" t="s">
        <v>600</v>
      </c>
      <c r="B338" s="4">
        <v>3302</v>
      </c>
      <c r="C338" s="4" t="s">
        <v>363</v>
      </c>
      <c r="D338" s="5">
        <v>1755260055704</v>
      </c>
      <c r="E338" s="5">
        <v>41720134443</v>
      </c>
      <c r="F338" s="5">
        <v>0</v>
      </c>
      <c r="G338" s="5">
        <v>0</v>
      </c>
      <c r="H338" s="5">
        <v>1796980190147</v>
      </c>
      <c r="I338" s="5">
        <v>121590673994</v>
      </c>
      <c r="J338" s="5">
        <v>2282464940</v>
      </c>
      <c r="K338" s="5">
        <v>1673107051213</v>
      </c>
      <c r="L338" s="5">
        <v>1268781646263</v>
      </c>
      <c r="M338" s="5">
        <f t="shared" si="25"/>
        <v>528198543884</v>
      </c>
      <c r="N338" s="36">
        <f t="shared" si="26"/>
        <v>41.630373944935847</v>
      </c>
      <c r="O338" s="5">
        <v>2498261271328</v>
      </c>
      <c r="P338" s="36">
        <v>161.30000000000001</v>
      </c>
      <c r="Q338" s="6">
        <v>149.32</v>
      </c>
      <c r="R338" s="6">
        <v>5.73</v>
      </c>
      <c r="S338" s="5">
        <v>2396590625746</v>
      </c>
      <c r="T338" s="5">
        <v>160077258620</v>
      </c>
      <c r="U338" s="5">
        <v>69827020272</v>
      </c>
      <c r="V338" s="5">
        <v>43760578035</v>
      </c>
      <c r="W338" s="5">
        <v>46489660313</v>
      </c>
      <c r="X338" s="5">
        <v>2556667884366</v>
      </c>
      <c r="Y338" s="5">
        <v>5882540236</v>
      </c>
      <c r="Z338" s="5">
        <v>333514044212</v>
      </c>
      <c r="AA338" s="5">
        <v>8408387500</v>
      </c>
      <c r="AB338" s="5">
        <v>2898590316078</v>
      </c>
      <c r="AC338" s="5">
        <v>1730269295615</v>
      </c>
      <c r="AD338" s="36">
        <f t="shared" si="27"/>
        <v>47.761269927480747</v>
      </c>
      <c r="AE338" s="5">
        <v>1411193599312</v>
      </c>
      <c r="AF338" s="5">
        <v>1393543699045</v>
      </c>
      <c r="AG338" s="5">
        <v>0</v>
      </c>
      <c r="AH338" s="5">
        <v>9000000000</v>
      </c>
      <c r="AI338" s="5">
        <v>0</v>
      </c>
      <c r="AJ338" s="5">
        <v>0</v>
      </c>
      <c r="AK338" s="5">
        <v>736313976</v>
      </c>
      <c r="AL338" s="6">
        <v>0</v>
      </c>
      <c r="AM338" s="5">
        <v>0</v>
      </c>
      <c r="AN338" s="6">
        <v>54</v>
      </c>
      <c r="AO338" s="5">
        <v>311167412790</v>
      </c>
      <c r="AP338" s="6">
        <v>13</v>
      </c>
      <c r="AQ338" s="5">
        <v>136472000000</v>
      </c>
      <c r="AR338" s="5">
        <v>160077258620</v>
      </c>
      <c r="AS338" s="5">
        <v>87483861641</v>
      </c>
      <c r="AT338" s="5">
        <f t="shared" si="28"/>
        <v>72593396979</v>
      </c>
      <c r="AU338" s="36">
        <f t="shared" si="29"/>
        <v>82.97918680921434</v>
      </c>
      <c r="AV338" s="5">
        <v>612948886133</v>
      </c>
      <c r="AW338" s="5">
        <v>208779923773</v>
      </c>
      <c r="AX338" s="5">
        <v>304766500874</v>
      </c>
      <c r="AY338" s="5">
        <v>523370407640</v>
      </c>
      <c r="AZ338" s="5">
        <v>443550033314</v>
      </c>
      <c r="BA338" s="5">
        <v>520727971868</v>
      </c>
      <c r="BB338" s="5">
        <v>245336261430</v>
      </c>
      <c r="BC338" s="5">
        <v>1796980190147</v>
      </c>
      <c r="BD338" s="5">
        <v>869844616257</v>
      </c>
      <c r="BE338" s="5">
        <v>443550033314</v>
      </c>
      <c r="BF338" s="5">
        <v>483585540576</v>
      </c>
      <c r="BG338" s="5">
        <v>1020098027292</v>
      </c>
      <c r="BH338" s="5">
        <v>391095572020</v>
      </c>
      <c r="BI338" s="5">
        <v>0</v>
      </c>
      <c r="BJ338" s="48">
        <v>0</v>
      </c>
      <c r="BK338" s="5">
        <v>0</v>
      </c>
      <c r="BL338" s="5">
        <v>0</v>
      </c>
      <c r="BM338" s="5">
        <v>4272921814</v>
      </c>
      <c r="BN338" s="5">
        <v>2700000000</v>
      </c>
    </row>
    <row r="339" spans="1:66" x14ac:dyDescent="0.25">
      <c r="A339" s="17" t="s">
        <v>600</v>
      </c>
      <c r="B339" s="4">
        <v>3303</v>
      </c>
      <c r="C339" s="4" t="s">
        <v>364</v>
      </c>
      <c r="D339" s="5">
        <v>2032334873174</v>
      </c>
      <c r="E339" s="5">
        <v>16181949088</v>
      </c>
      <c r="F339" s="5">
        <v>0</v>
      </c>
      <c r="G339" s="5">
        <v>0</v>
      </c>
      <c r="H339" s="5">
        <v>2048516822262</v>
      </c>
      <c r="I339" s="5">
        <v>166366693042</v>
      </c>
      <c r="J339" s="5">
        <v>3523198542</v>
      </c>
      <c r="K339" s="5">
        <v>1878626930678</v>
      </c>
      <c r="L339" s="5">
        <v>1044142196331</v>
      </c>
      <c r="M339" s="5">
        <f t="shared" si="25"/>
        <v>1004374625931</v>
      </c>
      <c r="N339" s="36">
        <f t="shared" si="26"/>
        <v>96.191364496163573</v>
      </c>
      <c r="O339" s="5">
        <v>2051175714841</v>
      </c>
      <c r="P339" s="36">
        <v>115.89</v>
      </c>
      <c r="Q339" s="6">
        <v>109.18</v>
      </c>
      <c r="R339" s="6">
        <v>5.95</v>
      </c>
      <c r="S339" s="5">
        <v>2100238276087</v>
      </c>
      <c r="T339" s="5">
        <v>134710229814</v>
      </c>
      <c r="U339" s="5">
        <v>67537263849</v>
      </c>
      <c r="V339" s="5">
        <v>36712175600</v>
      </c>
      <c r="W339" s="5">
        <v>30460790365</v>
      </c>
      <c r="X339" s="5">
        <v>2234948505901</v>
      </c>
      <c r="Y339" s="5">
        <v>6461366524</v>
      </c>
      <c r="Z339" s="5">
        <v>131852226377</v>
      </c>
      <c r="AA339" s="5">
        <v>7146411404</v>
      </c>
      <c r="AB339" s="5">
        <v>2373947143682</v>
      </c>
      <c r="AC339" s="5">
        <v>1544918927588</v>
      </c>
      <c r="AD339" s="36">
        <f t="shared" si="27"/>
        <v>44.664452353516474</v>
      </c>
      <c r="AE339" s="5">
        <v>1367996248339</v>
      </c>
      <c r="AF339" s="5">
        <v>1292199836834</v>
      </c>
      <c r="AG339" s="5">
        <v>0</v>
      </c>
      <c r="AH339" s="5">
        <v>0</v>
      </c>
      <c r="AI339" s="5">
        <v>0</v>
      </c>
      <c r="AJ339" s="5">
        <v>10000000000</v>
      </c>
      <c r="AK339" s="5">
        <v>0</v>
      </c>
      <c r="AL339" s="6">
        <v>0</v>
      </c>
      <c r="AM339" s="5">
        <v>0</v>
      </c>
      <c r="AN339" s="6">
        <v>40</v>
      </c>
      <c r="AO339" s="5">
        <v>149080386849</v>
      </c>
      <c r="AP339" s="6">
        <v>12</v>
      </c>
      <c r="AQ339" s="5">
        <v>112305056000</v>
      </c>
      <c r="AR339" s="5">
        <v>134710229814</v>
      </c>
      <c r="AS339" s="5">
        <v>77446556586</v>
      </c>
      <c r="AT339" s="5">
        <f t="shared" si="28"/>
        <v>57263673228</v>
      </c>
      <c r="AU339" s="36">
        <f t="shared" si="29"/>
        <v>73.939598805031366</v>
      </c>
      <c r="AV339" s="5">
        <v>654936625054</v>
      </c>
      <c r="AW339" s="5">
        <v>195821122959</v>
      </c>
      <c r="AX339" s="5">
        <v>510674904449</v>
      </c>
      <c r="AY339" s="5">
        <v>386517480586</v>
      </c>
      <c r="AZ339" s="5">
        <v>415468382176</v>
      </c>
      <c r="BA339" s="5">
        <v>731118416183</v>
      </c>
      <c r="BB339" s="5">
        <v>310777359677</v>
      </c>
      <c r="BC339" s="5">
        <v>2048516822262</v>
      </c>
      <c r="BD339" s="5">
        <v>913374334123</v>
      </c>
      <c r="BE339" s="5">
        <v>415468382176</v>
      </c>
      <c r="BF339" s="5">
        <v>719674105963</v>
      </c>
      <c r="BG339" s="5">
        <v>687716552769</v>
      </c>
      <c r="BH339" s="5">
        <v>680279695570</v>
      </c>
      <c r="BI339" s="5">
        <v>0</v>
      </c>
      <c r="BJ339" s="48">
        <v>0</v>
      </c>
      <c r="BK339" s="5">
        <v>0</v>
      </c>
      <c r="BL339" s="5">
        <v>0</v>
      </c>
      <c r="BM339" s="5">
        <v>0</v>
      </c>
      <c r="BN339" s="5">
        <v>0</v>
      </c>
    </row>
    <row r="340" spans="1:66" x14ac:dyDescent="0.25">
      <c r="A340" s="17" t="s">
        <v>600</v>
      </c>
      <c r="B340" s="4">
        <v>3304</v>
      </c>
      <c r="C340" s="4" t="s">
        <v>365</v>
      </c>
      <c r="D340" s="5">
        <v>1092245140216</v>
      </c>
      <c r="E340" s="5">
        <v>10116743151</v>
      </c>
      <c r="F340" s="5">
        <v>0</v>
      </c>
      <c r="G340" s="5">
        <v>0</v>
      </c>
      <c r="H340" s="5">
        <v>1102361883367</v>
      </c>
      <c r="I340" s="5">
        <v>90250759036</v>
      </c>
      <c r="J340" s="5">
        <v>4959720096</v>
      </c>
      <c r="K340" s="5">
        <v>1007151404235</v>
      </c>
      <c r="L340" s="5">
        <v>974924032646</v>
      </c>
      <c r="M340" s="5">
        <f t="shared" si="25"/>
        <v>127437850721</v>
      </c>
      <c r="N340" s="36">
        <f t="shared" si="26"/>
        <v>13.071567266131117</v>
      </c>
      <c r="O340" s="5">
        <v>1554396745882</v>
      </c>
      <c r="P340" s="36">
        <v>163.34</v>
      </c>
      <c r="Q340" s="6">
        <v>154.34</v>
      </c>
      <c r="R340" s="6">
        <v>3.22</v>
      </c>
      <c r="S340" s="5">
        <v>1607485283851</v>
      </c>
      <c r="T340" s="5">
        <v>57378384386</v>
      </c>
      <c r="U340" s="5">
        <v>35816839698</v>
      </c>
      <c r="V340" s="5">
        <v>13811669746</v>
      </c>
      <c r="W340" s="5">
        <v>7749874942</v>
      </c>
      <c r="X340" s="5">
        <v>1664863668237</v>
      </c>
      <c r="Y340" s="5">
        <v>538330903</v>
      </c>
      <c r="Z340" s="5">
        <v>123427356638</v>
      </c>
      <c r="AA340" s="5">
        <v>12300000000</v>
      </c>
      <c r="AB340" s="5">
        <v>1800591024875</v>
      </c>
      <c r="AC340" s="5">
        <v>1439997211666</v>
      </c>
      <c r="AD340" s="36">
        <f t="shared" si="27"/>
        <v>15.61575638822533</v>
      </c>
      <c r="AE340" s="5">
        <v>674044626473</v>
      </c>
      <c r="AF340" s="5">
        <v>674044626473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6">
        <v>0</v>
      </c>
      <c r="AM340" s="5">
        <v>0</v>
      </c>
      <c r="AN340" s="6">
        <v>32</v>
      </c>
      <c r="AO340" s="5">
        <v>103636388824</v>
      </c>
      <c r="AP340" s="6">
        <v>20</v>
      </c>
      <c r="AQ340" s="5">
        <v>26974297364</v>
      </c>
      <c r="AR340" s="5">
        <v>57378384386</v>
      </c>
      <c r="AS340" s="5">
        <v>48364610024</v>
      </c>
      <c r="AT340" s="5">
        <f t="shared" si="28"/>
        <v>9013774362</v>
      </c>
      <c r="AU340" s="36">
        <f t="shared" si="29"/>
        <v>18.637128176009458</v>
      </c>
      <c r="AV340" s="5">
        <v>467992843750</v>
      </c>
      <c r="AW340" s="5">
        <v>179597448272</v>
      </c>
      <c r="AX340" s="5">
        <v>273945236267</v>
      </c>
      <c r="AY340" s="5">
        <v>165626690526</v>
      </c>
      <c r="AZ340" s="5">
        <v>228275800471</v>
      </c>
      <c r="BA340" s="5">
        <v>495770084392</v>
      </c>
      <c r="BB340" s="5">
        <v>122581959289</v>
      </c>
      <c r="BC340" s="5">
        <v>1102361883367</v>
      </c>
      <c r="BD340" s="5">
        <v>449688669944</v>
      </c>
      <c r="BE340" s="5">
        <v>228275800471</v>
      </c>
      <c r="BF340" s="5">
        <v>424397412952</v>
      </c>
      <c r="BG340" s="5">
        <v>248002968355</v>
      </c>
      <c r="BH340" s="5">
        <v>426041658118</v>
      </c>
      <c r="BI340" s="5">
        <v>0</v>
      </c>
      <c r="BJ340" s="48">
        <v>0</v>
      </c>
      <c r="BK340" s="5">
        <v>0</v>
      </c>
      <c r="BL340" s="5">
        <v>0</v>
      </c>
      <c r="BM340" s="5">
        <v>0</v>
      </c>
      <c r="BN340" s="5">
        <v>0</v>
      </c>
    </row>
    <row r="341" spans="1:66" x14ac:dyDescent="0.25">
      <c r="A341" s="17" t="s">
        <v>600</v>
      </c>
      <c r="B341" s="8">
        <v>3305</v>
      </c>
      <c r="C341" s="8" t="s">
        <v>366</v>
      </c>
      <c r="D341" s="9">
        <v>1203312479271</v>
      </c>
      <c r="E341" s="9">
        <v>23908624478</v>
      </c>
      <c r="F341" s="9">
        <v>0</v>
      </c>
      <c r="G341" s="9">
        <v>0</v>
      </c>
      <c r="H341" s="9">
        <v>1227221103749</v>
      </c>
      <c r="I341" s="9">
        <v>77211833716</v>
      </c>
      <c r="J341" s="9">
        <v>7323699265</v>
      </c>
      <c r="K341" s="9">
        <v>1142685570768</v>
      </c>
      <c r="L341" s="9">
        <v>1040909608829</v>
      </c>
      <c r="M341" s="5">
        <f t="shared" si="25"/>
        <v>186311494920</v>
      </c>
      <c r="N341" s="36">
        <f t="shared" si="26"/>
        <v>17.898912003473217</v>
      </c>
      <c r="O341" s="9">
        <v>2432463204238</v>
      </c>
      <c r="P341" s="36">
        <v>235.03</v>
      </c>
      <c r="Q341" s="10">
        <v>212.87</v>
      </c>
      <c r="R341" s="10">
        <v>5.48</v>
      </c>
      <c r="S341" s="9">
        <v>2607085506158</v>
      </c>
      <c r="T341" s="9">
        <v>142473500546</v>
      </c>
      <c r="U341" s="9">
        <v>83375350168</v>
      </c>
      <c r="V341" s="9">
        <v>20101807584</v>
      </c>
      <c r="W341" s="9">
        <v>38996342794</v>
      </c>
      <c r="X341" s="9">
        <v>2749559006704</v>
      </c>
      <c r="Y341" s="5">
        <v>15628979792</v>
      </c>
      <c r="Z341" s="9">
        <v>130180535652</v>
      </c>
      <c r="AA341" s="9">
        <v>4556680000</v>
      </c>
      <c r="AB341" s="9">
        <v>2884296222356</v>
      </c>
      <c r="AC341" s="9">
        <v>2078652105628</v>
      </c>
      <c r="AD341" s="36">
        <f t="shared" si="27"/>
        <v>32.276055202287274</v>
      </c>
      <c r="AE341" s="9">
        <v>1472859530340</v>
      </c>
      <c r="AF341" s="9">
        <v>1055667817251</v>
      </c>
      <c r="AG341" s="9">
        <v>0</v>
      </c>
      <c r="AH341" s="9">
        <v>12150000</v>
      </c>
      <c r="AI341" s="9">
        <v>0</v>
      </c>
      <c r="AJ341" s="9">
        <v>0</v>
      </c>
      <c r="AK341" s="9">
        <v>0</v>
      </c>
      <c r="AL341" s="10">
        <v>0</v>
      </c>
      <c r="AM341" s="9">
        <v>0</v>
      </c>
      <c r="AN341" s="10">
        <v>75</v>
      </c>
      <c r="AO341" s="9">
        <v>243987120916</v>
      </c>
      <c r="AP341" s="10">
        <v>17</v>
      </c>
      <c r="AQ341" s="9">
        <v>34342048277</v>
      </c>
      <c r="AR341" s="9">
        <v>142473500546</v>
      </c>
      <c r="AS341" s="9">
        <v>74315005759</v>
      </c>
      <c r="AT341" s="5">
        <f t="shared" si="28"/>
        <v>68158494787</v>
      </c>
      <c r="AU341" s="36">
        <f t="shared" si="29"/>
        <v>91.715655661838653</v>
      </c>
      <c r="AV341" s="9">
        <v>549934853801</v>
      </c>
      <c r="AW341" s="9">
        <v>182990396330</v>
      </c>
      <c r="AX341" s="9">
        <v>158502098257</v>
      </c>
      <c r="AY341" s="9">
        <v>324276634035</v>
      </c>
      <c r="AZ341" s="9">
        <v>422066204979</v>
      </c>
      <c r="BA341" s="9">
        <v>348582938716</v>
      </c>
      <c r="BB341" s="9">
        <v>341010584067</v>
      </c>
      <c r="BC341" s="9">
        <v>1227221103749</v>
      </c>
      <c r="BD341" s="9">
        <v>506597932708</v>
      </c>
      <c r="BE341" s="9">
        <v>422066204979</v>
      </c>
      <c r="BF341" s="9">
        <v>298556966062</v>
      </c>
      <c r="BG341" s="9">
        <v>1141361936610</v>
      </c>
      <c r="BH341" s="9">
        <v>331497593730</v>
      </c>
      <c r="BI341" s="9">
        <v>0</v>
      </c>
      <c r="BJ341" s="51">
        <v>0</v>
      </c>
      <c r="BK341" s="9">
        <v>0</v>
      </c>
      <c r="BL341" s="9">
        <v>0</v>
      </c>
      <c r="BM341" s="9">
        <v>0</v>
      </c>
      <c r="BN341" s="9">
        <v>12150000</v>
      </c>
    </row>
    <row r="342" spans="1:66" x14ac:dyDescent="0.25">
      <c r="A342" s="17" t="s">
        <v>600</v>
      </c>
      <c r="B342" s="4">
        <v>3306</v>
      </c>
      <c r="C342" s="4" t="s">
        <v>367</v>
      </c>
      <c r="D342" s="5">
        <v>2880249534159</v>
      </c>
      <c r="E342" s="5">
        <v>312199671459</v>
      </c>
      <c r="F342" s="5">
        <v>0</v>
      </c>
      <c r="G342" s="5">
        <v>0</v>
      </c>
      <c r="H342" s="5">
        <v>3192449205618</v>
      </c>
      <c r="I342" s="5">
        <v>258274093298</v>
      </c>
      <c r="J342" s="5">
        <v>9404320061</v>
      </c>
      <c r="K342" s="5">
        <v>2924770792259</v>
      </c>
      <c r="L342" s="5">
        <v>2701672047679</v>
      </c>
      <c r="M342" s="5">
        <f t="shared" si="25"/>
        <v>490777157939</v>
      </c>
      <c r="N342" s="36">
        <f t="shared" si="26"/>
        <v>18.165682187837177</v>
      </c>
      <c r="O342" s="5">
        <v>4062929564305</v>
      </c>
      <c r="P342" s="36">
        <v>149.41</v>
      </c>
      <c r="Q342" s="6">
        <v>138.91</v>
      </c>
      <c r="R342" s="6">
        <v>4.7699999999999996</v>
      </c>
      <c r="S342" s="5">
        <v>4287559220896</v>
      </c>
      <c r="T342" s="5">
        <v>224101106318</v>
      </c>
      <c r="U342" s="5">
        <v>149306515399</v>
      </c>
      <c r="V342" s="5">
        <v>50957692927</v>
      </c>
      <c r="W342" s="5">
        <v>23836897992</v>
      </c>
      <c r="X342" s="5">
        <v>4511660327214</v>
      </c>
      <c r="Y342" s="5">
        <v>3213185949</v>
      </c>
      <c r="Z342" s="5">
        <v>243917033344</v>
      </c>
      <c r="AA342" s="5">
        <v>14170531000</v>
      </c>
      <c r="AB342" s="5">
        <v>4769747891558</v>
      </c>
      <c r="AC342" s="5">
        <v>4389464079796</v>
      </c>
      <c r="AD342" s="36">
        <f t="shared" si="27"/>
        <v>2.7838534544672493</v>
      </c>
      <c r="AE342" s="5">
        <v>2294688322717</v>
      </c>
      <c r="AF342" s="5">
        <v>2024893990490</v>
      </c>
      <c r="AG342" s="5">
        <v>0</v>
      </c>
      <c r="AH342" s="5">
        <v>1200000000</v>
      </c>
      <c r="AI342" s="5">
        <v>5494505494</v>
      </c>
      <c r="AJ342" s="5">
        <v>0</v>
      </c>
      <c r="AK342" s="5">
        <v>0</v>
      </c>
      <c r="AL342" s="6">
        <v>0</v>
      </c>
      <c r="AM342" s="5">
        <v>0</v>
      </c>
      <c r="AN342" s="6">
        <v>280</v>
      </c>
      <c r="AO342" s="5">
        <v>2760657882060</v>
      </c>
      <c r="AP342" s="6">
        <v>753</v>
      </c>
      <c r="AQ342" s="5">
        <v>12039925456948</v>
      </c>
      <c r="AR342" s="5">
        <v>224101106318</v>
      </c>
      <c r="AS342" s="5">
        <v>255784921586</v>
      </c>
      <c r="AT342" s="5">
        <f t="shared" si="28"/>
        <v>-31683815268</v>
      </c>
      <c r="AU342" s="36">
        <f t="shared" si="29"/>
        <v>-12.386897191415276</v>
      </c>
      <c r="AV342" s="5">
        <v>1893027691673</v>
      </c>
      <c r="AW342" s="5">
        <v>575959883065</v>
      </c>
      <c r="AX342" s="5">
        <v>575335489219</v>
      </c>
      <c r="AY342" s="5">
        <v>590684051871</v>
      </c>
      <c r="AZ342" s="5">
        <v>827013087106</v>
      </c>
      <c r="BA342" s="5">
        <v>947573586179</v>
      </c>
      <c r="BB342" s="5">
        <v>518781905820</v>
      </c>
      <c r="BC342" s="5">
        <v>3192449205618</v>
      </c>
      <c r="BD342" s="5">
        <v>1395867179636</v>
      </c>
      <c r="BE342" s="5">
        <v>827013087106</v>
      </c>
      <c r="BF342" s="5">
        <v>969568938876</v>
      </c>
      <c r="BG342" s="5">
        <v>1291627449698</v>
      </c>
      <c r="BH342" s="5">
        <v>1003060873019</v>
      </c>
      <c r="BI342" s="5">
        <v>0</v>
      </c>
      <c r="BJ342" s="48">
        <v>0</v>
      </c>
      <c r="BK342" s="5">
        <v>0</v>
      </c>
      <c r="BL342" s="5">
        <v>0</v>
      </c>
      <c r="BM342" s="5">
        <v>0</v>
      </c>
      <c r="BN342" s="5">
        <v>1200000000</v>
      </c>
    </row>
    <row r="343" spans="1:66" x14ac:dyDescent="0.25">
      <c r="A343" s="17" t="s">
        <v>600</v>
      </c>
      <c r="B343" s="4">
        <v>3307</v>
      </c>
      <c r="C343" s="4" t="s">
        <v>368</v>
      </c>
      <c r="D343" s="5">
        <v>1907553085110</v>
      </c>
      <c r="E343" s="5">
        <v>87964880124</v>
      </c>
      <c r="F343" s="5">
        <v>0</v>
      </c>
      <c r="G343" s="5">
        <v>0</v>
      </c>
      <c r="H343" s="5">
        <v>1995517965234</v>
      </c>
      <c r="I343" s="5">
        <v>167651591262</v>
      </c>
      <c r="J343" s="5">
        <v>1720794108</v>
      </c>
      <c r="K343" s="5">
        <v>1826145579864</v>
      </c>
      <c r="L343" s="5">
        <v>1251973482983</v>
      </c>
      <c r="M343" s="5">
        <f t="shared" si="25"/>
        <v>743544482251</v>
      </c>
      <c r="N343" s="36">
        <f t="shared" si="26"/>
        <v>59.389794780589312</v>
      </c>
      <c r="O343" s="5">
        <v>1605236968888</v>
      </c>
      <c r="P343" s="36">
        <v>92.09</v>
      </c>
      <c r="Q343" s="6">
        <v>87.9</v>
      </c>
      <c r="R343" s="6">
        <v>4.4400000000000004</v>
      </c>
      <c r="S343" s="5">
        <v>1634882592922</v>
      </c>
      <c r="T343" s="5">
        <v>79900238991</v>
      </c>
      <c r="U343" s="5">
        <v>56938318488</v>
      </c>
      <c r="V343" s="5">
        <v>11931794114</v>
      </c>
      <c r="W343" s="5">
        <v>11030126389</v>
      </c>
      <c r="X343" s="5">
        <v>1714782831913</v>
      </c>
      <c r="Y343" s="5">
        <v>1670622366</v>
      </c>
      <c r="Z343" s="5">
        <v>121278517852</v>
      </c>
      <c r="AA343" s="5">
        <v>1580000000</v>
      </c>
      <c r="AB343" s="5">
        <v>1837641349765</v>
      </c>
      <c r="AC343" s="5">
        <v>1292720361921</v>
      </c>
      <c r="AD343" s="36">
        <f t="shared" si="27"/>
        <v>32.649170108592507</v>
      </c>
      <c r="AE343" s="5">
        <v>1179009213171</v>
      </c>
      <c r="AF343" s="5">
        <v>1172489213171</v>
      </c>
      <c r="AG343" s="5">
        <v>185921392035</v>
      </c>
      <c r="AH343" s="5">
        <v>0</v>
      </c>
      <c r="AI343" s="5">
        <v>5395000000</v>
      </c>
      <c r="AJ343" s="5">
        <v>0</v>
      </c>
      <c r="AK343" s="5">
        <v>0</v>
      </c>
      <c r="AL343" s="6">
        <v>7</v>
      </c>
      <c r="AM343" s="5">
        <v>190666996845</v>
      </c>
      <c r="AN343" s="6">
        <v>33</v>
      </c>
      <c r="AO343" s="5">
        <v>826847024680</v>
      </c>
      <c r="AP343" s="6">
        <v>16</v>
      </c>
      <c r="AQ343" s="5">
        <v>122419369462</v>
      </c>
      <c r="AR343" s="5">
        <v>79900238991</v>
      </c>
      <c r="AS343" s="5">
        <v>46884722332</v>
      </c>
      <c r="AT343" s="5">
        <f t="shared" si="28"/>
        <v>33015516659</v>
      </c>
      <c r="AU343" s="36">
        <f t="shared" si="29"/>
        <v>70.418496723112895</v>
      </c>
      <c r="AV343" s="5">
        <v>656255727772</v>
      </c>
      <c r="AW343" s="5">
        <v>201823030841</v>
      </c>
      <c r="AX343" s="5">
        <v>144254080811</v>
      </c>
      <c r="AY343" s="5">
        <v>391493876554</v>
      </c>
      <c r="AZ343" s="5">
        <v>202593921292</v>
      </c>
      <c r="BA343" s="5">
        <v>1176831758469</v>
      </c>
      <c r="BB343" s="5">
        <v>67539563091</v>
      </c>
      <c r="BC343" s="5">
        <v>1995517965234</v>
      </c>
      <c r="BD343" s="5">
        <v>623712837489</v>
      </c>
      <c r="BE343" s="5">
        <v>202593921292</v>
      </c>
      <c r="BF343" s="5">
        <v>1169211206453</v>
      </c>
      <c r="BG343" s="5">
        <v>652001051469</v>
      </c>
      <c r="BH343" s="5">
        <v>527008161702</v>
      </c>
      <c r="BI343" s="5">
        <v>0</v>
      </c>
      <c r="BJ343" s="48">
        <v>0</v>
      </c>
      <c r="BK343" s="5">
        <v>167116372707</v>
      </c>
      <c r="BL343" s="5">
        <v>0</v>
      </c>
      <c r="BM343" s="5">
        <v>0</v>
      </c>
      <c r="BN343" s="5">
        <v>0</v>
      </c>
    </row>
    <row r="344" spans="1:66" x14ac:dyDescent="0.25">
      <c r="A344" s="17" t="s">
        <v>600</v>
      </c>
      <c r="B344" s="18">
        <v>3308</v>
      </c>
      <c r="C344" s="18" t="s">
        <v>369</v>
      </c>
      <c r="D344" s="19">
        <v>1259017559762</v>
      </c>
      <c r="E344" s="19">
        <v>30993432496</v>
      </c>
      <c r="F344" s="19">
        <v>0</v>
      </c>
      <c r="G344" s="19">
        <v>0</v>
      </c>
      <c r="H344" s="19">
        <v>1290010992258</v>
      </c>
      <c r="I344" s="19">
        <v>94032307672</v>
      </c>
      <c r="J344" s="19">
        <v>10127576689</v>
      </c>
      <c r="K344" s="19">
        <v>1185851107897</v>
      </c>
      <c r="L344" s="19">
        <v>1279724858835</v>
      </c>
      <c r="M344" s="5">
        <f t="shared" si="25"/>
        <v>10286133423</v>
      </c>
      <c r="N344" s="36">
        <f t="shared" si="26"/>
        <v>0.80377694877037875</v>
      </c>
      <c r="O344" s="19">
        <v>2098300386106</v>
      </c>
      <c r="P344" s="36">
        <v>188.24</v>
      </c>
      <c r="Q344" s="20">
        <v>176.94</v>
      </c>
      <c r="R344" s="20">
        <v>3.09</v>
      </c>
      <c r="S344" s="19">
        <v>2221926894967</v>
      </c>
      <c r="T344" s="19">
        <v>70229816701</v>
      </c>
      <c r="U344" s="19">
        <v>43999588649</v>
      </c>
      <c r="V344" s="19">
        <v>4333134036</v>
      </c>
      <c r="W344" s="19">
        <v>21897094016</v>
      </c>
      <c r="X344" s="19">
        <v>2292156711668</v>
      </c>
      <c r="Y344" s="5">
        <v>4894249742</v>
      </c>
      <c r="Z344" s="19">
        <v>127824435639</v>
      </c>
      <c r="AA344" s="19">
        <v>8295726000</v>
      </c>
      <c r="AB344" s="19">
        <v>2428276873307</v>
      </c>
      <c r="AC344" s="19">
        <v>1664350689231</v>
      </c>
      <c r="AD344" s="36">
        <f t="shared" si="27"/>
        <v>37.720777628125525</v>
      </c>
      <c r="AE344" s="19">
        <v>1307808862062</v>
      </c>
      <c r="AF344" s="19">
        <v>1222590026982</v>
      </c>
      <c r="AG344" s="19">
        <v>0</v>
      </c>
      <c r="AH344" s="19">
        <v>0</v>
      </c>
      <c r="AI344" s="19">
        <v>0</v>
      </c>
      <c r="AJ344" s="19">
        <v>0</v>
      </c>
      <c r="AK344" s="19">
        <v>0</v>
      </c>
      <c r="AL344" s="20">
        <v>0</v>
      </c>
      <c r="AM344" s="19">
        <v>0</v>
      </c>
      <c r="AN344" s="20">
        <v>23</v>
      </c>
      <c r="AO344" s="19">
        <v>111718047637</v>
      </c>
      <c r="AP344" s="20">
        <v>22</v>
      </c>
      <c r="AQ344" s="19">
        <v>245192420733</v>
      </c>
      <c r="AR344" s="19">
        <v>70229816701</v>
      </c>
      <c r="AS344" s="19">
        <v>49188008158</v>
      </c>
      <c r="AT344" s="5">
        <f t="shared" si="28"/>
        <v>21041808543</v>
      </c>
      <c r="AU344" s="36">
        <f t="shared" si="29"/>
        <v>42.778330188549695</v>
      </c>
      <c r="AV344" s="19">
        <v>627019167745</v>
      </c>
      <c r="AW344" s="19">
        <v>179656862906</v>
      </c>
      <c r="AX344" s="19">
        <v>113725777533</v>
      </c>
      <c r="AY344" s="19">
        <v>598889049515</v>
      </c>
      <c r="AZ344" s="19">
        <v>226407832714</v>
      </c>
      <c r="BA344" s="19">
        <v>368710222516</v>
      </c>
      <c r="BB344" s="19">
        <v>109224656942</v>
      </c>
      <c r="BC344" s="19">
        <v>1290010992258</v>
      </c>
      <c r="BD344" s="19">
        <v>743549963641</v>
      </c>
      <c r="BE344" s="19">
        <v>226407832714</v>
      </c>
      <c r="BF344" s="19">
        <v>320053195903</v>
      </c>
      <c r="BG344" s="19">
        <v>1027300023076</v>
      </c>
      <c r="BH344" s="19">
        <v>280508838986</v>
      </c>
      <c r="BI344" s="19">
        <v>0</v>
      </c>
      <c r="BJ344" s="50">
        <v>0</v>
      </c>
      <c r="BK344" s="19">
        <v>0</v>
      </c>
      <c r="BL344" s="19">
        <v>0</v>
      </c>
      <c r="BM344" s="19">
        <v>0</v>
      </c>
      <c r="BN344" s="19">
        <v>0</v>
      </c>
    </row>
    <row r="345" spans="1:66" x14ac:dyDescent="0.25">
      <c r="A345" s="17" t="s">
        <v>600</v>
      </c>
      <c r="B345" s="4">
        <v>3309</v>
      </c>
      <c r="C345" s="4" t="s">
        <v>370</v>
      </c>
      <c r="D345" s="5">
        <v>1828513876859</v>
      </c>
      <c r="E345" s="5">
        <v>59426706345</v>
      </c>
      <c r="F345" s="5">
        <v>0</v>
      </c>
      <c r="G345" s="5">
        <v>0</v>
      </c>
      <c r="H345" s="5">
        <v>1887940583204</v>
      </c>
      <c r="I345" s="5">
        <v>158696476640</v>
      </c>
      <c r="J345" s="5">
        <v>6962430660</v>
      </c>
      <c r="K345" s="5">
        <v>1722281675904</v>
      </c>
      <c r="L345" s="5">
        <v>1156135035920</v>
      </c>
      <c r="M345" s="5">
        <f t="shared" si="25"/>
        <v>731805547284</v>
      </c>
      <c r="N345" s="36">
        <f t="shared" si="26"/>
        <v>63.297584153019137</v>
      </c>
      <c r="O345" s="5">
        <v>1949695417249</v>
      </c>
      <c r="P345" s="36">
        <v>116.43</v>
      </c>
      <c r="Q345" s="6">
        <v>113.2</v>
      </c>
      <c r="R345" s="6">
        <v>6</v>
      </c>
      <c r="S345" s="5">
        <v>1935595852281</v>
      </c>
      <c r="T345" s="5">
        <v>130985803455</v>
      </c>
      <c r="U345" s="5">
        <v>79644946164</v>
      </c>
      <c r="V345" s="5">
        <v>42023559151</v>
      </c>
      <c r="W345" s="5">
        <v>9317298140</v>
      </c>
      <c r="X345" s="5">
        <v>2066581655736</v>
      </c>
      <c r="Y345" s="5">
        <v>832898540</v>
      </c>
      <c r="Z345" s="5">
        <v>130612882416</v>
      </c>
      <c r="AA345" s="5">
        <v>1000000000</v>
      </c>
      <c r="AB345" s="5">
        <v>2198194538152</v>
      </c>
      <c r="AC345" s="5">
        <v>1519225121254</v>
      </c>
      <c r="AD345" s="36">
        <f t="shared" si="27"/>
        <v>36.028665325794549</v>
      </c>
      <c r="AE345" s="5">
        <v>1251200938582</v>
      </c>
      <c r="AF345" s="5">
        <v>1251200938582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6">
        <v>0</v>
      </c>
      <c r="AM345" s="5">
        <v>0</v>
      </c>
      <c r="AN345" s="6">
        <v>180</v>
      </c>
      <c r="AO345" s="5">
        <v>636269978951</v>
      </c>
      <c r="AP345" s="6">
        <v>55</v>
      </c>
      <c r="AQ345" s="5">
        <v>488896204801</v>
      </c>
      <c r="AR345" s="5">
        <v>130985803455</v>
      </c>
      <c r="AS345" s="5">
        <v>59042816437</v>
      </c>
      <c r="AT345" s="5">
        <f t="shared" si="28"/>
        <v>71942987018</v>
      </c>
      <c r="AU345" s="36">
        <f t="shared" si="29"/>
        <v>121.84884014597233</v>
      </c>
      <c r="AV345" s="5">
        <v>676739478865</v>
      </c>
      <c r="AW345" s="5">
        <v>245146795655</v>
      </c>
      <c r="AX345" s="5">
        <v>312936848143</v>
      </c>
      <c r="AY345" s="5">
        <v>310276489866</v>
      </c>
      <c r="AZ345" s="5">
        <v>596244711488</v>
      </c>
      <c r="BA345" s="5">
        <v>610960965366</v>
      </c>
      <c r="BB345" s="5">
        <v>455126271009</v>
      </c>
      <c r="BC345" s="5">
        <v>1887940583204</v>
      </c>
      <c r="BD345" s="5">
        <v>682593786860</v>
      </c>
      <c r="BE345" s="5">
        <v>596244711488</v>
      </c>
      <c r="BF345" s="5">
        <v>609102084856</v>
      </c>
      <c r="BG345" s="5">
        <v>841344798071</v>
      </c>
      <c r="BH345" s="5">
        <v>409856140511</v>
      </c>
      <c r="BI345" s="5">
        <v>0</v>
      </c>
      <c r="BJ345" s="48">
        <v>0</v>
      </c>
      <c r="BK345" s="5">
        <v>0</v>
      </c>
      <c r="BL345" s="5">
        <v>0</v>
      </c>
      <c r="BM345" s="5">
        <v>0</v>
      </c>
      <c r="BN345" s="5">
        <v>0</v>
      </c>
    </row>
    <row r="346" spans="1:66" s="32" customFormat="1" x14ac:dyDescent="0.25">
      <c r="A346" s="17" t="s">
        <v>600</v>
      </c>
      <c r="B346" s="8">
        <v>3399</v>
      </c>
      <c r="C346" s="8" t="s">
        <v>371</v>
      </c>
      <c r="D346" s="9">
        <v>0</v>
      </c>
      <c r="E346" s="9">
        <v>95055000</v>
      </c>
      <c r="F346" s="9">
        <v>0</v>
      </c>
      <c r="G346" s="9">
        <v>0</v>
      </c>
      <c r="H346" s="9">
        <v>95055000</v>
      </c>
      <c r="I346" s="9">
        <v>8421251</v>
      </c>
      <c r="J346" s="9">
        <v>33520000000</v>
      </c>
      <c r="K346" s="9">
        <v>-33433366251</v>
      </c>
      <c r="L346" s="9">
        <v>413459040</v>
      </c>
      <c r="M346" s="5">
        <f t="shared" si="25"/>
        <v>-318404040</v>
      </c>
      <c r="N346" s="36">
        <f t="shared" si="26"/>
        <v>-77.009814563493393</v>
      </c>
      <c r="O346" s="9">
        <v>0</v>
      </c>
      <c r="P346" s="36">
        <v>0</v>
      </c>
      <c r="Q346" s="10">
        <v>0</v>
      </c>
      <c r="R346" s="10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36">
        <f t="shared" si="27"/>
        <v>0</v>
      </c>
      <c r="AE346" s="9">
        <v>0</v>
      </c>
      <c r="AF346" s="9">
        <v>0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10">
        <v>0</v>
      </c>
      <c r="AM346" s="9">
        <v>0</v>
      </c>
      <c r="AN346" s="11">
        <v>0</v>
      </c>
      <c r="AO346" s="9">
        <v>0</v>
      </c>
      <c r="AP346" s="11">
        <v>0</v>
      </c>
      <c r="AQ346" s="9">
        <v>0</v>
      </c>
      <c r="AR346" s="9">
        <v>0</v>
      </c>
      <c r="AS346" s="9">
        <v>0</v>
      </c>
      <c r="AT346" s="5">
        <f t="shared" si="28"/>
        <v>0</v>
      </c>
      <c r="AU346" s="36">
        <f t="shared" si="29"/>
        <v>0</v>
      </c>
      <c r="AV346" s="9">
        <v>0</v>
      </c>
      <c r="AW346" s="9">
        <v>0</v>
      </c>
      <c r="AX346" s="9">
        <v>0</v>
      </c>
      <c r="AY346" s="9">
        <v>0</v>
      </c>
      <c r="AZ346" s="9">
        <v>0</v>
      </c>
      <c r="BA346" s="9">
        <v>0</v>
      </c>
      <c r="BB346" s="9">
        <v>0</v>
      </c>
      <c r="BC346" s="9">
        <v>95055000</v>
      </c>
      <c r="BD346" s="9">
        <v>95055000</v>
      </c>
      <c r="BE346" s="9">
        <v>0</v>
      </c>
      <c r="BF346" s="9">
        <v>0</v>
      </c>
      <c r="BG346" s="9">
        <v>0</v>
      </c>
      <c r="BH346" s="9">
        <v>0</v>
      </c>
      <c r="BI346" s="9">
        <v>0</v>
      </c>
      <c r="BJ346" s="51">
        <v>0</v>
      </c>
      <c r="BK346" s="9">
        <v>0</v>
      </c>
      <c r="BL346" s="9">
        <v>0</v>
      </c>
      <c r="BM346" s="9">
        <v>0</v>
      </c>
      <c r="BN346" s="9">
        <v>0</v>
      </c>
    </row>
    <row r="347" spans="1:66" x14ac:dyDescent="0.25">
      <c r="A347" s="30" t="s">
        <v>601</v>
      </c>
      <c r="B347" s="13" t="s">
        <v>625</v>
      </c>
      <c r="C347" s="13" t="s">
        <v>625</v>
      </c>
      <c r="D347" s="14">
        <v>18638910093866</v>
      </c>
      <c r="E347" s="14">
        <v>1161267288576</v>
      </c>
      <c r="F347" s="14">
        <v>3750000000</v>
      </c>
      <c r="G347" s="14">
        <v>293112000</v>
      </c>
      <c r="H347" s="14">
        <v>19804220494442</v>
      </c>
      <c r="I347" s="14">
        <v>1569163682545</v>
      </c>
      <c r="J347" s="14">
        <v>211944417337</v>
      </c>
      <c r="K347" s="14">
        <v>18023112394560</v>
      </c>
      <c r="L347" s="14">
        <v>16529586594100</v>
      </c>
      <c r="M347" s="14">
        <f t="shared" si="25"/>
        <v>3274633900342</v>
      </c>
      <c r="N347" s="41">
        <f t="shared" si="26"/>
        <v>19.810742886400039</v>
      </c>
      <c r="O347" s="14">
        <v>33390586226393</v>
      </c>
      <c r="P347" s="41">
        <v>202.93</v>
      </c>
      <c r="Q347" s="15">
        <v>185.27</v>
      </c>
      <c r="R347" s="15">
        <v>3.55</v>
      </c>
      <c r="S347" s="14">
        <v>34844262755574</v>
      </c>
      <c r="T347" s="14">
        <v>1332760980765</v>
      </c>
      <c r="U347" s="14">
        <v>763541365655</v>
      </c>
      <c r="V347" s="14">
        <v>336500249423</v>
      </c>
      <c r="W347" s="14">
        <v>232719365687</v>
      </c>
      <c r="X347" s="14">
        <v>36177023736339</v>
      </c>
      <c r="Y347" s="14">
        <v>95479006496</v>
      </c>
      <c r="Z347" s="14">
        <v>3918204504022</v>
      </c>
      <c r="AA347" s="14">
        <v>93455386240</v>
      </c>
      <c r="AB347" s="14">
        <v>40188683626601</v>
      </c>
      <c r="AC347" s="14">
        <v>26405646252468</v>
      </c>
      <c r="AD347" s="41">
        <f t="shared" si="27"/>
        <v>37.004879147609273</v>
      </c>
      <c r="AE347" s="14">
        <v>16120062568007</v>
      </c>
      <c r="AF347" s="14">
        <v>14992224702365</v>
      </c>
      <c r="AG347" s="14">
        <v>185921392035</v>
      </c>
      <c r="AH347" s="14">
        <v>17862150000</v>
      </c>
      <c r="AI347" s="14">
        <v>10889505494</v>
      </c>
      <c r="AJ347" s="14">
        <v>10000000000</v>
      </c>
      <c r="AK347" s="14">
        <v>736313976</v>
      </c>
      <c r="AL347" s="15">
        <v>7</v>
      </c>
      <c r="AM347" s="14">
        <v>190666996845</v>
      </c>
      <c r="AN347" s="16">
        <v>1094</v>
      </c>
      <c r="AO347" s="14">
        <v>9930865433981</v>
      </c>
      <c r="AP347" s="16">
        <v>1152</v>
      </c>
      <c r="AQ347" s="14">
        <v>20655997844694</v>
      </c>
      <c r="AR347" s="14">
        <v>1332760980765</v>
      </c>
      <c r="AS347" s="14">
        <v>833977145427</v>
      </c>
      <c r="AT347" s="14">
        <f t="shared" si="28"/>
        <v>498783835338</v>
      </c>
      <c r="AU347" s="41">
        <f t="shared" si="29"/>
        <v>59.807854216750798</v>
      </c>
      <c r="AV347" s="14">
        <v>9270606467463</v>
      </c>
      <c r="AW347" s="14">
        <v>2492938757732</v>
      </c>
      <c r="AX347" s="14">
        <v>3549132415234</v>
      </c>
      <c r="AY347" s="14">
        <v>4114239119649</v>
      </c>
      <c r="AZ347" s="14">
        <v>4356711044414</v>
      </c>
      <c r="BA347" s="14">
        <v>7018629591845</v>
      </c>
      <c r="BB347" s="14">
        <v>2927888583916</v>
      </c>
      <c r="BC347" s="14">
        <v>19804220494442</v>
      </c>
      <c r="BD347" s="14">
        <v>8631502362093</v>
      </c>
      <c r="BE347" s="14">
        <v>4360461044414</v>
      </c>
      <c r="BF347" s="14">
        <v>6812257087935</v>
      </c>
      <c r="BG347" s="14">
        <v>9513876456691</v>
      </c>
      <c r="BH347" s="14">
        <v>6606186111316</v>
      </c>
      <c r="BI347" s="14">
        <v>0</v>
      </c>
      <c r="BJ347" s="49">
        <v>0</v>
      </c>
      <c r="BK347" s="14">
        <v>232193022694</v>
      </c>
      <c r="BL347" s="14">
        <v>3485846975</v>
      </c>
      <c r="BM347" s="14">
        <v>4272921814</v>
      </c>
      <c r="BN347" s="14">
        <v>3912150000</v>
      </c>
    </row>
    <row r="348" spans="1:66" x14ac:dyDescent="0.25">
      <c r="A348" s="17" t="s">
        <v>602</v>
      </c>
      <c r="B348" s="4">
        <v>3400</v>
      </c>
      <c r="C348" s="4" t="s">
        <v>372</v>
      </c>
      <c r="D348" s="5">
        <v>3790925900638</v>
      </c>
      <c r="E348" s="5">
        <v>550069175441</v>
      </c>
      <c r="F348" s="5">
        <v>33210000000</v>
      </c>
      <c r="G348" s="5">
        <v>792193103</v>
      </c>
      <c r="H348" s="5">
        <v>4374997269182</v>
      </c>
      <c r="I348" s="5">
        <v>381783959817</v>
      </c>
      <c r="J348" s="5">
        <v>75187579339</v>
      </c>
      <c r="K348" s="5">
        <v>3918025730026</v>
      </c>
      <c r="L348" s="5">
        <v>2682614903471</v>
      </c>
      <c r="M348" s="5">
        <f t="shared" si="25"/>
        <v>1692382365711</v>
      </c>
      <c r="N348" s="36">
        <f t="shared" si="26"/>
        <v>63.087041062854333</v>
      </c>
      <c r="O348" s="5">
        <v>11999422834884</v>
      </c>
      <c r="P348" s="36">
        <v>394.92</v>
      </c>
      <c r="Q348" s="6">
        <v>306.26</v>
      </c>
      <c r="R348" s="6">
        <v>3.24</v>
      </c>
      <c r="S348" s="5">
        <v>16231180467290</v>
      </c>
      <c r="T348" s="5">
        <v>520243206108</v>
      </c>
      <c r="U348" s="5">
        <v>448250412334</v>
      </c>
      <c r="V348" s="5">
        <v>48236318333</v>
      </c>
      <c r="W348" s="5">
        <v>23756475441</v>
      </c>
      <c r="X348" s="5">
        <v>16751423673398</v>
      </c>
      <c r="Y348" s="5">
        <v>39051801359</v>
      </c>
      <c r="Z348" s="5">
        <v>485308423979</v>
      </c>
      <c r="AA348" s="5">
        <v>40810258499</v>
      </c>
      <c r="AB348" s="5">
        <v>17277542355876</v>
      </c>
      <c r="AC348" s="5">
        <v>11648650052943</v>
      </c>
      <c r="AD348" s="36">
        <f t="shared" si="27"/>
        <v>43.805707934077716</v>
      </c>
      <c r="AE348" s="5">
        <v>7544762633112</v>
      </c>
      <c r="AF348" s="5">
        <v>7421501145840</v>
      </c>
      <c r="AG348" s="5">
        <v>43609732072</v>
      </c>
      <c r="AH348" s="5">
        <v>0</v>
      </c>
      <c r="AI348" s="5">
        <v>81046002955</v>
      </c>
      <c r="AJ348" s="5">
        <v>0</v>
      </c>
      <c r="AK348" s="5">
        <v>0</v>
      </c>
      <c r="AL348" s="6">
        <v>1</v>
      </c>
      <c r="AM348" s="5">
        <v>10001279881</v>
      </c>
      <c r="AN348" s="6">
        <v>160</v>
      </c>
      <c r="AO348" s="5">
        <v>2211667636129</v>
      </c>
      <c r="AP348" s="6">
        <v>108</v>
      </c>
      <c r="AQ348" s="5">
        <v>1469900546092</v>
      </c>
      <c r="AR348" s="5">
        <v>520243206108</v>
      </c>
      <c r="AS348" s="5">
        <v>196949027766</v>
      </c>
      <c r="AT348" s="5">
        <f t="shared" si="28"/>
        <v>323294178342</v>
      </c>
      <c r="AU348" s="36">
        <f t="shared" si="29"/>
        <v>164.15119282848849</v>
      </c>
      <c r="AV348" s="5">
        <v>4231244716455</v>
      </c>
      <c r="AW348" s="5">
        <v>658592829912</v>
      </c>
      <c r="AX348" s="5">
        <v>546589382853</v>
      </c>
      <c r="AY348" s="5">
        <v>624522259570</v>
      </c>
      <c r="AZ348" s="5">
        <v>1192872768601</v>
      </c>
      <c r="BA348" s="5">
        <v>1603796788374</v>
      </c>
      <c r="BB348" s="5">
        <v>741142616823</v>
      </c>
      <c r="BC348" s="5">
        <v>4374997269182</v>
      </c>
      <c r="BD348" s="5">
        <v>1494915445418</v>
      </c>
      <c r="BE348" s="5">
        <v>1226082768601</v>
      </c>
      <c r="BF348" s="5">
        <v>1653999055163</v>
      </c>
      <c r="BG348" s="5">
        <v>4739579077397</v>
      </c>
      <c r="BH348" s="5">
        <v>2805183555715</v>
      </c>
      <c r="BI348" s="5">
        <v>0</v>
      </c>
      <c r="BJ348" s="48">
        <v>0</v>
      </c>
      <c r="BK348" s="5">
        <v>123782928119</v>
      </c>
      <c r="BL348" s="5">
        <v>0</v>
      </c>
      <c r="BM348" s="5">
        <v>1350000000</v>
      </c>
      <c r="BN348" s="5">
        <v>2164950000</v>
      </c>
    </row>
    <row r="349" spans="1:66" x14ac:dyDescent="0.25">
      <c r="A349" s="17" t="s">
        <v>602</v>
      </c>
      <c r="B349" s="4">
        <v>3401</v>
      </c>
      <c r="C349" s="4" t="s">
        <v>373</v>
      </c>
      <c r="D349" s="5">
        <v>3391004349135</v>
      </c>
      <c r="E349" s="5">
        <v>87878701523</v>
      </c>
      <c r="F349" s="5">
        <v>0</v>
      </c>
      <c r="G349" s="5">
        <v>0</v>
      </c>
      <c r="H349" s="5">
        <v>3478883050658</v>
      </c>
      <c r="I349" s="5">
        <v>278931668548</v>
      </c>
      <c r="J349" s="5">
        <v>833310000</v>
      </c>
      <c r="K349" s="5">
        <v>3199118072110</v>
      </c>
      <c r="L349" s="5">
        <v>1678403285061</v>
      </c>
      <c r="M349" s="5">
        <f t="shared" si="25"/>
        <v>1800479765597</v>
      </c>
      <c r="N349" s="36">
        <f t="shared" si="26"/>
        <v>107.27336997148234</v>
      </c>
      <c r="O349" s="5">
        <v>3284402669658</v>
      </c>
      <c r="P349" s="36">
        <v>108.32</v>
      </c>
      <c r="Q349" s="6">
        <v>102.67</v>
      </c>
      <c r="R349" s="6">
        <v>3.45</v>
      </c>
      <c r="S349" s="5">
        <v>3438738375748</v>
      </c>
      <c r="T349" s="5">
        <v>124393691721</v>
      </c>
      <c r="U349" s="5">
        <v>50711363030</v>
      </c>
      <c r="V349" s="5">
        <v>60900950157</v>
      </c>
      <c r="W349" s="5">
        <v>12781378534</v>
      </c>
      <c r="X349" s="5">
        <v>3563132067469</v>
      </c>
      <c r="Y349" s="5">
        <v>5421272170</v>
      </c>
      <c r="Z349" s="5">
        <v>179794412605</v>
      </c>
      <c r="AA349" s="5">
        <v>25259074700</v>
      </c>
      <c r="AB349" s="5">
        <v>3768185554774</v>
      </c>
      <c r="AC349" s="5">
        <v>2541470746840</v>
      </c>
      <c r="AD349" s="36">
        <f t="shared" si="27"/>
        <v>40.199609690542673</v>
      </c>
      <c r="AE349" s="5">
        <v>2594230765586</v>
      </c>
      <c r="AF349" s="5">
        <v>2524758026317</v>
      </c>
      <c r="AG349" s="5">
        <v>211462601246</v>
      </c>
      <c r="AH349" s="5">
        <v>0</v>
      </c>
      <c r="AI349" s="5">
        <v>167843475185</v>
      </c>
      <c r="AJ349" s="5">
        <v>0</v>
      </c>
      <c r="AK349" s="5">
        <v>0</v>
      </c>
      <c r="AL349" s="6">
        <v>2</v>
      </c>
      <c r="AM349" s="5">
        <v>74900000000</v>
      </c>
      <c r="AN349" s="6">
        <v>83</v>
      </c>
      <c r="AO349" s="5">
        <v>579434497008</v>
      </c>
      <c r="AP349" s="6">
        <v>27</v>
      </c>
      <c r="AQ349" s="5">
        <v>1669587513764</v>
      </c>
      <c r="AR349" s="5">
        <v>124393691721</v>
      </c>
      <c r="AS349" s="5">
        <v>61067826039</v>
      </c>
      <c r="AT349" s="5">
        <f t="shared" si="28"/>
        <v>63325865682</v>
      </c>
      <c r="AU349" s="36">
        <f t="shared" si="29"/>
        <v>103.69759297073706</v>
      </c>
      <c r="AV349" s="5">
        <v>1413811541838</v>
      </c>
      <c r="AW349" s="5">
        <v>578515057688</v>
      </c>
      <c r="AX349" s="5">
        <v>1133341413577</v>
      </c>
      <c r="AY349" s="5">
        <v>307140036663</v>
      </c>
      <c r="AZ349" s="5">
        <v>1003705398895</v>
      </c>
      <c r="BA349" s="5">
        <v>1078001341264</v>
      </c>
      <c r="BB349" s="5">
        <v>852425004411</v>
      </c>
      <c r="BC349" s="5">
        <v>3478883050658</v>
      </c>
      <c r="BD349" s="5">
        <v>1528360151763</v>
      </c>
      <c r="BE349" s="5">
        <v>1003705398895</v>
      </c>
      <c r="BF349" s="5">
        <v>946817500000</v>
      </c>
      <c r="BG349" s="5">
        <v>1477764526129</v>
      </c>
      <c r="BH349" s="5">
        <v>1116466239457</v>
      </c>
      <c r="BI349" s="5">
        <v>0</v>
      </c>
      <c r="BJ349" s="48">
        <v>0</v>
      </c>
      <c r="BK349" s="5">
        <v>106468621586</v>
      </c>
      <c r="BL349" s="5">
        <v>0</v>
      </c>
      <c r="BM349" s="5">
        <v>0</v>
      </c>
      <c r="BN349" s="5">
        <v>0</v>
      </c>
    </row>
    <row r="350" spans="1:66" x14ac:dyDescent="0.25">
      <c r="A350" s="17" t="s">
        <v>602</v>
      </c>
      <c r="B350" s="8">
        <v>3402</v>
      </c>
      <c r="C350" s="8" t="s">
        <v>374</v>
      </c>
      <c r="D350" s="9">
        <v>3257892941803</v>
      </c>
      <c r="E350" s="9">
        <v>15854986685</v>
      </c>
      <c r="F350" s="9">
        <v>0</v>
      </c>
      <c r="G350" s="9">
        <v>0</v>
      </c>
      <c r="H350" s="9">
        <v>3273747928488</v>
      </c>
      <c r="I350" s="9">
        <v>231039473904</v>
      </c>
      <c r="J350" s="9">
        <v>1473370000</v>
      </c>
      <c r="K350" s="9">
        <v>3041235084584</v>
      </c>
      <c r="L350" s="9">
        <v>2023950008436</v>
      </c>
      <c r="M350" s="5">
        <f t="shared" si="25"/>
        <v>1249797920052</v>
      </c>
      <c r="N350" s="36">
        <f t="shared" si="26"/>
        <v>61.750434291496006</v>
      </c>
      <c r="O350" s="9">
        <v>2250628444102</v>
      </c>
      <c r="P350" s="36">
        <v>80.08</v>
      </c>
      <c r="Q350" s="10">
        <v>74</v>
      </c>
      <c r="R350" s="10">
        <v>11</v>
      </c>
      <c r="S350" s="9">
        <v>2236311115812</v>
      </c>
      <c r="T350" s="9">
        <v>255887802087</v>
      </c>
      <c r="U350" s="9">
        <v>34428867924</v>
      </c>
      <c r="V350" s="9">
        <v>104945095235</v>
      </c>
      <c r="W350" s="9">
        <v>116513838928</v>
      </c>
      <c r="X350" s="9">
        <v>2492198917899</v>
      </c>
      <c r="Y350" s="5">
        <v>32487238198</v>
      </c>
      <c r="Z350" s="9">
        <v>121771509474</v>
      </c>
      <c r="AA350" s="9">
        <v>7554237873</v>
      </c>
      <c r="AB350" s="9">
        <v>2621524665246</v>
      </c>
      <c r="AC350" s="9">
        <v>2259224656303</v>
      </c>
      <c r="AD350" s="36">
        <f t="shared" si="27"/>
        <v>10.312133454547171</v>
      </c>
      <c r="AE350" s="9">
        <v>1309288503164</v>
      </c>
      <c r="AF350" s="9">
        <v>1222078503164</v>
      </c>
      <c r="AG350" s="9">
        <v>9288746999</v>
      </c>
      <c r="AH350" s="9">
        <v>0</v>
      </c>
      <c r="AI350" s="9">
        <v>0</v>
      </c>
      <c r="AJ350" s="9">
        <v>0</v>
      </c>
      <c r="AK350" s="9">
        <v>0</v>
      </c>
      <c r="AL350" s="10">
        <v>0</v>
      </c>
      <c r="AM350" s="9">
        <v>0</v>
      </c>
      <c r="AN350" s="10">
        <v>13</v>
      </c>
      <c r="AO350" s="9">
        <v>67496098072</v>
      </c>
      <c r="AP350" s="10">
        <v>14</v>
      </c>
      <c r="AQ350" s="9">
        <v>113962696950</v>
      </c>
      <c r="AR350" s="9">
        <v>255887802087</v>
      </c>
      <c r="AS350" s="9">
        <v>233438694080</v>
      </c>
      <c r="AT350" s="5">
        <f t="shared" si="28"/>
        <v>22449108007</v>
      </c>
      <c r="AU350" s="36">
        <f t="shared" si="29"/>
        <v>9.6167039039837316</v>
      </c>
      <c r="AV350" s="9">
        <v>962563647898</v>
      </c>
      <c r="AW350" s="9">
        <v>188974431026</v>
      </c>
      <c r="AX350" s="9">
        <v>1076905286217</v>
      </c>
      <c r="AY350" s="9">
        <v>716603133755</v>
      </c>
      <c r="AZ350" s="9">
        <v>576062218873</v>
      </c>
      <c r="BA350" s="9">
        <v>989348545954</v>
      </c>
      <c r="BB350" s="9">
        <v>330790430310</v>
      </c>
      <c r="BC350" s="9">
        <v>3273747928488</v>
      </c>
      <c r="BD350" s="9">
        <v>1809310055462</v>
      </c>
      <c r="BE350" s="9">
        <v>576062218873</v>
      </c>
      <c r="BF350" s="9">
        <v>888375654153</v>
      </c>
      <c r="BG350" s="9">
        <v>732811808643</v>
      </c>
      <c r="BH350" s="9">
        <v>576476694521</v>
      </c>
      <c r="BI350" s="9">
        <v>0</v>
      </c>
      <c r="BJ350" s="51">
        <v>70123910067</v>
      </c>
      <c r="BK350" s="9">
        <v>9288746999</v>
      </c>
      <c r="BL350" s="9">
        <v>0</v>
      </c>
      <c r="BM350" s="9">
        <v>0</v>
      </c>
      <c r="BN350" s="9">
        <v>0</v>
      </c>
    </row>
    <row r="351" spans="1:66" x14ac:dyDescent="0.25">
      <c r="A351" s="17" t="s">
        <v>602</v>
      </c>
      <c r="B351" s="4">
        <v>3403</v>
      </c>
      <c r="C351" s="4" t="s">
        <v>375</v>
      </c>
      <c r="D351" s="5">
        <v>2828868608502</v>
      </c>
      <c r="E351" s="5">
        <v>24606524701</v>
      </c>
      <c r="F351" s="5">
        <v>0</v>
      </c>
      <c r="G351" s="5">
        <v>0</v>
      </c>
      <c r="H351" s="5">
        <v>2853475133203</v>
      </c>
      <c r="I351" s="5">
        <v>237310678985</v>
      </c>
      <c r="J351" s="5">
        <v>434301348</v>
      </c>
      <c r="K351" s="5">
        <v>2615730152870</v>
      </c>
      <c r="L351" s="5">
        <v>2069154417796</v>
      </c>
      <c r="M351" s="5">
        <f t="shared" si="25"/>
        <v>784320715407</v>
      </c>
      <c r="N351" s="36">
        <f t="shared" si="26"/>
        <v>37.905373744045377</v>
      </c>
      <c r="O351" s="5">
        <v>1127148783123</v>
      </c>
      <c r="P351" s="36">
        <v>46.3</v>
      </c>
      <c r="Q351" s="6">
        <v>43.09</v>
      </c>
      <c r="R351" s="6">
        <v>2.77</v>
      </c>
      <c r="S351" s="5">
        <v>1240389773085</v>
      </c>
      <c r="T351" s="5">
        <v>34446483498</v>
      </c>
      <c r="U351" s="5">
        <v>23085889840</v>
      </c>
      <c r="V351" s="5">
        <v>11279617278</v>
      </c>
      <c r="W351" s="5">
        <v>80976380</v>
      </c>
      <c r="X351" s="5">
        <v>1274836256583</v>
      </c>
      <c r="Y351" s="5">
        <v>2186221778</v>
      </c>
      <c r="Z351" s="5">
        <v>38812107557</v>
      </c>
      <c r="AA351" s="5">
        <v>7426000000</v>
      </c>
      <c r="AB351" s="5">
        <v>1321074364140</v>
      </c>
      <c r="AC351" s="5">
        <v>896829933213</v>
      </c>
      <c r="AD351" s="36">
        <f t="shared" si="27"/>
        <v>42.149164448129795</v>
      </c>
      <c r="AE351" s="5">
        <v>765571247120</v>
      </c>
      <c r="AF351" s="5">
        <v>678125629871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6">
        <v>0</v>
      </c>
      <c r="AM351" s="5">
        <v>0</v>
      </c>
      <c r="AN351" s="6">
        <v>7</v>
      </c>
      <c r="AO351" s="5">
        <v>26653880000</v>
      </c>
      <c r="AP351" s="6">
        <v>3</v>
      </c>
      <c r="AQ351" s="5">
        <v>60700000000</v>
      </c>
      <c r="AR351" s="5">
        <v>34446483498</v>
      </c>
      <c r="AS351" s="5">
        <v>9917862813</v>
      </c>
      <c r="AT351" s="5">
        <f t="shared" si="28"/>
        <v>24528620685</v>
      </c>
      <c r="AU351" s="36">
        <f t="shared" si="29"/>
        <v>247.31760407946672</v>
      </c>
      <c r="AV351" s="5">
        <v>402914954855</v>
      </c>
      <c r="AW351" s="5">
        <v>77014504578</v>
      </c>
      <c r="AX351" s="5">
        <v>528142770798</v>
      </c>
      <c r="AY351" s="5">
        <v>390612527473</v>
      </c>
      <c r="AZ351" s="5">
        <v>833273957231</v>
      </c>
      <c r="BA351" s="5">
        <v>1542735303436</v>
      </c>
      <c r="BB351" s="5">
        <v>575128634804</v>
      </c>
      <c r="BC351" s="5">
        <v>2853475133203</v>
      </c>
      <c r="BD351" s="5">
        <v>943361822972</v>
      </c>
      <c r="BE351" s="5">
        <v>832973957231</v>
      </c>
      <c r="BF351" s="5">
        <v>1077139353000</v>
      </c>
      <c r="BG351" s="5">
        <v>594675678620</v>
      </c>
      <c r="BH351" s="5">
        <v>170895568500</v>
      </c>
      <c r="BI351" s="5">
        <v>0</v>
      </c>
      <c r="BJ351" s="48">
        <v>0</v>
      </c>
      <c r="BK351" s="5">
        <v>0</v>
      </c>
      <c r="BL351" s="5">
        <v>0</v>
      </c>
      <c r="BM351" s="5">
        <v>0</v>
      </c>
      <c r="BN351" s="5">
        <v>0</v>
      </c>
    </row>
    <row r="352" spans="1:66" x14ac:dyDescent="0.25">
      <c r="A352" s="17" t="s">
        <v>602</v>
      </c>
      <c r="B352" s="4">
        <v>3404</v>
      </c>
      <c r="C352" s="4" t="s">
        <v>376</v>
      </c>
      <c r="D352" s="5">
        <v>3900017741884</v>
      </c>
      <c r="E352" s="5">
        <v>161799980609</v>
      </c>
      <c r="F352" s="5">
        <v>0</v>
      </c>
      <c r="G352" s="5">
        <v>0</v>
      </c>
      <c r="H352" s="5">
        <v>4061817722493</v>
      </c>
      <c r="I352" s="5">
        <v>307890532787</v>
      </c>
      <c r="J352" s="5">
        <v>520805000</v>
      </c>
      <c r="K352" s="5">
        <v>3753406384706</v>
      </c>
      <c r="L352" s="5">
        <v>2135421665813</v>
      </c>
      <c r="M352" s="5">
        <f t="shared" si="25"/>
        <v>1926396056680</v>
      </c>
      <c r="N352" s="36">
        <f t="shared" si="26"/>
        <v>90.211506585355366</v>
      </c>
      <c r="O352" s="5">
        <v>2619023393703</v>
      </c>
      <c r="P352" s="36">
        <v>73.02</v>
      </c>
      <c r="Q352" s="6">
        <v>69.78</v>
      </c>
      <c r="R352" s="6">
        <v>4.67</v>
      </c>
      <c r="S352" s="5">
        <v>2722262218500</v>
      </c>
      <c r="T352" s="5">
        <v>132759911961</v>
      </c>
      <c r="U352" s="5">
        <v>14131136678</v>
      </c>
      <c r="V352" s="5">
        <v>118404486430</v>
      </c>
      <c r="W352" s="5">
        <v>224288853</v>
      </c>
      <c r="X352" s="5">
        <v>2855022130461</v>
      </c>
      <c r="Y352" s="5">
        <v>5798948319</v>
      </c>
      <c r="Z352" s="5">
        <v>104538386674</v>
      </c>
      <c r="AA352" s="5">
        <v>6499100000</v>
      </c>
      <c r="AB352" s="5">
        <v>2966059617135</v>
      </c>
      <c r="AC352" s="5">
        <v>3081169290243</v>
      </c>
      <c r="AD352" s="36">
        <f t="shared" si="27"/>
        <v>-7.3396538287633204</v>
      </c>
      <c r="AE352" s="5">
        <v>1600796703843</v>
      </c>
      <c r="AF352" s="5">
        <v>1523296210693</v>
      </c>
      <c r="AG352" s="5">
        <v>0</v>
      </c>
      <c r="AH352" s="5">
        <v>0</v>
      </c>
      <c r="AI352" s="5">
        <v>8249324815</v>
      </c>
      <c r="AJ352" s="5">
        <v>0</v>
      </c>
      <c r="AK352" s="5">
        <v>0</v>
      </c>
      <c r="AL352" s="6">
        <v>0</v>
      </c>
      <c r="AM352" s="5">
        <v>0</v>
      </c>
      <c r="AN352" s="6">
        <v>18</v>
      </c>
      <c r="AO352" s="5">
        <v>599093788449</v>
      </c>
      <c r="AP352" s="6">
        <v>38</v>
      </c>
      <c r="AQ352" s="5">
        <v>1518152471883</v>
      </c>
      <c r="AR352" s="5">
        <v>132759911961</v>
      </c>
      <c r="AS352" s="5">
        <v>10053396986</v>
      </c>
      <c r="AT352" s="5">
        <f t="shared" si="28"/>
        <v>122706514975</v>
      </c>
      <c r="AU352" s="36">
        <f t="shared" si="29"/>
        <v>1220.5477924116267</v>
      </c>
      <c r="AV352" s="5">
        <v>1677506235125</v>
      </c>
      <c r="AW352" s="5">
        <v>611459459441</v>
      </c>
      <c r="AX352" s="5">
        <v>1221895518827</v>
      </c>
      <c r="AY352" s="5">
        <v>728408044048</v>
      </c>
      <c r="AZ352" s="5">
        <v>1065691379009</v>
      </c>
      <c r="BA352" s="5">
        <v>900759390696</v>
      </c>
      <c r="BB352" s="5">
        <v>772076542289</v>
      </c>
      <c r="BC352" s="5">
        <v>4061817722493</v>
      </c>
      <c r="BD352" s="5">
        <v>2112103543484</v>
      </c>
      <c r="BE352" s="5">
        <v>1065691379009</v>
      </c>
      <c r="BF352" s="5">
        <v>884022800000</v>
      </c>
      <c r="BG352" s="5">
        <v>1104160944359</v>
      </c>
      <c r="BH352" s="5">
        <v>496635759484</v>
      </c>
      <c r="BI352" s="5">
        <v>0</v>
      </c>
      <c r="BJ352" s="48">
        <v>0</v>
      </c>
      <c r="BK352" s="5">
        <v>488138427216</v>
      </c>
      <c r="BL352" s="5">
        <v>0</v>
      </c>
      <c r="BM352" s="5">
        <v>0</v>
      </c>
      <c r="BN352" s="5">
        <v>0</v>
      </c>
    </row>
    <row r="353" spans="1:66" x14ac:dyDescent="0.25">
      <c r="A353" s="17" t="s">
        <v>602</v>
      </c>
      <c r="B353" s="4">
        <v>3405</v>
      </c>
      <c r="C353" s="4" t="s">
        <v>377</v>
      </c>
      <c r="D353" s="5">
        <v>2327776790702</v>
      </c>
      <c r="E353" s="5">
        <v>41718220201</v>
      </c>
      <c r="F353" s="5">
        <v>0</v>
      </c>
      <c r="G353" s="5">
        <v>0</v>
      </c>
      <c r="H353" s="5">
        <v>2369495010903</v>
      </c>
      <c r="I353" s="5">
        <v>175547647349</v>
      </c>
      <c r="J353" s="5">
        <v>1544572800</v>
      </c>
      <c r="K353" s="5">
        <v>2192402790754</v>
      </c>
      <c r="L353" s="5">
        <v>964114605964</v>
      </c>
      <c r="M353" s="5">
        <f t="shared" si="25"/>
        <v>1405380404939</v>
      </c>
      <c r="N353" s="36">
        <f t="shared" si="26"/>
        <v>145.76901918561711</v>
      </c>
      <c r="O353" s="5">
        <v>2007277714060</v>
      </c>
      <c r="P353" s="36">
        <v>99.91</v>
      </c>
      <c r="Q353" s="6">
        <v>91.56</v>
      </c>
      <c r="R353" s="6">
        <v>1.73</v>
      </c>
      <c r="S353" s="5">
        <v>2229570613058</v>
      </c>
      <c r="T353" s="5">
        <v>40172370025</v>
      </c>
      <c r="U353" s="5">
        <v>19126324323</v>
      </c>
      <c r="V353" s="5">
        <v>18660872642</v>
      </c>
      <c r="W353" s="5">
        <v>2385173060</v>
      </c>
      <c r="X353" s="5">
        <v>2269742983083</v>
      </c>
      <c r="Y353" s="5">
        <v>841354671</v>
      </c>
      <c r="Z353" s="5">
        <v>80478695333</v>
      </c>
      <c r="AA353" s="5">
        <v>17095920000</v>
      </c>
      <c r="AB353" s="5">
        <v>2367317598416</v>
      </c>
      <c r="AC353" s="5">
        <v>1563172844193</v>
      </c>
      <c r="AD353" s="36">
        <f t="shared" si="27"/>
        <v>45.201024411012739</v>
      </c>
      <c r="AE353" s="5">
        <v>1604054079055</v>
      </c>
      <c r="AF353" s="5">
        <v>1382425579995</v>
      </c>
      <c r="AG353" s="5">
        <v>88736000000</v>
      </c>
      <c r="AH353" s="5">
        <v>0</v>
      </c>
      <c r="AI353" s="5">
        <v>62260470640</v>
      </c>
      <c r="AJ353" s="5">
        <v>0</v>
      </c>
      <c r="AK353" s="5">
        <v>0</v>
      </c>
      <c r="AL353" s="6">
        <v>0</v>
      </c>
      <c r="AM353" s="5">
        <v>0</v>
      </c>
      <c r="AN353" s="6">
        <v>25</v>
      </c>
      <c r="AO353" s="5">
        <v>302558766285</v>
      </c>
      <c r="AP353" s="6">
        <v>13</v>
      </c>
      <c r="AQ353" s="5">
        <v>192022425296</v>
      </c>
      <c r="AR353" s="5">
        <v>40172370025</v>
      </c>
      <c r="AS353" s="5">
        <v>21641149483</v>
      </c>
      <c r="AT353" s="5">
        <f t="shared" si="28"/>
        <v>18531220542</v>
      </c>
      <c r="AU353" s="36">
        <f t="shared" si="29"/>
        <v>85.629557508287746</v>
      </c>
      <c r="AV353" s="5">
        <v>771621484690</v>
      </c>
      <c r="AW353" s="5">
        <v>303199421107</v>
      </c>
      <c r="AX353" s="5">
        <v>1089965938950</v>
      </c>
      <c r="AY353" s="5">
        <v>500623520059</v>
      </c>
      <c r="AZ353" s="5">
        <v>269023539001</v>
      </c>
      <c r="BA353" s="5">
        <v>634462531984</v>
      </c>
      <c r="BB353" s="5">
        <v>202038037698</v>
      </c>
      <c r="BC353" s="5">
        <v>2369495010903</v>
      </c>
      <c r="BD353" s="5">
        <v>1632307679210</v>
      </c>
      <c r="BE353" s="5">
        <v>269023539001</v>
      </c>
      <c r="BF353" s="5">
        <v>468163792692</v>
      </c>
      <c r="BG353" s="5">
        <v>889738989806</v>
      </c>
      <c r="BH353" s="5">
        <v>714315089249</v>
      </c>
      <c r="BI353" s="5">
        <v>0</v>
      </c>
      <c r="BJ353" s="48">
        <v>0</v>
      </c>
      <c r="BK353" s="5">
        <v>88736000000</v>
      </c>
      <c r="BL353" s="5">
        <v>0</v>
      </c>
      <c r="BM353" s="5">
        <v>0</v>
      </c>
      <c r="BN353" s="5">
        <v>0</v>
      </c>
    </row>
    <row r="354" spans="1:66" x14ac:dyDescent="0.25">
      <c r="A354" s="17" t="s">
        <v>602</v>
      </c>
      <c r="B354" s="4">
        <v>3406</v>
      </c>
      <c r="C354" s="4" t="s">
        <v>378</v>
      </c>
      <c r="D354" s="5">
        <v>2015032622900</v>
      </c>
      <c r="E354" s="5">
        <v>7833329509</v>
      </c>
      <c r="F354" s="5">
        <v>0</v>
      </c>
      <c r="G354" s="5">
        <v>0</v>
      </c>
      <c r="H354" s="5">
        <v>2022865952409</v>
      </c>
      <c r="I354" s="5">
        <v>165647510656</v>
      </c>
      <c r="J354" s="5">
        <v>360991299</v>
      </c>
      <c r="K354" s="5">
        <v>1856857450454</v>
      </c>
      <c r="L354" s="5">
        <v>1170859199586</v>
      </c>
      <c r="M354" s="5">
        <f t="shared" si="25"/>
        <v>852006752823</v>
      </c>
      <c r="N354" s="36">
        <f t="shared" si="26"/>
        <v>72.767652432013861</v>
      </c>
      <c r="O354" s="5">
        <v>1134440641881</v>
      </c>
      <c r="P354" s="36">
        <v>61.91</v>
      </c>
      <c r="Q354" s="6">
        <v>61.09</v>
      </c>
      <c r="R354" s="6">
        <v>5.43</v>
      </c>
      <c r="S354" s="5">
        <v>1113343392100</v>
      </c>
      <c r="T354" s="5">
        <v>66083231222</v>
      </c>
      <c r="U354" s="5">
        <v>24506539671</v>
      </c>
      <c r="V354" s="5">
        <v>39245296421</v>
      </c>
      <c r="W354" s="5">
        <v>2331395130</v>
      </c>
      <c r="X354" s="5">
        <v>1179426623322</v>
      </c>
      <c r="Y354" s="5">
        <v>1905651810</v>
      </c>
      <c r="Z354" s="5">
        <v>68304350785</v>
      </c>
      <c r="AA354" s="5">
        <v>4600000000</v>
      </c>
      <c r="AB354" s="5">
        <v>1252330974107</v>
      </c>
      <c r="AC354" s="5">
        <v>840593238802</v>
      </c>
      <c r="AD354" s="36">
        <f t="shared" si="27"/>
        <v>40.308840099986995</v>
      </c>
      <c r="AE354" s="5">
        <v>746805050858</v>
      </c>
      <c r="AF354" s="5">
        <v>746805050858</v>
      </c>
      <c r="AG354" s="5">
        <v>0</v>
      </c>
      <c r="AH354" s="5">
        <v>0</v>
      </c>
      <c r="AI354" s="5">
        <v>5701527985</v>
      </c>
      <c r="AJ354" s="5">
        <v>0</v>
      </c>
      <c r="AK354" s="5">
        <v>0</v>
      </c>
      <c r="AL354" s="6">
        <v>0</v>
      </c>
      <c r="AM354" s="5">
        <v>0</v>
      </c>
      <c r="AN354" s="6">
        <v>0</v>
      </c>
      <c r="AO354" s="5">
        <v>0</v>
      </c>
      <c r="AP354" s="6">
        <v>3</v>
      </c>
      <c r="AQ354" s="5">
        <v>1653130800</v>
      </c>
      <c r="AR354" s="5">
        <v>66083231222</v>
      </c>
      <c r="AS354" s="5">
        <v>39969966971</v>
      </c>
      <c r="AT354" s="5">
        <f t="shared" si="28"/>
        <v>26113264251</v>
      </c>
      <c r="AU354" s="36">
        <f t="shared" si="29"/>
        <v>65.33221373424287</v>
      </c>
      <c r="AV354" s="5">
        <v>398958070801</v>
      </c>
      <c r="AW354" s="5">
        <v>143775233770</v>
      </c>
      <c r="AX354" s="5">
        <v>273869635544</v>
      </c>
      <c r="AY354" s="5">
        <v>509130246232</v>
      </c>
      <c r="AZ354" s="5">
        <v>233780741124</v>
      </c>
      <c r="BA354" s="5">
        <v>1254548545960</v>
      </c>
      <c r="BB354" s="5">
        <v>104428938611</v>
      </c>
      <c r="BC354" s="5">
        <v>2022865952409</v>
      </c>
      <c r="BD354" s="5">
        <v>790833211285</v>
      </c>
      <c r="BE354" s="5">
        <v>233780741124</v>
      </c>
      <c r="BF354" s="5">
        <v>998252000000</v>
      </c>
      <c r="BG354" s="5">
        <v>552610010858</v>
      </c>
      <c r="BH354" s="5">
        <v>194195040000</v>
      </c>
      <c r="BI354" s="5">
        <v>0</v>
      </c>
      <c r="BJ354" s="48">
        <v>0</v>
      </c>
      <c r="BK354" s="5">
        <v>0</v>
      </c>
      <c r="BL354" s="5">
        <v>0</v>
      </c>
      <c r="BM354" s="5">
        <v>0</v>
      </c>
      <c r="BN354" s="5">
        <v>0</v>
      </c>
    </row>
    <row r="355" spans="1:66" x14ac:dyDescent="0.25">
      <c r="A355" s="17" t="s">
        <v>602</v>
      </c>
      <c r="B355" s="4">
        <v>3407</v>
      </c>
      <c r="C355" s="4" t="s">
        <v>379</v>
      </c>
      <c r="D355" s="5">
        <v>3292462093600</v>
      </c>
      <c r="E355" s="5">
        <v>70718169340</v>
      </c>
      <c r="F355" s="5">
        <v>0</v>
      </c>
      <c r="G355" s="5">
        <v>0</v>
      </c>
      <c r="H355" s="5">
        <v>3363180262940</v>
      </c>
      <c r="I355" s="5">
        <v>265054662255</v>
      </c>
      <c r="J355" s="5">
        <v>787544000</v>
      </c>
      <c r="K355" s="5">
        <v>3097338056685</v>
      </c>
      <c r="L355" s="5">
        <v>978354836950</v>
      </c>
      <c r="M355" s="5">
        <f t="shared" si="25"/>
        <v>2384825425990</v>
      </c>
      <c r="N355" s="36">
        <f t="shared" si="26"/>
        <v>243.75874027716176</v>
      </c>
      <c r="O355" s="5">
        <v>5338491930776</v>
      </c>
      <c r="P355" s="36">
        <v>199.63</v>
      </c>
      <c r="Q355" s="6">
        <v>172.36</v>
      </c>
      <c r="R355" s="6">
        <v>4.08</v>
      </c>
      <c r="S355" s="5">
        <v>6286905070630</v>
      </c>
      <c r="T355" s="5">
        <v>273231886820</v>
      </c>
      <c r="U355" s="5">
        <v>248905339638</v>
      </c>
      <c r="V355" s="5">
        <v>24326547182</v>
      </c>
      <c r="W355" s="5">
        <v>0</v>
      </c>
      <c r="X355" s="5">
        <v>6560136957450</v>
      </c>
      <c r="Y355" s="5">
        <v>530716106</v>
      </c>
      <c r="Z355" s="5">
        <v>136756011620</v>
      </c>
      <c r="AA355" s="5">
        <v>16903100000</v>
      </c>
      <c r="AB355" s="5">
        <v>6713796069070</v>
      </c>
      <c r="AC355" s="5">
        <v>5066953556259</v>
      </c>
      <c r="AD355" s="36">
        <f t="shared" si="27"/>
        <v>29.469056398721712</v>
      </c>
      <c r="AE355" s="5">
        <v>3079401816643</v>
      </c>
      <c r="AF355" s="5">
        <v>2567355699243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6">
        <v>0</v>
      </c>
      <c r="AM355" s="5">
        <v>0</v>
      </c>
      <c r="AN355" s="6">
        <v>9</v>
      </c>
      <c r="AO355" s="5">
        <v>226860250000</v>
      </c>
      <c r="AP355" s="6">
        <v>17</v>
      </c>
      <c r="AQ355" s="5">
        <v>546982897136</v>
      </c>
      <c r="AR355" s="5">
        <v>273231886820</v>
      </c>
      <c r="AS355" s="5">
        <v>2575138065</v>
      </c>
      <c r="AT355" s="5">
        <f t="shared" si="28"/>
        <v>270656748755</v>
      </c>
      <c r="AU355" s="36">
        <f t="shared" si="29"/>
        <v>10510.378159277452</v>
      </c>
      <c r="AV355" s="5">
        <v>1534142825686</v>
      </c>
      <c r="AW355" s="5">
        <v>99299523944</v>
      </c>
      <c r="AX355" s="5">
        <v>718989245486</v>
      </c>
      <c r="AY355" s="5">
        <v>724486949526</v>
      </c>
      <c r="AZ355" s="5">
        <v>726092633894</v>
      </c>
      <c r="BA355" s="5">
        <v>1252168856678</v>
      </c>
      <c r="BB355" s="5">
        <v>563627739076</v>
      </c>
      <c r="BC355" s="5">
        <v>3363180262940</v>
      </c>
      <c r="BD355" s="5">
        <v>1514194364352</v>
      </c>
      <c r="BE355" s="5">
        <v>725482633894</v>
      </c>
      <c r="BF355" s="5">
        <v>1123503264694</v>
      </c>
      <c r="BG355" s="5">
        <v>2613963531919</v>
      </c>
      <c r="BH355" s="5">
        <v>465438284724</v>
      </c>
      <c r="BI355" s="5">
        <v>0</v>
      </c>
      <c r="BJ355" s="48">
        <v>0</v>
      </c>
      <c r="BK355" s="5">
        <v>0</v>
      </c>
      <c r="BL355" s="5">
        <v>0</v>
      </c>
      <c r="BM355" s="5">
        <v>0</v>
      </c>
      <c r="BN355" s="5">
        <v>0</v>
      </c>
    </row>
    <row r="356" spans="1:66" x14ac:dyDescent="0.25">
      <c r="A356" s="17" t="s">
        <v>602</v>
      </c>
      <c r="B356" s="4">
        <v>3408</v>
      </c>
      <c r="C356" s="4" t="s">
        <v>380</v>
      </c>
      <c r="D356" s="5">
        <v>2134406046059</v>
      </c>
      <c r="E356" s="5">
        <v>13238118265</v>
      </c>
      <c r="F356" s="5">
        <v>0</v>
      </c>
      <c r="G356" s="5">
        <v>0</v>
      </c>
      <c r="H356" s="5">
        <v>2147644164324</v>
      </c>
      <c r="I356" s="5">
        <v>165255535688</v>
      </c>
      <c r="J356" s="5">
        <v>1172019160</v>
      </c>
      <c r="K356" s="5">
        <v>1981216609476</v>
      </c>
      <c r="L356" s="5">
        <v>1099333910212</v>
      </c>
      <c r="M356" s="5">
        <f t="shared" si="25"/>
        <v>1048310254112</v>
      </c>
      <c r="N356" s="36">
        <f t="shared" si="26"/>
        <v>95.358675319115704</v>
      </c>
      <c r="O356" s="5">
        <v>1170783512985</v>
      </c>
      <c r="P356" s="36">
        <v>62.9</v>
      </c>
      <c r="Q356" s="6">
        <v>59.09</v>
      </c>
      <c r="R356" s="6">
        <v>3.32</v>
      </c>
      <c r="S356" s="5">
        <v>1269045161457</v>
      </c>
      <c r="T356" s="5">
        <v>41826814065</v>
      </c>
      <c r="U356" s="5">
        <v>21947261775</v>
      </c>
      <c r="V356" s="5">
        <v>846330858</v>
      </c>
      <c r="W356" s="5">
        <v>19033221432</v>
      </c>
      <c r="X356" s="5">
        <v>1310871975522</v>
      </c>
      <c r="Y356" s="5">
        <v>3031004803</v>
      </c>
      <c r="Z356" s="5">
        <v>38050859714</v>
      </c>
      <c r="AA356" s="5">
        <v>1999790000</v>
      </c>
      <c r="AB356" s="5">
        <v>1350922625236</v>
      </c>
      <c r="AC356" s="5">
        <v>795476256652</v>
      </c>
      <c r="AD356" s="36">
        <f t="shared" si="27"/>
        <v>64.790836251882268</v>
      </c>
      <c r="AE356" s="5">
        <v>955020238665</v>
      </c>
      <c r="AF356" s="5">
        <v>856386529724</v>
      </c>
      <c r="AG356" s="5">
        <v>0</v>
      </c>
      <c r="AH356" s="5">
        <v>0</v>
      </c>
      <c r="AI356" s="5">
        <v>2000000000</v>
      </c>
      <c r="AJ356" s="5">
        <v>0</v>
      </c>
      <c r="AK356" s="5">
        <v>0</v>
      </c>
      <c r="AL356" s="6">
        <v>0</v>
      </c>
      <c r="AM356" s="5">
        <v>0</v>
      </c>
      <c r="AN356" s="6">
        <v>6</v>
      </c>
      <c r="AO356" s="5">
        <v>73996500000</v>
      </c>
      <c r="AP356" s="6">
        <v>11</v>
      </c>
      <c r="AQ356" s="5">
        <v>137649560000</v>
      </c>
      <c r="AR356" s="5">
        <v>41826814065</v>
      </c>
      <c r="AS356" s="5">
        <v>32771523241</v>
      </c>
      <c r="AT356" s="5">
        <f t="shared" si="28"/>
        <v>9055290824</v>
      </c>
      <c r="AU356" s="36">
        <f t="shared" si="29"/>
        <v>27.631583547117671</v>
      </c>
      <c r="AV356" s="5">
        <v>389724548769</v>
      </c>
      <c r="AW356" s="5">
        <v>66934624566</v>
      </c>
      <c r="AX356" s="5">
        <v>248547580727</v>
      </c>
      <c r="AY356" s="5">
        <v>735023125307</v>
      </c>
      <c r="AZ356" s="5">
        <v>329405340025</v>
      </c>
      <c r="BA356" s="5">
        <v>986247771916</v>
      </c>
      <c r="BB356" s="5">
        <v>179468314398</v>
      </c>
      <c r="BC356" s="5">
        <v>2147644164324</v>
      </c>
      <c r="BD356" s="5">
        <v>995841487316</v>
      </c>
      <c r="BE356" s="5">
        <v>329405340025</v>
      </c>
      <c r="BF356" s="5">
        <v>822397336983</v>
      </c>
      <c r="BG356" s="5">
        <v>802533035665</v>
      </c>
      <c r="BH356" s="5">
        <v>152487203000</v>
      </c>
      <c r="BI356" s="5">
        <v>0</v>
      </c>
      <c r="BJ356" s="48">
        <v>0</v>
      </c>
      <c r="BK356" s="5">
        <v>0</v>
      </c>
      <c r="BL356" s="5">
        <v>0</v>
      </c>
      <c r="BM356" s="5">
        <v>0</v>
      </c>
      <c r="BN356" s="5">
        <v>0</v>
      </c>
    </row>
    <row r="357" spans="1:66" x14ac:dyDescent="0.25">
      <c r="A357" s="17" t="s">
        <v>602</v>
      </c>
      <c r="B357" s="4">
        <v>3409</v>
      </c>
      <c r="C357" s="4" t="s">
        <v>381</v>
      </c>
      <c r="D357" s="5">
        <v>1896951872992</v>
      </c>
      <c r="E357" s="5">
        <v>8704328314</v>
      </c>
      <c r="F357" s="5">
        <v>0</v>
      </c>
      <c r="G357" s="5">
        <v>0</v>
      </c>
      <c r="H357" s="5">
        <v>1905656201306</v>
      </c>
      <c r="I357" s="5">
        <v>136875204873</v>
      </c>
      <c r="J357" s="5">
        <v>2326988380</v>
      </c>
      <c r="K357" s="5">
        <v>1766454008053</v>
      </c>
      <c r="L357" s="5">
        <v>1044104276762</v>
      </c>
      <c r="M357" s="5">
        <f t="shared" si="25"/>
        <v>861551924544</v>
      </c>
      <c r="N357" s="36">
        <f t="shared" si="26"/>
        <v>82.515888855073413</v>
      </c>
      <c r="O357" s="5">
        <v>1050518404467</v>
      </c>
      <c r="P357" s="36">
        <v>63.22</v>
      </c>
      <c r="Q357" s="6">
        <v>59.47</v>
      </c>
      <c r="R357" s="6">
        <v>4.4000000000000004</v>
      </c>
      <c r="S357" s="5">
        <v>1095236970683</v>
      </c>
      <c r="T357" s="5">
        <v>52572079958</v>
      </c>
      <c r="U357" s="5">
        <v>17707664476</v>
      </c>
      <c r="V357" s="5">
        <v>34093363404</v>
      </c>
      <c r="W357" s="5">
        <v>771052078</v>
      </c>
      <c r="X357" s="5">
        <v>1147809050641</v>
      </c>
      <c r="Y357" s="5">
        <v>435111023</v>
      </c>
      <c r="Z357" s="5">
        <v>50345635055</v>
      </c>
      <c r="AA357" s="5">
        <v>6596933676</v>
      </c>
      <c r="AB357" s="5">
        <v>1204751619372</v>
      </c>
      <c r="AC357" s="5">
        <v>977977306821</v>
      </c>
      <c r="AD357" s="36">
        <f t="shared" si="27"/>
        <v>17.365611925296388</v>
      </c>
      <c r="AE357" s="5">
        <v>635252462976</v>
      </c>
      <c r="AF357" s="5">
        <v>635252462976</v>
      </c>
      <c r="AG357" s="5">
        <v>0</v>
      </c>
      <c r="AH357" s="5">
        <v>0</v>
      </c>
      <c r="AI357" s="5">
        <v>29287907479</v>
      </c>
      <c r="AJ357" s="5">
        <v>0</v>
      </c>
      <c r="AK357" s="5">
        <v>0</v>
      </c>
      <c r="AL357" s="6">
        <v>0</v>
      </c>
      <c r="AM357" s="5">
        <v>0</v>
      </c>
      <c r="AN357" s="6">
        <v>0</v>
      </c>
      <c r="AO357" s="5">
        <v>0</v>
      </c>
      <c r="AP357" s="6">
        <v>2</v>
      </c>
      <c r="AQ357" s="5">
        <v>1395000000</v>
      </c>
      <c r="AR357" s="5">
        <v>52572079958</v>
      </c>
      <c r="AS357" s="5">
        <v>13833680015</v>
      </c>
      <c r="AT357" s="5">
        <f t="shared" si="28"/>
        <v>38738399943</v>
      </c>
      <c r="AU357" s="36">
        <f t="shared" si="29"/>
        <v>280.02960818087132</v>
      </c>
      <c r="AV357" s="5">
        <v>418781318752</v>
      </c>
      <c r="AW357" s="5">
        <v>104136731902</v>
      </c>
      <c r="AX357" s="5">
        <v>284510226491</v>
      </c>
      <c r="AY357" s="5">
        <v>262530659142</v>
      </c>
      <c r="AZ357" s="5">
        <v>406444994329</v>
      </c>
      <c r="BA357" s="5">
        <v>1012393201534</v>
      </c>
      <c r="BB357" s="5">
        <v>280520051124</v>
      </c>
      <c r="BC357" s="5">
        <v>1905656201306</v>
      </c>
      <c r="BD357" s="5">
        <v>555745213947</v>
      </c>
      <c r="BE357" s="5">
        <v>406444994329</v>
      </c>
      <c r="BF357" s="5">
        <v>943465993030</v>
      </c>
      <c r="BG357" s="5">
        <v>489973791226</v>
      </c>
      <c r="BH357" s="5">
        <v>145278671750</v>
      </c>
      <c r="BI357" s="5">
        <v>0</v>
      </c>
      <c r="BJ357" s="48">
        <v>0</v>
      </c>
      <c r="BK357" s="5">
        <v>0</v>
      </c>
      <c r="BL357" s="5">
        <v>0</v>
      </c>
      <c r="BM357" s="5">
        <v>0</v>
      </c>
      <c r="BN357" s="5">
        <v>0</v>
      </c>
    </row>
    <row r="358" spans="1:66" x14ac:dyDescent="0.25">
      <c r="A358" s="17" t="s">
        <v>602</v>
      </c>
      <c r="B358" s="4">
        <v>3410</v>
      </c>
      <c r="C358" s="4" t="s">
        <v>382</v>
      </c>
      <c r="D358" s="5">
        <v>1752578576369</v>
      </c>
      <c r="E358" s="5">
        <v>27323553813</v>
      </c>
      <c r="F358" s="5">
        <v>0</v>
      </c>
      <c r="G358" s="5">
        <v>0</v>
      </c>
      <c r="H358" s="5">
        <v>1779902130182</v>
      </c>
      <c r="I358" s="5">
        <v>149044833973</v>
      </c>
      <c r="J358" s="5">
        <v>697521167</v>
      </c>
      <c r="K358" s="5">
        <v>1630159775042</v>
      </c>
      <c r="L358" s="5">
        <v>782361583879</v>
      </c>
      <c r="M358" s="5">
        <f t="shared" si="25"/>
        <v>997540546303</v>
      </c>
      <c r="N358" s="36">
        <f t="shared" si="26"/>
        <v>127.50377406788414</v>
      </c>
      <c r="O358" s="5">
        <v>792806994349</v>
      </c>
      <c r="P358" s="36">
        <v>49.28</v>
      </c>
      <c r="Q358" s="6">
        <v>48.63</v>
      </c>
      <c r="R358" s="6">
        <v>2.17</v>
      </c>
      <c r="S358" s="5">
        <v>821882090174</v>
      </c>
      <c r="T358" s="5">
        <v>18527040309</v>
      </c>
      <c r="U358" s="5">
        <v>13639342687</v>
      </c>
      <c r="V358" s="5">
        <v>4887697622</v>
      </c>
      <c r="W358" s="5">
        <v>0</v>
      </c>
      <c r="X358" s="5">
        <v>840409130483</v>
      </c>
      <c r="Y358" s="5">
        <v>527178444</v>
      </c>
      <c r="Z358" s="5">
        <v>30218106289</v>
      </c>
      <c r="AA358" s="5">
        <v>6499969600</v>
      </c>
      <c r="AB358" s="5">
        <v>877127206372</v>
      </c>
      <c r="AC358" s="5">
        <v>596027623844</v>
      </c>
      <c r="AD358" s="36">
        <f t="shared" si="27"/>
        <v>41.00170811931406</v>
      </c>
      <c r="AE358" s="5">
        <v>567967856442</v>
      </c>
      <c r="AF358" s="5">
        <v>567967856442</v>
      </c>
      <c r="AG358" s="5">
        <v>0</v>
      </c>
      <c r="AH358" s="5">
        <v>0</v>
      </c>
      <c r="AI358" s="5">
        <v>12128663771</v>
      </c>
      <c r="AJ358" s="5">
        <v>0</v>
      </c>
      <c r="AK358" s="5">
        <v>0</v>
      </c>
      <c r="AL358" s="6">
        <v>0</v>
      </c>
      <c r="AM358" s="5">
        <v>0</v>
      </c>
      <c r="AN358" s="6">
        <v>21</v>
      </c>
      <c r="AO358" s="5">
        <v>252316236419</v>
      </c>
      <c r="AP358" s="6">
        <v>6</v>
      </c>
      <c r="AQ358" s="5">
        <v>59492743081</v>
      </c>
      <c r="AR358" s="5">
        <v>18527040309</v>
      </c>
      <c r="AS358" s="5">
        <v>19921238618</v>
      </c>
      <c r="AT358" s="5">
        <f t="shared" si="28"/>
        <v>-1394198309</v>
      </c>
      <c r="AU358" s="36">
        <f t="shared" si="29"/>
        <v>-6.9985523276663155</v>
      </c>
      <c r="AV358" s="5">
        <v>335559572313</v>
      </c>
      <c r="AW358" s="5">
        <v>101128793543</v>
      </c>
      <c r="AX358" s="5">
        <v>161540788007</v>
      </c>
      <c r="AY358" s="5">
        <v>394909606308</v>
      </c>
      <c r="AZ358" s="5">
        <v>222003182054</v>
      </c>
      <c r="BA358" s="5">
        <v>1060854929776</v>
      </c>
      <c r="BB358" s="5">
        <v>104928684585</v>
      </c>
      <c r="BC358" s="5">
        <v>1779902130182</v>
      </c>
      <c r="BD358" s="5">
        <v>583773948128</v>
      </c>
      <c r="BE358" s="5">
        <v>222003182054</v>
      </c>
      <c r="BF358" s="5">
        <v>974125000000</v>
      </c>
      <c r="BG358" s="5">
        <v>381196560822</v>
      </c>
      <c r="BH358" s="5">
        <v>186771295620</v>
      </c>
      <c r="BI358" s="5">
        <v>0</v>
      </c>
      <c r="BJ358" s="48">
        <v>0</v>
      </c>
      <c r="BK358" s="5">
        <v>0</v>
      </c>
      <c r="BL358" s="5">
        <v>0</v>
      </c>
      <c r="BM358" s="5">
        <v>0</v>
      </c>
      <c r="BN358" s="5">
        <v>0</v>
      </c>
    </row>
    <row r="359" spans="1:66" x14ac:dyDescent="0.25">
      <c r="A359" s="17" t="s">
        <v>602</v>
      </c>
      <c r="B359" s="18">
        <v>3411</v>
      </c>
      <c r="C359" s="18" t="s">
        <v>383</v>
      </c>
      <c r="D359" s="19">
        <v>2008248055480</v>
      </c>
      <c r="E359" s="19">
        <v>12359612432</v>
      </c>
      <c r="F359" s="19">
        <v>0</v>
      </c>
      <c r="G359" s="19">
        <v>0</v>
      </c>
      <c r="H359" s="19">
        <v>2020607667912</v>
      </c>
      <c r="I359" s="19">
        <v>156702764748</v>
      </c>
      <c r="J359" s="19">
        <v>1052099920</v>
      </c>
      <c r="K359" s="19">
        <v>1862852803244</v>
      </c>
      <c r="L359" s="19">
        <v>1223313641558</v>
      </c>
      <c r="M359" s="5">
        <f t="shared" si="25"/>
        <v>797294026354</v>
      </c>
      <c r="N359" s="36">
        <f t="shared" si="26"/>
        <v>65.174947721385195</v>
      </c>
      <c r="O359" s="19">
        <v>912973503387</v>
      </c>
      <c r="P359" s="36">
        <v>50.55</v>
      </c>
      <c r="Q359" s="20">
        <v>49.01</v>
      </c>
      <c r="R359" s="20">
        <v>0.88</v>
      </c>
      <c r="S359" s="19">
        <v>971469517485</v>
      </c>
      <c r="T359" s="19">
        <v>8967944603</v>
      </c>
      <c r="U359" s="19">
        <v>8967944603</v>
      </c>
      <c r="V359" s="19">
        <v>0</v>
      </c>
      <c r="W359" s="19">
        <v>0</v>
      </c>
      <c r="X359" s="19">
        <v>980437462088</v>
      </c>
      <c r="Y359" s="5">
        <v>6349144</v>
      </c>
      <c r="Z359" s="19">
        <v>34553394744</v>
      </c>
      <c r="AA359" s="19">
        <v>6499179000</v>
      </c>
      <c r="AB359" s="19">
        <v>1021490035832</v>
      </c>
      <c r="AC359" s="19">
        <v>842312070141</v>
      </c>
      <c r="AD359" s="36">
        <f t="shared" si="27"/>
        <v>16.398363129698275</v>
      </c>
      <c r="AE359" s="19">
        <v>747553399255</v>
      </c>
      <c r="AF359" s="19">
        <v>747553399255</v>
      </c>
      <c r="AG359" s="19">
        <v>0</v>
      </c>
      <c r="AH359" s="19">
        <v>0</v>
      </c>
      <c r="AI359" s="19">
        <v>5666504117</v>
      </c>
      <c r="AJ359" s="19">
        <v>0</v>
      </c>
      <c r="AK359" s="19">
        <v>0</v>
      </c>
      <c r="AL359" s="20">
        <v>0</v>
      </c>
      <c r="AM359" s="19">
        <v>0</v>
      </c>
      <c r="AN359" s="20">
        <v>4</v>
      </c>
      <c r="AO359" s="19">
        <v>9586402000</v>
      </c>
      <c r="AP359" s="20">
        <v>9</v>
      </c>
      <c r="AQ359" s="19">
        <v>96427600000</v>
      </c>
      <c r="AR359" s="19">
        <v>8967944603</v>
      </c>
      <c r="AS359" s="19">
        <v>13197859926</v>
      </c>
      <c r="AT359" s="5">
        <f t="shared" si="28"/>
        <v>-4229915323</v>
      </c>
      <c r="AU359" s="36">
        <f t="shared" si="29"/>
        <v>-32.050009219047688</v>
      </c>
      <c r="AV359" s="19">
        <v>601704014816</v>
      </c>
      <c r="AW359" s="19">
        <v>251661834734</v>
      </c>
      <c r="AX359" s="19">
        <v>219216178049</v>
      </c>
      <c r="AY359" s="19">
        <v>483600653017</v>
      </c>
      <c r="AZ359" s="19">
        <v>359784224414</v>
      </c>
      <c r="BA359" s="19">
        <v>1095223667884</v>
      </c>
      <c r="BB359" s="19">
        <v>217871398728</v>
      </c>
      <c r="BC359" s="19">
        <v>2020607667912</v>
      </c>
      <c r="BD359" s="19">
        <v>714592901844</v>
      </c>
      <c r="BE359" s="19">
        <v>359784224414</v>
      </c>
      <c r="BF359" s="19">
        <v>946230541654</v>
      </c>
      <c r="BG359" s="19">
        <v>531351251090</v>
      </c>
      <c r="BH359" s="19">
        <v>216202148165</v>
      </c>
      <c r="BI359" s="19">
        <v>0</v>
      </c>
      <c r="BJ359" s="50">
        <v>0</v>
      </c>
      <c r="BK359" s="19">
        <v>0</v>
      </c>
      <c r="BL359" s="19">
        <v>0</v>
      </c>
      <c r="BM359" s="19">
        <v>0</v>
      </c>
      <c r="BN359" s="19">
        <v>0</v>
      </c>
    </row>
    <row r="360" spans="1:66" x14ac:dyDescent="0.25">
      <c r="A360" s="17" t="s">
        <v>602</v>
      </c>
      <c r="B360" s="4">
        <v>3412</v>
      </c>
      <c r="C360" s="4" t="s">
        <v>384</v>
      </c>
      <c r="D360" s="5">
        <v>1383465243703</v>
      </c>
      <c r="E360" s="5">
        <v>21165821199</v>
      </c>
      <c r="F360" s="5">
        <v>0</v>
      </c>
      <c r="G360" s="5">
        <v>0</v>
      </c>
      <c r="H360" s="5">
        <v>1404631064902</v>
      </c>
      <c r="I360" s="5">
        <v>135400301772</v>
      </c>
      <c r="J360" s="5">
        <v>4528105250</v>
      </c>
      <c r="K360" s="5">
        <v>1264702657880</v>
      </c>
      <c r="L360" s="5">
        <v>689970983308</v>
      </c>
      <c r="M360" s="5">
        <f t="shared" si="25"/>
        <v>714660081594</v>
      </c>
      <c r="N360" s="36">
        <f t="shared" si="26"/>
        <v>103.57828066444628</v>
      </c>
      <c r="O360" s="5">
        <v>1612553829065</v>
      </c>
      <c r="P360" s="36">
        <v>128.59</v>
      </c>
      <c r="Q360" s="6">
        <v>127.5</v>
      </c>
      <c r="R360" s="6">
        <v>13.09</v>
      </c>
      <c r="S360" s="5">
        <v>1469643583220</v>
      </c>
      <c r="T360" s="5">
        <v>235865489850</v>
      </c>
      <c r="U360" s="5">
        <v>31327890861</v>
      </c>
      <c r="V360" s="5">
        <v>199385400284</v>
      </c>
      <c r="W360" s="5">
        <v>5152198705</v>
      </c>
      <c r="X360" s="5">
        <v>1705509073070</v>
      </c>
      <c r="Y360" s="5">
        <v>643923597</v>
      </c>
      <c r="Z360" s="5">
        <v>73825307125</v>
      </c>
      <c r="AA360" s="5">
        <v>26944533000</v>
      </c>
      <c r="AB360" s="5">
        <v>1806278913195</v>
      </c>
      <c r="AC360" s="5">
        <v>1326387790547</v>
      </c>
      <c r="AD360" s="36">
        <f t="shared" si="27"/>
        <v>28.582989471476594</v>
      </c>
      <c r="AE360" s="5">
        <v>912704437781</v>
      </c>
      <c r="AF360" s="5">
        <v>883143848193</v>
      </c>
      <c r="AG360" s="5">
        <v>0</v>
      </c>
      <c r="AH360" s="5">
        <v>0</v>
      </c>
      <c r="AI360" s="5">
        <v>0</v>
      </c>
      <c r="AJ360" s="5">
        <v>35000000000</v>
      </c>
      <c r="AK360" s="5">
        <v>0</v>
      </c>
      <c r="AL360" s="6">
        <v>0</v>
      </c>
      <c r="AM360" s="5">
        <v>0</v>
      </c>
      <c r="AN360" s="6">
        <v>22</v>
      </c>
      <c r="AO360" s="5">
        <v>164379250061</v>
      </c>
      <c r="AP360" s="6">
        <v>65</v>
      </c>
      <c r="AQ360" s="5">
        <v>207425014406</v>
      </c>
      <c r="AR360" s="5">
        <v>235865489850</v>
      </c>
      <c r="AS360" s="5">
        <v>28749780555</v>
      </c>
      <c r="AT360" s="5">
        <f t="shared" si="28"/>
        <v>207115709295</v>
      </c>
      <c r="AU360" s="36">
        <f t="shared" si="29"/>
        <v>720.40796589308093</v>
      </c>
      <c r="AV360" s="5">
        <v>482800819607</v>
      </c>
      <c r="AW360" s="5">
        <v>146975851169</v>
      </c>
      <c r="AX360" s="5">
        <v>369324601725</v>
      </c>
      <c r="AY360" s="5">
        <v>358529232203</v>
      </c>
      <c r="AZ360" s="5">
        <v>360128664288</v>
      </c>
      <c r="BA360" s="5">
        <v>404663642879</v>
      </c>
      <c r="BB360" s="5">
        <v>295227343513</v>
      </c>
      <c r="BC360" s="5">
        <v>1404631064902</v>
      </c>
      <c r="BD360" s="5">
        <v>749019655127</v>
      </c>
      <c r="BE360" s="5">
        <v>360128664288</v>
      </c>
      <c r="BF360" s="5">
        <v>295482745487</v>
      </c>
      <c r="BG360" s="5">
        <v>466871111193</v>
      </c>
      <c r="BH360" s="5">
        <v>445833326588</v>
      </c>
      <c r="BI360" s="5">
        <v>0</v>
      </c>
      <c r="BJ360" s="48">
        <v>0</v>
      </c>
      <c r="BK360" s="5">
        <v>0</v>
      </c>
      <c r="BL360" s="5">
        <v>0</v>
      </c>
      <c r="BM360" s="5">
        <v>0</v>
      </c>
      <c r="BN360" s="5">
        <v>0</v>
      </c>
    </row>
    <row r="361" spans="1:66" x14ac:dyDescent="0.25">
      <c r="A361" s="17" t="s">
        <v>602</v>
      </c>
      <c r="B361" s="4">
        <v>3413</v>
      </c>
      <c r="C361" s="4" t="s">
        <v>385</v>
      </c>
      <c r="D361" s="5">
        <v>2192723370660</v>
      </c>
      <c r="E361" s="5">
        <v>6505532940</v>
      </c>
      <c r="F361" s="5">
        <v>0</v>
      </c>
      <c r="G361" s="5">
        <v>0</v>
      </c>
      <c r="H361" s="5">
        <v>2199228903600</v>
      </c>
      <c r="I361" s="5">
        <v>168412716049</v>
      </c>
      <c r="J361" s="5">
        <v>1416294512</v>
      </c>
      <c r="K361" s="5">
        <v>2029399893039</v>
      </c>
      <c r="L361" s="5">
        <v>949864759318</v>
      </c>
      <c r="M361" s="5">
        <f t="shared" si="25"/>
        <v>1249364144282</v>
      </c>
      <c r="N361" s="36">
        <f t="shared" si="26"/>
        <v>131.53073972120407</v>
      </c>
      <c r="O361" s="5">
        <v>910308464355</v>
      </c>
      <c r="P361" s="36">
        <v>45.1</v>
      </c>
      <c r="Q361" s="6">
        <v>44.86</v>
      </c>
      <c r="R361" s="6">
        <v>4.96</v>
      </c>
      <c r="S361" s="5">
        <v>874460709374</v>
      </c>
      <c r="T361" s="5">
        <v>49128886519</v>
      </c>
      <c r="U361" s="5">
        <v>34977114161</v>
      </c>
      <c r="V361" s="5">
        <v>12640205559</v>
      </c>
      <c r="W361" s="5">
        <v>1511566799</v>
      </c>
      <c r="X361" s="5">
        <v>923589595893</v>
      </c>
      <c r="Y361" s="5">
        <v>93564582</v>
      </c>
      <c r="Z361" s="5">
        <v>65194041544</v>
      </c>
      <c r="AA361" s="5">
        <v>3000000000</v>
      </c>
      <c r="AB361" s="5">
        <v>991783637437</v>
      </c>
      <c r="AC361" s="5">
        <v>756283983841</v>
      </c>
      <c r="AD361" s="36">
        <f t="shared" si="27"/>
        <v>22.122062033138874</v>
      </c>
      <c r="AE361" s="5">
        <v>451669033671</v>
      </c>
      <c r="AF361" s="5">
        <v>451669033671</v>
      </c>
      <c r="AG361" s="5">
        <v>0</v>
      </c>
      <c r="AH361" s="5">
        <v>0</v>
      </c>
      <c r="AI361" s="5">
        <v>9403617571</v>
      </c>
      <c r="AJ361" s="5">
        <v>0</v>
      </c>
      <c r="AK361" s="5">
        <v>0</v>
      </c>
      <c r="AL361" s="6">
        <v>0</v>
      </c>
      <c r="AM361" s="5">
        <v>0</v>
      </c>
      <c r="AN361" s="6">
        <v>2</v>
      </c>
      <c r="AO361" s="5">
        <v>6320000000</v>
      </c>
      <c r="AP361" s="6">
        <v>0</v>
      </c>
      <c r="AQ361" s="5">
        <v>0</v>
      </c>
      <c r="AR361" s="5">
        <v>49128886519</v>
      </c>
      <c r="AS361" s="5">
        <v>14071287890</v>
      </c>
      <c r="AT361" s="5">
        <f t="shared" si="28"/>
        <v>35057598629</v>
      </c>
      <c r="AU361" s="36">
        <f t="shared" si="29"/>
        <v>249.1427856714827</v>
      </c>
      <c r="AV361" s="5">
        <v>314171379507</v>
      </c>
      <c r="AW361" s="5">
        <v>94662878137</v>
      </c>
      <c r="AX361" s="5">
        <v>435087064626</v>
      </c>
      <c r="AY361" s="5">
        <v>322534738552</v>
      </c>
      <c r="AZ361" s="5">
        <v>502388567482</v>
      </c>
      <c r="BA361" s="5">
        <v>1310947712044</v>
      </c>
      <c r="BB361" s="5">
        <v>297198769325</v>
      </c>
      <c r="BC361" s="5">
        <v>2199228903600</v>
      </c>
      <c r="BD361" s="5">
        <v>764124528618</v>
      </c>
      <c r="BE361" s="5">
        <v>502388567482</v>
      </c>
      <c r="BF361" s="5">
        <v>932715807500</v>
      </c>
      <c r="BG361" s="5">
        <v>324379481617</v>
      </c>
      <c r="BH361" s="5">
        <v>127289552054</v>
      </c>
      <c r="BI361" s="5">
        <v>0</v>
      </c>
      <c r="BJ361" s="48">
        <v>0</v>
      </c>
      <c r="BK361" s="5">
        <v>0</v>
      </c>
      <c r="BL361" s="5">
        <v>0</v>
      </c>
      <c r="BM361" s="5">
        <v>0</v>
      </c>
      <c r="BN361" s="5">
        <v>0</v>
      </c>
    </row>
    <row r="362" spans="1:66" x14ac:dyDescent="0.25">
      <c r="A362" s="17" t="s">
        <v>602</v>
      </c>
      <c r="B362" s="4">
        <v>3414</v>
      </c>
      <c r="C362" s="4" t="s">
        <v>386</v>
      </c>
      <c r="D362" s="5">
        <v>1958100462915</v>
      </c>
      <c r="E362" s="5">
        <v>117881327690</v>
      </c>
      <c r="F362" s="5">
        <v>0</v>
      </c>
      <c r="G362" s="5">
        <v>0</v>
      </c>
      <c r="H362" s="5">
        <v>2075981790605</v>
      </c>
      <c r="I362" s="5">
        <v>174052873572</v>
      </c>
      <c r="J362" s="5">
        <v>1214371983</v>
      </c>
      <c r="K362" s="5">
        <v>1900714545050</v>
      </c>
      <c r="L362" s="5">
        <v>1247234338510</v>
      </c>
      <c r="M362" s="5">
        <f t="shared" si="25"/>
        <v>828747452095</v>
      </c>
      <c r="N362" s="36">
        <f t="shared" si="26"/>
        <v>66.446811678153239</v>
      </c>
      <c r="O362" s="5">
        <v>2447207740724</v>
      </c>
      <c r="P362" s="36">
        <v>129.05000000000001</v>
      </c>
      <c r="Q362" s="6">
        <v>128.75</v>
      </c>
      <c r="R362" s="6">
        <v>35.229999999999997</v>
      </c>
      <c r="S362" s="5">
        <v>1507799104275</v>
      </c>
      <c r="T362" s="5">
        <v>924144828846</v>
      </c>
      <c r="U362" s="5">
        <v>20963616671</v>
      </c>
      <c r="V362" s="5">
        <v>374273199778</v>
      </c>
      <c r="W362" s="5">
        <v>528908012397</v>
      </c>
      <c r="X362" s="5">
        <v>2431943933121</v>
      </c>
      <c r="Y362" s="5">
        <v>19686576545</v>
      </c>
      <c r="Z362" s="5">
        <v>232656974412</v>
      </c>
      <c r="AA362" s="5">
        <v>14500000000</v>
      </c>
      <c r="AB362" s="5">
        <v>2679100907533</v>
      </c>
      <c r="AC362" s="5">
        <v>1269981621755</v>
      </c>
      <c r="AD362" s="36">
        <f t="shared" si="27"/>
        <v>91.494419404296025</v>
      </c>
      <c r="AE362" s="5">
        <v>2326674023444</v>
      </c>
      <c r="AF362" s="5">
        <v>2226753288545</v>
      </c>
      <c r="AG362" s="5">
        <v>482183846809</v>
      </c>
      <c r="AH362" s="5">
        <v>655122960000</v>
      </c>
      <c r="AI362" s="5">
        <v>12679838520</v>
      </c>
      <c r="AJ362" s="5">
        <v>51900000000</v>
      </c>
      <c r="AK362" s="5">
        <v>0</v>
      </c>
      <c r="AL362" s="6">
        <v>5</v>
      </c>
      <c r="AM362" s="5">
        <v>422932090331</v>
      </c>
      <c r="AN362" s="6">
        <v>3</v>
      </c>
      <c r="AO362" s="5">
        <v>493865186800</v>
      </c>
      <c r="AP362" s="6">
        <v>2</v>
      </c>
      <c r="AQ362" s="5">
        <v>495000000000</v>
      </c>
      <c r="AR362" s="5">
        <v>924144828846</v>
      </c>
      <c r="AS362" s="5">
        <v>19157597496</v>
      </c>
      <c r="AT362" s="5">
        <f t="shared" si="28"/>
        <v>904987231350</v>
      </c>
      <c r="AU362" s="36">
        <f t="shared" si="29"/>
        <v>4723.9077422884384</v>
      </c>
      <c r="AV362" s="5">
        <v>1178122234735</v>
      </c>
      <c r="AW362" s="5">
        <v>611403281195</v>
      </c>
      <c r="AX362" s="5">
        <v>444734585595</v>
      </c>
      <c r="AY362" s="5">
        <v>535231667342</v>
      </c>
      <c r="AZ362" s="5">
        <v>445386659978</v>
      </c>
      <c r="BA362" s="5">
        <v>752982332936</v>
      </c>
      <c r="BB362" s="5">
        <v>240185105114</v>
      </c>
      <c r="BC362" s="5">
        <v>2075981790605</v>
      </c>
      <c r="BD362" s="5">
        <v>1097376218595</v>
      </c>
      <c r="BE362" s="5">
        <v>445386659978</v>
      </c>
      <c r="BF362" s="5">
        <v>533218912032</v>
      </c>
      <c r="BG362" s="5">
        <v>1188568349646</v>
      </c>
      <c r="BH362" s="5">
        <v>1138105673798</v>
      </c>
      <c r="BI362" s="5">
        <v>0</v>
      </c>
      <c r="BJ362" s="48">
        <v>86256800329</v>
      </c>
      <c r="BK362" s="5">
        <v>266478932698</v>
      </c>
      <c r="BL362" s="5">
        <v>0</v>
      </c>
      <c r="BM362" s="5">
        <v>441000000000</v>
      </c>
      <c r="BN362" s="5">
        <v>214122960000</v>
      </c>
    </row>
    <row r="363" spans="1:66" x14ac:dyDescent="0.25">
      <c r="A363" s="17" t="s">
        <v>602</v>
      </c>
      <c r="B363" s="4">
        <v>3415</v>
      </c>
      <c r="C363" s="4" t="s">
        <v>387</v>
      </c>
      <c r="D363" s="5">
        <v>2392814564954</v>
      </c>
      <c r="E363" s="5">
        <v>101354349274</v>
      </c>
      <c r="F363" s="5">
        <v>0</v>
      </c>
      <c r="G363" s="5">
        <v>0</v>
      </c>
      <c r="H363" s="5">
        <v>2494168914228</v>
      </c>
      <c r="I363" s="5">
        <v>188859488476</v>
      </c>
      <c r="J363" s="5">
        <v>1074795000</v>
      </c>
      <c r="K363" s="5">
        <v>2304234630752</v>
      </c>
      <c r="L363" s="5">
        <v>1690323177066</v>
      </c>
      <c r="M363" s="5">
        <f t="shared" si="25"/>
        <v>803845737162</v>
      </c>
      <c r="N363" s="36">
        <f t="shared" si="26"/>
        <v>47.555742479807058</v>
      </c>
      <c r="O363" s="5">
        <v>1230824810294</v>
      </c>
      <c r="P363" s="36">
        <v>54.18</v>
      </c>
      <c r="Q363" s="6">
        <v>53.42</v>
      </c>
      <c r="R363" s="6">
        <v>3.93</v>
      </c>
      <c r="S363" s="5">
        <v>1236110321385</v>
      </c>
      <c r="T363" s="5">
        <v>53158320339</v>
      </c>
      <c r="U363" s="5">
        <v>12601542789</v>
      </c>
      <c r="V363" s="5">
        <v>89177550</v>
      </c>
      <c r="W363" s="5">
        <v>40467600000</v>
      </c>
      <c r="X363" s="5">
        <v>1289268641724</v>
      </c>
      <c r="Y363" s="5">
        <v>10082188</v>
      </c>
      <c r="Z363" s="5">
        <v>60921330549</v>
      </c>
      <c r="AA363" s="5">
        <v>1266200000</v>
      </c>
      <c r="AB363" s="5">
        <v>1351456172273</v>
      </c>
      <c r="AC363" s="5">
        <v>949859309975</v>
      </c>
      <c r="AD363" s="36">
        <f t="shared" si="27"/>
        <v>35.732589888278625</v>
      </c>
      <c r="AE363" s="5">
        <v>1083265335706</v>
      </c>
      <c r="AF363" s="5">
        <v>1083265335706</v>
      </c>
      <c r="AG363" s="5">
        <v>0</v>
      </c>
      <c r="AH363" s="5">
        <v>0</v>
      </c>
      <c r="AI363" s="5">
        <v>4000000000</v>
      </c>
      <c r="AJ363" s="5">
        <v>0</v>
      </c>
      <c r="AK363" s="5">
        <v>0</v>
      </c>
      <c r="AL363" s="6">
        <v>0</v>
      </c>
      <c r="AM363" s="5">
        <v>0</v>
      </c>
      <c r="AN363" s="6">
        <v>29</v>
      </c>
      <c r="AO363" s="5">
        <v>862860321708</v>
      </c>
      <c r="AP363" s="6">
        <v>9</v>
      </c>
      <c r="AQ363" s="5">
        <v>1052531860000</v>
      </c>
      <c r="AR363" s="5">
        <v>53158320339</v>
      </c>
      <c r="AS363" s="5">
        <v>41395990786</v>
      </c>
      <c r="AT363" s="5">
        <f t="shared" si="28"/>
        <v>11762329553</v>
      </c>
      <c r="AU363" s="36">
        <f t="shared" si="29"/>
        <v>28.414175695917837</v>
      </c>
      <c r="AV363" s="5">
        <v>761118380480</v>
      </c>
      <c r="AW363" s="5">
        <v>147699406805</v>
      </c>
      <c r="AX363" s="5">
        <v>642529713950</v>
      </c>
      <c r="AY363" s="5">
        <v>341189440296</v>
      </c>
      <c r="AZ363" s="5">
        <v>693191539374</v>
      </c>
      <c r="BA363" s="5">
        <v>1018400791710</v>
      </c>
      <c r="BB363" s="5">
        <v>502319976574</v>
      </c>
      <c r="BC363" s="5">
        <v>2494168914228</v>
      </c>
      <c r="BD363" s="5">
        <v>1084548345696</v>
      </c>
      <c r="BE363" s="5">
        <v>693191539374</v>
      </c>
      <c r="BF363" s="5">
        <v>716429029158</v>
      </c>
      <c r="BG363" s="5">
        <v>853304874451</v>
      </c>
      <c r="BH363" s="5">
        <v>229960461255</v>
      </c>
      <c r="BI363" s="5">
        <v>0</v>
      </c>
      <c r="BJ363" s="48">
        <v>0</v>
      </c>
      <c r="BK363" s="5">
        <v>34997200000</v>
      </c>
      <c r="BL363" s="5">
        <v>0</v>
      </c>
      <c r="BM363" s="5">
        <v>0</v>
      </c>
      <c r="BN363" s="5">
        <v>0</v>
      </c>
    </row>
    <row r="364" spans="1:66" x14ac:dyDescent="0.25">
      <c r="A364" s="17" t="s">
        <v>602</v>
      </c>
      <c r="B364" s="4">
        <v>3416</v>
      </c>
      <c r="C364" s="4" t="s">
        <v>388</v>
      </c>
      <c r="D364" s="5">
        <v>4568425692087</v>
      </c>
      <c r="E364" s="5">
        <v>199725873337</v>
      </c>
      <c r="F364" s="5">
        <v>0</v>
      </c>
      <c r="G364" s="5">
        <v>0</v>
      </c>
      <c r="H364" s="5">
        <v>4768151565424</v>
      </c>
      <c r="I364" s="5">
        <v>367929233033</v>
      </c>
      <c r="J364" s="5">
        <v>5001860223</v>
      </c>
      <c r="K364" s="5">
        <v>4395220472168</v>
      </c>
      <c r="L364" s="5">
        <v>2791238998134</v>
      </c>
      <c r="M364" s="5">
        <f t="shared" si="25"/>
        <v>1976912567290</v>
      </c>
      <c r="N364" s="36">
        <f t="shared" si="26"/>
        <v>70.825628640600328</v>
      </c>
      <c r="O364" s="5">
        <v>7491059338871</v>
      </c>
      <c r="P364" s="36">
        <v>177.28</v>
      </c>
      <c r="Q364" s="6">
        <v>170.44</v>
      </c>
      <c r="R364" s="6">
        <v>27.22</v>
      </c>
      <c r="S364" s="5">
        <v>5562896060225</v>
      </c>
      <c r="T364" s="5">
        <v>2208673832843</v>
      </c>
      <c r="U364" s="5">
        <v>311738468383</v>
      </c>
      <c r="V364" s="5">
        <v>1858837498150</v>
      </c>
      <c r="W364" s="5">
        <v>38097866310</v>
      </c>
      <c r="X364" s="5">
        <v>7771569893068</v>
      </c>
      <c r="Y364" s="5">
        <v>92634488950</v>
      </c>
      <c r="Z364" s="5">
        <v>660989605120</v>
      </c>
      <c r="AA364" s="5">
        <v>20623992372</v>
      </c>
      <c r="AB364" s="5">
        <v>8453183490560</v>
      </c>
      <c r="AC364" s="5">
        <v>5175747351372</v>
      </c>
      <c r="AD364" s="36">
        <f t="shared" si="27"/>
        <v>50.153579096319156</v>
      </c>
      <c r="AE364" s="5">
        <v>5538799575218</v>
      </c>
      <c r="AF364" s="5">
        <v>5367608317412</v>
      </c>
      <c r="AG364" s="5">
        <v>1432036655453</v>
      </c>
      <c r="AH364" s="5">
        <v>0</v>
      </c>
      <c r="AI364" s="5">
        <v>354879805048</v>
      </c>
      <c r="AJ364" s="5">
        <v>0</v>
      </c>
      <c r="AK364" s="5">
        <v>0</v>
      </c>
      <c r="AL364" s="6">
        <v>0</v>
      </c>
      <c r="AM364" s="5">
        <v>0</v>
      </c>
      <c r="AN364" s="6">
        <v>262</v>
      </c>
      <c r="AO364" s="5">
        <v>1967054073786</v>
      </c>
      <c r="AP364" s="6">
        <v>206</v>
      </c>
      <c r="AQ364" s="5">
        <v>2098817794595</v>
      </c>
      <c r="AR364" s="5">
        <v>2208673832843</v>
      </c>
      <c r="AS364" s="5">
        <v>78387512064</v>
      </c>
      <c r="AT364" s="5">
        <f t="shared" si="28"/>
        <v>2130286320779</v>
      </c>
      <c r="AU364" s="36">
        <f t="shared" si="29"/>
        <v>2717.6348179538008</v>
      </c>
      <c r="AV364" s="5">
        <v>2959496538321</v>
      </c>
      <c r="AW364" s="5">
        <v>1305047428863</v>
      </c>
      <c r="AX364" s="5">
        <v>888058861117</v>
      </c>
      <c r="AY364" s="5">
        <v>1227207437416</v>
      </c>
      <c r="AZ364" s="5">
        <v>1284523825344</v>
      </c>
      <c r="BA364" s="5">
        <v>1334240492954</v>
      </c>
      <c r="BB364" s="5">
        <v>1003142789125</v>
      </c>
      <c r="BC364" s="5">
        <v>4768151565424</v>
      </c>
      <c r="BD364" s="5">
        <v>2269548198005</v>
      </c>
      <c r="BE364" s="5">
        <v>1284523825344</v>
      </c>
      <c r="BF364" s="5">
        <v>1214079542075</v>
      </c>
      <c r="BG364" s="5">
        <v>2052812694559</v>
      </c>
      <c r="BH364" s="5">
        <v>3485986880659</v>
      </c>
      <c r="BI364" s="5">
        <v>0</v>
      </c>
      <c r="BJ364" s="48">
        <v>0</v>
      </c>
      <c r="BK364" s="5">
        <v>700724625253</v>
      </c>
      <c r="BL364" s="5">
        <v>0</v>
      </c>
      <c r="BM364" s="5">
        <v>0</v>
      </c>
      <c r="BN364" s="5">
        <v>0</v>
      </c>
    </row>
    <row r="365" spans="1:66" x14ac:dyDescent="0.25">
      <c r="A365" s="17" t="s">
        <v>602</v>
      </c>
      <c r="B365" s="4">
        <v>3417</v>
      </c>
      <c r="C365" s="4" t="s">
        <v>389</v>
      </c>
      <c r="D365" s="5">
        <v>2350944636305</v>
      </c>
      <c r="E365" s="5">
        <v>54465558594</v>
      </c>
      <c r="F365" s="5">
        <v>0</v>
      </c>
      <c r="G365" s="5">
        <v>0</v>
      </c>
      <c r="H365" s="5">
        <v>2405410194899</v>
      </c>
      <c r="I365" s="5">
        <v>211689218554</v>
      </c>
      <c r="J365" s="5">
        <v>2513401051</v>
      </c>
      <c r="K365" s="5">
        <v>2191207575294</v>
      </c>
      <c r="L365" s="5">
        <v>2312868027355</v>
      </c>
      <c r="M365" s="5">
        <f t="shared" si="25"/>
        <v>92542167544</v>
      </c>
      <c r="N365" s="36">
        <f t="shared" si="26"/>
        <v>4.0011866846476059</v>
      </c>
      <c r="O365" s="5">
        <v>11452445674834</v>
      </c>
      <c r="P365" s="36">
        <v>517.27</v>
      </c>
      <c r="Q365" s="6">
        <v>522.65</v>
      </c>
      <c r="R365" s="6">
        <v>58.41</v>
      </c>
      <c r="S365" s="5">
        <v>3634296397849</v>
      </c>
      <c r="T365" s="5">
        <v>7204937943807</v>
      </c>
      <c r="U365" s="5">
        <v>1139698320006</v>
      </c>
      <c r="V365" s="5">
        <v>2610098541917</v>
      </c>
      <c r="W365" s="5">
        <v>3455141081884</v>
      </c>
      <c r="X365" s="5">
        <v>10839234341656</v>
      </c>
      <c r="Y365" s="5">
        <v>63236849024</v>
      </c>
      <c r="Z365" s="5">
        <v>1594624125352</v>
      </c>
      <c r="AA365" s="5">
        <v>8626607150</v>
      </c>
      <c r="AB365" s="5">
        <v>12442485074158</v>
      </c>
      <c r="AC365" s="5">
        <v>7448255266486</v>
      </c>
      <c r="AD365" s="36">
        <f t="shared" si="27"/>
        <v>45.527159768918935</v>
      </c>
      <c r="AE365" s="5">
        <v>7232538149842</v>
      </c>
      <c r="AF365" s="5">
        <v>6961283068535</v>
      </c>
      <c r="AG365" s="5">
        <v>1270260987660</v>
      </c>
      <c r="AH365" s="5">
        <v>4191617625000</v>
      </c>
      <c r="AI365" s="5">
        <v>0</v>
      </c>
      <c r="AJ365" s="5">
        <v>93334000000</v>
      </c>
      <c r="AK365" s="5">
        <v>0</v>
      </c>
      <c r="AL365" s="6">
        <v>0</v>
      </c>
      <c r="AM365" s="5">
        <v>0</v>
      </c>
      <c r="AN365" s="6">
        <v>27</v>
      </c>
      <c r="AO365" s="5">
        <v>209213592925</v>
      </c>
      <c r="AP365" s="6">
        <v>53</v>
      </c>
      <c r="AQ365" s="5">
        <v>5225013980209</v>
      </c>
      <c r="AR365" s="5">
        <v>7204937943807</v>
      </c>
      <c r="AS365" s="5">
        <v>134952770696</v>
      </c>
      <c r="AT365" s="5">
        <f t="shared" si="28"/>
        <v>7069985173111</v>
      </c>
      <c r="AU365" s="36">
        <f t="shared" si="29"/>
        <v>5238.8588516178979</v>
      </c>
      <c r="AV365" s="5">
        <v>3012809574778</v>
      </c>
      <c r="AW365" s="5">
        <v>742879178203</v>
      </c>
      <c r="AX365" s="5">
        <v>797110898696</v>
      </c>
      <c r="AY365" s="5">
        <v>374528933549</v>
      </c>
      <c r="AZ365" s="5">
        <v>745069594210</v>
      </c>
      <c r="BA365" s="5">
        <v>559259761726</v>
      </c>
      <c r="BB365" s="5">
        <v>609658117186</v>
      </c>
      <c r="BC365" s="5">
        <v>2405410194899</v>
      </c>
      <c r="BD365" s="5">
        <v>1226105390839</v>
      </c>
      <c r="BE365" s="5">
        <v>745069594210</v>
      </c>
      <c r="BF365" s="5">
        <v>434235209850</v>
      </c>
      <c r="BG365" s="5">
        <v>5770877499392</v>
      </c>
      <c r="BH365" s="5">
        <v>1461660650450</v>
      </c>
      <c r="BI365" s="5">
        <v>0</v>
      </c>
      <c r="BJ365" s="48">
        <v>196377303472</v>
      </c>
      <c r="BK365" s="5">
        <v>516612405131</v>
      </c>
      <c r="BL365" s="5">
        <v>0</v>
      </c>
      <c r="BM365" s="5">
        <v>3224181517631</v>
      </c>
      <c r="BN365" s="5">
        <v>481200000000</v>
      </c>
    </row>
    <row r="366" spans="1:66" x14ac:dyDescent="0.25">
      <c r="A366" s="17" t="s">
        <v>602</v>
      </c>
      <c r="B366" s="4">
        <v>3418</v>
      </c>
      <c r="C366" s="4" t="s">
        <v>390</v>
      </c>
      <c r="D366" s="5">
        <v>4760888500329</v>
      </c>
      <c r="E366" s="5">
        <v>610680419626</v>
      </c>
      <c r="F366" s="5">
        <v>0</v>
      </c>
      <c r="G366" s="5">
        <v>0</v>
      </c>
      <c r="H366" s="5">
        <v>5371568919955</v>
      </c>
      <c r="I366" s="5">
        <v>424424305123</v>
      </c>
      <c r="J366" s="5">
        <v>592780050</v>
      </c>
      <c r="K366" s="5">
        <v>4946551834782</v>
      </c>
      <c r="L366" s="5">
        <v>4025089318654</v>
      </c>
      <c r="M366" s="5">
        <f t="shared" si="25"/>
        <v>1346479601301</v>
      </c>
      <c r="N366" s="36">
        <f t="shared" si="26"/>
        <v>33.452167013060624</v>
      </c>
      <c r="O366" s="5">
        <v>6696651030296</v>
      </c>
      <c r="P366" s="36">
        <v>136.91</v>
      </c>
      <c r="Q366" s="6">
        <v>135.38</v>
      </c>
      <c r="R366" s="6">
        <v>11.47</v>
      </c>
      <c r="S366" s="5">
        <v>6157540086486</v>
      </c>
      <c r="T366" s="5">
        <v>823016870245</v>
      </c>
      <c r="U366" s="5">
        <v>346020352086</v>
      </c>
      <c r="V366" s="5">
        <v>474039394238</v>
      </c>
      <c r="W366" s="5">
        <v>2957123921</v>
      </c>
      <c r="X366" s="5">
        <v>6980556956731</v>
      </c>
      <c r="Y366" s="5">
        <v>20706042026</v>
      </c>
      <c r="Z366" s="5">
        <v>350684703394</v>
      </c>
      <c r="AA366" s="5">
        <v>23010149295</v>
      </c>
      <c r="AB366" s="5">
        <v>7354251809420</v>
      </c>
      <c r="AC366" s="5">
        <v>3613959561670</v>
      </c>
      <c r="AD366" s="36">
        <f t="shared" si="27"/>
        <v>93.155369826697935</v>
      </c>
      <c r="AE366" s="5">
        <v>8821703530605</v>
      </c>
      <c r="AF366" s="5">
        <v>8821703530605</v>
      </c>
      <c r="AG366" s="5">
        <v>2572241988800</v>
      </c>
      <c r="AH366" s="5">
        <v>786323191875</v>
      </c>
      <c r="AI366" s="5">
        <v>453141555595</v>
      </c>
      <c r="AJ366" s="5">
        <v>0</v>
      </c>
      <c r="AK366" s="5">
        <v>0</v>
      </c>
      <c r="AL366" s="6">
        <v>4</v>
      </c>
      <c r="AM366" s="5">
        <v>1625000000000</v>
      </c>
      <c r="AN366" s="6">
        <v>44</v>
      </c>
      <c r="AO366" s="5">
        <v>3207905909594</v>
      </c>
      <c r="AP366" s="6">
        <v>69</v>
      </c>
      <c r="AQ366" s="5">
        <v>1951934988191</v>
      </c>
      <c r="AR366" s="5">
        <v>823016870245</v>
      </c>
      <c r="AS366" s="5">
        <v>7311863034</v>
      </c>
      <c r="AT366" s="5">
        <f t="shared" si="28"/>
        <v>815705007211</v>
      </c>
      <c r="AU366" s="36">
        <f t="shared" si="29"/>
        <v>11155.912021573571</v>
      </c>
      <c r="AV366" s="5">
        <v>5710511224782</v>
      </c>
      <c r="AW366" s="5">
        <v>1685030764831</v>
      </c>
      <c r="AX366" s="5">
        <v>359220338099</v>
      </c>
      <c r="AY366" s="5">
        <v>994172023195</v>
      </c>
      <c r="AZ366" s="5">
        <v>2097199926856</v>
      </c>
      <c r="BA366" s="5">
        <v>1615116218635</v>
      </c>
      <c r="BB366" s="5">
        <v>1956395238837</v>
      </c>
      <c r="BC366" s="5">
        <v>5371568919955</v>
      </c>
      <c r="BD366" s="5">
        <v>1964072780920</v>
      </c>
      <c r="BE366" s="5">
        <v>2097199926856</v>
      </c>
      <c r="BF366" s="5">
        <v>1310296212179</v>
      </c>
      <c r="BG366" s="5">
        <v>7927210730605</v>
      </c>
      <c r="BH366" s="5">
        <v>894492800000</v>
      </c>
      <c r="BI366" s="5">
        <v>0</v>
      </c>
      <c r="BJ366" s="48">
        <v>0</v>
      </c>
      <c r="BK366" s="5">
        <v>2652261508800</v>
      </c>
      <c r="BL366" s="5">
        <v>0</v>
      </c>
      <c r="BM366" s="5">
        <v>0</v>
      </c>
      <c r="BN366" s="5">
        <v>386323191875</v>
      </c>
    </row>
    <row r="367" spans="1:66" x14ac:dyDescent="0.25">
      <c r="A367" s="17" t="s">
        <v>602</v>
      </c>
      <c r="B367" s="4">
        <v>3419</v>
      </c>
      <c r="C367" s="4" t="s">
        <v>391</v>
      </c>
      <c r="D367" s="5">
        <v>817727104081</v>
      </c>
      <c r="E367" s="5">
        <v>62073551546</v>
      </c>
      <c r="F367" s="5">
        <v>0</v>
      </c>
      <c r="G367" s="5">
        <v>0</v>
      </c>
      <c r="H367" s="5">
        <v>879800655627</v>
      </c>
      <c r="I367" s="5">
        <v>81705064885</v>
      </c>
      <c r="J367" s="5">
        <v>1225218293</v>
      </c>
      <c r="K367" s="5">
        <v>796870372449</v>
      </c>
      <c r="L367" s="5">
        <v>554953234535</v>
      </c>
      <c r="M367" s="5">
        <f t="shared" si="25"/>
        <v>324847421092</v>
      </c>
      <c r="N367" s="36">
        <f t="shared" si="26"/>
        <v>58.535999229591376</v>
      </c>
      <c r="O367" s="5">
        <v>1062860150804</v>
      </c>
      <c r="P367" s="36">
        <v>148.02000000000001</v>
      </c>
      <c r="Q367" s="6">
        <v>133.38</v>
      </c>
      <c r="R367" s="6">
        <v>1.73</v>
      </c>
      <c r="S367" s="5">
        <v>1230263590004</v>
      </c>
      <c r="T367" s="5">
        <v>21346908617</v>
      </c>
      <c r="U367" s="5">
        <v>10495212075</v>
      </c>
      <c r="V367" s="5">
        <v>6008098548</v>
      </c>
      <c r="W367" s="5">
        <v>4843597994</v>
      </c>
      <c r="X367" s="5">
        <v>1251610498621</v>
      </c>
      <c r="Y367" s="5">
        <v>1203601563</v>
      </c>
      <c r="Z367" s="5">
        <v>44665209226</v>
      </c>
      <c r="AA367" s="5">
        <v>6000000000</v>
      </c>
      <c r="AB367" s="5">
        <v>1302275707847</v>
      </c>
      <c r="AC367" s="5">
        <v>773775229357</v>
      </c>
      <c r="AD367" s="36">
        <f t="shared" si="27"/>
        <v>61.753756276364214</v>
      </c>
      <c r="AE367" s="5">
        <v>1029239451060</v>
      </c>
      <c r="AF367" s="5">
        <v>900291227650</v>
      </c>
      <c r="AG367" s="5">
        <v>0</v>
      </c>
      <c r="AH367" s="5">
        <v>1844100000</v>
      </c>
      <c r="AI367" s="5">
        <v>1485000000</v>
      </c>
      <c r="AJ367" s="5">
        <v>0</v>
      </c>
      <c r="AK367" s="5">
        <v>0</v>
      </c>
      <c r="AL367" s="6">
        <v>0</v>
      </c>
      <c r="AM367" s="5">
        <v>0</v>
      </c>
      <c r="AN367" s="6">
        <v>4</v>
      </c>
      <c r="AO367" s="5">
        <v>285154123749</v>
      </c>
      <c r="AP367" s="6">
        <v>12</v>
      </c>
      <c r="AQ367" s="5">
        <v>267899010000</v>
      </c>
      <c r="AR367" s="5">
        <v>21346908617</v>
      </c>
      <c r="AS367" s="5">
        <v>15701614323</v>
      </c>
      <c r="AT367" s="5">
        <f t="shared" si="28"/>
        <v>5645294294</v>
      </c>
      <c r="AU367" s="36">
        <f t="shared" si="29"/>
        <v>35.953591636311394</v>
      </c>
      <c r="AV367" s="5">
        <v>594496542509</v>
      </c>
      <c r="AW367" s="5">
        <v>187282270059</v>
      </c>
      <c r="AX367" s="5">
        <v>273293266222</v>
      </c>
      <c r="AY367" s="5">
        <v>192349845352</v>
      </c>
      <c r="AZ367" s="5">
        <v>161421392507</v>
      </c>
      <c r="BA367" s="5">
        <v>394792381268</v>
      </c>
      <c r="BB367" s="5">
        <v>127527731581</v>
      </c>
      <c r="BC367" s="5">
        <v>879800655627</v>
      </c>
      <c r="BD367" s="5">
        <v>527716663120</v>
      </c>
      <c r="BE367" s="5">
        <v>161421392507</v>
      </c>
      <c r="BF367" s="5">
        <v>190662600000</v>
      </c>
      <c r="BG367" s="5">
        <v>685305351060</v>
      </c>
      <c r="BH367" s="5">
        <v>343934100000</v>
      </c>
      <c r="BI367" s="5">
        <v>0</v>
      </c>
      <c r="BJ367" s="48">
        <v>0</v>
      </c>
      <c r="BK367" s="5">
        <v>0</v>
      </c>
      <c r="BL367" s="5">
        <v>1513661293</v>
      </c>
      <c r="BM367" s="5">
        <v>0</v>
      </c>
      <c r="BN367" s="5">
        <v>0</v>
      </c>
    </row>
    <row r="368" spans="1:66" x14ac:dyDescent="0.25">
      <c r="A368" s="17" t="s">
        <v>602</v>
      </c>
      <c r="B368" s="4">
        <v>3420</v>
      </c>
      <c r="C368" s="4" t="s">
        <v>392</v>
      </c>
      <c r="D368" s="5">
        <v>4432699660617</v>
      </c>
      <c r="E368" s="5">
        <v>77470196811</v>
      </c>
      <c r="F368" s="5">
        <v>0</v>
      </c>
      <c r="G368" s="5">
        <v>0</v>
      </c>
      <c r="H368" s="5">
        <v>4510169857428</v>
      </c>
      <c r="I368" s="5">
        <v>274473622838</v>
      </c>
      <c r="J368" s="5">
        <v>872737219</v>
      </c>
      <c r="K368" s="5">
        <v>4234823497371</v>
      </c>
      <c r="L368" s="5">
        <v>2381633684758</v>
      </c>
      <c r="M368" s="5">
        <f t="shared" si="25"/>
        <v>2128536172670</v>
      </c>
      <c r="N368" s="36">
        <f t="shared" si="26"/>
        <v>89.372945398455869</v>
      </c>
      <c r="O368" s="5">
        <v>4080237668555</v>
      </c>
      <c r="P368" s="36">
        <v>105.38</v>
      </c>
      <c r="Q368" s="6">
        <v>96.35</v>
      </c>
      <c r="R368" s="6">
        <v>14.55</v>
      </c>
      <c r="S368" s="5">
        <v>3881834036253</v>
      </c>
      <c r="T368" s="5">
        <v>624338860487</v>
      </c>
      <c r="U368" s="5">
        <v>32972067998</v>
      </c>
      <c r="V368" s="5">
        <v>293541397898</v>
      </c>
      <c r="W368" s="5">
        <v>297825394591</v>
      </c>
      <c r="X368" s="5">
        <v>4506172896740</v>
      </c>
      <c r="Y368" s="5">
        <v>67297336501</v>
      </c>
      <c r="Z368" s="5">
        <v>237515300297</v>
      </c>
      <c r="AA368" s="5">
        <v>9200000000</v>
      </c>
      <c r="AB368" s="5">
        <v>4752888197037</v>
      </c>
      <c r="AC368" s="5">
        <v>3100833062355</v>
      </c>
      <c r="AD368" s="36">
        <f t="shared" si="27"/>
        <v>45.32136384400139</v>
      </c>
      <c r="AE368" s="5">
        <v>4175256174875</v>
      </c>
      <c r="AF368" s="5">
        <v>3743532092687</v>
      </c>
      <c r="AG368" s="5">
        <v>1429016752396</v>
      </c>
      <c r="AH368" s="5">
        <v>195550819672</v>
      </c>
      <c r="AI368" s="5">
        <v>1800000000</v>
      </c>
      <c r="AJ368" s="5">
        <v>25000000000</v>
      </c>
      <c r="AK368" s="5">
        <v>0</v>
      </c>
      <c r="AL368" s="6">
        <v>2</v>
      </c>
      <c r="AM368" s="5">
        <v>560480000000</v>
      </c>
      <c r="AN368" s="6">
        <v>39</v>
      </c>
      <c r="AO368" s="5">
        <v>356150211903</v>
      </c>
      <c r="AP368" s="6">
        <v>22</v>
      </c>
      <c r="AQ368" s="5">
        <v>300204428383</v>
      </c>
      <c r="AR368" s="5">
        <v>624338860487</v>
      </c>
      <c r="AS368" s="5">
        <v>448534946287</v>
      </c>
      <c r="AT368" s="5">
        <f t="shared" si="28"/>
        <v>175803914200</v>
      </c>
      <c r="AU368" s="36">
        <f t="shared" si="29"/>
        <v>39.195143133286642</v>
      </c>
      <c r="AV368" s="5">
        <v>2783480019431</v>
      </c>
      <c r="AW368" s="5">
        <v>463766333420</v>
      </c>
      <c r="AX368" s="5">
        <v>1371739530473</v>
      </c>
      <c r="AY368" s="5">
        <v>1337131705480</v>
      </c>
      <c r="AZ368" s="5">
        <v>540470424664</v>
      </c>
      <c r="BA368" s="5">
        <v>1294739606616</v>
      </c>
      <c r="BB368" s="5">
        <v>266118931342</v>
      </c>
      <c r="BC368" s="5">
        <v>4510169857428</v>
      </c>
      <c r="BD368" s="5">
        <v>2786341432764</v>
      </c>
      <c r="BE368" s="5">
        <v>540470424664</v>
      </c>
      <c r="BF368" s="5">
        <v>1183358000000</v>
      </c>
      <c r="BG368" s="5">
        <v>2688543739228</v>
      </c>
      <c r="BH368" s="5">
        <v>1486712435647</v>
      </c>
      <c r="BI368" s="5">
        <v>0</v>
      </c>
      <c r="BJ368" s="48">
        <v>80299643052</v>
      </c>
      <c r="BK368" s="5">
        <v>1806458478683</v>
      </c>
      <c r="BL368" s="5">
        <v>0</v>
      </c>
      <c r="BM368" s="5">
        <v>195550819672</v>
      </c>
      <c r="BN368" s="5">
        <v>0</v>
      </c>
    </row>
    <row r="369" spans="1:66" x14ac:dyDescent="0.25">
      <c r="A369" s="17" t="s">
        <v>602</v>
      </c>
      <c r="B369" s="4">
        <v>3421</v>
      </c>
      <c r="C369" s="4" t="s">
        <v>393</v>
      </c>
      <c r="D369" s="5">
        <v>1345626500003</v>
      </c>
      <c r="E369" s="5">
        <v>7339080349</v>
      </c>
      <c r="F369" s="5">
        <v>0</v>
      </c>
      <c r="G369" s="5">
        <v>0</v>
      </c>
      <c r="H369" s="5">
        <v>1352965580352</v>
      </c>
      <c r="I369" s="5">
        <v>121086161094</v>
      </c>
      <c r="J369" s="5">
        <v>2054817500</v>
      </c>
      <c r="K369" s="5">
        <v>1229824601758</v>
      </c>
      <c r="L369" s="5">
        <v>808190664850</v>
      </c>
      <c r="M369" s="5">
        <f t="shared" si="25"/>
        <v>544774915502</v>
      </c>
      <c r="N369" s="36">
        <f t="shared" si="26"/>
        <v>67.406731999695907</v>
      </c>
      <c r="O369" s="5">
        <v>3210617062547</v>
      </c>
      <c r="P369" s="36">
        <v>250.42</v>
      </c>
      <c r="Q369" s="6">
        <v>261.06</v>
      </c>
      <c r="R369" s="6">
        <v>39.97</v>
      </c>
      <c r="S369" s="5">
        <v>1641319100892</v>
      </c>
      <c r="T369" s="5">
        <v>1346999000119</v>
      </c>
      <c r="U369" s="5">
        <v>508226357594</v>
      </c>
      <c r="V369" s="5">
        <v>672105374366</v>
      </c>
      <c r="W369" s="5">
        <v>166667268159</v>
      </c>
      <c r="X369" s="5">
        <v>2988318101011</v>
      </c>
      <c r="Y369" s="5">
        <v>7367405832</v>
      </c>
      <c r="Z369" s="5">
        <v>391325886621</v>
      </c>
      <c r="AA369" s="5">
        <v>8454586139</v>
      </c>
      <c r="AB369" s="5">
        <v>3388098573771</v>
      </c>
      <c r="AC369" s="5">
        <v>2355896289275</v>
      </c>
      <c r="AD369" s="36">
        <f t="shared" si="27"/>
        <v>26.844212736148098</v>
      </c>
      <c r="AE369" s="5">
        <v>1032523887264</v>
      </c>
      <c r="AF369" s="5">
        <v>1032523887264</v>
      </c>
      <c r="AG369" s="5">
        <v>38360915223</v>
      </c>
      <c r="AH369" s="5">
        <v>0</v>
      </c>
      <c r="AI369" s="5">
        <v>6116500000</v>
      </c>
      <c r="AJ369" s="5">
        <v>0</v>
      </c>
      <c r="AK369" s="5">
        <v>0</v>
      </c>
      <c r="AL369" s="6">
        <v>0</v>
      </c>
      <c r="AM369" s="5">
        <v>0</v>
      </c>
      <c r="AN369" s="6">
        <v>5</v>
      </c>
      <c r="AO369" s="5">
        <v>26322969931</v>
      </c>
      <c r="AP369" s="6">
        <v>0</v>
      </c>
      <c r="AQ369" s="5">
        <v>0</v>
      </c>
      <c r="AR369" s="5">
        <v>1346999000119</v>
      </c>
      <c r="AS369" s="5">
        <v>109971230363</v>
      </c>
      <c r="AT369" s="5">
        <f t="shared" si="28"/>
        <v>1237027769756</v>
      </c>
      <c r="AU369" s="36">
        <f t="shared" si="29"/>
        <v>1124.8648993675349</v>
      </c>
      <c r="AV369" s="5">
        <v>334162298855</v>
      </c>
      <c r="AW369" s="5">
        <v>115482870146</v>
      </c>
      <c r="AX369" s="5">
        <v>206177683953</v>
      </c>
      <c r="AY369" s="5">
        <v>386719613465</v>
      </c>
      <c r="AZ369" s="5">
        <v>273044202585</v>
      </c>
      <c r="BA369" s="5">
        <v>521505734900</v>
      </c>
      <c r="BB369" s="5">
        <v>257825740174</v>
      </c>
      <c r="BC369" s="5">
        <v>1352965580352</v>
      </c>
      <c r="BD369" s="5">
        <v>600236377767</v>
      </c>
      <c r="BE369" s="5">
        <v>273044202585</v>
      </c>
      <c r="BF369" s="5">
        <v>479685000000</v>
      </c>
      <c r="BG369" s="5">
        <v>880284487264</v>
      </c>
      <c r="BH369" s="5">
        <v>152239400000</v>
      </c>
      <c r="BI369" s="5">
        <v>0</v>
      </c>
      <c r="BJ369" s="48">
        <v>18570805671</v>
      </c>
      <c r="BK369" s="5">
        <v>41569152684</v>
      </c>
      <c r="BL369" s="5">
        <v>0</v>
      </c>
      <c r="BM369" s="5">
        <v>0</v>
      </c>
      <c r="BN369" s="5">
        <v>0</v>
      </c>
    </row>
    <row r="370" spans="1:66" s="32" customFormat="1" x14ac:dyDescent="0.25">
      <c r="A370" s="17" t="s">
        <v>602</v>
      </c>
      <c r="B370" s="8">
        <v>3499</v>
      </c>
      <c r="C370" s="8" t="s">
        <v>394</v>
      </c>
      <c r="D370" s="9">
        <v>0</v>
      </c>
      <c r="E370" s="9">
        <v>4087146614</v>
      </c>
      <c r="F370" s="9">
        <v>0</v>
      </c>
      <c r="G370" s="9">
        <v>0</v>
      </c>
      <c r="H370" s="9">
        <v>4087146614</v>
      </c>
      <c r="I370" s="9">
        <v>345710873</v>
      </c>
      <c r="J370" s="9">
        <v>6390000000</v>
      </c>
      <c r="K370" s="9">
        <v>-2648564259</v>
      </c>
      <c r="L370" s="9">
        <v>3846786614</v>
      </c>
      <c r="M370" s="5">
        <f t="shared" si="25"/>
        <v>240360000</v>
      </c>
      <c r="N370" s="36">
        <f t="shared" si="26"/>
        <v>6.2483320266643734</v>
      </c>
      <c r="O370" s="9">
        <v>0</v>
      </c>
      <c r="P370" s="36">
        <v>0</v>
      </c>
      <c r="Q370" s="10">
        <v>0</v>
      </c>
      <c r="R370" s="10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36">
        <f t="shared" si="27"/>
        <v>0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0</v>
      </c>
      <c r="AL370" s="10">
        <v>0</v>
      </c>
      <c r="AM370" s="9">
        <v>0</v>
      </c>
      <c r="AN370" s="10">
        <v>0</v>
      </c>
      <c r="AO370" s="9">
        <v>0</v>
      </c>
      <c r="AP370" s="10">
        <v>0</v>
      </c>
      <c r="AQ370" s="9">
        <v>0</v>
      </c>
      <c r="AR370" s="9">
        <v>0</v>
      </c>
      <c r="AS370" s="9">
        <v>0</v>
      </c>
      <c r="AT370" s="5">
        <f t="shared" si="28"/>
        <v>0</v>
      </c>
      <c r="AU370" s="36">
        <f t="shared" si="29"/>
        <v>0</v>
      </c>
      <c r="AV370" s="9">
        <v>0</v>
      </c>
      <c r="AW370" s="9">
        <v>0</v>
      </c>
      <c r="AX370" s="9">
        <v>0</v>
      </c>
      <c r="AY370" s="9">
        <v>0</v>
      </c>
      <c r="AZ370" s="9">
        <v>0</v>
      </c>
      <c r="BA370" s="9">
        <v>0</v>
      </c>
      <c r="BB370" s="9">
        <v>0</v>
      </c>
      <c r="BC370" s="9">
        <v>4087146614</v>
      </c>
      <c r="BD370" s="9">
        <v>4087146614</v>
      </c>
      <c r="BE370" s="9">
        <v>0</v>
      </c>
      <c r="BF370" s="9">
        <v>0</v>
      </c>
      <c r="BG370" s="9">
        <v>0</v>
      </c>
      <c r="BH370" s="9">
        <v>0</v>
      </c>
      <c r="BI370" s="9">
        <v>0</v>
      </c>
      <c r="BJ370" s="51">
        <v>0</v>
      </c>
      <c r="BK370" s="9">
        <v>0</v>
      </c>
      <c r="BL370" s="9">
        <v>0</v>
      </c>
      <c r="BM370" s="9">
        <v>0</v>
      </c>
      <c r="BN370" s="9">
        <v>0</v>
      </c>
    </row>
    <row r="371" spans="1:66" x14ac:dyDescent="0.25">
      <c r="A371" s="30" t="s">
        <v>603</v>
      </c>
      <c r="B371" s="13" t="s">
        <v>625</v>
      </c>
      <c r="C371" s="13" t="s">
        <v>625</v>
      </c>
      <c r="D371" s="14">
        <v>58799581335718</v>
      </c>
      <c r="E371" s="14">
        <v>2284853558813</v>
      </c>
      <c r="F371" s="14">
        <v>33210000000</v>
      </c>
      <c r="G371" s="14">
        <v>792193103</v>
      </c>
      <c r="H371" s="14">
        <v>61118437087634</v>
      </c>
      <c r="I371" s="14">
        <v>4799463169852</v>
      </c>
      <c r="J371" s="14">
        <v>113275483494</v>
      </c>
      <c r="K371" s="14">
        <v>56205698434288</v>
      </c>
      <c r="L371" s="14">
        <v>35307200308590</v>
      </c>
      <c r="M371" s="14">
        <f t="shared" si="25"/>
        <v>25811236779044</v>
      </c>
      <c r="N371" s="41">
        <f t="shared" si="26"/>
        <v>73.104739411366765</v>
      </c>
      <c r="O371" s="14">
        <v>73882684597720</v>
      </c>
      <c r="P371" s="41">
        <v>142.78</v>
      </c>
      <c r="Q371" s="15">
        <v>131.44999999999999</v>
      </c>
      <c r="R371" s="15">
        <v>17.68</v>
      </c>
      <c r="S371" s="14">
        <v>66852497755985</v>
      </c>
      <c r="T371" s="14">
        <v>15060723404049</v>
      </c>
      <c r="U371" s="14">
        <v>3374429029603</v>
      </c>
      <c r="V371" s="14">
        <v>6966844863850</v>
      </c>
      <c r="W371" s="14">
        <v>4719449510596</v>
      </c>
      <c r="X371" s="14">
        <v>81913221160034</v>
      </c>
      <c r="Y371" s="14">
        <v>365102718633</v>
      </c>
      <c r="Z371" s="14">
        <v>5081334377469</v>
      </c>
      <c r="AA371" s="14">
        <v>269369631304</v>
      </c>
      <c r="AB371" s="14">
        <v>87263925168807</v>
      </c>
      <c r="AC371" s="14">
        <v>57880837042887</v>
      </c>
      <c r="AD371" s="41">
        <f t="shared" si="27"/>
        <v>41.52045019552866</v>
      </c>
      <c r="AE371" s="14">
        <v>54755078356185</v>
      </c>
      <c r="AF371" s="14">
        <v>52345279724646</v>
      </c>
      <c r="AG371" s="14">
        <v>7577198226658</v>
      </c>
      <c r="AH371" s="14">
        <v>5830458696547</v>
      </c>
      <c r="AI371" s="14">
        <v>1217690193681</v>
      </c>
      <c r="AJ371" s="14">
        <v>205234000000</v>
      </c>
      <c r="AK371" s="14">
        <v>0</v>
      </c>
      <c r="AL371" s="15">
        <v>14</v>
      </c>
      <c r="AM371" s="14">
        <v>2693313370212</v>
      </c>
      <c r="AN371" s="15">
        <v>783</v>
      </c>
      <c r="AO371" s="14">
        <v>11928889694819</v>
      </c>
      <c r="AP371" s="15">
        <v>689</v>
      </c>
      <c r="AQ371" s="14">
        <v>17466753660786</v>
      </c>
      <c r="AR371" s="14">
        <v>15060723404049</v>
      </c>
      <c r="AS371" s="14">
        <v>1553571957497</v>
      </c>
      <c r="AT371" s="14">
        <f t="shared" si="28"/>
        <v>13507151446552</v>
      </c>
      <c r="AU371" s="41">
        <f t="shared" si="29"/>
        <v>869.42554423508773</v>
      </c>
      <c r="AV371" s="14">
        <v>31269701945003</v>
      </c>
      <c r="AW371" s="14">
        <v>8684922709039</v>
      </c>
      <c r="AX371" s="14">
        <v>13290790509982</v>
      </c>
      <c r="AY371" s="14">
        <v>12447185397950</v>
      </c>
      <c r="AZ371" s="14">
        <v>14320965174738</v>
      </c>
      <c r="BA371" s="14">
        <v>22617189551124</v>
      </c>
      <c r="BB371" s="14">
        <v>10480046135628</v>
      </c>
      <c r="BC371" s="14">
        <v>61118437087634</v>
      </c>
      <c r="BD371" s="14">
        <v>27748516563246</v>
      </c>
      <c r="BE371" s="14">
        <v>14353265174738</v>
      </c>
      <c r="BF371" s="14">
        <v>19016655349650</v>
      </c>
      <c r="BG371" s="14">
        <v>37748517525549</v>
      </c>
      <c r="BH371" s="14">
        <v>17006560830636</v>
      </c>
      <c r="BI371" s="14">
        <v>0</v>
      </c>
      <c r="BJ371" s="49">
        <v>451628462591</v>
      </c>
      <c r="BK371" s="14">
        <v>6835517027169</v>
      </c>
      <c r="BL371" s="14">
        <v>1513661293</v>
      </c>
      <c r="BM371" s="14">
        <v>3862082337303</v>
      </c>
      <c r="BN371" s="14">
        <v>1083811101875</v>
      </c>
    </row>
    <row r="372" spans="1:66" x14ac:dyDescent="0.25">
      <c r="A372" s="17" t="s">
        <v>604</v>
      </c>
      <c r="B372" s="4">
        <v>3500</v>
      </c>
      <c r="C372" s="4" t="s">
        <v>395</v>
      </c>
      <c r="D372" s="5">
        <v>4334219161213</v>
      </c>
      <c r="E372" s="5">
        <v>598173319536</v>
      </c>
      <c r="F372" s="5">
        <v>0</v>
      </c>
      <c r="G372" s="5">
        <v>1671982320</v>
      </c>
      <c r="H372" s="5">
        <v>4934064463069</v>
      </c>
      <c r="I372" s="5">
        <v>397439865178</v>
      </c>
      <c r="J372" s="5">
        <v>55441723248</v>
      </c>
      <c r="K372" s="5">
        <v>4481182874643</v>
      </c>
      <c r="L372" s="5">
        <v>4267274158778</v>
      </c>
      <c r="M372" s="5">
        <f t="shared" si="25"/>
        <v>666790304291</v>
      </c>
      <c r="N372" s="36">
        <f t="shared" si="26"/>
        <v>15.625672958447687</v>
      </c>
      <c r="O372" s="5">
        <v>13401261879025</v>
      </c>
      <c r="P372" s="36">
        <v>329.3</v>
      </c>
      <c r="Q372" s="6">
        <v>299.06</v>
      </c>
      <c r="R372" s="6">
        <v>33.49</v>
      </c>
      <c r="S372" s="5">
        <v>9607613373278</v>
      </c>
      <c r="T372" s="5">
        <v>5347898927762</v>
      </c>
      <c r="U372" s="5">
        <v>1573322747504</v>
      </c>
      <c r="V372" s="5">
        <v>3350845754833</v>
      </c>
      <c r="W372" s="5">
        <v>423730425425</v>
      </c>
      <c r="X372" s="5">
        <v>14955512301040</v>
      </c>
      <c r="Y372" s="5">
        <v>92691945171</v>
      </c>
      <c r="Z372" s="5">
        <v>1284575161555</v>
      </c>
      <c r="AA372" s="5">
        <v>7654810000</v>
      </c>
      <c r="AB372" s="5">
        <v>16247742272595</v>
      </c>
      <c r="AC372" s="5">
        <v>8562547339701</v>
      </c>
      <c r="AD372" s="36">
        <f t="shared" si="27"/>
        <v>74.661951726648667</v>
      </c>
      <c r="AE372" s="5">
        <v>12150162223722</v>
      </c>
      <c r="AF372" s="5">
        <v>12150162223722</v>
      </c>
      <c r="AG372" s="5">
        <v>6507289042462</v>
      </c>
      <c r="AH372" s="5">
        <v>134105227497</v>
      </c>
      <c r="AI372" s="5">
        <v>519078000000</v>
      </c>
      <c r="AJ372" s="5">
        <v>0</v>
      </c>
      <c r="AK372" s="5">
        <v>0</v>
      </c>
      <c r="AL372" s="6">
        <v>9</v>
      </c>
      <c r="AM372" s="5">
        <v>1212802298785</v>
      </c>
      <c r="AN372" s="6">
        <v>193</v>
      </c>
      <c r="AO372" s="5">
        <v>3406845763242</v>
      </c>
      <c r="AP372" s="6">
        <v>194</v>
      </c>
      <c r="AQ372" s="5">
        <v>8266379928267</v>
      </c>
      <c r="AR372" s="5">
        <v>5347898927762</v>
      </c>
      <c r="AS372" s="5">
        <v>127311179124</v>
      </c>
      <c r="AT372" s="5">
        <f t="shared" si="28"/>
        <v>5220587748638</v>
      </c>
      <c r="AU372" s="36">
        <f t="shared" si="29"/>
        <v>4100.6514781810256</v>
      </c>
      <c r="AV372" s="5">
        <v>5560400267238</v>
      </c>
      <c r="AW372" s="5">
        <v>1135784462586</v>
      </c>
      <c r="AX372" s="5">
        <v>2111272699626</v>
      </c>
      <c r="AY372" s="5">
        <v>493997258928</v>
      </c>
      <c r="AZ372" s="5">
        <v>932633800087</v>
      </c>
      <c r="BA372" s="5">
        <v>1021249249360</v>
      </c>
      <c r="BB372" s="5">
        <v>524980689117</v>
      </c>
      <c r="BC372" s="5">
        <v>4934064463069</v>
      </c>
      <c r="BD372" s="5">
        <v>3161823173969</v>
      </c>
      <c r="BE372" s="5">
        <v>932633800087</v>
      </c>
      <c r="BF372" s="5">
        <v>839607489013</v>
      </c>
      <c r="BG372" s="5">
        <v>11002880830967</v>
      </c>
      <c r="BH372" s="5">
        <v>1147281392755</v>
      </c>
      <c r="BI372" s="5">
        <v>0</v>
      </c>
      <c r="BJ372" s="48">
        <v>307870413101</v>
      </c>
      <c r="BK372" s="5">
        <v>1948747029731</v>
      </c>
      <c r="BL372" s="5">
        <v>0</v>
      </c>
      <c r="BM372" s="5">
        <v>0</v>
      </c>
      <c r="BN372" s="5">
        <v>134105227497</v>
      </c>
    </row>
    <row r="373" spans="1:66" x14ac:dyDescent="0.25">
      <c r="A373" s="17" t="s">
        <v>604</v>
      </c>
      <c r="B373" s="18">
        <v>3501</v>
      </c>
      <c r="C373" s="18" t="s">
        <v>396</v>
      </c>
      <c r="D373" s="19">
        <v>3270840482639</v>
      </c>
      <c r="E373" s="19">
        <v>293035462799</v>
      </c>
      <c r="F373" s="19">
        <v>0</v>
      </c>
      <c r="G373" s="19">
        <v>0</v>
      </c>
      <c r="H373" s="19">
        <v>3563875945438</v>
      </c>
      <c r="I373" s="19">
        <v>260329641470</v>
      </c>
      <c r="J373" s="19">
        <v>2332843828</v>
      </c>
      <c r="K373" s="19">
        <v>3301213460140</v>
      </c>
      <c r="L373" s="19">
        <v>3489763121581</v>
      </c>
      <c r="M373" s="5">
        <f t="shared" si="25"/>
        <v>74112823857</v>
      </c>
      <c r="N373" s="36">
        <f t="shared" si="26"/>
        <v>2.1237207591162801</v>
      </c>
      <c r="O373" s="19">
        <v>3129769237864</v>
      </c>
      <c r="P373" s="36">
        <v>103.15</v>
      </c>
      <c r="Q373" s="20">
        <v>94.81</v>
      </c>
      <c r="R373" s="20">
        <v>11.76</v>
      </c>
      <c r="S373" s="19">
        <v>3080726179385</v>
      </c>
      <c r="T373" s="19">
        <v>282391721371</v>
      </c>
      <c r="U373" s="19">
        <v>42042423992</v>
      </c>
      <c r="V373" s="19">
        <v>4653977991</v>
      </c>
      <c r="W373" s="19">
        <v>235695319388</v>
      </c>
      <c r="X373" s="19">
        <v>3363117900756</v>
      </c>
      <c r="Y373" s="5">
        <v>150026303502</v>
      </c>
      <c r="Z373" s="19">
        <v>306364562681</v>
      </c>
      <c r="AA373" s="19">
        <v>6545580188</v>
      </c>
      <c r="AB373" s="19">
        <v>3676028043625</v>
      </c>
      <c r="AC373" s="19">
        <v>2658643624708</v>
      </c>
      <c r="AD373" s="36">
        <f t="shared" si="27"/>
        <v>26.497506830212071</v>
      </c>
      <c r="AE373" s="19">
        <v>3004207218501</v>
      </c>
      <c r="AF373" s="19">
        <v>2989871958228</v>
      </c>
      <c r="AG373" s="19">
        <v>128763451492</v>
      </c>
      <c r="AH373" s="19">
        <v>0</v>
      </c>
      <c r="AI373" s="19">
        <v>0</v>
      </c>
      <c r="AJ373" s="19">
        <v>0</v>
      </c>
      <c r="AK373" s="19">
        <v>0</v>
      </c>
      <c r="AL373" s="20">
        <v>4</v>
      </c>
      <c r="AM373" s="19">
        <v>319409424897</v>
      </c>
      <c r="AN373" s="20">
        <v>51</v>
      </c>
      <c r="AO373" s="19">
        <v>2220680394574</v>
      </c>
      <c r="AP373" s="20">
        <v>41</v>
      </c>
      <c r="AQ373" s="19">
        <v>1222354630621</v>
      </c>
      <c r="AR373" s="19">
        <v>282391721371</v>
      </c>
      <c r="AS373" s="19">
        <v>247671318895</v>
      </c>
      <c r="AT373" s="5">
        <f t="shared" si="28"/>
        <v>34720402476</v>
      </c>
      <c r="AU373" s="36">
        <f t="shared" si="29"/>
        <v>14.018741706107551</v>
      </c>
      <c r="AV373" s="19">
        <v>2393569711744</v>
      </c>
      <c r="AW373" s="19">
        <v>464864074691</v>
      </c>
      <c r="AX373" s="19">
        <v>1801917239298</v>
      </c>
      <c r="AY373" s="19">
        <v>211649028824</v>
      </c>
      <c r="AZ373" s="19">
        <v>760553690251</v>
      </c>
      <c r="BA373" s="19">
        <v>554712634722</v>
      </c>
      <c r="BB373" s="19">
        <v>619518125291</v>
      </c>
      <c r="BC373" s="19">
        <v>3563875945438</v>
      </c>
      <c r="BD373" s="19">
        <v>2306601730921</v>
      </c>
      <c r="BE373" s="19">
        <v>760553690251</v>
      </c>
      <c r="BF373" s="19">
        <v>496720524266</v>
      </c>
      <c r="BG373" s="19">
        <v>2219541357428</v>
      </c>
      <c r="BH373" s="19">
        <v>784665861073</v>
      </c>
      <c r="BI373" s="19">
        <v>0</v>
      </c>
      <c r="BJ373" s="50">
        <v>231507748960</v>
      </c>
      <c r="BK373" s="19">
        <v>128763451492</v>
      </c>
      <c r="BL373" s="19">
        <v>0</v>
      </c>
      <c r="BM373" s="19">
        <v>0</v>
      </c>
      <c r="BN373" s="19">
        <v>0</v>
      </c>
    </row>
    <row r="374" spans="1:66" x14ac:dyDescent="0.25">
      <c r="A374" s="17" t="s">
        <v>604</v>
      </c>
      <c r="B374" s="4">
        <v>3502</v>
      </c>
      <c r="C374" s="4" t="s">
        <v>397</v>
      </c>
      <c r="D374" s="5">
        <v>1543127815646</v>
      </c>
      <c r="E374" s="5">
        <v>24346151678</v>
      </c>
      <c r="F374" s="5">
        <v>0</v>
      </c>
      <c r="G374" s="5">
        <v>0</v>
      </c>
      <c r="H374" s="5">
        <v>1567473967324</v>
      </c>
      <c r="I374" s="5">
        <v>136354240944</v>
      </c>
      <c r="J374" s="5">
        <v>3939281241</v>
      </c>
      <c r="K374" s="5">
        <v>1427180445139</v>
      </c>
      <c r="L374" s="5">
        <v>1209122570352</v>
      </c>
      <c r="M374" s="5">
        <f t="shared" si="25"/>
        <v>358351396972</v>
      </c>
      <c r="N374" s="36">
        <f t="shared" si="26"/>
        <v>29.637309381105727</v>
      </c>
      <c r="O374" s="5">
        <v>1133224036477</v>
      </c>
      <c r="P374" s="36">
        <v>85.13</v>
      </c>
      <c r="Q374" s="6">
        <v>79.400000000000006</v>
      </c>
      <c r="R374" s="6">
        <v>1.65</v>
      </c>
      <c r="S374" s="5">
        <v>1224893067527</v>
      </c>
      <c r="T374" s="5">
        <v>21680798386</v>
      </c>
      <c r="U374" s="5">
        <v>17521401018</v>
      </c>
      <c r="V374" s="5">
        <v>3332502801</v>
      </c>
      <c r="W374" s="5">
        <v>826894567</v>
      </c>
      <c r="X374" s="5">
        <v>1246573865913</v>
      </c>
      <c r="Y374" s="5">
        <v>396909393</v>
      </c>
      <c r="Z374" s="5">
        <v>72993520588</v>
      </c>
      <c r="AA374" s="5">
        <v>14862000000</v>
      </c>
      <c r="AB374" s="5">
        <v>1334429386501</v>
      </c>
      <c r="AC374" s="5">
        <v>952979670673</v>
      </c>
      <c r="AD374" s="36">
        <f t="shared" si="27"/>
        <v>30.808022907000943</v>
      </c>
      <c r="AE374" s="5">
        <v>651517071497</v>
      </c>
      <c r="AF374" s="5">
        <v>642956671497</v>
      </c>
      <c r="AG374" s="5">
        <v>0</v>
      </c>
      <c r="AH374" s="5">
        <v>423000000</v>
      </c>
      <c r="AI374" s="5">
        <v>0</v>
      </c>
      <c r="AJ374" s="5">
        <v>0</v>
      </c>
      <c r="AK374" s="5">
        <v>3750487672</v>
      </c>
      <c r="AL374" s="6">
        <v>0</v>
      </c>
      <c r="AM374" s="5">
        <v>0</v>
      </c>
      <c r="AN374" s="6">
        <v>11</v>
      </c>
      <c r="AO374" s="5">
        <v>12255000000</v>
      </c>
      <c r="AP374" s="6">
        <v>10</v>
      </c>
      <c r="AQ374" s="5">
        <v>79170529250</v>
      </c>
      <c r="AR374" s="5">
        <v>21680798386</v>
      </c>
      <c r="AS374" s="5">
        <v>11974969350</v>
      </c>
      <c r="AT374" s="5">
        <f t="shared" si="28"/>
        <v>9705829036</v>
      </c>
      <c r="AU374" s="36">
        <f t="shared" si="29"/>
        <v>81.050971842362173</v>
      </c>
      <c r="AV374" s="5">
        <v>444343563859</v>
      </c>
      <c r="AW374" s="5">
        <v>124896097669</v>
      </c>
      <c r="AX374" s="5">
        <v>288167462601</v>
      </c>
      <c r="AY374" s="5">
        <v>126360666391</v>
      </c>
      <c r="AZ374" s="5">
        <v>349905786654</v>
      </c>
      <c r="BA374" s="5">
        <v>1122893326788</v>
      </c>
      <c r="BB374" s="5">
        <v>228390549235</v>
      </c>
      <c r="BC374" s="5">
        <v>1567473967324</v>
      </c>
      <c r="BD374" s="5">
        <v>438874280670</v>
      </c>
      <c r="BE374" s="5">
        <v>349905786654</v>
      </c>
      <c r="BF374" s="5">
        <v>778693900000</v>
      </c>
      <c r="BG374" s="5">
        <v>492874751497</v>
      </c>
      <c r="BH374" s="5">
        <v>158642320000</v>
      </c>
      <c r="BI374" s="5">
        <v>0</v>
      </c>
      <c r="BJ374" s="48">
        <v>0</v>
      </c>
      <c r="BK374" s="5">
        <v>0</v>
      </c>
      <c r="BL374" s="5">
        <v>0</v>
      </c>
      <c r="BM374" s="5">
        <v>0</v>
      </c>
      <c r="BN374" s="5">
        <v>423000000</v>
      </c>
    </row>
    <row r="375" spans="1:66" x14ac:dyDescent="0.25">
      <c r="A375" s="17" t="s">
        <v>604</v>
      </c>
      <c r="B375" s="4">
        <v>3503</v>
      </c>
      <c r="C375" s="4" t="s">
        <v>398</v>
      </c>
      <c r="D375" s="5">
        <v>1866668735180</v>
      </c>
      <c r="E375" s="5">
        <v>21222861512</v>
      </c>
      <c r="F375" s="5">
        <v>0</v>
      </c>
      <c r="G375" s="5">
        <v>0</v>
      </c>
      <c r="H375" s="5">
        <v>1887891596692</v>
      </c>
      <c r="I375" s="5">
        <v>138439691315</v>
      </c>
      <c r="J375" s="5">
        <v>5443405874</v>
      </c>
      <c r="K375" s="5">
        <v>1744008499503</v>
      </c>
      <c r="L375" s="5">
        <v>1189346524342</v>
      </c>
      <c r="M375" s="5">
        <f t="shared" si="25"/>
        <v>698545072350</v>
      </c>
      <c r="N375" s="36">
        <f t="shared" si="26"/>
        <v>58.733519462417952</v>
      </c>
      <c r="O375" s="5">
        <v>1264792894905</v>
      </c>
      <c r="P375" s="36">
        <v>79.92</v>
      </c>
      <c r="Q375" s="6">
        <v>72.52</v>
      </c>
      <c r="R375" s="6">
        <v>1.2</v>
      </c>
      <c r="S375" s="5">
        <v>1366789004461</v>
      </c>
      <c r="T375" s="5">
        <v>18125463297</v>
      </c>
      <c r="U375" s="5">
        <v>17692435787</v>
      </c>
      <c r="V375" s="5">
        <v>433027510</v>
      </c>
      <c r="W375" s="5">
        <v>0</v>
      </c>
      <c r="X375" s="5">
        <v>1384914467758</v>
      </c>
      <c r="Y375" s="5">
        <v>0</v>
      </c>
      <c r="Z375" s="5">
        <v>108711608306</v>
      </c>
      <c r="AA375" s="5">
        <v>15083061000</v>
      </c>
      <c r="AB375" s="5">
        <v>1508709137064</v>
      </c>
      <c r="AC375" s="5">
        <v>1119892544356</v>
      </c>
      <c r="AD375" s="36">
        <f t="shared" si="27"/>
        <v>23.664942206968814</v>
      </c>
      <c r="AE375" s="5">
        <v>673183024193</v>
      </c>
      <c r="AF375" s="5">
        <v>634523349948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6">
        <v>0</v>
      </c>
      <c r="AM375" s="5">
        <v>0</v>
      </c>
      <c r="AN375" s="6">
        <v>161</v>
      </c>
      <c r="AO375" s="5">
        <v>422084078786</v>
      </c>
      <c r="AP375" s="6">
        <v>44</v>
      </c>
      <c r="AQ375" s="5">
        <v>286415521281</v>
      </c>
      <c r="AR375" s="5">
        <v>18125463297</v>
      </c>
      <c r="AS375" s="5">
        <v>8784161634</v>
      </c>
      <c r="AT375" s="5">
        <f t="shared" si="28"/>
        <v>9341301663</v>
      </c>
      <c r="AU375" s="36">
        <f t="shared" si="29"/>
        <v>106.34255210928191</v>
      </c>
      <c r="AV375" s="5">
        <v>449672471185</v>
      </c>
      <c r="AW375" s="5">
        <v>107891487774</v>
      </c>
      <c r="AX375" s="5">
        <v>407943394509</v>
      </c>
      <c r="AY375" s="5">
        <v>138834261520</v>
      </c>
      <c r="AZ375" s="5">
        <v>353913435033</v>
      </c>
      <c r="BA375" s="5">
        <v>1017980548274</v>
      </c>
      <c r="BB375" s="5">
        <v>299981816946</v>
      </c>
      <c r="BC375" s="5">
        <v>1887891596692</v>
      </c>
      <c r="BD375" s="5">
        <v>568000517541</v>
      </c>
      <c r="BE375" s="5">
        <v>353913435033</v>
      </c>
      <c r="BF375" s="5">
        <v>965977644118</v>
      </c>
      <c r="BG375" s="5">
        <v>525582756656</v>
      </c>
      <c r="BH375" s="5">
        <v>147600267537</v>
      </c>
      <c r="BI375" s="5">
        <v>0</v>
      </c>
      <c r="BJ375" s="48">
        <v>0</v>
      </c>
      <c r="BK375" s="5">
        <v>0</v>
      </c>
      <c r="BL375" s="5">
        <v>0</v>
      </c>
      <c r="BM375" s="5">
        <v>0</v>
      </c>
      <c r="BN375" s="5">
        <v>0</v>
      </c>
    </row>
    <row r="376" spans="1:66" x14ac:dyDescent="0.25">
      <c r="A376" s="17" t="s">
        <v>604</v>
      </c>
      <c r="B376" s="4">
        <v>3504</v>
      </c>
      <c r="C376" s="4" t="s">
        <v>399</v>
      </c>
      <c r="D376" s="5">
        <v>2058602556660</v>
      </c>
      <c r="E376" s="5">
        <v>23147510535</v>
      </c>
      <c r="F376" s="5">
        <v>0</v>
      </c>
      <c r="G376" s="5">
        <v>0</v>
      </c>
      <c r="H376" s="5">
        <v>2081750067195</v>
      </c>
      <c r="I376" s="5">
        <v>170109416991</v>
      </c>
      <c r="J376" s="5">
        <v>11506497894</v>
      </c>
      <c r="K376" s="5">
        <v>1900134152310</v>
      </c>
      <c r="L376" s="5">
        <v>1433819548584</v>
      </c>
      <c r="M376" s="5">
        <f t="shared" si="25"/>
        <v>647930518611</v>
      </c>
      <c r="N376" s="36">
        <f t="shared" si="26"/>
        <v>45.189125734188657</v>
      </c>
      <c r="O376" s="5">
        <v>2005781854160</v>
      </c>
      <c r="P376" s="36">
        <v>116.3</v>
      </c>
      <c r="Q376" s="6">
        <v>105.56</v>
      </c>
      <c r="R376" s="6">
        <v>3.22</v>
      </c>
      <c r="S376" s="5">
        <v>2169324909744</v>
      </c>
      <c r="T376" s="5">
        <v>77655506486</v>
      </c>
      <c r="U376" s="5">
        <v>60314203116</v>
      </c>
      <c r="V376" s="5">
        <v>17157095370</v>
      </c>
      <c r="W376" s="5">
        <v>184208000</v>
      </c>
      <c r="X376" s="5">
        <v>2246980416230</v>
      </c>
      <c r="Y376" s="5">
        <v>389640291</v>
      </c>
      <c r="Z376" s="5">
        <v>157556173220</v>
      </c>
      <c r="AA376" s="5">
        <v>16495900000</v>
      </c>
      <c r="AB376" s="5">
        <v>2421032489450</v>
      </c>
      <c r="AC376" s="5">
        <v>1906580449611</v>
      </c>
      <c r="AD376" s="36">
        <f t="shared" si="27"/>
        <v>17.853952435547729</v>
      </c>
      <c r="AE376" s="5">
        <v>1048492135330</v>
      </c>
      <c r="AF376" s="5">
        <v>922862989579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6">
        <v>0</v>
      </c>
      <c r="AM376" s="5">
        <v>0</v>
      </c>
      <c r="AN376" s="6">
        <v>64</v>
      </c>
      <c r="AO376" s="5">
        <v>248828242013</v>
      </c>
      <c r="AP376" s="6">
        <v>36</v>
      </c>
      <c r="AQ376" s="5">
        <v>89461989241</v>
      </c>
      <c r="AR376" s="5">
        <v>77655506486</v>
      </c>
      <c r="AS376" s="5">
        <v>49072855634</v>
      </c>
      <c r="AT376" s="5">
        <f t="shared" si="28"/>
        <v>28582650852</v>
      </c>
      <c r="AU376" s="36">
        <f t="shared" si="29"/>
        <v>58.2453384518275</v>
      </c>
      <c r="AV376" s="5">
        <v>672327067486</v>
      </c>
      <c r="AW376" s="5">
        <v>231476059923</v>
      </c>
      <c r="AX376" s="5">
        <v>568559930845</v>
      </c>
      <c r="AY376" s="5">
        <v>174998774152</v>
      </c>
      <c r="AZ376" s="5">
        <v>453714951663</v>
      </c>
      <c r="BA376" s="5">
        <v>921735360632</v>
      </c>
      <c r="BB376" s="5">
        <v>271236350860</v>
      </c>
      <c r="BC376" s="5">
        <v>2081750067195</v>
      </c>
      <c r="BD376" s="5">
        <v>766706215532</v>
      </c>
      <c r="BE376" s="5">
        <v>453714951663</v>
      </c>
      <c r="BF376" s="5">
        <v>861328900000</v>
      </c>
      <c r="BG376" s="5">
        <v>819797188252</v>
      </c>
      <c r="BH376" s="5">
        <v>228694947078</v>
      </c>
      <c r="BI376" s="5">
        <v>0</v>
      </c>
      <c r="BJ376" s="48">
        <v>0</v>
      </c>
      <c r="BK376" s="5">
        <v>0</v>
      </c>
      <c r="BL376" s="5">
        <v>0</v>
      </c>
      <c r="BM376" s="5">
        <v>0</v>
      </c>
      <c r="BN376" s="5">
        <v>0</v>
      </c>
    </row>
    <row r="377" spans="1:66" x14ac:dyDescent="0.25">
      <c r="A377" s="17" t="s">
        <v>604</v>
      </c>
      <c r="B377" s="4">
        <v>3505</v>
      </c>
      <c r="C377" s="4" t="s">
        <v>400</v>
      </c>
      <c r="D377" s="5">
        <v>1755421742998</v>
      </c>
      <c r="E377" s="5">
        <v>95599311093</v>
      </c>
      <c r="F377" s="5">
        <v>0</v>
      </c>
      <c r="G377" s="5">
        <v>0</v>
      </c>
      <c r="H377" s="5">
        <v>1851021054091</v>
      </c>
      <c r="I377" s="5">
        <v>144850430199</v>
      </c>
      <c r="J377" s="5">
        <v>1666760611</v>
      </c>
      <c r="K377" s="5">
        <v>1704503863281</v>
      </c>
      <c r="L377" s="5">
        <v>1752989457182</v>
      </c>
      <c r="M377" s="5">
        <f t="shared" si="25"/>
        <v>98031596909</v>
      </c>
      <c r="N377" s="36">
        <f t="shared" si="26"/>
        <v>5.5922525094126732</v>
      </c>
      <c r="O377" s="5">
        <v>1646047145116</v>
      </c>
      <c r="P377" s="36">
        <v>99.42</v>
      </c>
      <c r="Q377" s="6">
        <v>96.57</v>
      </c>
      <c r="R377" s="6">
        <v>1.72</v>
      </c>
      <c r="S377" s="5">
        <v>1706932963106</v>
      </c>
      <c r="T377" s="5">
        <v>31501037360</v>
      </c>
      <c r="U377" s="5">
        <v>24676542786</v>
      </c>
      <c r="V377" s="5">
        <v>6002983719</v>
      </c>
      <c r="W377" s="5">
        <v>821510855</v>
      </c>
      <c r="X377" s="5">
        <v>1738434000466</v>
      </c>
      <c r="Y377" s="5">
        <v>65440478</v>
      </c>
      <c r="Z377" s="5">
        <v>100107393286</v>
      </c>
      <c r="AA377" s="5">
        <v>1750000000</v>
      </c>
      <c r="AB377" s="5">
        <v>1840291393752</v>
      </c>
      <c r="AC377" s="5">
        <v>976022547386</v>
      </c>
      <c r="AD377" s="36">
        <f t="shared" si="27"/>
        <v>78.11412299048861</v>
      </c>
      <c r="AE377" s="5">
        <v>1772961066086</v>
      </c>
      <c r="AF377" s="5">
        <v>1772961066086</v>
      </c>
      <c r="AG377" s="5">
        <v>241854762193</v>
      </c>
      <c r="AH377" s="5">
        <v>2142371861</v>
      </c>
      <c r="AI377" s="5">
        <v>0</v>
      </c>
      <c r="AJ377" s="5">
        <v>0</v>
      </c>
      <c r="AK377" s="5">
        <v>0</v>
      </c>
      <c r="AL377" s="6">
        <v>3</v>
      </c>
      <c r="AM377" s="5">
        <v>163235170641</v>
      </c>
      <c r="AN377" s="6">
        <v>4</v>
      </c>
      <c r="AO377" s="5">
        <v>2772000000</v>
      </c>
      <c r="AP377" s="6">
        <v>7</v>
      </c>
      <c r="AQ377" s="5">
        <v>309294500000</v>
      </c>
      <c r="AR377" s="5">
        <v>31501037360</v>
      </c>
      <c r="AS377" s="5">
        <v>18918443523</v>
      </c>
      <c r="AT377" s="5">
        <f t="shared" si="28"/>
        <v>12582593837</v>
      </c>
      <c r="AU377" s="36">
        <f t="shared" si="29"/>
        <v>66.509667255145885</v>
      </c>
      <c r="AV377" s="5">
        <v>823955543114</v>
      </c>
      <c r="AW377" s="5">
        <v>123710327339</v>
      </c>
      <c r="AX377" s="5">
        <v>710386863583</v>
      </c>
      <c r="AY377" s="5">
        <v>88748328958</v>
      </c>
      <c r="AZ377" s="5">
        <v>428824146287</v>
      </c>
      <c r="BA377" s="5">
        <v>631034708026</v>
      </c>
      <c r="BB377" s="5">
        <v>315336365248</v>
      </c>
      <c r="BC377" s="5">
        <v>1851021054091</v>
      </c>
      <c r="BD377" s="5">
        <v>894665206382</v>
      </c>
      <c r="BE377" s="5">
        <v>428824146287</v>
      </c>
      <c r="BF377" s="5">
        <v>527531701422</v>
      </c>
      <c r="BG377" s="5">
        <v>918557265665</v>
      </c>
      <c r="BH377" s="5">
        <v>854403800421</v>
      </c>
      <c r="BI377" s="5">
        <v>0</v>
      </c>
      <c r="BJ377" s="48">
        <v>0</v>
      </c>
      <c r="BK377" s="5">
        <v>161087635694</v>
      </c>
      <c r="BL377" s="5">
        <v>0</v>
      </c>
      <c r="BM377" s="5">
        <v>0</v>
      </c>
      <c r="BN377" s="5">
        <v>2142371861</v>
      </c>
    </row>
    <row r="378" spans="1:66" x14ac:dyDescent="0.25">
      <c r="A378" s="17" t="s">
        <v>604</v>
      </c>
      <c r="B378" s="8">
        <v>3506</v>
      </c>
      <c r="C378" s="8" t="s">
        <v>401</v>
      </c>
      <c r="D378" s="9">
        <v>1404577053071</v>
      </c>
      <c r="E378" s="9">
        <v>205527166813</v>
      </c>
      <c r="F378" s="9">
        <v>0</v>
      </c>
      <c r="G378" s="9">
        <v>0</v>
      </c>
      <c r="H378" s="9">
        <v>1610104219884</v>
      </c>
      <c r="I378" s="9">
        <v>142958109390</v>
      </c>
      <c r="J378" s="9">
        <v>6585500651</v>
      </c>
      <c r="K378" s="9">
        <v>1460560609843</v>
      </c>
      <c r="L378" s="9">
        <v>1088357957876</v>
      </c>
      <c r="M378" s="5">
        <f t="shared" si="25"/>
        <v>521746262008</v>
      </c>
      <c r="N378" s="36">
        <f t="shared" si="26"/>
        <v>47.938847530110507</v>
      </c>
      <c r="O378" s="9">
        <v>1178594340195</v>
      </c>
      <c r="P378" s="36">
        <v>86.99</v>
      </c>
      <c r="Q378" s="10">
        <v>80.69</v>
      </c>
      <c r="R378" s="10">
        <v>6.62</v>
      </c>
      <c r="S378" s="9">
        <v>1227763644182</v>
      </c>
      <c r="T378" s="9">
        <v>92728293736</v>
      </c>
      <c r="U378" s="9">
        <v>15569439203</v>
      </c>
      <c r="V378" s="9">
        <v>77158854533</v>
      </c>
      <c r="W378" s="9">
        <v>0</v>
      </c>
      <c r="X378" s="9">
        <v>1320491937918</v>
      </c>
      <c r="Y378" s="5">
        <v>1439536</v>
      </c>
      <c r="Z378" s="9">
        <v>73355028640</v>
      </c>
      <c r="AA378" s="9">
        <v>6800000000</v>
      </c>
      <c r="AB378" s="9">
        <v>1400646966558</v>
      </c>
      <c r="AC378" s="9">
        <v>1175708844922</v>
      </c>
      <c r="AD378" s="36">
        <f t="shared" si="27"/>
        <v>12.31453634301827</v>
      </c>
      <c r="AE378" s="9">
        <v>646295728781</v>
      </c>
      <c r="AF378" s="9">
        <v>641650120288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10">
        <v>0</v>
      </c>
      <c r="AM378" s="9">
        <v>0</v>
      </c>
      <c r="AN378" s="10">
        <v>105</v>
      </c>
      <c r="AO378" s="9">
        <v>2838160308600</v>
      </c>
      <c r="AP378" s="10">
        <v>77</v>
      </c>
      <c r="AQ378" s="9">
        <v>991435626390</v>
      </c>
      <c r="AR378" s="9">
        <v>92728293736</v>
      </c>
      <c r="AS378" s="9">
        <v>8091087201</v>
      </c>
      <c r="AT378" s="5">
        <f t="shared" si="28"/>
        <v>84637206535</v>
      </c>
      <c r="AU378" s="36">
        <f t="shared" si="29"/>
        <v>1046.0548061395193</v>
      </c>
      <c r="AV378" s="9">
        <v>555210286462</v>
      </c>
      <c r="AW378" s="9">
        <v>58094666911</v>
      </c>
      <c r="AX378" s="9">
        <v>579998933559</v>
      </c>
      <c r="AY378" s="9">
        <v>166843389572</v>
      </c>
      <c r="AZ378" s="9">
        <v>333791723866</v>
      </c>
      <c r="BA378" s="9">
        <v>350251955930</v>
      </c>
      <c r="BB378" s="9">
        <v>237614085428</v>
      </c>
      <c r="BC378" s="9">
        <v>1610104219884</v>
      </c>
      <c r="BD378" s="9">
        <v>952369489944</v>
      </c>
      <c r="BE378" s="9">
        <v>333791723866</v>
      </c>
      <c r="BF378" s="9">
        <v>323943006074</v>
      </c>
      <c r="BG378" s="9">
        <v>492046518849</v>
      </c>
      <c r="BH378" s="9">
        <v>154249209932</v>
      </c>
      <c r="BI378" s="9">
        <v>0</v>
      </c>
      <c r="BJ378" s="51">
        <v>0</v>
      </c>
      <c r="BK378" s="9">
        <v>28862372233</v>
      </c>
      <c r="BL378" s="9">
        <v>0</v>
      </c>
      <c r="BM378" s="9">
        <v>0</v>
      </c>
      <c r="BN378" s="9">
        <v>0</v>
      </c>
    </row>
    <row r="379" spans="1:66" x14ac:dyDescent="0.25">
      <c r="A379" s="17" t="s">
        <v>604</v>
      </c>
      <c r="B379" s="4">
        <v>3507</v>
      </c>
      <c r="C379" s="4" t="s">
        <v>402</v>
      </c>
      <c r="D379" s="5">
        <v>2747613385657</v>
      </c>
      <c r="E379" s="5">
        <v>319689278040</v>
      </c>
      <c r="F379" s="5">
        <v>0</v>
      </c>
      <c r="G379" s="5">
        <v>0</v>
      </c>
      <c r="H379" s="5">
        <v>3067302663697</v>
      </c>
      <c r="I379" s="5">
        <v>231864983382</v>
      </c>
      <c r="J379" s="5">
        <v>3050758513</v>
      </c>
      <c r="K379" s="5">
        <v>2832386921802</v>
      </c>
      <c r="L379" s="5">
        <v>2298688352190</v>
      </c>
      <c r="M379" s="5">
        <f t="shared" si="25"/>
        <v>768614311507</v>
      </c>
      <c r="N379" s="36">
        <f t="shared" si="26"/>
        <v>33.437082098350913</v>
      </c>
      <c r="O379" s="5">
        <v>1710551233974</v>
      </c>
      <c r="P379" s="36">
        <v>67.3</v>
      </c>
      <c r="Q379" s="6">
        <v>60.39</v>
      </c>
      <c r="R379" s="6">
        <v>1.1000000000000001</v>
      </c>
      <c r="S379" s="5">
        <v>1886278129951</v>
      </c>
      <c r="T379" s="5">
        <v>22463309684</v>
      </c>
      <c r="U379" s="5">
        <v>14582031862</v>
      </c>
      <c r="V379" s="5">
        <v>5487439173</v>
      </c>
      <c r="W379" s="5">
        <v>2393838649</v>
      </c>
      <c r="X379" s="5">
        <v>1908741439635</v>
      </c>
      <c r="Y379" s="5">
        <v>240083795</v>
      </c>
      <c r="Z379" s="5">
        <v>137410435260</v>
      </c>
      <c r="AA379" s="5">
        <v>18089515619</v>
      </c>
      <c r="AB379" s="5">
        <v>2064241390514</v>
      </c>
      <c r="AC379" s="5">
        <v>2087368694119</v>
      </c>
      <c r="AD379" s="36">
        <f t="shared" si="27"/>
        <v>-8.5575325043088206</v>
      </c>
      <c r="AE379" s="5">
        <v>1291135358160</v>
      </c>
      <c r="AF379" s="5">
        <v>1206748640459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6">
        <v>0</v>
      </c>
      <c r="AM379" s="5">
        <v>0</v>
      </c>
      <c r="AN379" s="6">
        <v>160</v>
      </c>
      <c r="AO379" s="5">
        <v>1298216642485</v>
      </c>
      <c r="AP379" s="6">
        <v>144</v>
      </c>
      <c r="AQ379" s="5">
        <v>2738092752761</v>
      </c>
      <c r="AR379" s="5">
        <v>22463309684</v>
      </c>
      <c r="AS379" s="5">
        <v>23792625005</v>
      </c>
      <c r="AT379" s="5">
        <f t="shared" si="28"/>
        <v>-1329315321</v>
      </c>
      <c r="AU379" s="36">
        <f t="shared" si="29"/>
        <v>-5.5870897840009057</v>
      </c>
      <c r="AV379" s="5">
        <v>1481304083452</v>
      </c>
      <c r="AW379" s="5">
        <v>691433215087</v>
      </c>
      <c r="AX379" s="5">
        <v>916008913480</v>
      </c>
      <c r="AY379" s="5">
        <v>107634300023</v>
      </c>
      <c r="AZ379" s="5">
        <v>626260172154</v>
      </c>
      <c r="BA379" s="5">
        <v>1308873339212</v>
      </c>
      <c r="BB379" s="5">
        <v>437164048797</v>
      </c>
      <c r="BC379" s="5">
        <v>3067302663697</v>
      </c>
      <c r="BD379" s="5">
        <v>1281419881467</v>
      </c>
      <c r="BE379" s="5">
        <v>626260172154</v>
      </c>
      <c r="BF379" s="5">
        <v>1159622610076</v>
      </c>
      <c r="BG379" s="5">
        <v>908666573581</v>
      </c>
      <c r="BH379" s="5">
        <v>382468784579</v>
      </c>
      <c r="BI379" s="5">
        <v>0</v>
      </c>
      <c r="BJ379" s="48">
        <v>0</v>
      </c>
      <c r="BK379" s="5">
        <v>457106286100</v>
      </c>
      <c r="BL379" s="5">
        <v>0</v>
      </c>
      <c r="BM379" s="5">
        <v>0</v>
      </c>
      <c r="BN379" s="5">
        <v>0</v>
      </c>
    </row>
    <row r="380" spans="1:66" x14ac:dyDescent="0.25">
      <c r="A380" s="17" t="s">
        <v>604</v>
      </c>
      <c r="B380" s="4">
        <v>3508</v>
      </c>
      <c r="C380" s="4" t="s">
        <v>403</v>
      </c>
      <c r="D380" s="5">
        <v>1742677467351</v>
      </c>
      <c r="E380" s="5">
        <v>130522372404</v>
      </c>
      <c r="F380" s="5">
        <v>0</v>
      </c>
      <c r="G380" s="5">
        <v>0</v>
      </c>
      <c r="H380" s="5">
        <v>1873199839755</v>
      </c>
      <c r="I380" s="5">
        <v>125174928338</v>
      </c>
      <c r="J380" s="5">
        <v>3026393185</v>
      </c>
      <c r="K380" s="5">
        <v>1744998518232</v>
      </c>
      <c r="L380" s="5">
        <v>1563634212091</v>
      </c>
      <c r="M380" s="5">
        <f t="shared" si="25"/>
        <v>309565627664</v>
      </c>
      <c r="N380" s="36">
        <f t="shared" si="26"/>
        <v>19.797829010790664</v>
      </c>
      <c r="O380" s="5">
        <v>1417541622018</v>
      </c>
      <c r="P380" s="36">
        <v>87.96</v>
      </c>
      <c r="Q380" s="6">
        <v>81.23</v>
      </c>
      <c r="R380" s="6">
        <v>3.17</v>
      </c>
      <c r="S380" s="5">
        <v>1451235174719</v>
      </c>
      <c r="T380" s="5">
        <v>37737323453</v>
      </c>
      <c r="U380" s="5">
        <v>20059880209</v>
      </c>
      <c r="V380" s="5">
        <v>6164624902</v>
      </c>
      <c r="W380" s="5">
        <v>11512818342</v>
      </c>
      <c r="X380" s="5">
        <v>1488972498172</v>
      </c>
      <c r="Y380" s="5">
        <v>14536947524</v>
      </c>
      <c r="Z380" s="5">
        <v>147028292810</v>
      </c>
      <c r="AA380" s="5">
        <v>11750000000</v>
      </c>
      <c r="AB380" s="5">
        <v>1647750790982</v>
      </c>
      <c r="AC380" s="5">
        <v>1240720213785</v>
      </c>
      <c r="AD380" s="36">
        <f t="shared" si="27"/>
        <v>20.008724096601103</v>
      </c>
      <c r="AE380" s="5">
        <v>713207668492</v>
      </c>
      <c r="AF380" s="5">
        <v>713207668492</v>
      </c>
      <c r="AG380" s="5">
        <v>0</v>
      </c>
      <c r="AH380" s="5">
        <v>27938342</v>
      </c>
      <c r="AI380" s="5">
        <v>0</v>
      </c>
      <c r="AJ380" s="5">
        <v>0</v>
      </c>
      <c r="AK380" s="5">
        <v>3830198237</v>
      </c>
      <c r="AL380" s="6">
        <v>0</v>
      </c>
      <c r="AM380" s="5">
        <v>0</v>
      </c>
      <c r="AN380" s="6">
        <v>47</v>
      </c>
      <c r="AO380" s="5">
        <v>1053150534365</v>
      </c>
      <c r="AP380" s="6">
        <v>11</v>
      </c>
      <c r="AQ380" s="5">
        <v>47896000000</v>
      </c>
      <c r="AR380" s="5">
        <v>37737323453</v>
      </c>
      <c r="AS380" s="5">
        <v>22877419869</v>
      </c>
      <c r="AT380" s="5">
        <f t="shared" si="28"/>
        <v>14859903584</v>
      </c>
      <c r="AU380" s="36">
        <f t="shared" si="29"/>
        <v>64.954455830641464</v>
      </c>
      <c r="AV380" s="5">
        <v>497368146574</v>
      </c>
      <c r="AW380" s="5">
        <v>79212737707</v>
      </c>
      <c r="AX380" s="5">
        <v>517767583410</v>
      </c>
      <c r="AY380" s="5">
        <v>167958201233</v>
      </c>
      <c r="AZ380" s="5">
        <v>471261629268</v>
      </c>
      <c r="BA380" s="5">
        <v>598309388896</v>
      </c>
      <c r="BB380" s="5">
        <v>307182673740</v>
      </c>
      <c r="BC380" s="5">
        <v>1873199839755</v>
      </c>
      <c r="BD380" s="5">
        <v>816248157047</v>
      </c>
      <c r="BE380" s="5">
        <v>471261629268</v>
      </c>
      <c r="BF380" s="5">
        <v>585690053440</v>
      </c>
      <c r="BG380" s="5">
        <v>251521880000</v>
      </c>
      <c r="BH380" s="5">
        <v>461685788492</v>
      </c>
      <c r="BI380" s="5">
        <v>0</v>
      </c>
      <c r="BJ380" s="48">
        <v>0</v>
      </c>
      <c r="BK380" s="5">
        <v>0</v>
      </c>
      <c r="BL380" s="5">
        <v>0</v>
      </c>
      <c r="BM380" s="5">
        <v>27938342</v>
      </c>
      <c r="BN380" s="5">
        <v>0</v>
      </c>
    </row>
    <row r="381" spans="1:66" x14ac:dyDescent="0.25">
      <c r="A381" s="17" t="s">
        <v>604</v>
      </c>
      <c r="B381" s="4">
        <v>3509</v>
      </c>
      <c r="C381" s="4" t="s">
        <v>404</v>
      </c>
      <c r="D381" s="5">
        <v>1971507085076</v>
      </c>
      <c r="E381" s="5">
        <v>19242714404</v>
      </c>
      <c r="F381" s="5">
        <v>0</v>
      </c>
      <c r="G381" s="5">
        <v>0</v>
      </c>
      <c r="H381" s="5">
        <v>1990749799480</v>
      </c>
      <c r="I381" s="5">
        <v>210300490081</v>
      </c>
      <c r="J381" s="5">
        <v>3986605754</v>
      </c>
      <c r="K381" s="5">
        <v>1776462703645</v>
      </c>
      <c r="L381" s="5">
        <v>1801338766629</v>
      </c>
      <c r="M381" s="5">
        <f t="shared" si="25"/>
        <v>189411032851</v>
      </c>
      <c r="N381" s="36">
        <f t="shared" si="26"/>
        <v>10.515014519199026</v>
      </c>
      <c r="O381" s="5">
        <v>1127554636215</v>
      </c>
      <c r="P381" s="36">
        <v>63.93</v>
      </c>
      <c r="Q381" s="6">
        <v>63.47</v>
      </c>
      <c r="R381" s="6">
        <v>7.73</v>
      </c>
      <c r="S381" s="5">
        <v>1043643118694</v>
      </c>
      <c r="T381" s="5">
        <v>98074131933</v>
      </c>
      <c r="U381" s="5">
        <v>26976304637</v>
      </c>
      <c r="V381" s="5">
        <v>68787167719</v>
      </c>
      <c r="W381" s="5">
        <v>2310659577</v>
      </c>
      <c r="X381" s="5">
        <v>1141717250627</v>
      </c>
      <c r="Y381" s="5">
        <v>246125670</v>
      </c>
      <c r="Z381" s="5">
        <v>122424522749</v>
      </c>
      <c r="AA381" s="5">
        <v>8478463000</v>
      </c>
      <c r="AB381" s="5">
        <v>1272620236376</v>
      </c>
      <c r="AC381" s="5">
        <v>824081350865</v>
      </c>
      <c r="AD381" s="36">
        <f t="shared" si="27"/>
        <v>38.544240738926113</v>
      </c>
      <c r="AE381" s="5">
        <v>679850549193</v>
      </c>
      <c r="AF381" s="5">
        <v>679850549193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6">
        <v>0</v>
      </c>
      <c r="AM381" s="5">
        <v>0</v>
      </c>
      <c r="AN381" s="6">
        <v>69</v>
      </c>
      <c r="AO381" s="5">
        <v>186007386226</v>
      </c>
      <c r="AP381" s="6">
        <v>5</v>
      </c>
      <c r="AQ381" s="5">
        <v>3004000000</v>
      </c>
      <c r="AR381" s="5">
        <v>98074131933</v>
      </c>
      <c r="AS381" s="5">
        <v>12334570721</v>
      </c>
      <c r="AT381" s="5">
        <f t="shared" si="28"/>
        <v>85739561212</v>
      </c>
      <c r="AU381" s="36">
        <f t="shared" si="29"/>
        <v>695.11589135425413</v>
      </c>
      <c r="AV381" s="5">
        <v>316002171543</v>
      </c>
      <c r="AW381" s="5">
        <v>89040825494</v>
      </c>
      <c r="AX381" s="5">
        <v>160564898071</v>
      </c>
      <c r="AY381" s="5">
        <v>218856246502</v>
      </c>
      <c r="AZ381" s="5">
        <v>297105440503</v>
      </c>
      <c r="BA381" s="5">
        <v>1882670460732</v>
      </c>
      <c r="BB381" s="5">
        <v>181793861894</v>
      </c>
      <c r="BC381" s="5">
        <v>1990749799480</v>
      </c>
      <c r="BD381" s="5">
        <v>396525246901</v>
      </c>
      <c r="BE381" s="5">
        <v>297105440503</v>
      </c>
      <c r="BF381" s="5">
        <v>1297119112076</v>
      </c>
      <c r="BG381" s="5">
        <v>507958075578</v>
      </c>
      <c r="BH381" s="5">
        <v>171892473615</v>
      </c>
      <c r="BI381" s="5">
        <v>0</v>
      </c>
      <c r="BJ381" s="48">
        <v>0</v>
      </c>
      <c r="BK381" s="5">
        <v>0</v>
      </c>
      <c r="BL381" s="5">
        <v>0</v>
      </c>
      <c r="BM381" s="5">
        <v>0</v>
      </c>
      <c r="BN381" s="5">
        <v>0</v>
      </c>
    </row>
    <row r="382" spans="1:66" x14ac:dyDescent="0.25">
      <c r="A382" s="17" t="s">
        <v>604</v>
      </c>
      <c r="B382" s="4">
        <v>3510</v>
      </c>
      <c r="C382" s="4" t="s">
        <v>405</v>
      </c>
      <c r="D382" s="5">
        <v>1951730936313</v>
      </c>
      <c r="E382" s="5">
        <v>161216686261</v>
      </c>
      <c r="F382" s="5">
        <v>0</v>
      </c>
      <c r="G382" s="5">
        <v>0</v>
      </c>
      <c r="H382" s="5">
        <v>2112947622574</v>
      </c>
      <c r="I382" s="5">
        <v>177430887934</v>
      </c>
      <c r="J382" s="5">
        <v>2379316184</v>
      </c>
      <c r="K382" s="5">
        <v>1933137418456</v>
      </c>
      <c r="L382" s="5">
        <v>1637148582546</v>
      </c>
      <c r="M382" s="5">
        <f t="shared" si="25"/>
        <v>475799040028</v>
      </c>
      <c r="N382" s="36">
        <f t="shared" si="26"/>
        <v>29.06266695036711</v>
      </c>
      <c r="O382" s="5">
        <v>3181839473683</v>
      </c>
      <c r="P382" s="36">
        <v>183.31</v>
      </c>
      <c r="Q382" s="6">
        <v>164.59</v>
      </c>
      <c r="R382" s="6">
        <v>23.46</v>
      </c>
      <c r="S382" s="5">
        <v>2757203677434</v>
      </c>
      <c r="T382" s="5">
        <v>886599665970</v>
      </c>
      <c r="U382" s="5">
        <v>230786078207</v>
      </c>
      <c r="V382" s="5">
        <v>493278934565</v>
      </c>
      <c r="W382" s="5">
        <v>162534653198</v>
      </c>
      <c r="X382" s="5">
        <v>3643803343404</v>
      </c>
      <c r="Y382" s="5">
        <v>22222859339</v>
      </c>
      <c r="Z382" s="5">
        <v>219812676249</v>
      </c>
      <c r="AA382" s="5">
        <v>9699000000</v>
      </c>
      <c r="AB382" s="5">
        <v>3873315019653</v>
      </c>
      <c r="AC382" s="5">
        <v>2168034815475</v>
      </c>
      <c r="AD382" s="36">
        <f t="shared" si="27"/>
        <v>68.069410942815992</v>
      </c>
      <c r="AE382" s="5">
        <v>2760471603296</v>
      </c>
      <c r="AF382" s="5">
        <v>1794462949331</v>
      </c>
      <c r="AG382" s="5">
        <v>763700102163</v>
      </c>
      <c r="AH382" s="5">
        <v>5233681147</v>
      </c>
      <c r="AI382" s="5">
        <v>0</v>
      </c>
      <c r="AJ382" s="5">
        <v>0</v>
      </c>
      <c r="AK382" s="5">
        <v>0</v>
      </c>
      <c r="AL382" s="6">
        <v>0</v>
      </c>
      <c r="AM382" s="5">
        <v>0</v>
      </c>
      <c r="AN382" s="6">
        <v>48</v>
      </c>
      <c r="AO382" s="5">
        <v>160003608594</v>
      </c>
      <c r="AP382" s="6">
        <v>13</v>
      </c>
      <c r="AQ382" s="5">
        <v>1493840684992</v>
      </c>
      <c r="AR382" s="5">
        <v>886599665970</v>
      </c>
      <c r="AS382" s="5">
        <v>181787611309</v>
      </c>
      <c r="AT382" s="5">
        <f t="shared" si="28"/>
        <v>704812054661</v>
      </c>
      <c r="AU382" s="36">
        <f t="shared" si="29"/>
        <v>387.71181907603733</v>
      </c>
      <c r="AV382" s="5">
        <v>1124463586220</v>
      </c>
      <c r="AW382" s="5">
        <v>407916888424</v>
      </c>
      <c r="AX382" s="5">
        <v>449307794122</v>
      </c>
      <c r="AY382" s="5">
        <v>185549028082</v>
      </c>
      <c r="AZ382" s="5">
        <v>478362620386</v>
      </c>
      <c r="BA382" s="5">
        <v>900368846063</v>
      </c>
      <c r="BB382" s="5">
        <v>430915016267</v>
      </c>
      <c r="BC382" s="5">
        <v>2112947622574</v>
      </c>
      <c r="BD382" s="5">
        <v>796073508465</v>
      </c>
      <c r="BE382" s="5">
        <v>478362620386</v>
      </c>
      <c r="BF382" s="5">
        <v>838511493723</v>
      </c>
      <c r="BG382" s="5">
        <v>2105974093296</v>
      </c>
      <c r="BH382" s="5">
        <v>654497510000</v>
      </c>
      <c r="BI382" s="5">
        <v>0</v>
      </c>
      <c r="BJ382" s="48">
        <v>49184726964</v>
      </c>
      <c r="BK382" s="5">
        <v>443145257874</v>
      </c>
      <c r="BL382" s="5">
        <v>0</v>
      </c>
      <c r="BM382" s="5">
        <v>0</v>
      </c>
      <c r="BN382" s="5">
        <v>5233681147</v>
      </c>
    </row>
    <row r="383" spans="1:66" x14ac:dyDescent="0.25">
      <c r="A383" s="17" t="s">
        <v>604</v>
      </c>
      <c r="B383" s="4">
        <v>3511</v>
      </c>
      <c r="C383" s="4" t="s">
        <v>406</v>
      </c>
      <c r="D383" s="5">
        <v>2975660826608</v>
      </c>
      <c r="E383" s="5">
        <v>12282660880</v>
      </c>
      <c r="F383" s="5">
        <v>0</v>
      </c>
      <c r="G383" s="5">
        <v>0</v>
      </c>
      <c r="H383" s="5">
        <v>2987943487488</v>
      </c>
      <c r="I383" s="5">
        <v>219643437089</v>
      </c>
      <c r="J383" s="5">
        <v>7778384920</v>
      </c>
      <c r="K383" s="5">
        <v>2760521665479</v>
      </c>
      <c r="L383" s="5">
        <v>1474983432513</v>
      </c>
      <c r="M383" s="5">
        <f t="shared" si="25"/>
        <v>1512960054975</v>
      </c>
      <c r="N383" s="36">
        <f t="shared" si="26"/>
        <v>102.57471518831214</v>
      </c>
      <c r="O383" s="5">
        <v>732651909855</v>
      </c>
      <c r="P383" s="36">
        <v>29.11</v>
      </c>
      <c r="Q383" s="6">
        <v>26.54</v>
      </c>
      <c r="R383" s="6">
        <v>1.87</v>
      </c>
      <c r="S383" s="5">
        <v>807864864455</v>
      </c>
      <c r="T383" s="5">
        <v>16269260929</v>
      </c>
      <c r="U383" s="5">
        <v>13735406917</v>
      </c>
      <c r="V383" s="5">
        <v>2533854012</v>
      </c>
      <c r="W383" s="5">
        <v>0</v>
      </c>
      <c r="X383" s="5">
        <v>824134125384</v>
      </c>
      <c r="Y383" s="5">
        <v>0</v>
      </c>
      <c r="Z383" s="5">
        <v>29249546542</v>
      </c>
      <c r="AA383" s="5">
        <v>16485378309</v>
      </c>
      <c r="AB383" s="5">
        <v>869869050235</v>
      </c>
      <c r="AC383" s="5">
        <v>476643666541</v>
      </c>
      <c r="AD383" s="36">
        <f t="shared" si="27"/>
        <v>72.90361400681897</v>
      </c>
      <c r="AE383" s="5">
        <v>566420203035</v>
      </c>
      <c r="AF383" s="5">
        <v>555387130708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6">
        <v>0</v>
      </c>
      <c r="AM383" s="5">
        <v>0</v>
      </c>
      <c r="AN383" s="6">
        <v>33</v>
      </c>
      <c r="AO383" s="5">
        <v>240682885140</v>
      </c>
      <c r="AP383" s="6">
        <v>15</v>
      </c>
      <c r="AQ383" s="5">
        <v>155737289976</v>
      </c>
      <c r="AR383" s="5">
        <v>16269260929</v>
      </c>
      <c r="AS383" s="5">
        <v>3151482076</v>
      </c>
      <c r="AT383" s="5">
        <f t="shared" si="28"/>
        <v>13117778853</v>
      </c>
      <c r="AU383" s="36">
        <f t="shared" si="29"/>
        <v>416.24158210823975</v>
      </c>
      <c r="AV383" s="5">
        <v>263902605017</v>
      </c>
      <c r="AW383" s="5">
        <v>37116171208</v>
      </c>
      <c r="AX383" s="5">
        <v>297920073060</v>
      </c>
      <c r="AY383" s="5">
        <v>463353447373</v>
      </c>
      <c r="AZ383" s="5">
        <v>731522072076</v>
      </c>
      <c r="BA383" s="5">
        <v>1509372268527</v>
      </c>
      <c r="BB383" s="5">
        <v>269912286044</v>
      </c>
      <c r="BC383" s="5">
        <v>2987943487488</v>
      </c>
      <c r="BD383" s="5">
        <v>773556181313</v>
      </c>
      <c r="BE383" s="5">
        <v>731522072076</v>
      </c>
      <c r="BF383" s="5">
        <v>1482865234099</v>
      </c>
      <c r="BG383" s="5">
        <v>409037190708</v>
      </c>
      <c r="BH383" s="5">
        <v>157383012327</v>
      </c>
      <c r="BI383" s="5">
        <v>0</v>
      </c>
      <c r="BJ383" s="48">
        <v>0</v>
      </c>
      <c r="BK383" s="5">
        <v>0</v>
      </c>
      <c r="BL383" s="5">
        <v>0</v>
      </c>
      <c r="BM383" s="5">
        <v>0</v>
      </c>
      <c r="BN383" s="5">
        <v>0</v>
      </c>
    </row>
    <row r="384" spans="1:66" x14ac:dyDescent="0.25">
      <c r="A384" s="17" t="s">
        <v>604</v>
      </c>
      <c r="B384" s="4">
        <v>3512</v>
      </c>
      <c r="C384" s="4" t="s">
        <v>407</v>
      </c>
      <c r="D384" s="5">
        <v>3089514599527</v>
      </c>
      <c r="E384" s="5">
        <v>38339727648</v>
      </c>
      <c r="F384" s="5">
        <v>0</v>
      </c>
      <c r="G384" s="5">
        <v>0</v>
      </c>
      <c r="H384" s="5">
        <v>3127854327175</v>
      </c>
      <c r="I384" s="5">
        <v>255531858030</v>
      </c>
      <c r="J384" s="5">
        <v>3078173047</v>
      </c>
      <c r="K384" s="5">
        <v>2869244296098</v>
      </c>
      <c r="L384" s="5">
        <v>863766476276</v>
      </c>
      <c r="M384" s="5">
        <f t="shared" si="25"/>
        <v>2264087850899</v>
      </c>
      <c r="N384" s="36">
        <f t="shared" si="26"/>
        <v>262.11805077921946</v>
      </c>
      <c r="O384" s="5">
        <v>1085348701231</v>
      </c>
      <c r="P384" s="36">
        <v>38.380000000000003</v>
      </c>
      <c r="Q384" s="6">
        <v>37.83</v>
      </c>
      <c r="R384" s="6">
        <v>2.36</v>
      </c>
      <c r="S384" s="5">
        <v>1107904019664</v>
      </c>
      <c r="T384" s="5">
        <v>28275528074</v>
      </c>
      <c r="U384" s="5">
        <v>26379953744</v>
      </c>
      <c r="V384" s="5">
        <v>1135072382</v>
      </c>
      <c r="W384" s="5">
        <v>760501948</v>
      </c>
      <c r="X384" s="5">
        <v>1136179547738</v>
      </c>
      <c r="Y384" s="5">
        <v>1208468</v>
      </c>
      <c r="Z384" s="5">
        <v>48404660471</v>
      </c>
      <c r="AA384" s="5">
        <v>15795388890</v>
      </c>
      <c r="AB384" s="5">
        <v>1200379597099</v>
      </c>
      <c r="AC384" s="5">
        <v>485367918148</v>
      </c>
      <c r="AD384" s="36">
        <f t="shared" si="27"/>
        <v>134.08624782480004</v>
      </c>
      <c r="AE384" s="5">
        <v>994626460575</v>
      </c>
      <c r="AF384" s="5">
        <v>994626460575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6">
        <v>0</v>
      </c>
      <c r="AM384" s="5">
        <v>0</v>
      </c>
      <c r="AN384" s="6">
        <v>70</v>
      </c>
      <c r="AO384" s="5">
        <v>620175520099</v>
      </c>
      <c r="AP384" s="6">
        <v>11</v>
      </c>
      <c r="AQ384" s="5">
        <v>234696884466</v>
      </c>
      <c r="AR384" s="5">
        <v>28275528074</v>
      </c>
      <c r="AS384" s="5">
        <v>1400426488</v>
      </c>
      <c r="AT384" s="5">
        <f t="shared" si="28"/>
        <v>26875101586</v>
      </c>
      <c r="AU384" s="36">
        <f t="shared" si="29"/>
        <v>1919.0655001378409</v>
      </c>
      <c r="AV384" s="5">
        <v>317750306436</v>
      </c>
      <c r="AW384" s="5">
        <v>27380288482</v>
      </c>
      <c r="AX384" s="5">
        <v>1145891651699</v>
      </c>
      <c r="AY384" s="5">
        <v>578181883775</v>
      </c>
      <c r="AZ384" s="5">
        <v>145650140016</v>
      </c>
      <c r="BA384" s="5">
        <v>1222873161461</v>
      </c>
      <c r="BB384" s="5">
        <v>130567508324</v>
      </c>
      <c r="BC384" s="5">
        <v>3127854327175</v>
      </c>
      <c r="BD384" s="5">
        <v>1762413263122</v>
      </c>
      <c r="BE384" s="5">
        <v>145650140016</v>
      </c>
      <c r="BF384" s="5">
        <v>1219790924037</v>
      </c>
      <c r="BG384" s="5">
        <v>747736461375</v>
      </c>
      <c r="BH384" s="5">
        <v>246889999200</v>
      </c>
      <c r="BI384" s="5">
        <v>0</v>
      </c>
      <c r="BJ384" s="48">
        <v>0</v>
      </c>
      <c r="BK384" s="5">
        <v>0</v>
      </c>
      <c r="BL384" s="5">
        <v>0</v>
      </c>
      <c r="BM384" s="5">
        <v>0</v>
      </c>
      <c r="BN384" s="5">
        <v>0</v>
      </c>
    </row>
    <row r="385" spans="1:66" x14ac:dyDescent="0.25">
      <c r="A385" s="17" t="s">
        <v>604</v>
      </c>
      <c r="B385" s="4">
        <v>3513</v>
      </c>
      <c r="C385" s="4" t="s">
        <v>408</v>
      </c>
      <c r="D385" s="5">
        <v>536630594132</v>
      </c>
      <c r="E385" s="5">
        <v>316533253</v>
      </c>
      <c r="F385" s="5">
        <v>0</v>
      </c>
      <c r="G385" s="5">
        <v>0</v>
      </c>
      <c r="H385" s="5">
        <v>536947127385</v>
      </c>
      <c r="I385" s="5">
        <v>44331787065</v>
      </c>
      <c r="J385" s="5">
        <v>2228180000</v>
      </c>
      <c r="K385" s="5">
        <v>490387160320</v>
      </c>
      <c r="L385" s="5">
        <v>344547806363</v>
      </c>
      <c r="M385" s="5">
        <f t="shared" si="25"/>
        <v>192399321022</v>
      </c>
      <c r="N385" s="36">
        <f t="shared" si="26"/>
        <v>55.841110426138293</v>
      </c>
      <c r="O385" s="5">
        <v>178602775414</v>
      </c>
      <c r="P385" s="36">
        <v>36.020000000000003</v>
      </c>
      <c r="Q385" s="6">
        <v>36.42</v>
      </c>
      <c r="R385" s="6">
        <v>1.9</v>
      </c>
      <c r="S385" s="5">
        <v>180983230262</v>
      </c>
      <c r="T385" s="5">
        <v>3680675048</v>
      </c>
      <c r="U385" s="5">
        <v>3446360161</v>
      </c>
      <c r="V385" s="5">
        <v>234314887</v>
      </c>
      <c r="W385" s="5">
        <v>0</v>
      </c>
      <c r="X385" s="5">
        <v>184663905310</v>
      </c>
      <c r="Y385" s="5">
        <v>0</v>
      </c>
      <c r="Z385" s="5">
        <v>8745280669</v>
      </c>
      <c r="AA385" s="5">
        <v>9000000</v>
      </c>
      <c r="AB385" s="5">
        <v>193418185979</v>
      </c>
      <c r="AC385" s="5">
        <v>129085729764</v>
      </c>
      <c r="AD385" s="36">
        <f t="shared" si="27"/>
        <v>43.055243710989878</v>
      </c>
      <c r="AE385" s="5">
        <v>142311000000</v>
      </c>
      <c r="AF385" s="5">
        <v>142311000000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6">
        <v>0</v>
      </c>
      <c r="AM385" s="5">
        <v>0</v>
      </c>
      <c r="AN385" s="6">
        <v>0</v>
      </c>
      <c r="AO385" s="5">
        <v>0</v>
      </c>
      <c r="AP385" s="6">
        <v>0</v>
      </c>
      <c r="AQ385" s="5">
        <v>0</v>
      </c>
      <c r="AR385" s="5">
        <v>3680675048</v>
      </c>
      <c r="AS385" s="5">
        <v>0</v>
      </c>
      <c r="AT385" s="5">
        <f t="shared" si="28"/>
        <v>3680675048</v>
      </c>
      <c r="AU385" s="36">
        <f t="shared" si="29"/>
        <v>0</v>
      </c>
      <c r="AV385" s="5">
        <v>82954392043</v>
      </c>
      <c r="AW385" s="5">
        <v>10790428874</v>
      </c>
      <c r="AX385" s="5">
        <v>92924642991</v>
      </c>
      <c r="AY385" s="5">
        <v>100482490745</v>
      </c>
      <c r="AZ385" s="5">
        <v>75187934851</v>
      </c>
      <c r="BA385" s="5">
        <v>283256924829</v>
      </c>
      <c r="BB385" s="5">
        <v>75048913275</v>
      </c>
      <c r="BC385" s="5">
        <v>536947127385</v>
      </c>
      <c r="BD385" s="5">
        <v>193723666989</v>
      </c>
      <c r="BE385" s="5">
        <v>75187934851</v>
      </c>
      <c r="BF385" s="5">
        <v>268035525545</v>
      </c>
      <c r="BG385" s="5">
        <v>120961000000</v>
      </c>
      <c r="BH385" s="5">
        <v>21350000000</v>
      </c>
      <c r="BI385" s="5">
        <v>0</v>
      </c>
      <c r="BJ385" s="48">
        <v>0</v>
      </c>
      <c r="BK385" s="5">
        <v>0</v>
      </c>
      <c r="BL385" s="5">
        <v>0</v>
      </c>
      <c r="BM385" s="5">
        <v>0</v>
      </c>
      <c r="BN385" s="5">
        <v>0</v>
      </c>
    </row>
    <row r="386" spans="1:66" s="32" customFormat="1" x14ac:dyDescent="0.25">
      <c r="A386" s="17" t="s">
        <v>604</v>
      </c>
      <c r="B386" s="8">
        <v>3599</v>
      </c>
      <c r="C386" s="8" t="s">
        <v>409</v>
      </c>
      <c r="D386" s="9">
        <v>0</v>
      </c>
      <c r="E386" s="9">
        <v>4242899991</v>
      </c>
      <c r="F386" s="9">
        <v>0</v>
      </c>
      <c r="G386" s="9">
        <v>0</v>
      </c>
      <c r="H386" s="9">
        <v>4242899991</v>
      </c>
      <c r="I386" s="9">
        <v>451645813</v>
      </c>
      <c r="J386" s="9">
        <v>2902500000</v>
      </c>
      <c r="K386" s="9">
        <v>888754178</v>
      </c>
      <c r="L386" s="9">
        <v>4760869754</v>
      </c>
      <c r="M386" s="5">
        <f t="shared" si="25"/>
        <v>-517969763</v>
      </c>
      <c r="N386" s="36">
        <f t="shared" si="26"/>
        <v>-10.879729750321584</v>
      </c>
      <c r="O386" s="9">
        <v>0</v>
      </c>
      <c r="P386" s="36">
        <v>0</v>
      </c>
      <c r="Q386" s="10">
        <v>0</v>
      </c>
      <c r="R386" s="10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36">
        <f t="shared" si="27"/>
        <v>0</v>
      </c>
      <c r="AE386" s="9">
        <v>0</v>
      </c>
      <c r="AF386" s="9">
        <v>0</v>
      </c>
      <c r="AG386" s="9">
        <v>0</v>
      </c>
      <c r="AH386" s="9">
        <v>0</v>
      </c>
      <c r="AI386" s="9">
        <v>0</v>
      </c>
      <c r="AJ386" s="9">
        <v>0</v>
      </c>
      <c r="AK386" s="9">
        <v>0</v>
      </c>
      <c r="AL386" s="10">
        <v>0</v>
      </c>
      <c r="AM386" s="9">
        <v>0</v>
      </c>
      <c r="AN386" s="11">
        <v>0</v>
      </c>
      <c r="AO386" s="9">
        <v>0</v>
      </c>
      <c r="AP386" s="11">
        <v>0</v>
      </c>
      <c r="AQ386" s="9">
        <v>0</v>
      </c>
      <c r="AR386" s="9">
        <v>0</v>
      </c>
      <c r="AS386" s="9">
        <v>0</v>
      </c>
      <c r="AT386" s="5">
        <f t="shared" si="28"/>
        <v>0</v>
      </c>
      <c r="AU386" s="36">
        <f t="shared" si="29"/>
        <v>0</v>
      </c>
      <c r="AV386" s="9">
        <v>0</v>
      </c>
      <c r="AW386" s="9">
        <v>0</v>
      </c>
      <c r="AX386" s="9">
        <v>0</v>
      </c>
      <c r="AY386" s="9">
        <v>0</v>
      </c>
      <c r="AZ386" s="9">
        <v>0</v>
      </c>
      <c r="BA386" s="9">
        <v>0</v>
      </c>
      <c r="BB386" s="9">
        <v>0</v>
      </c>
      <c r="BC386" s="9">
        <v>4242899991</v>
      </c>
      <c r="BD386" s="9">
        <v>4242899991</v>
      </c>
      <c r="BE386" s="9">
        <v>0</v>
      </c>
      <c r="BF386" s="9">
        <v>0</v>
      </c>
      <c r="BG386" s="9">
        <v>0</v>
      </c>
      <c r="BH386" s="9">
        <v>0</v>
      </c>
      <c r="BI386" s="9">
        <v>0</v>
      </c>
      <c r="BJ386" s="51">
        <v>0</v>
      </c>
      <c r="BK386" s="9">
        <v>0</v>
      </c>
      <c r="BL386" s="9">
        <v>0</v>
      </c>
      <c r="BM386" s="9">
        <v>0</v>
      </c>
      <c r="BN386" s="9">
        <v>0</v>
      </c>
    </row>
    <row r="387" spans="1:66" x14ac:dyDescent="0.25">
      <c r="A387" s="30" t="s">
        <v>605</v>
      </c>
      <c r="B387" s="13" t="s">
        <v>625</v>
      </c>
      <c r="C387" s="13" t="s">
        <v>625</v>
      </c>
      <c r="D387" s="14">
        <v>31248792442071</v>
      </c>
      <c r="E387" s="14">
        <v>1946904656847</v>
      </c>
      <c r="F387" s="14">
        <v>0</v>
      </c>
      <c r="G387" s="14">
        <v>1671982320</v>
      </c>
      <c r="H387" s="14">
        <v>33197369081238</v>
      </c>
      <c r="I387" s="14">
        <v>2655211413219</v>
      </c>
      <c r="J387" s="14">
        <v>115346324950</v>
      </c>
      <c r="K387" s="14">
        <v>30426811343069</v>
      </c>
      <c r="L387" s="14">
        <v>24419541837057</v>
      </c>
      <c r="M387" s="14">
        <f t="shared" si="25"/>
        <v>8777827244181</v>
      </c>
      <c r="N387" s="41">
        <f t="shared" si="26"/>
        <v>35.945912919875198</v>
      </c>
      <c r="O387" s="14">
        <v>33193561740132</v>
      </c>
      <c r="P387" s="41">
        <v>119.14</v>
      </c>
      <c r="Q387" s="15">
        <v>109.09</v>
      </c>
      <c r="R387" s="15">
        <v>18.32</v>
      </c>
      <c r="S387" s="14">
        <v>29619155356862</v>
      </c>
      <c r="T387" s="14">
        <v>6965081643489</v>
      </c>
      <c r="U387" s="14">
        <v>2087105209143</v>
      </c>
      <c r="V387" s="14">
        <v>4037205604397</v>
      </c>
      <c r="W387" s="14">
        <v>840770829949</v>
      </c>
      <c r="X387" s="14">
        <v>36584237000351</v>
      </c>
      <c r="Y387" s="14">
        <v>280818903167</v>
      </c>
      <c r="Z387" s="14">
        <v>2816738863026</v>
      </c>
      <c r="AA387" s="14">
        <v>149498097006</v>
      </c>
      <c r="AB387" s="14">
        <v>39550473960383</v>
      </c>
      <c r="AC387" s="14">
        <v>24763677410054</v>
      </c>
      <c r="AD387" s="41">
        <f t="shared" si="27"/>
        <v>47.733458139371002</v>
      </c>
      <c r="AE387" s="14">
        <v>27094841310861</v>
      </c>
      <c r="AF387" s="14">
        <v>25841582778106</v>
      </c>
      <c r="AG387" s="14">
        <v>7641607358310</v>
      </c>
      <c r="AH387" s="14">
        <v>141932218847</v>
      </c>
      <c r="AI387" s="14">
        <v>519078000000</v>
      </c>
      <c r="AJ387" s="14">
        <v>0</v>
      </c>
      <c r="AK387" s="14">
        <v>7580685909</v>
      </c>
      <c r="AL387" s="15">
        <v>16</v>
      </c>
      <c r="AM387" s="14">
        <v>1695446894323</v>
      </c>
      <c r="AN387" s="16">
        <v>1016</v>
      </c>
      <c r="AO387" s="14">
        <v>12709862364124</v>
      </c>
      <c r="AP387" s="15">
        <v>608</v>
      </c>
      <c r="AQ387" s="14">
        <v>15917780337245</v>
      </c>
      <c r="AR387" s="14">
        <v>6965081643489</v>
      </c>
      <c r="AS387" s="14">
        <v>717168150829</v>
      </c>
      <c r="AT387" s="14">
        <f t="shared" si="28"/>
        <v>6247913492660</v>
      </c>
      <c r="AU387" s="41">
        <f t="shared" si="29"/>
        <v>871.19226996316218</v>
      </c>
      <c r="AV387" s="14">
        <v>14983224202373</v>
      </c>
      <c r="AW387" s="14">
        <v>3589607732169</v>
      </c>
      <c r="AX387" s="14">
        <v>10048632080854</v>
      </c>
      <c r="AY387" s="14">
        <v>3223447306078</v>
      </c>
      <c r="AZ387" s="14">
        <v>6438687543095</v>
      </c>
      <c r="BA387" s="14">
        <v>13325582173452</v>
      </c>
      <c r="BB387" s="14">
        <v>4329642290466</v>
      </c>
      <c r="BC387" s="14">
        <v>33197369081238</v>
      </c>
      <c r="BD387" s="14">
        <v>15113243420254</v>
      </c>
      <c r="BE387" s="14">
        <v>6438687543095</v>
      </c>
      <c r="BF387" s="14">
        <v>11645438117889</v>
      </c>
      <c r="BG387" s="14">
        <v>21523135943852</v>
      </c>
      <c r="BH387" s="14">
        <v>5571705367009</v>
      </c>
      <c r="BI387" s="14">
        <v>0</v>
      </c>
      <c r="BJ387" s="49">
        <v>588562889025</v>
      </c>
      <c r="BK387" s="14">
        <v>3167712033124</v>
      </c>
      <c r="BL387" s="14">
        <v>0</v>
      </c>
      <c r="BM387" s="14">
        <v>27938342</v>
      </c>
      <c r="BN387" s="14">
        <v>141904280505</v>
      </c>
    </row>
    <row r="388" spans="1:66" x14ac:dyDescent="0.25">
      <c r="A388" s="17" t="s">
        <v>606</v>
      </c>
      <c r="B388" s="4">
        <v>3600</v>
      </c>
      <c r="C388" s="4" t="s">
        <v>410</v>
      </c>
      <c r="D388" s="5">
        <v>2751440019662</v>
      </c>
      <c r="E388" s="5">
        <v>378664431868</v>
      </c>
      <c r="F388" s="5">
        <v>0</v>
      </c>
      <c r="G388" s="5">
        <v>9871491673</v>
      </c>
      <c r="H388" s="5">
        <v>3139975943203</v>
      </c>
      <c r="I388" s="5">
        <v>259209329955</v>
      </c>
      <c r="J388" s="5">
        <v>41595684279</v>
      </c>
      <c r="K388" s="5">
        <v>2839170928969</v>
      </c>
      <c r="L388" s="5">
        <v>2148158522001</v>
      </c>
      <c r="M388" s="5">
        <f t="shared" ref="M388:M451" si="30">H388-L388</f>
        <v>991817421202</v>
      </c>
      <c r="N388" s="36">
        <f t="shared" ref="N388:N451" si="31">IFERROR(M388/L388*100,0)</f>
        <v>46.170588019646083</v>
      </c>
      <c r="O388" s="5">
        <v>4821076794905</v>
      </c>
      <c r="P388" s="36">
        <v>227.76</v>
      </c>
      <c r="Q388" s="6">
        <v>169.81</v>
      </c>
      <c r="R388" s="6">
        <v>1.3</v>
      </c>
      <c r="S388" s="5">
        <v>6932229701251</v>
      </c>
      <c r="T388" s="5">
        <v>62426718030</v>
      </c>
      <c r="U388" s="5">
        <v>23786945806</v>
      </c>
      <c r="V388" s="5">
        <v>20118630754</v>
      </c>
      <c r="W388" s="5">
        <v>18521141470</v>
      </c>
      <c r="X388" s="5">
        <v>6994656419281</v>
      </c>
      <c r="Y388" s="5">
        <v>30419185592</v>
      </c>
      <c r="Z388" s="5">
        <v>138500541340</v>
      </c>
      <c r="AA388" s="5">
        <v>18399993396</v>
      </c>
      <c r="AB388" s="5">
        <v>7151556954017</v>
      </c>
      <c r="AC388" s="5">
        <v>4553323854972</v>
      </c>
      <c r="AD388" s="36">
        <f t="shared" ref="AD388:AD451" si="32">IFERROR((X388-AC388)/AC388*100,0)</f>
        <v>53.61649296355646</v>
      </c>
      <c r="AE388" s="5">
        <v>3378697070577</v>
      </c>
      <c r="AF388" s="5">
        <v>2908232002780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6">
        <v>0</v>
      </c>
      <c r="AM388" s="5">
        <v>0</v>
      </c>
      <c r="AN388" s="6">
        <v>269</v>
      </c>
      <c r="AO388" s="5">
        <v>4333395606380</v>
      </c>
      <c r="AP388" s="6">
        <v>61</v>
      </c>
      <c r="AQ388" s="5">
        <v>985947484955</v>
      </c>
      <c r="AR388" s="5">
        <v>62426718030</v>
      </c>
      <c r="AS388" s="5">
        <v>84533485071</v>
      </c>
      <c r="AT388" s="5">
        <f t="shared" ref="AT388:AT451" si="33">AR388-AS388</f>
        <v>-22106767041</v>
      </c>
      <c r="AU388" s="36">
        <f t="shared" ref="AU388:AU451" si="34">IFERROR(AT388/AS388*100,0)</f>
        <v>-26.151491355682825</v>
      </c>
      <c r="AV388" s="5">
        <v>1539733872731</v>
      </c>
      <c r="AW388" s="5">
        <v>262108212433</v>
      </c>
      <c r="AX388" s="5">
        <v>713225359208</v>
      </c>
      <c r="AY388" s="5">
        <v>1021852016054</v>
      </c>
      <c r="AZ388" s="5">
        <v>589487551600</v>
      </c>
      <c r="BA388" s="5">
        <v>461426849872</v>
      </c>
      <c r="BB388" s="5">
        <v>335387043344</v>
      </c>
      <c r="BC388" s="5">
        <v>3139975943203</v>
      </c>
      <c r="BD388" s="5">
        <v>2066828491123</v>
      </c>
      <c r="BE388" s="5">
        <v>589487551600</v>
      </c>
      <c r="BF388" s="5">
        <v>483659900480</v>
      </c>
      <c r="BG388" s="5">
        <v>2420501432860</v>
      </c>
      <c r="BH388" s="5">
        <v>958195637717</v>
      </c>
      <c r="BI388" s="5">
        <v>0</v>
      </c>
      <c r="BJ388" s="48">
        <v>0</v>
      </c>
      <c r="BK388" s="5">
        <v>0</v>
      </c>
      <c r="BL388" s="5">
        <v>0</v>
      </c>
      <c r="BM388" s="5">
        <v>9387964096</v>
      </c>
      <c r="BN388" s="5">
        <v>0</v>
      </c>
    </row>
    <row r="389" spans="1:66" x14ac:dyDescent="0.25">
      <c r="A389" s="17" t="s">
        <v>606</v>
      </c>
      <c r="B389" s="4">
        <v>3601</v>
      </c>
      <c r="C389" s="4" t="s">
        <v>411</v>
      </c>
      <c r="D389" s="5">
        <v>1288450165839</v>
      </c>
      <c r="E389" s="5">
        <v>41724968532</v>
      </c>
      <c r="F389" s="5">
        <v>0</v>
      </c>
      <c r="G389" s="5">
        <v>0</v>
      </c>
      <c r="H389" s="5">
        <v>1330175134371</v>
      </c>
      <c r="I389" s="5">
        <v>90607346642</v>
      </c>
      <c r="J389" s="5">
        <v>3236705000</v>
      </c>
      <c r="K389" s="5">
        <v>1236331082729</v>
      </c>
      <c r="L389" s="5">
        <v>984213907119</v>
      </c>
      <c r="M389" s="5">
        <f t="shared" si="30"/>
        <v>345961227252</v>
      </c>
      <c r="N389" s="36">
        <f t="shared" si="31"/>
        <v>35.151019991650074</v>
      </c>
      <c r="O389" s="5">
        <v>1904169112081</v>
      </c>
      <c r="P389" s="36">
        <v>162.85</v>
      </c>
      <c r="Q389" s="6">
        <v>154.02000000000001</v>
      </c>
      <c r="R389" s="6">
        <v>3.79</v>
      </c>
      <c r="S389" s="5">
        <v>2004819434190</v>
      </c>
      <c r="T389" s="5">
        <v>71298772298</v>
      </c>
      <c r="U389" s="5">
        <v>53190250368</v>
      </c>
      <c r="V389" s="5">
        <v>14457405577</v>
      </c>
      <c r="W389" s="5">
        <v>3651116353</v>
      </c>
      <c r="X389" s="5">
        <v>2076118206488</v>
      </c>
      <c r="Y389" s="5">
        <v>10850753965</v>
      </c>
      <c r="Z389" s="5">
        <v>70010944259</v>
      </c>
      <c r="AA389" s="5">
        <v>20000000000</v>
      </c>
      <c r="AB389" s="5">
        <v>2166129150747</v>
      </c>
      <c r="AC389" s="5">
        <v>1666118990522</v>
      </c>
      <c r="AD389" s="36">
        <f t="shared" si="32"/>
        <v>24.608039299614852</v>
      </c>
      <c r="AE389" s="5">
        <v>889887731779</v>
      </c>
      <c r="AF389" s="5">
        <v>622560000000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6">
        <v>0</v>
      </c>
      <c r="AM389" s="5">
        <v>0</v>
      </c>
      <c r="AN389" s="6">
        <v>75</v>
      </c>
      <c r="AO389" s="5">
        <v>323142450129</v>
      </c>
      <c r="AP389" s="6">
        <v>32</v>
      </c>
      <c r="AQ389" s="5">
        <v>140266897061</v>
      </c>
      <c r="AR389" s="5">
        <v>71298772298</v>
      </c>
      <c r="AS389" s="5">
        <v>27501881296</v>
      </c>
      <c r="AT389" s="5">
        <f t="shared" si="33"/>
        <v>43796891002</v>
      </c>
      <c r="AU389" s="36">
        <f t="shared" si="34"/>
        <v>159.2505273752673</v>
      </c>
      <c r="AV389" s="5">
        <v>398746925746</v>
      </c>
      <c r="AW389" s="5">
        <v>137324072057</v>
      </c>
      <c r="AX389" s="5">
        <v>101833335096</v>
      </c>
      <c r="AY389" s="5">
        <v>491423597867</v>
      </c>
      <c r="AZ389" s="5">
        <v>380349890931</v>
      </c>
      <c r="BA389" s="5">
        <v>320063025981</v>
      </c>
      <c r="BB389" s="5">
        <v>309526441081</v>
      </c>
      <c r="BC389" s="5">
        <v>1330175134371</v>
      </c>
      <c r="BD389" s="5">
        <v>634981901495</v>
      </c>
      <c r="BE389" s="5">
        <v>380349890931</v>
      </c>
      <c r="BF389" s="5">
        <v>314843341945</v>
      </c>
      <c r="BG389" s="5">
        <v>827177731779</v>
      </c>
      <c r="BH389" s="5">
        <v>62710000000</v>
      </c>
      <c r="BI389" s="5">
        <v>0</v>
      </c>
      <c r="BJ389" s="48">
        <v>0</v>
      </c>
      <c r="BK389" s="5">
        <v>0</v>
      </c>
      <c r="BL389" s="5">
        <v>0</v>
      </c>
      <c r="BM389" s="5">
        <v>0</v>
      </c>
      <c r="BN389" s="5">
        <v>0</v>
      </c>
    </row>
    <row r="390" spans="1:66" x14ac:dyDescent="0.25">
      <c r="A390" s="17" t="s">
        <v>606</v>
      </c>
      <c r="B390" s="18">
        <v>3602</v>
      </c>
      <c r="C390" s="18" t="s">
        <v>412</v>
      </c>
      <c r="D390" s="19">
        <v>1363308174706</v>
      </c>
      <c r="E390" s="19">
        <v>47761836907</v>
      </c>
      <c r="F390" s="19">
        <v>0</v>
      </c>
      <c r="G390" s="19">
        <v>0</v>
      </c>
      <c r="H390" s="19">
        <v>1411070011613</v>
      </c>
      <c r="I390" s="19">
        <v>118778574063</v>
      </c>
      <c r="J390" s="19">
        <v>3307672850</v>
      </c>
      <c r="K390" s="19">
        <v>1288983764700</v>
      </c>
      <c r="L390" s="19">
        <v>768372722527</v>
      </c>
      <c r="M390" s="5">
        <f t="shared" si="30"/>
        <v>642697289086</v>
      </c>
      <c r="N390" s="36">
        <f t="shared" si="31"/>
        <v>83.643949120462963</v>
      </c>
      <c r="O390" s="19">
        <v>1145589034066</v>
      </c>
      <c r="P390" s="36">
        <v>97.68</v>
      </c>
      <c r="Q390" s="20">
        <v>88.88</v>
      </c>
      <c r="R390" s="20">
        <v>7.57</v>
      </c>
      <c r="S390" s="19">
        <v>1049486846874</v>
      </c>
      <c r="T390" s="19">
        <v>104023415772</v>
      </c>
      <c r="U390" s="19">
        <v>18416640789</v>
      </c>
      <c r="V390" s="19">
        <v>78192323296</v>
      </c>
      <c r="W390" s="19">
        <v>7414451687</v>
      </c>
      <c r="X390" s="19">
        <v>1153510262646</v>
      </c>
      <c r="Y390" s="5">
        <v>326192583</v>
      </c>
      <c r="Z390" s="19">
        <v>206868870845</v>
      </c>
      <c r="AA390" s="19">
        <v>17999994000</v>
      </c>
      <c r="AB390" s="19">
        <v>1378379127491</v>
      </c>
      <c r="AC390" s="19">
        <v>1009882843563</v>
      </c>
      <c r="AD390" s="36">
        <f t="shared" si="32"/>
        <v>14.222186266306247</v>
      </c>
      <c r="AE390" s="19">
        <v>607299592041</v>
      </c>
      <c r="AF390" s="19">
        <v>603487435950</v>
      </c>
      <c r="AG390" s="19">
        <v>0</v>
      </c>
      <c r="AH390" s="19">
        <v>0</v>
      </c>
      <c r="AI390" s="19">
        <v>0</v>
      </c>
      <c r="AJ390" s="19">
        <v>0</v>
      </c>
      <c r="AK390" s="19">
        <v>0</v>
      </c>
      <c r="AL390" s="20">
        <v>0</v>
      </c>
      <c r="AM390" s="19">
        <v>0</v>
      </c>
      <c r="AN390" s="21">
        <v>23</v>
      </c>
      <c r="AO390" s="19">
        <v>300370079562</v>
      </c>
      <c r="AP390" s="21">
        <v>14</v>
      </c>
      <c r="AQ390" s="19">
        <v>183798873341</v>
      </c>
      <c r="AR390" s="19">
        <v>104023415772</v>
      </c>
      <c r="AS390" s="19">
        <v>18474482466</v>
      </c>
      <c r="AT390" s="5">
        <f t="shared" si="33"/>
        <v>85548933306</v>
      </c>
      <c r="AU390" s="36">
        <f t="shared" si="34"/>
        <v>463.06538471885335</v>
      </c>
      <c r="AV390" s="19">
        <v>361985858255</v>
      </c>
      <c r="AW390" s="19">
        <v>91449676628</v>
      </c>
      <c r="AX390" s="19">
        <v>495891288870</v>
      </c>
      <c r="AY390" s="19">
        <v>241760322327</v>
      </c>
      <c r="AZ390" s="19">
        <v>486386494909</v>
      </c>
      <c r="BA390" s="19">
        <v>228593765468</v>
      </c>
      <c r="BB390" s="19">
        <v>307440517814</v>
      </c>
      <c r="BC390" s="19">
        <v>1411070011613</v>
      </c>
      <c r="BD390" s="19">
        <v>785413448104</v>
      </c>
      <c r="BE390" s="19">
        <v>486386494909</v>
      </c>
      <c r="BF390" s="19">
        <v>139270068600</v>
      </c>
      <c r="BG390" s="19">
        <v>588079592041</v>
      </c>
      <c r="BH390" s="19">
        <v>19220000000</v>
      </c>
      <c r="BI390" s="19">
        <v>0</v>
      </c>
      <c r="BJ390" s="50">
        <v>0</v>
      </c>
      <c r="BK390" s="19">
        <v>0</v>
      </c>
      <c r="BL390" s="19">
        <v>0</v>
      </c>
      <c r="BM390" s="19">
        <v>0</v>
      </c>
      <c r="BN390" s="19">
        <v>0</v>
      </c>
    </row>
    <row r="391" spans="1:66" x14ac:dyDescent="0.25">
      <c r="A391" s="17" t="s">
        <v>606</v>
      </c>
      <c r="B391" s="4">
        <v>3603</v>
      </c>
      <c r="C391" s="4" t="s">
        <v>413</v>
      </c>
      <c r="D391" s="5">
        <v>1202482759464</v>
      </c>
      <c r="E391" s="5">
        <v>47438337845</v>
      </c>
      <c r="F391" s="5">
        <v>0</v>
      </c>
      <c r="G391" s="5">
        <v>0</v>
      </c>
      <c r="H391" s="5">
        <v>1249921097309</v>
      </c>
      <c r="I391" s="5">
        <v>97949462694</v>
      </c>
      <c r="J391" s="5">
        <v>2324748796</v>
      </c>
      <c r="K391" s="5">
        <v>1149646885819</v>
      </c>
      <c r="L391" s="5">
        <v>824424922344</v>
      </c>
      <c r="M391" s="5">
        <f t="shared" si="30"/>
        <v>425496174965</v>
      </c>
      <c r="N391" s="36">
        <f t="shared" si="31"/>
        <v>51.611270284652697</v>
      </c>
      <c r="O391" s="5">
        <v>2012028022762</v>
      </c>
      <c r="P391" s="36">
        <v>182.37</v>
      </c>
      <c r="Q391" s="6">
        <v>175.01</v>
      </c>
      <c r="R391" s="6">
        <v>6.95</v>
      </c>
      <c r="S391" s="5">
        <v>2033664325318</v>
      </c>
      <c r="T391" s="5">
        <v>157642833902</v>
      </c>
      <c r="U391" s="5">
        <v>72988650339</v>
      </c>
      <c r="V391" s="5">
        <v>80396341513</v>
      </c>
      <c r="W391" s="5">
        <v>4257842050</v>
      </c>
      <c r="X391" s="5">
        <v>2191307159220</v>
      </c>
      <c r="Y391" s="5">
        <v>709268962</v>
      </c>
      <c r="Z391" s="5">
        <v>88206669768</v>
      </c>
      <c r="AA391" s="5">
        <v>0</v>
      </c>
      <c r="AB391" s="5">
        <v>2279513828988</v>
      </c>
      <c r="AC391" s="5">
        <v>1707516288731</v>
      </c>
      <c r="AD391" s="36">
        <f t="shared" si="32"/>
        <v>28.333016421679112</v>
      </c>
      <c r="AE391" s="5">
        <v>1133434445644</v>
      </c>
      <c r="AF391" s="5">
        <v>988808179279</v>
      </c>
      <c r="AG391" s="5">
        <v>0</v>
      </c>
      <c r="AH391" s="5">
        <v>26711107135</v>
      </c>
      <c r="AI391" s="5">
        <v>0</v>
      </c>
      <c r="AJ391" s="5">
        <v>0</v>
      </c>
      <c r="AK391" s="5">
        <v>0</v>
      </c>
      <c r="AL391" s="6">
        <v>0</v>
      </c>
      <c r="AM391" s="5">
        <v>0</v>
      </c>
      <c r="AN391" s="6">
        <v>158</v>
      </c>
      <c r="AO391" s="5">
        <v>932817157030</v>
      </c>
      <c r="AP391" s="6">
        <v>10</v>
      </c>
      <c r="AQ391" s="5">
        <v>64494880000</v>
      </c>
      <c r="AR391" s="5">
        <v>157642833902</v>
      </c>
      <c r="AS391" s="5">
        <v>115606693531</v>
      </c>
      <c r="AT391" s="5">
        <f t="shared" si="33"/>
        <v>42036140371</v>
      </c>
      <c r="AU391" s="36">
        <f t="shared" si="34"/>
        <v>36.361337814516759</v>
      </c>
      <c r="AV391" s="5">
        <v>585465771916</v>
      </c>
      <c r="AW391" s="5">
        <v>208012902217</v>
      </c>
      <c r="AX391" s="5">
        <v>124252141244</v>
      </c>
      <c r="AY391" s="5">
        <v>367255042879</v>
      </c>
      <c r="AZ391" s="5">
        <v>582610775341</v>
      </c>
      <c r="BA391" s="5">
        <v>138297030084</v>
      </c>
      <c r="BB391" s="5">
        <v>398006460594</v>
      </c>
      <c r="BC391" s="5">
        <v>1249921097309</v>
      </c>
      <c r="BD391" s="5">
        <v>538945521968</v>
      </c>
      <c r="BE391" s="5">
        <v>582610775341</v>
      </c>
      <c r="BF391" s="5">
        <v>128364800000</v>
      </c>
      <c r="BG391" s="5">
        <v>938959643491</v>
      </c>
      <c r="BH391" s="5">
        <v>194474802153</v>
      </c>
      <c r="BI391" s="5">
        <v>0</v>
      </c>
      <c r="BJ391" s="48">
        <v>0</v>
      </c>
      <c r="BK391" s="5">
        <v>0</v>
      </c>
      <c r="BL391" s="5">
        <v>0</v>
      </c>
      <c r="BM391" s="5">
        <v>0</v>
      </c>
      <c r="BN391" s="5">
        <v>26711107135</v>
      </c>
    </row>
    <row r="392" spans="1:66" x14ac:dyDescent="0.25">
      <c r="A392" s="17" t="s">
        <v>606</v>
      </c>
      <c r="B392" s="4">
        <v>3604</v>
      </c>
      <c r="C392" s="4" t="s">
        <v>414</v>
      </c>
      <c r="D392" s="5">
        <v>3357724807693</v>
      </c>
      <c r="E392" s="5">
        <v>101771825902</v>
      </c>
      <c r="F392" s="5">
        <v>0</v>
      </c>
      <c r="G392" s="5">
        <v>18379008560</v>
      </c>
      <c r="H392" s="5">
        <v>3477875642155</v>
      </c>
      <c r="I392" s="5">
        <v>284303932510</v>
      </c>
      <c r="J392" s="5">
        <v>5154489474</v>
      </c>
      <c r="K392" s="5">
        <v>3188417220171</v>
      </c>
      <c r="L392" s="5">
        <v>2502451977705</v>
      </c>
      <c r="M392" s="5">
        <f t="shared" si="30"/>
        <v>975423664450</v>
      </c>
      <c r="N392" s="36">
        <f t="shared" si="31"/>
        <v>38.978716600370547</v>
      </c>
      <c r="O392" s="5">
        <v>1888484387502</v>
      </c>
      <c r="P392" s="36">
        <v>62.18</v>
      </c>
      <c r="Q392" s="6">
        <v>59.23</v>
      </c>
      <c r="R392" s="6">
        <v>5.05</v>
      </c>
      <c r="S392" s="5">
        <v>1985770072101</v>
      </c>
      <c r="T392" s="5">
        <v>108970274736</v>
      </c>
      <c r="U392" s="5">
        <v>48269674152</v>
      </c>
      <c r="V392" s="5">
        <v>60606665968</v>
      </c>
      <c r="W392" s="5">
        <v>93934616</v>
      </c>
      <c r="X392" s="5">
        <v>2094740346837</v>
      </c>
      <c r="Y392" s="5">
        <v>263279148</v>
      </c>
      <c r="Z392" s="5">
        <v>67807042239</v>
      </c>
      <c r="AA392" s="5">
        <v>0</v>
      </c>
      <c r="AB392" s="5">
        <v>2162547389076</v>
      </c>
      <c r="AC392" s="5">
        <v>1389984368397</v>
      </c>
      <c r="AD392" s="36">
        <f t="shared" si="32"/>
        <v>50.702439139855947</v>
      </c>
      <c r="AE392" s="5">
        <v>1478816360784</v>
      </c>
      <c r="AF392" s="5">
        <v>1176023250105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6">
        <v>0</v>
      </c>
      <c r="AM392" s="5">
        <v>0</v>
      </c>
      <c r="AN392" s="6">
        <v>84</v>
      </c>
      <c r="AO392" s="5">
        <v>1843011082387</v>
      </c>
      <c r="AP392" s="6">
        <v>38</v>
      </c>
      <c r="AQ392" s="5">
        <v>890518814959</v>
      </c>
      <c r="AR392" s="5">
        <v>108970274736</v>
      </c>
      <c r="AS392" s="5">
        <v>8828827980</v>
      </c>
      <c r="AT392" s="5">
        <f t="shared" si="33"/>
        <v>100141446756</v>
      </c>
      <c r="AU392" s="36">
        <f t="shared" si="34"/>
        <v>1134.2552712868689</v>
      </c>
      <c r="AV392" s="5">
        <v>670474925454</v>
      </c>
      <c r="AW392" s="5">
        <v>138487826052</v>
      </c>
      <c r="AX392" s="5">
        <v>623897730409</v>
      </c>
      <c r="AY392" s="5">
        <v>1129064801196</v>
      </c>
      <c r="AZ392" s="5">
        <v>361546797830</v>
      </c>
      <c r="BA392" s="5">
        <v>1252027648982</v>
      </c>
      <c r="BB392" s="5">
        <v>195303852272</v>
      </c>
      <c r="BC392" s="5">
        <v>3477875642155</v>
      </c>
      <c r="BD392" s="5">
        <v>1873113366067</v>
      </c>
      <c r="BE392" s="5">
        <v>361546797830</v>
      </c>
      <c r="BF392" s="5">
        <v>1243215478258</v>
      </c>
      <c r="BG392" s="5">
        <v>1183281290784</v>
      </c>
      <c r="BH392" s="5">
        <v>295535070000</v>
      </c>
      <c r="BI392" s="5">
        <v>0</v>
      </c>
      <c r="BJ392" s="48">
        <v>0</v>
      </c>
      <c r="BK392" s="5">
        <v>0</v>
      </c>
      <c r="BL392" s="5">
        <v>0</v>
      </c>
      <c r="BM392" s="5">
        <v>0</v>
      </c>
      <c r="BN392" s="5">
        <v>0</v>
      </c>
    </row>
    <row r="393" spans="1:66" x14ac:dyDescent="0.25">
      <c r="A393" s="17" t="s">
        <v>606</v>
      </c>
      <c r="B393" s="8">
        <v>3605</v>
      </c>
      <c r="C393" s="8" t="s">
        <v>415</v>
      </c>
      <c r="D393" s="9">
        <v>4216103511004</v>
      </c>
      <c r="E393" s="9">
        <v>83569450010</v>
      </c>
      <c r="F393" s="9">
        <v>0</v>
      </c>
      <c r="G393" s="9">
        <v>0</v>
      </c>
      <c r="H393" s="9">
        <v>4299672961014</v>
      </c>
      <c r="I393" s="9">
        <v>173899917398</v>
      </c>
      <c r="J393" s="9">
        <v>3516153928</v>
      </c>
      <c r="K393" s="9">
        <v>4122256889688</v>
      </c>
      <c r="L393" s="9">
        <v>1261615058722</v>
      </c>
      <c r="M393" s="5">
        <f t="shared" si="30"/>
        <v>3038057902292</v>
      </c>
      <c r="N393" s="36">
        <f t="shared" si="31"/>
        <v>240.80704183806381</v>
      </c>
      <c r="O393" s="9">
        <v>8130557547343</v>
      </c>
      <c r="P393" s="36">
        <v>197.54</v>
      </c>
      <c r="Q393" s="10">
        <v>197.24</v>
      </c>
      <c r="R393" s="10">
        <v>60.27</v>
      </c>
      <c r="S393" s="9">
        <v>1820230693314</v>
      </c>
      <c r="T393" s="9">
        <v>5018537873966</v>
      </c>
      <c r="U393" s="9">
        <v>140832160013</v>
      </c>
      <c r="V393" s="9">
        <v>4222506557482</v>
      </c>
      <c r="W393" s="9">
        <v>655199156471</v>
      </c>
      <c r="X393" s="9">
        <v>6838768567280</v>
      </c>
      <c r="Y393" s="5">
        <v>100486938332</v>
      </c>
      <c r="Z393" s="9">
        <v>1652348075627</v>
      </c>
      <c r="AA393" s="9">
        <v>2419790000</v>
      </c>
      <c r="AB393" s="9">
        <v>8493536432907</v>
      </c>
      <c r="AC393" s="9">
        <v>4782592211801</v>
      </c>
      <c r="AD393" s="36">
        <f t="shared" si="32"/>
        <v>42.992926522261392</v>
      </c>
      <c r="AE393" s="9">
        <v>4050054763638</v>
      </c>
      <c r="AF393" s="9">
        <v>4050054763638</v>
      </c>
      <c r="AG393" s="9">
        <v>2757784337289</v>
      </c>
      <c r="AH393" s="9">
        <v>0</v>
      </c>
      <c r="AI393" s="9">
        <v>0</v>
      </c>
      <c r="AJ393" s="9">
        <v>0</v>
      </c>
      <c r="AK393" s="9">
        <v>0</v>
      </c>
      <c r="AL393" s="10">
        <v>11</v>
      </c>
      <c r="AM393" s="9">
        <v>1464389081703</v>
      </c>
      <c r="AN393" s="11">
        <v>41</v>
      </c>
      <c r="AO393" s="9">
        <v>568583070786</v>
      </c>
      <c r="AP393" s="11">
        <v>6</v>
      </c>
      <c r="AQ393" s="9">
        <v>17602574963</v>
      </c>
      <c r="AR393" s="9">
        <v>5018537873966</v>
      </c>
      <c r="AS393" s="9">
        <v>1450432388945</v>
      </c>
      <c r="AT393" s="5">
        <f t="shared" si="33"/>
        <v>3568105485021</v>
      </c>
      <c r="AU393" s="36">
        <f t="shared" si="34"/>
        <v>246.00288246571287</v>
      </c>
      <c r="AV393" s="9">
        <v>2173843437193</v>
      </c>
      <c r="AW393" s="9">
        <v>315581924045</v>
      </c>
      <c r="AX393" s="9">
        <v>140034705644</v>
      </c>
      <c r="AY393" s="9">
        <v>2782942490714</v>
      </c>
      <c r="AZ393" s="9">
        <v>1098874226567</v>
      </c>
      <c r="BA393" s="9">
        <v>194253125171</v>
      </c>
      <c r="BB393" s="9">
        <v>636702442526</v>
      </c>
      <c r="BC393" s="9">
        <v>4299672961014</v>
      </c>
      <c r="BD393" s="9">
        <v>3006546646368</v>
      </c>
      <c r="BE393" s="9">
        <v>1098874226567</v>
      </c>
      <c r="BF393" s="9">
        <v>194252088079</v>
      </c>
      <c r="BG393" s="9">
        <v>3754828598522</v>
      </c>
      <c r="BH393" s="9">
        <v>295226165116</v>
      </c>
      <c r="BI393" s="9">
        <v>0</v>
      </c>
      <c r="BJ393" s="51">
        <v>385953096232</v>
      </c>
      <c r="BK393" s="9">
        <v>1776719028786</v>
      </c>
      <c r="BL393" s="9">
        <v>0</v>
      </c>
      <c r="BM393" s="9">
        <v>268643057760</v>
      </c>
      <c r="BN393" s="9">
        <v>0</v>
      </c>
    </row>
    <row r="394" spans="1:66" x14ac:dyDescent="0.25">
      <c r="A394" s="17" t="s">
        <v>606</v>
      </c>
      <c r="B394" s="4">
        <v>3606</v>
      </c>
      <c r="C394" s="4" t="s">
        <v>416</v>
      </c>
      <c r="D394" s="5">
        <v>5626114136178</v>
      </c>
      <c r="E394" s="5">
        <v>648276596481</v>
      </c>
      <c r="F394" s="5">
        <v>0</v>
      </c>
      <c r="G394" s="5">
        <v>0</v>
      </c>
      <c r="H394" s="5">
        <v>6274390732659</v>
      </c>
      <c r="I394" s="5">
        <v>476130927432</v>
      </c>
      <c r="J394" s="5">
        <v>737305000</v>
      </c>
      <c r="K394" s="5">
        <v>5797522500227</v>
      </c>
      <c r="L394" s="5">
        <v>4175228731320</v>
      </c>
      <c r="M394" s="5">
        <f t="shared" si="30"/>
        <v>2099162001339</v>
      </c>
      <c r="N394" s="36">
        <f t="shared" si="31"/>
        <v>50.276574923725178</v>
      </c>
      <c r="O394" s="5">
        <v>3707012066576</v>
      </c>
      <c r="P394" s="36">
        <v>68.41</v>
      </c>
      <c r="Q394" s="6">
        <v>63.94</v>
      </c>
      <c r="R394" s="6">
        <v>11.51</v>
      </c>
      <c r="S394" s="5">
        <v>3510022432759</v>
      </c>
      <c r="T394" s="5">
        <v>451868469965</v>
      </c>
      <c r="U394" s="5">
        <v>94038853605</v>
      </c>
      <c r="V394" s="5">
        <v>11324473424</v>
      </c>
      <c r="W394" s="5">
        <v>346505142936</v>
      </c>
      <c r="X394" s="5">
        <v>3961890902724</v>
      </c>
      <c r="Y394" s="5">
        <v>42212388005</v>
      </c>
      <c r="Z394" s="5">
        <v>312404058993</v>
      </c>
      <c r="AA394" s="5">
        <v>17883310305</v>
      </c>
      <c r="AB394" s="5">
        <v>4292178272022</v>
      </c>
      <c r="AC394" s="5">
        <v>3163428691234</v>
      </c>
      <c r="AD394" s="36">
        <f t="shared" si="32"/>
        <v>25.240404934765049</v>
      </c>
      <c r="AE394" s="5">
        <v>3443877206403</v>
      </c>
      <c r="AF394" s="5">
        <v>3305757197259</v>
      </c>
      <c r="AG394" s="5">
        <v>1061350293300</v>
      </c>
      <c r="AH394" s="5">
        <v>2668607865</v>
      </c>
      <c r="AI394" s="5">
        <v>0</v>
      </c>
      <c r="AJ394" s="5">
        <v>0</v>
      </c>
      <c r="AK394" s="5">
        <v>0</v>
      </c>
      <c r="AL394" s="6">
        <v>0</v>
      </c>
      <c r="AM394" s="5">
        <v>0</v>
      </c>
      <c r="AN394" s="6">
        <v>465</v>
      </c>
      <c r="AO394" s="5">
        <v>5270104235154</v>
      </c>
      <c r="AP394" s="6">
        <v>315</v>
      </c>
      <c r="AQ394" s="5">
        <v>5935407077183</v>
      </c>
      <c r="AR394" s="5">
        <v>451868469965</v>
      </c>
      <c r="AS394" s="5">
        <v>250084863907</v>
      </c>
      <c r="AT394" s="5">
        <f t="shared" si="33"/>
        <v>201783606058</v>
      </c>
      <c r="AU394" s="36">
        <f t="shared" si="34"/>
        <v>80.686053088378046</v>
      </c>
      <c r="AV394" s="5">
        <v>2631548023906</v>
      </c>
      <c r="AW394" s="5">
        <v>275544783451</v>
      </c>
      <c r="AX394" s="5">
        <v>1604004383858</v>
      </c>
      <c r="AY394" s="5">
        <v>730154669814</v>
      </c>
      <c r="AZ394" s="5">
        <v>1503038436493</v>
      </c>
      <c r="BA394" s="5">
        <v>1877113023877</v>
      </c>
      <c r="BB394" s="5">
        <v>1002631626517</v>
      </c>
      <c r="BC394" s="5">
        <v>6274390732659</v>
      </c>
      <c r="BD394" s="5">
        <v>2982435650153</v>
      </c>
      <c r="BE394" s="5">
        <v>1503038436493</v>
      </c>
      <c r="BF394" s="5">
        <v>1788916646013</v>
      </c>
      <c r="BG394" s="5">
        <v>2971023763437</v>
      </c>
      <c r="BH394" s="5">
        <v>472853442966</v>
      </c>
      <c r="BI394" s="5">
        <v>0</v>
      </c>
      <c r="BJ394" s="48">
        <v>19196741212</v>
      </c>
      <c r="BK394" s="5">
        <v>1061350293300</v>
      </c>
      <c r="BL394" s="5">
        <v>0</v>
      </c>
      <c r="BM394" s="5">
        <v>0</v>
      </c>
      <c r="BN394" s="5">
        <v>2668607865</v>
      </c>
    </row>
    <row r="395" spans="1:66" x14ac:dyDescent="0.25">
      <c r="A395" s="17" t="s">
        <v>606</v>
      </c>
      <c r="B395" s="4">
        <v>3607</v>
      </c>
      <c r="C395" s="4" t="s">
        <v>417</v>
      </c>
      <c r="D395" s="5">
        <v>2212563008394</v>
      </c>
      <c r="E395" s="5">
        <v>188912642032</v>
      </c>
      <c r="F395" s="5">
        <v>0</v>
      </c>
      <c r="G395" s="5">
        <v>0</v>
      </c>
      <c r="H395" s="5">
        <v>2401475650426</v>
      </c>
      <c r="I395" s="5">
        <v>258345087592</v>
      </c>
      <c r="J395" s="5">
        <v>6308655000</v>
      </c>
      <c r="K395" s="5">
        <v>2136821907834</v>
      </c>
      <c r="L395" s="5">
        <v>1383292978572</v>
      </c>
      <c r="M395" s="5">
        <f t="shared" si="30"/>
        <v>1018182671854</v>
      </c>
      <c r="N395" s="36">
        <f t="shared" si="31"/>
        <v>73.605713874517718</v>
      </c>
      <c r="O395" s="5">
        <v>1665142849730</v>
      </c>
      <c r="P395" s="36">
        <v>79.45</v>
      </c>
      <c r="Q395" s="6">
        <v>77.930000000000007</v>
      </c>
      <c r="R395" s="6">
        <v>3.25</v>
      </c>
      <c r="S395" s="5">
        <v>1707024588766</v>
      </c>
      <c r="T395" s="5">
        <v>62046345282</v>
      </c>
      <c r="U395" s="5">
        <v>38637925090</v>
      </c>
      <c r="V395" s="5">
        <v>23408420192</v>
      </c>
      <c r="W395" s="5">
        <v>0</v>
      </c>
      <c r="X395" s="5">
        <v>1769070934048</v>
      </c>
      <c r="Y395" s="5">
        <v>0</v>
      </c>
      <c r="Z395" s="5">
        <v>124978848136</v>
      </c>
      <c r="AA395" s="5">
        <v>14000000000</v>
      </c>
      <c r="AB395" s="5">
        <v>1908049782184</v>
      </c>
      <c r="AC395" s="5">
        <v>1261686193028</v>
      </c>
      <c r="AD395" s="36">
        <f t="shared" si="32"/>
        <v>40.214812829353029</v>
      </c>
      <c r="AE395" s="5">
        <v>1008591559709</v>
      </c>
      <c r="AF395" s="5">
        <v>1008591559709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6">
        <v>0</v>
      </c>
      <c r="AM395" s="5">
        <v>0</v>
      </c>
      <c r="AN395" s="6">
        <v>13</v>
      </c>
      <c r="AO395" s="5">
        <v>1740822505880</v>
      </c>
      <c r="AP395" s="6">
        <v>21</v>
      </c>
      <c r="AQ395" s="5">
        <v>55067950647</v>
      </c>
      <c r="AR395" s="5">
        <v>62046345282</v>
      </c>
      <c r="AS395" s="5">
        <v>39476136914</v>
      </c>
      <c r="AT395" s="5">
        <f t="shared" si="33"/>
        <v>22570208368</v>
      </c>
      <c r="AU395" s="36">
        <f t="shared" si="34"/>
        <v>57.174308664421517</v>
      </c>
      <c r="AV395" s="5">
        <v>569532924897</v>
      </c>
      <c r="AW395" s="5">
        <v>146424792008</v>
      </c>
      <c r="AX395" s="5">
        <v>507645056351</v>
      </c>
      <c r="AY395" s="5">
        <v>798980386057</v>
      </c>
      <c r="AZ395" s="5">
        <v>546876673653</v>
      </c>
      <c r="BA395" s="5">
        <v>1372409708085</v>
      </c>
      <c r="BB395" s="5">
        <v>283316112981</v>
      </c>
      <c r="BC395" s="5">
        <v>2401475650426</v>
      </c>
      <c r="BD395" s="5">
        <v>1495538084440</v>
      </c>
      <c r="BE395" s="5">
        <v>546876673653</v>
      </c>
      <c r="BF395" s="5">
        <v>359060892333</v>
      </c>
      <c r="BG395" s="5">
        <v>911661559709</v>
      </c>
      <c r="BH395" s="5">
        <v>96930000000</v>
      </c>
      <c r="BI395" s="5">
        <v>0</v>
      </c>
      <c r="BJ395" s="48">
        <v>0</v>
      </c>
      <c r="BK395" s="5">
        <v>0</v>
      </c>
      <c r="BL395" s="5">
        <v>0</v>
      </c>
      <c r="BM395" s="5">
        <v>0</v>
      </c>
      <c r="BN395" s="5">
        <v>0</v>
      </c>
    </row>
    <row r="396" spans="1:66" x14ac:dyDescent="0.25">
      <c r="A396" s="17" t="s">
        <v>606</v>
      </c>
      <c r="B396" s="4">
        <v>3608</v>
      </c>
      <c r="C396" s="4" t="s">
        <v>418</v>
      </c>
      <c r="D396" s="5">
        <v>3331146483914</v>
      </c>
      <c r="E396" s="5">
        <v>389051273419</v>
      </c>
      <c r="F396" s="5">
        <v>0</v>
      </c>
      <c r="G396" s="5">
        <v>0</v>
      </c>
      <c r="H396" s="5">
        <v>3720197757333</v>
      </c>
      <c r="I396" s="5">
        <v>240290006907</v>
      </c>
      <c r="J396" s="5">
        <v>3455336000</v>
      </c>
      <c r="K396" s="5">
        <v>3476452414426</v>
      </c>
      <c r="L396" s="5">
        <v>2495381467137</v>
      </c>
      <c r="M396" s="5">
        <f t="shared" si="30"/>
        <v>1224816290196</v>
      </c>
      <c r="N396" s="36">
        <f t="shared" si="31"/>
        <v>49.083328794665434</v>
      </c>
      <c r="O396" s="5">
        <v>1842140679373</v>
      </c>
      <c r="P396" s="36">
        <v>54.96</v>
      </c>
      <c r="Q396" s="6">
        <v>52.99</v>
      </c>
      <c r="R396" s="6">
        <v>3.06</v>
      </c>
      <c r="S396" s="5">
        <v>1908070929435</v>
      </c>
      <c r="T396" s="5">
        <v>62389113871</v>
      </c>
      <c r="U396" s="5">
        <v>35198043099</v>
      </c>
      <c r="V396" s="5">
        <v>26875057776</v>
      </c>
      <c r="W396" s="5">
        <v>316012996</v>
      </c>
      <c r="X396" s="5">
        <v>1970460043306</v>
      </c>
      <c r="Y396" s="5">
        <v>116301021</v>
      </c>
      <c r="Z396" s="5">
        <v>59885128901</v>
      </c>
      <c r="AA396" s="5">
        <v>14394622150</v>
      </c>
      <c r="AB396" s="5">
        <v>2044739794357</v>
      </c>
      <c r="AC396" s="5">
        <v>1826188564039</v>
      </c>
      <c r="AD396" s="36">
        <f t="shared" si="32"/>
        <v>7.9001414261358249</v>
      </c>
      <c r="AE396" s="5">
        <v>1010882304673</v>
      </c>
      <c r="AF396" s="5">
        <v>955293401794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6">
        <v>0</v>
      </c>
      <c r="AM396" s="5">
        <v>0</v>
      </c>
      <c r="AN396" s="6">
        <v>778</v>
      </c>
      <c r="AO396" s="5">
        <v>4551849517888</v>
      </c>
      <c r="AP396" s="6">
        <v>321</v>
      </c>
      <c r="AQ396" s="5">
        <v>1655460564134</v>
      </c>
      <c r="AR396" s="5">
        <v>62389113871</v>
      </c>
      <c r="AS396" s="5">
        <v>123164592400</v>
      </c>
      <c r="AT396" s="5">
        <f t="shared" si="33"/>
        <v>-60775478529</v>
      </c>
      <c r="AU396" s="36">
        <f t="shared" si="34"/>
        <v>-49.344927259305408</v>
      </c>
      <c r="AV396" s="5">
        <v>883835497026</v>
      </c>
      <c r="AW396" s="5">
        <v>213097607626</v>
      </c>
      <c r="AX396" s="5">
        <v>334267433642</v>
      </c>
      <c r="AY396" s="5">
        <v>1523025506045</v>
      </c>
      <c r="AZ396" s="5">
        <v>891105888264</v>
      </c>
      <c r="BA396" s="5">
        <v>615899338835</v>
      </c>
      <c r="BB396" s="5">
        <v>744240717860</v>
      </c>
      <c r="BC396" s="5">
        <v>3720197757333</v>
      </c>
      <c r="BD396" s="5">
        <v>2173060173688</v>
      </c>
      <c r="BE396" s="5">
        <v>891105888264</v>
      </c>
      <c r="BF396" s="5">
        <v>656031695381</v>
      </c>
      <c r="BG396" s="5">
        <v>809432766673</v>
      </c>
      <c r="BH396" s="5">
        <v>201449538000</v>
      </c>
      <c r="BI396" s="5">
        <v>0</v>
      </c>
      <c r="BJ396" s="48">
        <v>0</v>
      </c>
      <c r="BK396" s="5">
        <v>0</v>
      </c>
      <c r="BL396" s="5">
        <v>0</v>
      </c>
      <c r="BM396" s="5">
        <v>0</v>
      </c>
      <c r="BN396" s="5">
        <v>0</v>
      </c>
    </row>
    <row r="397" spans="1:66" x14ac:dyDescent="0.25">
      <c r="A397" s="17" t="s">
        <v>606</v>
      </c>
      <c r="B397" s="4">
        <v>3609</v>
      </c>
      <c r="C397" s="4" t="s">
        <v>419</v>
      </c>
      <c r="D397" s="5">
        <v>1768838426444</v>
      </c>
      <c r="E397" s="5">
        <v>125299711207</v>
      </c>
      <c r="F397" s="5">
        <v>0</v>
      </c>
      <c r="G397" s="5">
        <v>25714564413</v>
      </c>
      <c r="H397" s="5">
        <v>1919852702064</v>
      </c>
      <c r="I397" s="5">
        <v>150330852646</v>
      </c>
      <c r="J397" s="5">
        <v>2972496158</v>
      </c>
      <c r="K397" s="5">
        <v>1766549353260</v>
      </c>
      <c r="L397" s="5">
        <v>1218234074552</v>
      </c>
      <c r="M397" s="5">
        <f t="shared" si="30"/>
        <v>701618627512</v>
      </c>
      <c r="N397" s="36">
        <f t="shared" si="31"/>
        <v>57.593088402983398</v>
      </c>
      <c r="O397" s="5">
        <v>2204206146973</v>
      </c>
      <c r="P397" s="36">
        <v>125.1</v>
      </c>
      <c r="Q397" s="6">
        <v>124.77</v>
      </c>
      <c r="R397" s="6">
        <v>39.950000000000003</v>
      </c>
      <c r="S397" s="5">
        <v>1152160985546</v>
      </c>
      <c r="T397" s="5">
        <v>952852460218</v>
      </c>
      <c r="U397" s="5">
        <v>123593121781</v>
      </c>
      <c r="V397" s="5">
        <v>762980021312</v>
      </c>
      <c r="W397" s="5">
        <v>66279317125</v>
      </c>
      <c r="X397" s="5">
        <v>2105013445764</v>
      </c>
      <c r="Y397" s="5">
        <v>6739913228</v>
      </c>
      <c r="Z397" s="5">
        <v>290059447450</v>
      </c>
      <c r="AA397" s="5">
        <v>6646693551</v>
      </c>
      <c r="AB397" s="5">
        <v>2401719586765</v>
      </c>
      <c r="AC397" s="5">
        <v>1169561424543</v>
      </c>
      <c r="AD397" s="36">
        <f t="shared" si="32"/>
        <v>79.983145954606272</v>
      </c>
      <c r="AE397" s="5">
        <v>2218873034716</v>
      </c>
      <c r="AF397" s="5">
        <v>1993873034716</v>
      </c>
      <c r="AG397" s="5">
        <v>997935731555</v>
      </c>
      <c r="AH397" s="5">
        <v>36036000</v>
      </c>
      <c r="AI397" s="5">
        <v>0</v>
      </c>
      <c r="AJ397" s="5">
        <v>0</v>
      </c>
      <c r="AK397" s="5">
        <v>0</v>
      </c>
      <c r="AL397" s="6">
        <v>1</v>
      </c>
      <c r="AM397" s="5">
        <v>131999710741</v>
      </c>
      <c r="AN397" s="6">
        <v>11</v>
      </c>
      <c r="AO397" s="5">
        <v>1070288943978</v>
      </c>
      <c r="AP397" s="6">
        <v>16</v>
      </c>
      <c r="AQ397" s="5">
        <v>287444504588</v>
      </c>
      <c r="AR397" s="5">
        <v>952852460218</v>
      </c>
      <c r="AS397" s="5">
        <v>28775302225</v>
      </c>
      <c r="AT397" s="5">
        <f t="shared" si="33"/>
        <v>924077157993</v>
      </c>
      <c r="AU397" s="36">
        <f t="shared" si="34"/>
        <v>3211.3551780184653</v>
      </c>
      <c r="AV397" s="5">
        <v>1042269218941</v>
      </c>
      <c r="AW397" s="5">
        <v>235756947795</v>
      </c>
      <c r="AX397" s="5">
        <v>395543244632</v>
      </c>
      <c r="AY397" s="5">
        <v>701562765202</v>
      </c>
      <c r="AZ397" s="5">
        <v>322556191200</v>
      </c>
      <c r="BA397" s="5">
        <v>352736562246</v>
      </c>
      <c r="BB397" s="5">
        <v>104695114547</v>
      </c>
      <c r="BC397" s="5">
        <v>1919852702064</v>
      </c>
      <c r="BD397" s="5">
        <v>1248120285454</v>
      </c>
      <c r="BE397" s="5">
        <v>322556191200</v>
      </c>
      <c r="BF397" s="5">
        <v>349176225410</v>
      </c>
      <c r="BG397" s="5">
        <v>2136173034716</v>
      </c>
      <c r="BH397" s="5">
        <v>82700000000</v>
      </c>
      <c r="BI397" s="5">
        <v>0</v>
      </c>
      <c r="BJ397" s="48">
        <v>40450451791</v>
      </c>
      <c r="BK397" s="5">
        <v>119485706647</v>
      </c>
      <c r="BL397" s="5">
        <v>0</v>
      </c>
      <c r="BM397" s="5">
        <v>0</v>
      </c>
      <c r="BN397" s="5">
        <v>36036000</v>
      </c>
    </row>
    <row r="398" spans="1:66" x14ac:dyDescent="0.25">
      <c r="A398" s="17" t="s">
        <v>606</v>
      </c>
      <c r="B398" s="4">
        <v>3610</v>
      </c>
      <c r="C398" s="4" t="s">
        <v>420</v>
      </c>
      <c r="D398" s="5">
        <v>1874368318776</v>
      </c>
      <c r="E398" s="5">
        <v>71593862584</v>
      </c>
      <c r="F398" s="5">
        <v>0</v>
      </c>
      <c r="G398" s="5">
        <v>0</v>
      </c>
      <c r="H398" s="5">
        <v>1945962181360</v>
      </c>
      <c r="I398" s="5">
        <v>151638812088</v>
      </c>
      <c r="J398" s="5">
        <v>2182051388</v>
      </c>
      <c r="K398" s="5">
        <v>1792141317884</v>
      </c>
      <c r="L398" s="5">
        <v>1142864017477</v>
      </c>
      <c r="M398" s="5">
        <f t="shared" si="30"/>
        <v>803098163883</v>
      </c>
      <c r="N398" s="36">
        <f t="shared" si="31"/>
        <v>70.270666641157263</v>
      </c>
      <c r="O398" s="5">
        <v>1162519011103</v>
      </c>
      <c r="P398" s="36">
        <v>66.22</v>
      </c>
      <c r="Q398" s="6">
        <v>64.87</v>
      </c>
      <c r="R398" s="6">
        <v>4.0199999999999996</v>
      </c>
      <c r="S398" s="5">
        <v>1157489036358</v>
      </c>
      <c r="T398" s="5">
        <v>51817606740</v>
      </c>
      <c r="U398" s="5">
        <v>42691114122</v>
      </c>
      <c r="V398" s="5">
        <v>9126492618</v>
      </c>
      <c r="W398" s="5">
        <v>0</v>
      </c>
      <c r="X398" s="5">
        <v>1209306643098</v>
      </c>
      <c r="Y398" s="5">
        <v>0</v>
      </c>
      <c r="Z398" s="5">
        <v>75321917186</v>
      </c>
      <c r="AA398" s="5">
        <v>4000000000</v>
      </c>
      <c r="AB398" s="5">
        <v>1288628560284</v>
      </c>
      <c r="AC398" s="5">
        <v>997118833692</v>
      </c>
      <c r="AD398" s="36">
        <f t="shared" si="32"/>
        <v>21.280092425928711</v>
      </c>
      <c r="AE398" s="5">
        <v>867730329561</v>
      </c>
      <c r="AF398" s="5">
        <v>867730329561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6">
        <v>0</v>
      </c>
      <c r="AM398" s="5">
        <v>0</v>
      </c>
      <c r="AN398" s="6">
        <v>133</v>
      </c>
      <c r="AO398" s="5">
        <v>1012586410783</v>
      </c>
      <c r="AP398" s="6">
        <v>26</v>
      </c>
      <c r="AQ398" s="5">
        <v>237395662152</v>
      </c>
      <c r="AR398" s="5">
        <v>51817606740</v>
      </c>
      <c r="AS398" s="5">
        <v>20531158195</v>
      </c>
      <c r="AT398" s="5">
        <f t="shared" si="33"/>
        <v>31286448545</v>
      </c>
      <c r="AU398" s="36">
        <f t="shared" si="34"/>
        <v>152.38521006875911</v>
      </c>
      <c r="AV398" s="5">
        <v>726504229542</v>
      </c>
      <c r="AW398" s="5">
        <v>160577548658</v>
      </c>
      <c r="AX398" s="5">
        <v>275015873657</v>
      </c>
      <c r="AY398" s="5">
        <v>488719041516</v>
      </c>
      <c r="AZ398" s="5">
        <v>904772903603</v>
      </c>
      <c r="BA398" s="5">
        <v>239023590884</v>
      </c>
      <c r="BB398" s="5">
        <v>792864880634</v>
      </c>
      <c r="BC398" s="5">
        <v>1945962181360</v>
      </c>
      <c r="BD398" s="5">
        <v>835328777757</v>
      </c>
      <c r="BE398" s="5">
        <v>904772903603</v>
      </c>
      <c r="BF398" s="5">
        <v>205860500000</v>
      </c>
      <c r="BG398" s="5">
        <v>633494409561</v>
      </c>
      <c r="BH398" s="5">
        <v>234235920000</v>
      </c>
      <c r="BI398" s="5">
        <v>0</v>
      </c>
      <c r="BJ398" s="48">
        <v>0</v>
      </c>
      <c r="BK398" s="5">
        <v>0</v>
      </c>
      <c r="BL398" s="5">
        <v>0</v>
      </c>
      <c r="BM398" s="5">
        <v>0</v>
      </c>
      <c r="BN398" s="5">
        <v>0</v>
      </c>
    </row>
    <row r="399" spans="1:66" x14ac:dyDescent="0.25">
      <c r="A399" s="17" t="s">
        <v>606</v>
      </c>
      <c r="B399" s="4">
        <v>3611</v>
      </c>
      <c r="C399" s="4" t="s">
        <v>421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f t="shared" si="30"/>
        <v>0</v>
      </c>
      <c r="N399" s="36">
        <f t="shared" si="31"/>
        <v>0</v>
      </c>
      <c r="O399" s="5">
        <v>0</v>
      </c>
      <c r="P399" s="36" t="s">
        <v>625</v>
      </c>
      <c r="Q399" s="6" t="s">
        <v>625</v>
      </c>
      <c r="R399" s="6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36">
        <f t="shared" si="32"/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6">
        <v>0</v>
      </c>
      <c r="AM399" s="5">
        <v>0</v>
      </c>
      <c r="AN399" s="6">
        <v>0</v>
      </c>
      <c r="AO399" s="5">
        <v>0</v>
      </c>
      <c r="AP399" s="6">
        <v>0</v>
      </c>
      <c r="AQ399" s="5">
        <v>0</v>
      </c>
      <c r="AR399" s="5">
        <v>0</v>
      </c>
      <c r="AS399" s="5">
        <v>0</v>
      </c>
      <c r="AT399" s="5">
        <f t="shared" si="33"/>
        <v>0</v>
      </c>
      <c r="AU399" s="36">
        <f t="shared" si="34"/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0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48">
        <v>0</v>
      </c>
      <c r="BK399" s="5">
        <v>0</v>
      </c>
      <c r="BL399" s="5">
        <v>0</v>
      </c>
      <c r="BM399" s="5">
        <v>0</v>
      </c>
      <c r="BN399" s="5">
        <v>0</v>
      </c>
    </row>
    <row r="400" spans="1:66" s="32" customFormat="1" x14ac:dyDescent="0.25">
      <c r="A400" s="17" t="s">
        <v>606</v>
      </c>
      <c r="B400" s="8">
        <v>3699</v>
      </c>
      <c r="C400" s="8" t="s">
        <v>422</v>
      </c>
      <c r="D400" s="9">
        <v>9870534235</v>
      </c>
      <c r="E400" s="9">
        <v>5215103416</v>
      </c>
      <c r="F400" s="9">
        <v>0</v>
      </c>
      <c r="G400" s="9">
        <v>0</v>
      </c>
      <c r="H400" s="9">
        <v>15085637651</v>
      </c>
      <c r="I400" s="9">
        <v>1048390518</v>
      </c>
      <c r="J400" s="9">
        <v>6481050000</v>
      </c>
      <c r="K400" s="9">
        <v>7556197133</v>
      </c>
      <c r="L400" s="9">
        <v>5060311678</v>
      </c>
      <c r="M400" s="5">
        <f t="shared" si="30"/>
        <v>10025325973</v>
      </c>
      <c r="N400" s="36">
        <f t="shared" si="31"/>
        <v>198.11676851024197</v>
      </c>
      <c r="O400" s="9">
        <v>0</v>
      </c>
      <c r="P400" s="36">
        <v>0</v>
      </c>
      <c r="Q400" s="10">
        <v>0</v>
      </c>
      <c r="R400" s="10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36">
        <f t="shared" si="32"/>
        <v>0</v>
      </c>
      <c r="AE400" s="9">
        <v>0</v>
      </c>
      <c r="AF400" s="9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0</v>
      </c>
      <c r="AL400" s="10">
        <v>0</v>
      </c>
      <c r="AM400" s="9">
        <v>0</v>
      </c>
      <c r="AN400" s="11">
        <v>0</v>
      </c>
      <c r="AO400" s="9">
        <v>0</v>
      </c>
      <c r="AP400" s="11">
        <v>0</v>
      </c>
      <c r="AQ400" s="9">
        <v>0</v>
      </c>
      <c r="AR400" s="9">
        <v>0</v>
      </c>
      <c r="AS400" s="9">
        <v>0</v>
      </c>
      <c r="AT400" s="5">
        <f t="shared" si="33"/>
        <v>0</v>
      </c>
      <c r="AU400" s="36">
        <f t="shared" si="34"/>
        <v>0</v>
      </c>
      <c r="AV400" s="9">
        <v>0</v>
      </c>
      <c r="AW400" s="9">
        <v>0</v>
      </c>
      <c r="AX400" s="9">
        <v>9870534235</v>
      </c>
      <c r="AY400" s="9">
        <v>0</v>
      </c>
      <c r="AZ400" s="9">
        <v>0</v>
      </c>
      <c r="BA400" s="9">
        <v>0</v>
      </c>
      <c r="BB400" s="9">
        <v>0</v>
      </c>
      <c r="BC400" s="9">
        <v>15085637651</v>
      </c>
      <c r="BD400" s="9">
        <v>15085637651</v>
      </c>
      <c r="BE400" s="9">
        <v>0</v>
      </c>
      <c r="BF400" s="9">
        <v>0</v>
      </c>
      <c r="BG400" s="9">
        <v>0</v>
      </c>
      <c r="BH400" s="9">
        <v>0</v>
      </c>
      <c r="BI400" s="9">
        <v>0</v>
      </c>
      <c r="BJ400" s="51">
        <v>0</v>
      </c>
      <c r="BK400" s="9">
        <v>0</v>
      </c>
      <c r="BL400" s="9">
        <v>0</v>
      </c>
      <c r="BM400" s="9">
        <v>0</v>
      </c>
      <c r="BN400" s="9">
        <v>0</v>
      </c>
    </row>
    <row r="401" spans="1:66" x14ac:dyDescent="0.25">
      <c r="A401" s="30" t="s">
        <v>607</v>
      </c>
      <c r="B401" s="13" t="s">
        <v>625</v>
      </c>
      <c r="C401" s="13" t="s">
        <v>625</v>
      </c>
      <c r="D401" s="14">
        <v>29002410346309</v>
      </c>
      <c r="E401" s="14">
        <v>2129280040203</v>
      </c>
      <c r="F401" s="14">
        <v>0</v>
      </c>
      <c r="G401" s="14">
        <v>53965064646</v>
      </c>
      <c r="H401" s="14">
        <v>31185655451158</v>
      </c>
      <c r="I401" s="14">
        <v>2302532640445</v>
      </c>
      <c r="J401" s="14">
        <v>81272347873</v>
      </c>
      <c r="K401" s="14">
        <v>28801850462840</v>
      </c>
      <c r="L401" s="14">
        <v>18909298691154</v>
      </c>
      <c r="M401" s="14">
        <f t="shared" si="30"/>
        <v>12276356760004</v>
      </c>
      <c r="N401" s="41">
        <f t="shared" si="31"/>
        <v>64.922327160377606</v>
      </c>
      <c r="O401" s="14">
        <v>30482925652414</v>
      </c>
      <c r="P401" s="41">
        <v>114.05</v>
      </c>
      <c r="Q401" s="15">
        <v>105.84</v>
      </c>
      <c r="R401" s="15">
        <v>20.51</v>
      </c>
      <c r="S401" s="14">
        <v>25260969045912</v>
      </c>
      <c r="T401" s="14">
        <v>7103873884780</v>
      </c>
      <c r="U401" s="14">
        <v>691643379164</v>
      </c>
      <c r="V401" s="14">
        <v>5309992389912</v>
      </c>
      <c r="W401" s="14">
        <v>1102238115704</v>
      </c>
      <c r="X401" s="14">
        <v>32364842930692</v>
      </c>
      <c r="Y401" s="14">
        <v>192124220836</v>
      </c>
      <c r="Z401" s="14">
        <v>3086391544744</v>
      </c>
      <c r="AA401" s="14">
        <v>115744403402</v>
      </c>
      <c r="AB401" s="14">
        <v>35566978878838</v>
      </c>
      <c r="AC401" s="14">
        <v>23527402264522</v>
      </c>
      <c r="AD401" s="41">
        <f t="shared" si="32"/>
        <v>37.562330795424721</v>
      </c>
      <c r="AE401" s="14">
        <v>20088144399525</v>
      </c>
      <c r="AF401" s="14">
        <v>18480411154791</v>
      </c>
      <c r="AG401" s="14">
        <v>4817070362144</v>
      </c>
      <c r="AH401" s="14">
        <v>29415751000</v>
      </c>
      <c r="AI401" s="14">
        <v>0</v>
      </c>
      <c r="AJ401" s="14">
        <v>0</v>
      </c>
      <c r="AK401" s="14">
        <v>0</v>
      </c>
      <c r="AL401" s="15">
        <v>12</v>
      </c>
      <c r="AM401" s="14">
        <v>1596388792444</v>
      </c>
      <c r="AN401" s="16">
        <v>2050</v>
      </c>
      <c r="AO401" s="14">
        <v>21946971059957</v>
      </c>
      <c r="AP401" s="16">
        <v>860</v>
      </c>
      <c r="AQ401" s="14">
        <v>10453405283983</v>
      </c>
      <c r="AR401" s="14">
        <v>7103873884780</v>
      </c>
      <c r="AS401" s="14">
        <v>2167409812930</v>
      </c>
      <c r="AT401" s="14">
        <f t="shared" si="33"/>
        <v>4936464071850</v>
      </c>
      <c r="AU401" s="41">
        <f t="shared" si="34"/>
        <v>227.75868423224819</v>
      </c>
      <c r="AV401" s="14">
        <v>11583940685607</v>
      </c>
      <c r="AW401" s="14">
        <v>2184366292970</v>
      </c>
      <c r="AX401" s="14">
        <v>5325481086846</v>
      </c>
      <c r="AY401" s="14">
        <v>10276740639671</v>
      </c>
      <c r="AZ401" s="14">
        <v>7667605830391</v>
      </c>
      <c r="BA401" s="14">
        <v>7051843669485</v>
      </c>
      <c r="BB401" s="14">
        <v>5110115210170</v>
      </c>
      <c r="BC401" s="14">
        <v>31185655451158</v>
      </c>
      <c r="BD401" s="14">
        <v>17655397984268</v>
      </c>
      <c r="BE401" s="14">
        <v>7667605830391</v>
      </c>
      <c r="BF401" s="14">
        <v>5862651636499</v>
      </c>
      <c r="BG401" s="14">
        <v>17174613823573</v>
      </c>
      <c r="BH401" s="14">
        <v>2913530575952</v>
      </c>
      <c r="BI401" s="14">
        <v>0</v>
      </c>
      <c r="BJ401" s="49">
        <v>445600289235</v>
      </c>
      <c r="BK401" s="14">
        <v>2957555028733</v>
      </c>
      <c r="BL401" s="14">
        <v>0</v>
      </c>
      <c r="BM401" s="14">
        <v>278031021856</v>
      </c>
      <c r="BN401" s="14">
        <v>29415751000</v>
      </c>
    </row>
    <row r="402" spans="1:66" x14ac:dyDescent="0.25">
      <c r="A402" s="17" t="s">
        <v>608</v>
      </c>
      <c r="B402" s="4">
        <v>3700</v>
      </c>
      <c r="C402" s="4" t="s">
        <v>423</v>
      </c>
      <c r="D402" s="5">
        <v>4782663000340</v>
      </c>
      <c r="E402" s="5">
        <v>578650576284</v>
      </c>
      <c r="F402" s="5">
        <v>11397000000</v>
      </c>
      <c r="G402" s="5">
        <v>43253958684</v>
      </c>
      <c r="H402" s="5">
        <v>5415964535308</v>
      </c>
      <c r="I402" s="5">
        <v>428924050293</v>
      </c>
      <c r="J402" s="5">
        <v>128568042046</v>
      </c>
      <c r="K402" s="5">
        <v>4858472442969</v>
      </c>
      <c r="L402" s="5">
        <v>4875421090490</v>
      </c>
      <c r="M402" s="5">
        <f t="shared" si="30"/>
        <v>540543444818</v>
      </c>
      <c r="N402" s="36">
        <f t="shared" si="31"/>
        <v>11.087112985427749</v>
      </c>
      <c r="O402" s="5">
        <v>6559873748622</v>
      </c>
      <c r="P402" s="36">
        <v>172.32</v>
      </c>
      <c r="Q402" s="6">
        <v>135.02000000000001</v>
      </c>
      <c r="R402" s="6">
        <v>1.54</v>
      </c>
      <c r="S402" s="5">
        <v>8889823826400</v>
      </c>
      <c r="T402" s="5">
        <v>140419210760</v>
      </c>
      <c r="U402" s="5">
        <v>69516344396</v>
      </c>
      <c r="V402" s="5">
        <v>46186232791</v>
      </c>
      <c r="W402" s="5">
        <v>24716633573</v>
      </c>
      <c r="X402" s="5">
        <v>9030243037160</v>
      </c>
      <c r="Y402" s="5">
        <v>3608391008</v>
      </c>
      <c r="Z402" s="5">
        <v>261513961501</v>
      </c>
      <c r="AA402" s="5">
        <v>41146538137</v>
      </c>
      <c r="AB402" s="5">
        <v>9332903536798</v>
      </c>
      <c r="AC402" s="5">
        <v>6677878243650</v>
      </c>
      <c r="AD402" s="36">
        <f t="shared" si="32"/>
        <v>35.226230663113178</v>
      </c>
      <c r="AE402" s="5">
        <v>4730194301779</v>
      </c>
      <c r="AF402" s="5">
        <v>4551724301779</v>
      </c>
      <c r="AG402" s="5">
        <v>27255917300</v>
      </c>
      <c r="AH402" s="5">
        <v>0</v>
      </c>
      <c r="AI402" s="5">
        <v>0</v>
      </c>
      <c r="AJ402" s="5">
        <v>0</v>
      </c>
      <c r="AK402" s="5">
        <v>0</v>
      </c>
      <c r="AL402" s="6">
        <v>2</v>
      </c>
      <c r="AM402" s="5">
        <v>33300000000</v>
      </c>
      <c r="AN402" s="6">
        <v>615</v>
      </c>
      <c r="AO402" s="5">
        <v>4793685637678</v>
      </c>
      <c r="AP402" s="6">
        <v>346</v>
      </c>
      <c r="AQ402" s="5">
        <v>1558708518110</v>
      </c>
      <c r="AR402" s="5">
        <v>140419210760</v>
      </c>
      <c r="AS402" s="5">
        <v>96549736506</v>
      </c>
      <c r="AT402" s="5">
        <f t="shared" si="33"/>
        <v>43869474254</v>
      </c>
      <c r="AU402" s="36">
        <f t="shared" si="34"/>
        <v>45.437176569895421</v>
      </c>
      <c r="AV402" s="5">
        <v>2895192905408</v>
      </c>
      <c r="AW402" s="5">
        <v>315567181603</v>
      </c>
      <c r="AX402" s="5">
        <v>1173041452855</v>
      </c>
      <c r="AY402" s="5">
        <v>1222081899160</v>
      </c>
      <c r="AZ402" s="5">
        <v>1352279285266</v>
      </c>
      <c r="BA402" s="5">
        <v>2077048315635</v>
      </c>
      <c r="BB402" s="5">
        <v>787156115161</v>
      </c>
      <c r="BC402" s="5">
        <v>5415964535308</v>
      </c>
      <c r="BD402" s="5">
        <v>2835089252279</v>
      </c>
      <c r="BE402" s="5">
        <v>1363676285266</v>
      </c>
      <c r="BF402" s="5">
        <v>1217198997763</v>
      </c>
      <c r="BG402" s="5">
        <v>2888006747827</v>
      </c>
      <c r="BH402" s="5">
        <v>1842187553952</v>
      </c>
      <c r="BI402" s="5">
        <v>0</v>
      </c>
      <c r="BJ402" s="48">
        <v>0</v>
      </c>
      <c r="BK402" s="5">
        <v>27255917300</v>
      </c>
      <c r="BL402" s="5">
        <v>0</v>
      </c>
      <c r="BM402" s="5">
        <v>19288342364</v>
      </c>
      <c r="BN402" s="5">
        <v>0</v>
      </c>
    </row>
    <row r="403" spans="1:66" x14ac:dyDescent="0.25">
      <c r="A403" s="17" t="s">
        <v>608</v>
      </c>
      <c r="B403" s="4">
        <v>3701</v>
      </c>
      <c r="C403" s="4" t="s">
        <v>424</v>
      </c>
      <c r="D403" s="5">
        <v>1674510968762</v>
      </c>
      <c r="E403" s="5">
        <v>17815689182</v>
      </c>
      <c r="F403" s="5">
        <v>0</v>
      </c>
      <c r="G403" s="5">
        <v>0</v>
      </c>
      <c r="H403" s="5">
        <v>1692326657944</v>
      </c>
      <c r="I403" s="5">
        <v>155422265090</v>
      </c>
      <c r="J403" s="5">
        <v>7494965240</v>
      </c>
      <c r="K403" s="5">
        <v>1529409427614</v>
      </c>
      <c r="L403" s="5">
        <v>1442691583719</v>
      </c>
      <c r="M403" s="5">
        <f t="shared" si="30"/>
        <v>249635074225</v>
      </c>
      <c r="N403" s="36">
        <f t="shared" si="31"/>
        <v>17.303426251471265</v>
      </c>
      <c r="O403" s="5">
        <v>1783666675647</v>
      </c>
      <c r="P403" s="36">
        <v>126.44</v>
      </c>
      <c r="Q403" s="6">
        <v>116.62</v>
      </c>
      <c r="R403" s="6">
        <v>3.21</v>
      </c>
      <c r="S403" s="5">
        <v>1857806698271</v>
      </c>
      <c r="T403" s="5">
        <v>68530358280</v>
      </c>
      <c r="U403" s="5">
        <v>66207905940</v>
      </c>
      <c r="V403" s="5">
        <v>2322452340</v>
      </c>
      <c r="W403" s="5">
        <v>0</v>
      </c>
      <c r="X403" s="5">
        <v>1926337056551</v>
      </c>
      <c r="Y403" s="5">
        <v>148465029</v>
      </c>
      <c r="Z403" s="5">
        <v>188239454438</v>
      </c>
      <c r="AA403" s="5">
        <v>25190000000</v>
      </c>
      <c r="AB403" s="5">
        <v>2139766510989</v>
      </c>
      <c r="AC403" s="5">
        <v>1712294653637</v>
      </c>
      <c r="AD403" s="36">
        <f t="shared" si="32"/>
        <v>12.500325365109513</v>
      </c>
      <c r="AE403" s="5">
        <v>1166425957557</v>
      </c>
      <c r="AF403" s="5">
        <v>1119877704408</v>
      </c>
      <c r="AG403" s="5">
        <v>0</v>
      </c>
      <c r="AH403" s="5">
        <v>33300000000</v>
      </c>
      <c r="AI403" s="5">
        <v>0</v>
      </c>
      <c r="AJ403" s="5">
        <v>0</v>
      </c>
      <c r="AK403" s="5">
        <v>0</v>
      </c>
      <c r="AL403" s="6">
        <v>0</v>
      </c>
      <c r="AM403" s="5">
        <v>0</v>
      </c>
      <c r="AN403" s="6">
        <v>17</v>
      </c>
      <c r="AO403" s="5">
        <v>79828204198</v>
      </c>
      <c r="AP403" s="6">
        <v>11</v>
      </c>
      <c r="AQ403" s="5">
        <v>59812900000</v>
      </c>
      <c r="AR403" s="5">
        <v>68530358280</v>
      </c>
      <c r="AS403" s="5">
        <v>30339165494</v>
      </c>
      <c r="AT403" s="5">
        <f t="shared" si="33"/>
        <v>38191192786</v>
      </c>
      <c r="AU403" s="36">
        <f t="shared" si="34"/>
        <v>125.88082817753458</v>
      </c>
      <c r="AV403" s="5">
        <v>928375379809</v>
      </c>
      <c r="AW403" s="5">
        <v>288123733855</v>
      </c>
      <c r="AX403" s="5">
        <v>199844522789</v>
      </c>
      <c r="AY403" s="5">
        <v>162684525052</v>
      </c>
      <c r="AZ403" s="5">
        <v>675022400921</v>
      </c>
      <c r="BA403" s="5">
        <v>864477800052</v>
      </c>
      <c r="BB403" s="5">
        <v>519981943387</v>
      </c>
      <c r="BC403" s="5">
        <v>1692326657944</v>
      </c>
      <c r="BD403" s="5">
        <v>380344737023</v>
      </c>
      <c r="BE403" s="5">
        <v>675022400921</v>
      </c>
      <c r="BF403" s="5">
        <v>636959520000</v>
      </c>
      <c r="BG403" s="5">
        <v>842076196420</v>
      </c>
      <c r="BH403" s="5">
        <v>324349761137</v>
      </c>
      <c r="BI403" s="5">
        <v>0</v>
      </c>
      <c r="BJ403" s="48">
        <v>0</v>
      </c>
      <c r="BK403" s="5">
        <v>0</v>
      </c>
      <c r="BL403" s="5">
        <v>0</v>
      </c>
      <c r="BM403" s="5">
        <v>0</v>
      </c>
      <c r="BN403" s="5">
        <v>33300000000</v>
      </c>
    </row>
    <row r="404" spans="1:66" x14ac:dyDescent="0.25">
      <c r="A404" s="17" t="s">
        <v>608</v>
      </c>
      <c r="B404" s="18">
        <v>3702</v>
      </c>
      <c r="C404" s="18" t="s">
        <v>425</v>
      </c>
      <c r="D404" s="19">
        <v>1926037738039</v>
      </c>
      <c r="E404" s="19">
        <v>15295082401</v>
      </c>
      <c r="F404" s="19">
        <v>0</v>
      </c>
      <c r="G404" s="19">
        <v>0</v>
      </c>
      <c r="H404" s="19">
        <v>1941332820440</v>
      </c>
      <c r="I404" s="19">
        <v>146481291286</v>
      </c>
      <c r="J404" s="19">
        <v>4119692129</v>
      </c>
      <c r="K404" s="19">
        <v>1790731837025</v>
      </c>
      <c r="L404" s="19">
        <v>1640227943845</v>
      </c>
      <c r="M404" s="5">
        <f t="shared" si="30"/>
        <v>301104876595</v>
      </c>
      <c r="N404" s="36">
        <f t="shared" si="31"/>
        <v>18.357501938977705</v>
      </c>
      <c r="O404" s="19">
        <v>1878374482811</v>
      </c>
      <c r="P404" s="36">
        <v>113.19</v>
      </c>
      <c r="Q404" s="20">
        <v>104.89</v>
      </c>
      <c r="R404" s="20">
        <v>2.59</v>
      </c>
      <c r="S404" s="19">
        <v>1956349771603</v>
      </c>
      <c r="T404" s="19">
        <v>56766253934</v>
      </c>
      <c r="U404" s="19">
        <v>38264222428</v>
      </c>
      <c r="V404" s="19">
        <v>2323436233</v>
      </c>
      <c r="W404" s="19">
        <v>16178595273</v>
      </c>
      <c r="X404" s="19">
        <v>2013116025537</v>
      </c>
      <c r="Y404" s="5">
        <v>239442350</v>
      </c>
      <c r="Z404" s="19">
        <v>161238615420</v>
      </c>
      <c r="AA404" s="19">
        <v>23000000000</v>
      </c>
      <c r="AB404" s="19">
        <v>2197354640957</v>
      </c>
      <c r="AC404" s="19">
        <v>1967336026138</v>
      </c>
      <c r="AD404" s="36">
        <f t="shared" si="32"/>
        <v>2.3270045783113584</v>
      </c>
      <c r="AE404" s="19">
        <v>843751472427</v>
      </c>
      <c r="AF404" s="19">
        <v>843751472427</v>
      </c>
      <c r="AG404" s="19">
        <v>0</v>
      </c>
      <c r="AH404" s="19">
        <v>0</v>
      </c>
      <c r="AI404" s="19">
        <v>0</v>
      </c>
      <c r="AJ404" s="19">
        <v>0</v>
      </c>
      <c r="AK404" s="19">
        <v>0</v>
      </c>
      <c r="AL404" s="20">
        <v>0</v>
      </c>
      <c r="AM404" s="19">
        <v>0</v>
      </c>
      <c r="AN404" s="21">
        <v>29</v>
      </c>
      <c r="AO404" s="19">
        <v>122724077000</v>
      </c>
      <c r="AP404" s="21">
        <v>65</v>
      </c>
      <c r="AQ404" s="19">
        <v>70634710250</v>
      </c>
      <c r="AR404" s="19">
        <v>56766253934</v>
      </c>
      <c r="AS404" s="19">
        <v>35592899504</v>
      </c>
      <c r="AT404" s="5">
        <f t="shared" si="33"/>
        <v>21173354430</v>
      </c>
      <c r="AU404" s="36">
        <f t="shared" si="34"/>
        <v>59.487579615761554</v>
      </c>
      <c r="AV404" s="19">
        <v>758401983686</v>
      </c>
      <c r="AW404" s="19">
        <v>214007761945</v>
      </c>
      <c r="AX404" s="19">
        <v>329308118345</v>
      </c>
      <c r="AY404" s="19">
        <v>323119395277</v>
      </c>
      <c r="AZ404" s="19">
        <v>606891224417</v>
      </c>
      <c r="BA404" s="19">
        <v>746778354032</v>
      </c>
      <c r="BB404" s="19">
        <v>425727603273</v>
      </c>
      <c r="BC404" s="19">
        <v>1941332820440</v>
      </c>
      <c r="BD404" s="19">
        <v>667722596023</v>
      </c>
      <c r="BE404" s="19">
        <v>606891224417</v>
      </c>
      <c r="BF404" s="19">
        <v>666719000000</v>
      </c>
      <c r="BG404" s="19">
        <v>610081777000</v>
      </c>
      <c r="BH404" s="19">
        <v>233669695427</v>
      </c>
      <c r="BI404" s="19">
        <v>0</v>
      </c>
      <c r="BJ404" s="50">
        <v>0</v>
      </c>
      <c r="BK404" s="19">
        <v>0</v>
      </c>
      <c r="BL404" s="19">
        <v>0</v>
      </c>
      <c r="BM404" s="19">
        <v>14878607674</v>
      </c>
      <c r="BN404" s="19">
        <v>0</v>
      </c>
    </row>
    <row r="405" spans="1:66" x14ac:dyDescent="0.25">
      <c r="A405" s="17" t="s">
        <v>608</v>
      </c>
      <c r="B405" s="4">
        <v>3703</v>
      </c>
      <c r="C405" s="4" t="s">
        <v>426</v>
      </c>
      <c r="D405" s="5">
        <v>4629075534293</v>
      </c>
      <c r="E405" s="5">
        <v>82003793606</v>
      </c>
      <c r="F405" s="5">
        <v>0</v>
      </c>
      <c r="G405" s="5">
        <v>0</v>
      </c>
      <c r="H405" s="5">
        <v>4711079327899</v>
      </c>
      <c r="I405" s="5">
        <v>409364991222</v>
      </c>
      <c r="J405" s="5">
        <v>15969795817</v>
      </c>
      <c r="K405" s="5">
        <v>4285744540860</v>
      </c>
      <c r="L405" s="5">
        <v>3467127464794</v>
      </c>
      <c r="M405" s="5">
        <f t="shared" si="30"/>
        <v>1243951863105</v>
      </c>
      <c r="N405" s="36">
        <f t="shared" si="31"/>
        <v>35.878457764716465</v>
      </c>
      <c r="O405" s="5">
        <v>3518665870875</v>
      </c>
      <c r="P405" s="36">
        <v>89.7</v>
      </c>
      <c r="Q405" s="6">
        <v>82.1</v>
      </c>
      <c r="R405" s="6">
        <v>1.72</v>
      </c>
      <c r="S405" s="5">
        <v>3798626635524</v>
      </c>
      <c r="T405" s="5">
        <v>72857566413</v>
      </c>
      <c r="U405" s="5">
        <v>69085949615</v>
      </c>
      <c r="V405" s="5">
        <v>3771616798</v>
      </c>
      <c r="W405" s="5">
        <v>0</v>
      </c>
      <c r="X405" s="5">
        <v>3871484201937</v>
      </c>
      <c r="Y405" s="5">
        <v>0</v>
      </c>
      <c r="Z405" s="5">
        <v>323610441464</v>
      </c>
      <c r="AA405" s="5">
        <v>30771731003</v>
      </c>
      <c r="AB405" s="5">
        <v>4225866374404</v>
      </c>
      <c r="AC405" s="5">
        <v>2961257536941</v>
      </c>
      <c r="AD405" s="36">
        <f t="shared" si="32"/>
        <v>30.737842070172345</v>
      </c>
      <c r="AE405" s="5">
        <v>2261343117009</v>
      </c>
      <c r="AF405" s="5">
        <v>2228023117009</v>
      </c>
      <c r="AG405" s="5">
        <v>12441828256</v>
      </c>
      <c r="AH405" s="5">
        <v>33337500000</v>
      </c>
      <c r="AI405" s="5">
        <v>0</v>
      </c>
      <c r="AJ405" s="5">
        <v>0</v>
      </c>
      <c r="AK405" s="5">
        <v>0</v>
      </c>
      <c r="AL405" s="6">
        <v>1</v>
      </c>
      <c r="AM405" s="5">
        <v>15552285319</v>
      </c>
      <c r="AN405" s="6">
        <v>129</v>
      </c>
      <c r="AO405" s="5">
        <v>969307254187</v>
      </c>
      <c r="AP405" s="6">
        <v>86</v>
      </c>
      <c r="AQ405" s="5">
        <v>441239294236</v>
      </c>
      <c r="AR405" s="5">
        <v>72857566413</v>
      </c>
      <c r="AS405" s="5">
        <v>20892004075</v>
      </c>
      <c r="AT405" s="5">
        <f t="shared" si="33"/>
        <v>51965562338</v>
      </c>
      <c r="AU405" s="36">
        <f t="shared" si="34"/>
        <v>248.73421502048981</v>
      </c>
      <c r="AV405" s="5">
        <v>1373392351442</v>
      </c>
      <c r="AW405" s="5">
        <v>263336065757</v>
      </c>
      <c r="AX405" s="5">
        <v>930660795231</v>
      </c>
      <c r="AY405" s="5">
        <v>553960482479</v>
      </c>
      <c r="AZ405" s="5">
        <v>1277562413129</v>
      </c>
      <c r="BA405" s="5">
        <v>2353161466230</v>
      </c>
      <c r="BB405" s="5">
        <v>991652584827</v>
      </c>
      <c r="BC405" s="5">
        <v>4711079327899</v>
      </c>
      <c r="BD405" s="5">
        <v>1561109024486</v>
      </c>
      <c r="BE405" s="5">
        <v>1261751313129</v>
      </c>
      <c r="BF405" s="5">
        <v>1888218990284</v>
      </c>
      <c r="BG405" s="5">
        <v>2045144889139</v>
      </c>
      <c r="BH405" s="5">
        <v>216198227870</v>
      </c>
      <c r="BI405" s="5">
        <v>0</v>
      </c>
      <c r="BJ405" s="48">
        <v>0</v>
      </c>
      <c r="BK405" s="5">
        <v>12441828256</v>
      </c>
      <c r="BL405" s="5">
        <v>21120000000</v>
      </c>
      <c r="BM405" s="5">
        <v>0</v>
      </c>
      <c r="BN405" s="5">
        <v>12217500000</v>
      </c>
    </row>
    <row r="406" spans="1:66" x14ac:dyDescent="0.25">
      <c r="A406" s="17" t="s">
        <v>608</v>
      </c>
      <c r="B406" s="4">
        <v>3704</v>
      </c>
      <c r="C406" s="4" t="s">
        <v>427</v>
      </c>
      <c r="D406" s="5">
        <v>2516456969643</v>
      </c>
      <c r="E406" s="5">
        <v>20041853022</v>
      </c>
      <c r="F406" s="5">
        <v>0</v>
      </c>
      <c r="G406" s="5">
        <v>0</v>
      </c>
      <c r="H406" s="5">
        <v>2536498822665</v>
      </c>
      <c r="I406" s="5">
        <v>214974683456</v>
      </c>
      <c r="J406" s="5">
        <v>9365174404</v>
      </c>
      <c r="K406" s="5">
        <v>2312158964805</v>
      </c>
      <c r="L406" s="5">
        <v>1768453928712</v>
      </c>
      <c r="M406" s="5">
        <f t="shared" si="30"/>
        <v>768044893953</v>
      </c>
      <c r="N406" s="36">
        <f t="shared" si="31"/>
        <v>43.430302677570019</v>
      </c>
      <c r="O406" s="5">
        <v>2150211521521</v>
      </c>
      <c r="P406" s="36">
        <v>96.33</v>
      </c>
      <c r="Q406" s="6">
        <v>93</v>
      </c>
      <c r="R406" s="6">
        <v>1.72</v>
      </c>
      <c r="S406" s="5">
        <v>2273971220305</v>
      </c>
      <c r="T406" s="5">
        <v>42113568614</v>
      </c>
      <c r="U406" s="5">
        <v>38105216224</v>
      </c>
      <c r="V406" s="5">
        <v>4008352390</v>
      </c>
      <c r="W406" s="5">
        <v>0</v>
      </c>
      <c r="X406" s="5">
        <v>2316084788919</v>
      </c>
      <c r="Y406" s="5">
        <v>0</v>
      </c>
      <c r="Z406" s="5">
        <v>110408139851</v>
      </c>
      <c r="AA406" s="5">
        <v>17027300000</v>
      </c>
      <c r="AB406" s="5">
        <v>2443520228770</v>
      </c>
      <c r="AC406" s="5">
        <v>1602359482736</v>
      </c>
      <c r="AD406" s="36">
        <f t="shared" si="32"/>
        <v>44.542146370571409</v>
      </c>
      <c r="AE406" s="5">
        <v>1798999464385</v>
      </c>
      <c r="AF406" s="5">
        <v>1736872731951</v>
      </c>
      <c r="AG406" s="5">
        <v>86440032857</v>
      </c>
      <c r="AH406" s="5">
        <v>0</v>
      </c>
      <c r="AI406" s="5">
        <v>0</v>
      </c>
      <c r="AJ406" s="5">
        <v>0</v>
      </c>
      <c r="AK406" s="5">
        <v>0</v>
      </c>
      <c r="AL406" s="6">
        <v>3</v>
      </c>
      <c r="AM406" s="5">
        <v>241100000000</v>
      </c>
      <c r="AN406" s="6">
        <v>46</v>
      </c>
      <c r="AO406" s="5">
        <v>217875501468</v>
      </c>
      <c r="AP406" s="6">
        <v>11</v>
      </c>
      <c r="AQ406" s="5">
        <v>28011349000</v>
      </c>
      <c r="AR406" s="5">
        <v>42113568614</v>
      </c>
      <c r="AS406" s="5">
        <v>11683390009</v>
      </c>
      <c r="AT406" s="5">
        <f t="shared" si="33"/>
        <v>30430178605</v>
      </c>
      <c r="AU406" s="36">
        <f t="shared" si="34"/>
        <v>260.45675597201574</v>
      </c>
      <c r="AV406" s="5">
        <v>1000695591953</v>
      </c>
      <c r="AW406" s="5">
        <v>206476011353</v>
      </c>
      <c r="AX406" s="5">
        <v>573989871857</v>
      </c>
      <c r="AY406" s="5">
        <v>410832144678</v>
      </c>
      <c r="AZ406" s="5">
        <v>691393940338</v>
      </c>
      <c r="BA406" s="5">
        <v>1170852460174</v>
      </c>
      <c r="BB406" s="5">
        <v>539576957067</v>
      </c>
      <c r="BC406" s="5">
        <v>2536498822665</v>
      </c>
      <c r="BD406" s="5">
        <v>1004863869557</v>
      </c>
      <c r="BE406" s="5">
        <v>690231940338</v>
      </c>
      <c r="BF406" s="5">
        <v>841403012770</v>
      </c>
      <c r="BG406" s="5">
        <v>1092235266371</v>
      </c>
      <c r="BH406" s="5">
        <v>706764198014</v>
      </c>
      <c r="BI406" s="5">
        <v>0</v>
      </c>
      <c r="BJ406" s="48">
        <v>0</v>
      </c>
      <c r="BK406" s="5">
        <v>86440032857</v>
      </c>
      <c r="BL406" s="5">
        <v>0</v>
      </c>
      <c r="BM406" s="5">
        <v>0</v>
      </c>
      <c r="BN406" s="5">
        <v>0</v>
      </c>
    </row>
    <row r="407" spans="1:66" x14ac:dyDescent="0.25">
      <c r="A407" s="17" t="s">
        <v>608</v>
      </c>
      <c r="B407" s="4">
        <v>3705</v>
      </c>
      <c r="C407" s="4" t="s">
        <v>428</v>
      </c>
      <c r="D407" s="5">
        <v>1889023546315</v>
      </c>
      <c r="E407" s="5">
        <v>37108737089</v>
      </c>
      <c r="F407" s="5">
        <v>0</v>
      </c>
      <c r="G407" s="5">
        <v>0</v>
      </c>
      <c r="H407" s="5">
        <v>1926132283404</v>
      </c>
      <c r="I407" s="5">
        <v>165750006579</v>
      </c>
      <c r="J407" s="5">
        <v>6049098027</v>
      </c>
      <c r="K407" s="5">
        <v>1754333178798</v>
      </c>
      <c r="L407" s="5">
        <v>1651625446989</v>
      </c>
      <c r="M407" s="5">
        <f t="shared" si="30"/>
        <v>274506836415</v>
      </c>
      <c r="N407" s="36">
        <f t="shared" si="31"/>
        <v>16.620404881472396</v>
      </c>
      <c r="O407" s="5">
        <v>1822879415862</v>
      </c>
      <c r="P407" s="36">
        <v>110.89</v>
      </c>
      <c r="Q407" s="6">
        <v>103.91</v>
      </c>
      <c r="R407" s="6">
        <v>2.39</v>
      </c>
      <c r="S407" s="5">
        <v>1942806148515</v>
      </c>
      <c r="T407" s="5">
        <v>51074582414</v>
      </c>
      <c r="U407" s="5">
        <v>41120504631</v>
      </c>
      <c r="V407" s="5">
        <v>9954077783</v>
      </c>
      <c r="W407" s="5">
        <v>0</v>
      </c>
      <c r="X407" s="5">
        <v>1993880730929</v>
      </c>
      <c r="Y407" s="5">
        <v>0</v>
      </c>
      <c r="Z407" s="5">
        <v>126696839326</v>
      </c>
      <c r="AA407" s="5">
        <v>15274000000</v>
      </c>
      <c r="AB407" s="5">
        <v>2135851570255</v>
      </c>
      <c r="AC407" s="5">
        <v>1520120049647</v>
      </c>
      <c r="AD407" s="36">
        <f t="shared" si="32"/>
        <v>31.166004381826028</v>
      </c>
      <c r="AE407" s="5">
        <v>1410017400605</v>
      </c>
      <c r="AF407" s="5">
        <v>1323587400605</v>
      </c>
      <c r="AG407" s="5">
        <v>0</v>
      </c>
      <c r="AH407" s="5">
        <v>23282581687</v>
      </c>
      <c r="AI407" s="5">
        <v>0</v>
      </c>
      <c r="AJ407" s="5">
        <v>0</v>
      </c>
      <c r="AK407" s="5">
        <v>0</v>
      </c>
      <c r="AL407" s="6">
        <v>1</v>
      </c>
      <c r="AM407" s="5">
        <v>37711354898</v>
      </c>
      <c r="AN407" s="6">
        <v>41</v>
      </c>
      <c r="AO407" s="5">
        <v>397824550511</v>
      </c>
      <c r="AP407" s="6">
        <v>38</v>
      </c>
      <c r="AQ407" s="5">
        <v>184089390000</v>
      </c>
      <c r="AR407" s="5">
        <v>51074582414</v>
      </c>
      <c r="AS407" s="5">
        <v>26060082423</v>
      </c>
      <c r="AT407" s="5">
        <f t="shared" si="33"/>
        <v>25014499991</v>
      </c>
      <c r="AU407" s="36">
        <f t="shared" si="34"/>
        <v>95.98780074817725</v>
      </c>
      <c r="AV407" s="5">
        <v>770446446169</v>
      </c>
      <c r="AW407" s="5">
        <v>221140714101</v>
      </c>
      <c r="AX407" s="5">
        <v>476285312142</v>
      </c>
      <c r="AY407" s="5">
        <v>73478850644</v>
      </c>
      <c r="AZ407" s="5">
        <v>479708862983</v>
      </c>
      <c r="BA407" s="5">
        <v>938167279606</v>
      </c>
      <c r="BB407" s="5">
        <v>263682254005</v>
      </c>
      <c r="BC407" s="5">
        <v>1926132283404</v>
      </c>
      <c r="BD407" s="5">
        <v>586872899875</v>
      </c>
      <c r="BE407" s="5">
        <v>479708862983</v>
      </c>
      <c r="BF407" s="5">
        <v>859550520546</v>
      </c>
      <c r="BG407" s="5">
        <v>1168853618918</v>
      </c>
      <c r="BH407" s="5">
        <v>241163781687</v>
      </c>
      <c r="BI407" s="5">
        <v>0</v>
      </c>
      <c r="BJ407" s="48">
        <v>0</v>
      </c>
      <c r="BK407" s="5">
        <v>0</v>
      </c>
      <c r="BL407" s="5">
        <v>0</v>
      </c>
      <c r="BM407" s="5">
        <v>0</v>
      </c>
      <c r="BN407" s="5">
        <v>23282581687</v>
      </c>
    </row>
    <row r="408" spans="1:66" x14ac:dyDescent="0.25">
      <c r="A408" s="17" t="s">
        <v>608</v>
      </c>
      <c r="B408" s="4">
        <v>3706</v>
      </c>
      <c r="C408" s="4" t="s">
        <v>429</v>
      </c>
      <c r="D408" s="5">
        <v>2405791724795</v>
      </c>
      <c r="E408" s="5">
        <v>39668771048</v>
      </c>
      <c r="F408" s="5">
        <v>0</v>
      </c>
      <c r="G408" s="5">
        <v>0</v>
      </c>
      <c r="H408" s="5">
        <v>2445460495843</v>
      </c>
      <c r="I408" s="5">
        <v>178360074399</v>
      </c>
      <c r="J408" s="5">
        <v>15006150350</v>
      </c>
      <c r="K408" s="5">
        <v>2252094271094</v>
      </c>
      <c r="L408" s="5">
        <v>1632572250792</v>
      </c>
      <c r="M408" s="5">
        <f t="shared" si="30"/>
        <v>812888245051</v>
      </c>
      <c r="N408" s="36">
        <f t="shared" si="31"/>
        <v>49.791869527161715</v>
      </c>
      <c r="O408" s="5">
        <v>2080835966144</v>
      </c>
      <c r="P408" s="36">
        <v>96.5</v>
      </c>
      <c r="Q408" s="6">
        <v>92.4</v>
      </c>
      <c r="R408" s="6">
        <v>2.76</v>
      </c>
      <c r="S408" s="5">
        <v>2203146782661</v>
      </c>
      <c r="T408" s="5">
        <v>64981006322</v>
      </c>
      <c r="U408" s="5">
        <v>55942019568</v>
      </c>
      <c r="V408" s="5">
        <v>9038986754</v>
      </c>
      <c r="W408" s="5">
        <v>0</v>
      </c>
      <c r="X408" s="5">
        <v>2268127788983</v>
      </c>
      <c r="Y408" s="5">
        <v>118772741</v>
      </c>
      <c r="Z408" s="5">
        <v>73598044994</v>
      </c>
      <c r="AA408" s="5">
        <v>18246740000</v>
      </c>
      <c r="AB408" s="5">
        <v>2359972573977</v>
      </c>
      <c r="AC408" s="5">
        <v>1524852668249</v>
      </c>
      <c r="AD408" s="36">
        <f t="shared" si="32"/>
        <v>48.744061391026619</v>
      </c>
      <c r="AE408" s="5">
        <v>1390350025607</v>
      </c>
      <c r="AF408" s="5">
        <v>1375090025607</v>
      </c>
      <c r="AG408" s="5">
        <v>0</v>
      </c>
      <c r="AH408" s="5">
        <v>1178237500</v>
      </c>
      <c r="AI408" s="5">
        <v>0</v>
      </c>
      <c r="AJ408" s="5">
        <v>0</v>
      </c>
      <c r="AK408" s="5">
        <v>0</v>
      </c>
      <c r="AL408" s="6">
        <v>1</v>
      </c>
      <c r="AM408" s="5">
        <v>200300000000</v>
      </c>
      <c r="AN408" s="6">
        <v>47</v>
      </c>
      <c r="AO408" s="5">
        <v>149652666800</v>
      </c>
      <c r="AP408" s="6">
        <v>19</v>
      </c>
      <c r="AQ408" s="5">
        <v>30666493361</v>
      </c>
      <c r="AR408" s="5">
        <v>64981006322</v>
      </c>
      <c r="AS408" s="5">
        <v>26910044516</v>
      </c>
      <c r="AT408" s="5">
        <f t="shared" si="33"/>
        <v>38070961806</v>
      </c>
      <c r="AU408" s="36">
        <f t="shared" si="34"/>
        <v>141.47491202909015</v>
      </c>
      <c r="AV408" s="5">
        <v>683829090526</v>
      </c>
      <c r="AW408" s="5">
        <v>214148416407</v>
      </c>
      <c r="AX408" s="5">
        <v>558157844122</v>
      </c>
      <c r="AY408" s="5">
        <v>304502327688</v>
      </c>
      <c r="AZ408" s="5">
        <v>851842051290</v>
      </c>
      <c r="BA408" s="5">
        <v>796386330791</v>
      </c>
      <c r="BB408" s="5">
        <v>620602475433</v>
      </c>
      <c r="BC408" s="5">
        <v>2445460495843</v>
      </c>
      <c r="BD408" s="5">
        <v>902328942858</v>
      </c>
      <c r="BE408" s="5">
        <v>851842051290</v>
      </c>
      <c r="BF408" s="5">
        <v>691289501695</v>
      </c>
      <c r="BG408" s="5">
        <v>1230101225607</v>
      </c>
      <c r="BH408" s="5">
        <v>160248800000</v>
      </c>
      <c r="BI408" s="5">
        <v>0</v>
      </c>
      <c r="BJ408" s="48">
        <v>0</v>
      </c>
      <c r="BK408" s="5">
        <v>0</v>
      </c>
      <c r="BL408" s="5">
        <v>0</v>
      </c>
      <c r="BM408" s="5">
        <v>0</v>
      </c>
      <c r="BN408" s="5">
        <v>1178237500</v>
      </c>
    </row>
    <row r="409" spans="1:66" x14ac:dyDescent="0.25">
      <c r="A409" s="17" t="s">
        <v>608</v>
      </c>
      <c r="B409" s="4">
        <v>3707</v>
      </c>
      <c r="C409" s="4" t="s">
        <v>430</v>
      </c>
      <c r="D409" s="5">
        <v>3315377879984</v>
      </c>
      <c r="E409" s="5">
        <v>83210997782</v>
      </c>
      <c r="F409" s="5">
        <v>0</v>
      </c>
      <c r="G409" s="5">
        <v>0</v>
      </c>
      <c r="H409" s="5">
        <v>3398588877766</v>
      </c>
      <c r="I409" s="5">
        <v>288783611031</v>
      </c>
      <c r="J409" s="5">
        <v>8246606915</v>
      </c>
      <c r="K409" s="5">
        <v>3101558659820</v>
      </c>
      <c r="L409" s="5">
        <v>2070371677038</v>
      </c>
      <c r="M409" s="5">
        <f t="shared" si="30"/>
        <v>1328217200728</v>
      </c>
      <c r="N409" s="36">
        <f t="shared" si="31"/>
        <v>64.153563123903851</v>
      </c>
      <c r="O409" s="5">
        <v>2570036404707</v>
      </c>
      <c r="P409" s="36">
        <v>86.89</v>
      </c>
      <c r="Q409" s="6">
        <v>82.86</v>
      </c>
      <c r="R409" s="6">
        <v>3.76</v>
      </c>
      <c r="S409" s="5">
        <v>2724820713142</v>
      </c>
      <c r="T409" s="5">
        <v>110494825238</v>
      </c>
      <c r="U409" s="5">
        <v>99271144117</v>
      </c>
      <c r="V409" s="5">
        <v>10476624816</v>
      </c>
      <c r="W409" s="5">
        <v>747056305</v>
      </c>
      <c r="X409" s="5">
        <v>2835315538380</v>
      </c>
      <c r="Y409" s="5">
        <v>615752106</v>
      </c>
      <c r="Z409" s="5">
        <v>107262043566</v>
      </c>
      <c r="AA409" s="5">
        <v>10363100000</v>
      </c>
      <c r="AB409" s="5">
        <v>2952940681946</v>
      </c>
      <c r="AC409" s="5">
        <v>2242099823199</v>
      </c>
      <c r="AD409" s="36">
        <f t="shared" si="32"/>
        <v>26.458042101560281</v>
      </c>
      <c r="AE409" s="5">
        <v>2155270624140</v>
      </c>
      <c r="AF409" s="5">
        <v>1943350624140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6">
        <v>2</v>
      </c>
      <c r="AM409" s="5">
        <v>35000000000</v>
      </c>
      <c r="AN409" s="6">
        <v>68</v>
      </c>
      <c r="AO409" s="5">
        <v>641743625022</v>
      </c>
      <c r="AP409" s="6">
        <v>60</v>
      </c>
      <c r="AQ409" s="5">
        <v>221533229926</v>
      </c>
      <c r="AR409" s="5">
        <v>110494825238</v>
      </c>
      <c r="AS409" s="5">
        <v>36740015701</v>
      </c>
      <c r="AT409" s="5">
        <f t="shared" si="33"/>
        <v>73754809537</v>
      </c>
      <c r="AU409" s="36">
        <f t="shared" si="34"/>
        <v>200.74789879578771</v>
      </c>
      <c r="AV409" s="5">
        <v>1328446422547</v>
      </c>
      <c r="AW409" s="5">
        <v>411661604949</v>
      </c>
      <c r="AX409" s="5">
        <v>826171052026</v>
      </c>
      <c r="AY409" s="5">
        <v>515645841937</v>
      </c>
      <c r="AZ409" s="5">
        <v>757723841826</v>
      </c>
      <c r="BA409" s="5">
        <v>1601030743559</v>
      </c>
      <c r="BB409" s="5">
        <v>515766296085</v>
      </c>
      <c r="BC409" s="5">
        <v>3398588877766</v>
      </c>
      <c r="BD409" s="5">
        <v>1425027891745</v>
      </c>
      <c r="BE409" s="5">
        <v>757723841826</v>
      </c>
      <c r="BF409" s="5">
        <v>1215837144195</v>
      </c>
      <c r="BG409" s="5">
        <v>1505798259397</v>
      </c>
      <c r="BH409" s="5">
        <v>649472364743</v>
      </c>
      <c r="BI409" s="5">
        <v>0</v>
      </c>
      <c r="BJ409" s="48">
        <v>0</v>
      </c>
      <c r="BK409" s="5">
        <v>0</v>
      </c>
      <c r="BL409" s="5">
        <v>0</v>
      </c>
      <c r="BM409" s="5">
        <v>0</v>
      </c>
      <c r="BN409" s="5">
        <v>0</v>
      </c>
    </row>
    <row r="410" spans="1:66" x14ac:dyDescent="0.25">
      <c r="A410" s="17" t="s">
        <v>608</v>
      </c>
      <c r="B410" s="4">
        <v>3708</v>
      </c>
      <c r="C410" s="4" t="s">
        <v>431</v>
      </c>
      <c r="D410" s="5">
        <v>3140848085531</v>
      </c>
      <c r="E410" s="5">
        <v>57119506016</v>
      </c>
      <c r="F410" s="5">
        <v>0</v>
      </c>
      <c r="G410" s="5">
        <v>0</v>
      </c>
      <c r="H410" s="5">
        <v>3197967591547</v>
      </c>
      <c r="I410" s="5">
        <v>239055682753</v>
      </c>
      <c r="J410" s="5">
        <v>7044725426</v>
      </c>
      <c r="K410" s="5">
        <v>2951867183368</v>
      </c>
      <c r="L410" s="5">
        <v>2208244724755</v>
      </c>
      <c r="M410" s="5">
        <f t="shared" si="30"/>
        <v>989722866792</v>
      </c>
      <c r="N410" s="36">
        <f t="shared" si="31"/>
        <v>44.819437614723952</v>
      </c>
      <c r="O410" s="5">
        <v>1594649286060</v>
      </c>
      <c r="P410" s="36">
        <v>59.1</v>
      </c>
      <c r="Q410" s="6">
        <v>54.02</v>
      </c>
      <c r="R410" s="6">
        <v>2.19</v>
      </c>
      <c r="S410" s="5">
        <v>1737787902334</v>
      </c>
      <c r="T410" s="5">
        <v>39922819064</v>
      </c>
      <c r="U410" s="5">
        <v>31867666755</v>
      </c>
      <c r="V410" s="5">
        <v>5347645461</v>
      </c>
      <c r="W410" s="5">
        <v>2707506848</v>
      </c>
      <c r="X410" s="5">
        <v>1777710721398</v>
      </c>
      <c r="Y410" s="5">
        <v>1403275410</v>
      </c>
      <c r="Z410" s="5">
        <v>83427512373</v>
      </c>
      <c r="AA410" s="5">
        <v>28809245003</v>
      </c>
      <c r="AB410" s="5">
        <v>1889947478774</v>
      </c>
      <c r="AC410" s="5">
        <v>1563901426275</v>
      </c>
      <c r="AD410" s="36">
        <f t="shared" si="32"/>
        <v>13.671532714965585</v>
      </c>
      <c r="AE410" s="5">
        <v>999582115106</v>
      </c>
      <c r="AF410" s="5">
        <v>953982115106</v>
      </c>
      <c r="AG410" s="5">
        <v>0</v>
      </c>
      <c r="AH410" s="5">
        <v>2394194301</v>
      </c>
      <c r="AI410" s="5">
        <v>0</v>
      </c>
      <c r="AJ410" s="5">
        <v>0</v>
      </c>
      <c r="AK410" s="5">
        <v>0</v>
      </c>
      <c r="AL410" s="6">
        <v>0</v>
      </c>
      <c r="AM410" s="5">
        <v>0</v>
      </c>
      <c r="AN410" s="6">
        <v>93</v>
      </c>
      <c r="AO410" s="5">
        <v>651029443348</v>
      </c>
      <c r="AP410" s="6">
        <v>44</v>
      </c>
      <c r="AQ410" s="5">
        <v>83888409872</v>
      </c>
      <c r="AR410" s="5">
        <v>39922819064</v>
      </c>
      <c r="AS410" s="5">
        <v>23870405616</v>
      </c>
      <c r="AT410" s="5">
        <f t="shared" si="33"/>
        <v>16052413448</v>
      </c>
      <c r="AU410" s="36">
        <f t="shared" si="34"/>
        <v>67.248180471806862</v>
      </c>
      <c r="AV410" s="5">
        <v>717982058283</v>
      </c>
      <c r="AW410" s="5">
        <v>168612003197</v>
      </c>
      <c r="AX410" s="5">
        <v>778275666038</v>
      </c>
      <c r="AY410" s="5">
        <v>330818473521</v>
      </c>
      <c r="AZ410" s="5">
        <v>1098645036179</v>
      </c>
      <c r="BA410" s="5">
        <v>1153310505785</v>
      </c>
      <c r="BB410" s="5">
        <v>373039333633</v>
      </c>
      <c r="BC410" s="5">
        <v>3197967591547</v>
      </c>
      <c r="BD410" s="5">
        <v>1166213645575</v>
      </c>
      <c r="BE410" s="5">
        <v>1098645036179</v>
      </c>
      <c r="BF410" s="5">
        <v>933108909793</v>
      </c>
      <c r="BG410" s="5">
        <v>696104712181</v>
      </c>
      <c r="BH410" s="5">
        <v>303477402925</v>
      </c>
      <c r="BI410" s="5">
        <v>0</v>
      </c>
      <c r="BJ410" s="48">
        <v>0</v>
      </c>
      <c r="BK410" s="5">
        <v>39417929100</v>
      </c>
      <c r="BL410" s="5">
        <v>0</v>
      </c>
      <c r="BM410" s="5">
        <v>0</v>
      </c>
      <c r="BN410" s="5">
        <v>2394194301</v>
      </c>
    </row>
    <row r="411" spans="1:66" x14ac:dyDescent="0.25">
      <c r="A411" s="17" t="s">
        <v>608</v>
      </c>
      <c r="B411" s="4">
        <v>3709</v>
      </c>
      <c r="C411" s="4" t="s">
        <v>432</v>
      </c>
      <c r="D411" s="5">
        <v>2111246763315</v>
      </c>
      <c r="E411" s="5">
        <v>26504956023</v>
      </c>
      <c r="F411" s="5">
        <v>0</v>
      </c>
      <c r="G411" s="5">
        <v>0</v>
      </c>
      <c r="H411" s="5">
        <v>2137751719338</v>
      </c>
      <c r="I411" s="5">
        <v>167040722613</v>
      </c>
      <c r="J411" s="5">
        <v>4558974510</v>
      </c>
      <c r="K411" s="5">
        <v>1966152022215</v>
      </c>
      <c r="L411" s="5">
        <v>1692697301050</v>
      </c>
      <c r="M411" s="5">
        <f t="shared" si="30"/>
        <v>445054418288</v>
      </c>
      <c r="N411" s="36">
        <f t="shared" si="31"/>
        <v>26.292616997258015</v>
      </c>
      <c r="O411" s="5">
        <v>1728821727163</v>
      </c>
      <c r="P411" s="36">
        <v>91.32</v>
      </c>
      <c r="Q411" s="6">
        <v>87.93</v>
      </c>
      <c r="R411" s="6">
        <v>1.96</v>
      </c>
      <c r="S411" s="5">
        <v>1824780579837</v>
      </c>
      <c r="T411" s="5">
        <v>37391869659</v>
      </c>
      <c r="U411" s="5">
        <v>32768701579</v>
      </c>
      <c r="V411" s="5">
        <v>2270918115</v>
      </c>
      <c r="W411" s="5">
        <v>2352249965</v>
      </c>
      <c r="X411" s="5">
        <v>1862172449496</v>
      </c>
      <c r="Y411" s="5">
        <v>787262619</v>
      </c>
      <c r="Z411" s="5">
        <v>73194932486</v>
      </c>
      <c r="AA411" s="5">
        <v>16931470000</v>
      </c>
      <c r="AB411" s="5">
        <v>1952298851982</v>
      </c>
      <c r="AC411" s="5">
        <v>1450623650729</v>
      </c>
      <c r="AD411" s="36">
        <f t="shared" si="32"/>
        <v>28.370473524278971</v>
      </c>
      <c r="AE411" s="5">
        <v>1304241487668</v>
      </c>
      <c r="AF411" s="5">
        <v>1263659121917</v>
      </c>
      <c r="AG411" s="5">
        <v>24350363796</v>
      </c>
      <c r="AH411" s="5">
        <v>0</v>
      </c>
      <c r="AI411" s="5">
        <v>0</v>
      </c>
      <c r="AJ411" s="5">
        <v>0</v>
      </c>
      <c r="AK411" s="5">
        <v>0</v>
      </c>
      <c r="AL411" s="6">
        <v>2</v>
      </c>
      <c r="AM411" s="5">
        <v>44000000000</v>
      </c>
      <c r="AN411" s="6">
        <v>12</v>
      </c>
      <c r="AO411" s="5">
        <v>29481100000</v>
      </c>
      <c r="AP411" s="6">
        <v>1</v>
      </c>
      <c r="AQ411" s="5">
        <v>560000000</v>
      </c>
      <c r="AR411" s="5">
        <v>37391869659</v>
      </c>
      <c r="AS411" s="5">
        <v>6205203399</v>
      </c>
      <c r="AT411" s="5">
        <f t="shared" si="33"/>
        <v>31186666260</v>
      </c>
      <c r="AU411" s="36">
        <f t="shared" si="34"/>
        <v>502.58894438538294</v>
      </c>
      <c r="AV411" s="5">
        <v>802530518448</v>
      </c>
      <c r="AW411" s="5">
        <v>146878077102</v>
      </c>
      <c r="AX411" s="5">
        <v>452059647910</v>
      </c>
      <c r="AY411" s="5">
        <v>229475013855</v>
      </c>
      <c r="AZ411" s="5">
        <v>546861101550</v>
      </c>
      <c r="BA411" s="5">
        <v>906459362288</v>
      </c>
      <c r="BB411" s="5">
        <v>536605732532</v>
      </c>
      <c r="BC411" s="5">
        <v>2137751719338</v>
      </c>
      <c r="BD411" s="5">
        <v>708039617788</v>
      </c>
      <c r="BE411" s="5">
        <v>545721101550</v>
      </c>
      <c r="BF411" s="5">
        <v>883991000000</v>
      </c>
      <c r="BG411" s="5">
        <v>972927863931</v>
      </c>
      <c r="BH411" s="5">
        <v>331313623737</v>
      </c>
      <c r="BI411" s="5">
        <v>0</v>
      </c>
      <c r="BJ411" s="48">
        <v>0</v>
      </c>
      <c r="BK411" s="5">
        <v>24350363796</v>
      </c>
      <c r="BL411" s="5">
        <v>0</v>
      </c>
      <c r="BM411" s="5">
        <v>0</v>
      </c>
      <c r="BN411" s="5">
        <v>0</v>
      </c>
    </row>
    <row r="412" spans="1:66" x14ac:dyDescent="0.25">
      <c r="A412" s="17" t="s">
        <v>608</v>
      </c>
      <c r="B412" s="4">
        <v>3710</v>
      </c>
      <c r="C412" s="4" t="s">
        <v>433</v>
      </c>
      <c r="D412" s="5">
        <v>1515787375483</v>
      </c>
      <c r="E412" s="5">
        <v>5623216910</v>
      </c>
      <c r="F412" s="5">
        <v>0</v>
      </c>
      <c r="G412" s="5">
        <v>0</v>
      </c>
      <c r="H412" s="5">
        <v>1521410592393</v>
      </c>
      <c r="I412" s="5">
        <v>115064663550</v>
      </c>
      <c r="J412" s="5">
        <v>8710153400</v>
      </c>
      <c r="K412" s="5">
        <v>1397635775443</v>
      </c>
      <c r="L412" s="5">
        <v>1639618234939</v>
      </c>
      <c r="M412" s="5">
        <f t="shared" si="30"/>
        <v>-118207642546</v>
      </c>
      <c r="N412" s="36">
        <f t="shared" si="31"/>
        <v>-7.2094613262457266</v>
      </c>
      <c r="O412" s="5">
        <v>1081671191326</v>
      </c>
      <c r="P412" s="36">
        <v>81.83</v>
      </c>
      <c r="Q412" s="6">
        <v>77.39</v>
      </c>
      <c r="R412" s="6">
        <v>0.28999999999999998</v>
      </c>
      <c r="S412" s="5">
        <v>1182086683452</v>
      </c>
      <c r="T412" s="5">
        <v>3653897761</v>
      </c>
      <c r="U412" s="5">
        <v>3653897761</v>
      </c>
      <c r="V412" s="5">
        <v>0</v>
      </c>
      <c r="W412" s="5">
        <v>0</v>
      </c>
      <c r="X412" s="5">
        <v>1185740581213</v>
      </c>
      <c r="Y412" s="5">
        <v>0</v>
      </c>
      <c r="Z412" s="5">
        <v>53888769883</v>
      </c>
      <c r="AA412" s="5">
        <v>5400000000</v>
      </c>
      <c r="AB412" s="5">
        <v>1245029351096</v>
      </c>
      <c r="AC412" s="5">
        <v>954037179209</v>
      </c>
      <c r="AD412" s="36">
        <f t="shared" si="32"/>
        <v>24.286621848019298</v>
      </c>
      <c r="AE412" s="5">
        <v>779608314997</v>
      </c>
      <c r="AF412" s="5">
        <v>736283001028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6">
        <v>0</v>
      </c>
      <c r="AM412" s="5">
        <v>0</v>
      </c>
      <c r="AN412" s="6">
        <v>18</v>
      </c>
      <c r="AO412" s="5">
        <v>26382991328</v>
      </c>
      <c r="AP412" s="6">
        <v>7</v>
      </c>
      <c r="AQ412" s="5">
        <v>8171248636</v>
      </c>
      <c r="AR412" s="5">
        <v>3653897761</v>
      </c>
      <c r="AS412" s="5">
        <v>480533074</v>
      </c>
      <c r="AT412" s="5">
        <f t="shared" si="33"/>
        <v>3173364687</v>
      </c>
      <c r="AU412" s="36">
        <f t="shared" si="34"/>
        <v>660.38423964965216</v>
      </c>
      <c r="AV412" s="5">
        <v>501665491221</v>
      </c>
      <c r="AW412" s="5">
        <v>65035696854</v>
      </c>
      <c r="AX412" s="5">
        <v>92259641602</v>
      </c>
      <c r="AY412" s="5">
        <v>189783972610</v>
      </c>
      <c r="AZ412" s="5">
        <v>558714761271</v>
      </c>
      <c r="BA412" s="5">
        <v>711235955904</v>
      </c>
      <c r="BB412" s="5">
        <v>526288264369</v>
      </c>
      <c r="BC412" s="5">
        <v>1521410592393</v>
      </c>
      <c r="BD412" s="5">
        <v>287666831122</v>
      </c>
      <c r="BE412" s="5">
        <v>558714761271</v>
      </c>
      <c r="BF412" s="5">
        <v>675029000000</v>
      </c>
      <c r="BG412" s="5">
        <v>659318314997</v>
      </c>
      <c r="BH412" s="5">
        <v>120290000000</v>
      </c>
      <c r="BI412" s="5">
        <v>0</v>
      </c>
      <c r="BJ412" s="48">
        <v>0</v>
      </c>
      <c r="BK412" s="5">
        <v>0</v>
      </c>
      <c r="BL412" s="5">
        <v>0</v>
      </c>
      <c r="BM412" s="5">
        <v>0</v>
      </c>
      <c r="BN412" s="5">
        <v>0</v>
      </c>
    </row>
    <row r="413" spans="1:66" x14ac:dyDescent="0.25">
      <c r="A413" s="17" t="s">
        <v>608</v>
      </c>
      <c r="B413" s="4">
        <v>3711</v>
      </c>
      <c r="C413" s="4" t="s">
        <v>434</v>
      </c>
      <c r="D413" s="5">
        <v>1446205297131</v>
      </c>
      <c r="E413" s="5">
        <v>8989594061</v>
      </c>
      <c r="F413" s="5">
        <v>0</v>
      </c>
      <c r="G413" s="5">
        <v>0</v>
      </c>
      <c r="H413" s="5">
        <v>1455194891192</v>
      </c>
      <c r="I413" s="5">
        <v>115135413183</v>
      </c>
      <c r="J413" s="5">
        <v>7080992343</v>
      </c>
      <c r="K413" s="5">
        <v>1332978485666</v>
      </c>
      <c r="L413" s="5">
        <v>1063124281298</v>
      </c>
      <c r="M413" s="5">
        <f t="shared" si="30"/>
        <v>392070609894</v>
      </c>
      <c r="N413" s="36">
        <f t="shared" si="31"/>
        <v>36.879094645012657</v>
      </c>
      <c r="O413" s="5">
        <v>767848941492</v>
      </c>
      <c r="P413" s="36">
        <v>61.41</v>
      </c>
      <c r="Q413" s="6">
        <v>57.6</v>
      </c>
      <c r="R413" s="6">
        <v>1.42</v>
      </c>
      <c r="S413" s="5">
        <v>838057569832</v>
      </c>
      <c r="T413" s="5">
        <v>12666704666</v>
      </c>
      <c r="U413" s="5">
        <v>12666704666</v>
      </c>
      <c r="V413" s="5">
        <v>0</v>
      </c>
      <c r="W413" s="5">
        <v>0</v>
      </c>
      <c r="X413" s="5">
        <v>850724274498</v>
      </c>
      <c r="Y413" s="5">
        <v>0</v>
      </c>
      <c r="Z413" s="5">
        <v>37942508864</v>
      </c>
      <c r="AA413" s="5">
        <v>5000000000</v>
      </c>
      <c r="AB413" s="5">
        <v>893666783362</v>
      </c>
      <c r="AC413" s="5">
        <v>724257666192</v>
      </c>
      <c r="AD413" s="36">
        <f t="shared" si="32"/>
        <v>17.461549143267728</v>
      </c>
      <c r="AE413" s="5">
        <v>496423775971</v>
      </c>
      <c r="AF413" s="5">
        <v>480510941173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6">
        <v>0</v>
      </c>
      <c r="AM413" s="5">
        <v>0</v>
      </c>
      <c r="AN413" s="6">
        <v>20</v>
      </c>
      <c r="AO413" s="5">
        <v>37974942927</v>
      </c>
      <c r="AP413" s="6">
        <v>3</v>
      </c>
      <c r="AQ413" s="5">
        <v>2869070927</v>
      </c>
      <c r="AR413" s="5">
        <v>12666704666</v>
      </c>
      <c r="AS413" s="5">
        <v>2870731771</v>
      </c>
      <c r="AT413" s="5">
        <f t="shared" si="33"/>
        <v>9795972895</v>
      </c>
      <c r="AU413" s="36">
        <f t="shared" si="34"/>
        <v>341.23609157631745</v>
      </c>
      <c r="AV413" s="5">
        <v>358100950566</v>
      </c>
      <c r="AW413" s="5">
        <v>64737898039</v>
      </c>
      <c r="AX413" s="5">
        <v>49524337843</v>
      </c>
      <c r="AY413" s="5">
        <v>140337558815</v>
      </c>
      <c r="AZ413" s="5">
        <v>323098272475</v>
      </c>
      <c r="BA413" s="5">
        <v>940462251226</v>
      </c>
      <c r="BB413" s="5">
        <v>298764620068</v>
      </c>
      <c r="BC413" s="5">
        <v>1455194891192</v>
      </c>
      <c r="BD413" s="5">
        <v>198851490719</v>
      </c>
      <c r="BE413" s="5">
        <v>323098272475</v>
      </c>
      <c r="BF413" s="5">
        <v>933245127998</v>
      </c>
      <c r="BG413" s="5">
        <v>350278167971</v>
      </c>
      <c r="BH413" s="5">
        <v>146145608000</v>
      </c>
      <c r="BI413" s="5">
        <v>0</v>
      </c>
      <c r="BJ413" s="48">
        <v>0</v>
      </c>
      <c r="BK413" s="5">
        <v>0</v>
      </c>
      <c r="BL413" s="5">
        <v>0</v>
      </c>
      <c r="BM413" s="5">
        <v>0</v>
      </c>
      <c r="BN413" s="5">
        <v>0</v>
      </c>
    </row>
    <row r="414" spans="1:66" x14ac:dyDescent="0.25">
      <c r="A414" s="17" t="s">
        <v>608</v>
      </c>
      <c r="B414" s="4">
        <v>3712</v>
      </c>
      <c r="C414" s="4" t="s">
        <v>435</v>
      </c>
      <c r="D414" s="5">
        <v>1049208208390</v>
      </c>
      <c r="E414" s="5">
        <v>9939903510</v>
      </c>
      <c r="F414" s="5">
        <v>0</v>
      </c>
      <c r="G414" s="5">
        <v>0</v>
      </c>
      <c r="H414" s="5">
        <v>1059148111900</v>
      </c>
      <c r="I414" s="5">
        <v>72685225831</v>
      </c>
      <c r="J414" s="5">
        <v>6545872800</v>
      </c>
      <c r="K414" s="5">
        <v>979917013269</v>
      </c>
      <c r="L414" s="5">
        <v>736577988244</v>
      </c>
      <c r="M414" s="5">
        <f t="shared" si="30"/>
        <v>322570123656</v>
      </c>
      <c r="N414" s="36">
        <f t="shared" si="31"/>
        <v>43.79307131143117</v>
      </c>
      <c r="O414" s="5">
        <v>535364121904</v>
      </c>
      <c r="P414" s="36">
        <v>59.35</v>
      </c>
      <c r="Q414" s="6">
        <v>54.63</v>
      </c>
      <c r="R414" s="6">
        <v>0.69</v>
      </c>
      <c r="S414" s="5">
        <v>593492330247</v>
      </c>
      <c r="T414" s="5">
        <v>4355003299</v>
      </c>
      <c r="U414" s="5">
        <v>4355003299</v>
      </c>
      <c r="V414" s="5">
        <v>0</v>
      </c>
      <c r="W414" s="5">
        <v>0</v>
      </c>
      <c r="X414" s="5">
        <v>597847333546</v>
      </c>
      <c r="Y414" s="5">
        <v>0</v>
      </c>
      <c r="Z414" s="5">
        <v>24147780388</v>
      </c>
      <c r="AA414" s="5">
        <v>6600000000</v>
      </c>
      <c r="AB414" s="5">
        <v>628595113934</v>
      </c>
      <c r="AC414" s="5">
        <v>315399076233</v>
      </c>
      <c r="AD414" s="36">
        <f t="shared" si="32"/>
        <v>89.552658392804645</v>
      </c>
      <c r="AE414" s="5">
        <v>446193115803</v>
      </c>
      <c r="AF414" s="5">
        <v>434407811695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6">
        <v>0</v>
      </c>
      <c r="AM414" s="5">
        <v>0</v>
      </c>
      <c r="AN414" s="6">
        <v>41</v>
      </c>
      <c r="AO414" s="5">
        <v>107478795000</v>
      </c>
      <c r="AP414" s="6">
        <v>3</v>
      </c>
      <c r="AQ414" s="5">
        <v>17064000000</v>
      </c>
      <c r="AR414" s="5">
        <v>4355003299</v>
      </c>
      <c r="AS414" s="5">
        <v>344248323</v>
      </c>
      <c r="AT414" s="5">
        <f t="shared" si="33"/>
        <v>4010754976</v>
      </c>
      <c r="AU414" s="36">
        <f t="shared" si="34"/>
        <v>1165.0761116416534</v>
      </c>
      <c r="AV414" s="5">
        <v>176495924290</v>
      </c>
      <c r="AW414" s="5">
        <v>21584332927</v>
      </c>
      <c r="AX414" s="5">
        <v>77678848504</v>
      </c>
      <c r="AY414" s="5">
        <v>135356612606</v>
      </c>
      <c r="AZ414" s="5">
        <v>391462121165</v>
      </c>
      <c r="BA414" s="5">
        <v>451013034199</v>
      </c>
      <c r="BB414" s="5">
        <v>389190537890</v>
      </c>
      <c r="BC414" s="5">
        <v>1059148111900</v>
      </c>
      <c r="BD414" s="5">
        <v>222975364620</v>
      </c>
      <c r="BE414" s="5">
        <v>391462121165</v>
      </c>
      <c r="BF414" s="5">
        <v>444710626115</v>
      </c>
      <c r="BG414" s="5">
        <v>312821477652</v>
      </c>
      <c r="BH414" s="5">
        <v>133371638151</v>
      </c>
      <c r="BI414" s="5">
        <v>0</v>
      </c>
      <c r="BJ414" s="48">
        <v>0</v>
      </c>
      <c r="BK414" s="5">
        <v>0</v>
      </c>
      <c r="BL414" s="5">
        <v>0</v>
      </c>
      <c r="BM414" s="5">
        <v>0</v>
      </c>
      <c r="BN414" s="5">
        <v>0</v>
      </c>
    </row>
    <row r="415" spans="1:66" s="32" customFormat="1" x14ac:dyDescent="0.25">
      <c r="A415" s="17" t="s">
        <v>608</v>
      </c>
      <c r="B415" s="8">
        <v>3799</v>
      </c>
      <c r="C415" s="8" t="s">
        <v>436</v>
      </c>
      <c r="D415" s="9">
        <v>0</v>
      </c>
      <c r="E415" s="9">
        <v>5996584779</v>
      </c>
      <c r="F415" s="9">
        <v>0</v>
      </c>
      <c r="G415" s="9">
        <v>0</v>
      </c>
      <c r="H415" s="9">
        <v>5996584779</v>
      </c>
      <c r="I415" s="9">
        <v>417579468</v>
      </c>
      <c r="J415" s="9">
        <v>14437845000</v>
      </c>
      <c r="K415" s="9">
        <v>-8858839689</v>
      </c>
      <c r="L415" s="9">
        <v>6603840492</v>
      </c>
      <c r="M415" s="5">
        <f t="shared" si="30"/>
        <v>-607255713</v>
      </c>
      <c r="N415" s="36">
        <f t="shared" si="31"/>
        <v>-9.1954933456621113</v>
      </c>
      <c r="O415" s="9">
        <v>0</v>
      </c>
      <c r="P415" s="36">
        <v>0</v>
      </c>
      <c r="Q415" s="10">
        <v>0</v>
      </c>
      <c r="R415" s="10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36">
        <f t="shared" si="32"/>
        <v>0</v>
      </c>
      <c r="AE415" s="9">
        <v>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10">
        <v>0</v>
      </c>
      <c r="AM415" s="9">
        <v>0</v>
      </c>
      <c r="AN415" s="11">
        <v>0</v>
      </c>
      <c r="AO415" s="9">
        <v>0</v>
      </c>
      <c r="AP415" s="11">
        <v>0</v>
      </c>
      <c r="AQ415" s="9">
        <v>0</v>
      </c>
      <c r="AR415" s="9">
        <v>0</v>
      </c>
      <c r="AS415" s="9">
        <v>0</v>
      </c>
      <c r="AT415" s="5">
        <f t="shared" si="33"/>
        <v>0</v>
      </c>
      <c r="AU415" s="36">
        <f t="shared" si="34"/>
        <v>0</v>
      </c>
      <c r="AV415" s="9">
        <v>0</v>
      </c>
      <c r="AW415" s="9">
        <v>0</v>
      </c>
      <c r="AX415" s="9">
        <v>0</v>
      </c>
      <c r="AY415" s="9">
        <v>0</v>
      </c>
      <c r="AZ415" s="9">
        <v>0</v>
      </c>
      <c r="BA415" s="9">
        <v>0</v>
      </c>
      <c r="BB415" s="9">
        <v>0</v>
      </c>
      <c r="BC415" s="9">
        <v>5996584779</v>
      </c>
      <c r="BD415" s="9">
        <v>5996584779</v>
      </c>
      <c r="BE415" s="9">
        <v>0</v>
      </c>
      <c r="BF415" s="9">
        <v>0</v>
      </c>
      <c r="BG415" s="9">
        <v>0</v>
      </c>
      <c r="BH415" s="9">
        <v>0</v>
      </c>
      <c r="BI415" s="9">
        <v>0</v>
      </c>
      <c r="BJ415" s="51">
        <v>0</v>
      </c>
      <c r="BK415" s="9">
        <v>0</v>
      </c>
      <c r="BL415" s="9">
        <v>0</v>
      </c>
      <c r="BM415" s="9">
        <v>0</v>
      </c>
      <c r="BN415" s="9">
        <v>0</v>
      </c>
    </row>
    <row r="416" spans="1:66" x14ac:dyDescent="0.25">
      <c r="A416" s="30" t="s">
        <v>609</v>
      </c>
      <c r="B416" s="13" t="s">
        <v>625</v>
      </c>
      <c r="C416" s="13" t="s">
        <v>625</v>
      </c>
      <c r="D416" s="14">
        <v>32402233092021</v>
      </c>
      <c r="E416" s="14">
        <v>987969261713</v>
      </c>
      <c r="F416" s="14">
        <v>11397000000</v>
      </c>
      <c r="G416" s="14">
        <v>43253958684</v>
      </c>
      <c r="H416" s="14">
        <v>33444853312418</v>
      </c>
      <c r="I416" s="14">
        <v>2697460260754</v>
      </c>
      <c r="J416" s="14">
        <v>243198088407</v>
      </c>
      <c r="K416" s="14">
        <v>30504194963257</v>
      </c>
      <c r="L416" s="14">
        <v>25895357757157</v>
      </c>
      <c r="M416" s="14">
        <f t="shared" si="30"/>
        <v>7549495555261</v>
      </c>
      <c r="N416" s="41">
        <f t="shared" si="31"/>
        <v>29.153856942464749</v>
      </c>
      <c r="O416" s="14">
        <v>28072899354134</v>
      </c>
      <c r="P416" s="41">
        <v>102.85</v>
      </c>
      <c r="Q416" s="15">
        <v>92.03</v>
      </c>
      <c r="R416" s="15">
        <v>2.0699999999999998</v>
      </c>
      <c r="S416" s="14">
        <v>31823556862123</v>
      </c>
      <c r="T416" s="14">
        <v>705227666424</v>
      </c>
      <c r="U416" s="14">
        <v>562825280979</v>
      </c>
      <c r="V416" s="14">
        <v>95700343481</v>
      </c>
      <c r="W416" s="14">
        <v>46702041964</v>
      </c>
      <c r="X416" s="14">
        <v>32528784528547</v>
      </c>
      <c r="Y416" s="14">
        <v>6921361263</v>
      </c>
      <c r="Z416" s="14">
        <v>1625169044554</v>
      </c>
      <c r="AA416" s="14">
        <v>243760124143</v>
      </c>
      <c r="AB416" s="14">
        <v>34397713697244</v>
      </c>
      <c r="AC416" s="14">
        <v>25216417482835</v>
      </c>
      <c r="AD416" s="41">
        <f t="shared" si="32"/>
        <v>28.998437429462697</v>
      </c>
      <c r="AE416" s="14">
        <v>19782401173054</v>
      </c>
      <c r="AF416" s="14">
        <v>18991120368845</v>
      </c>
      <c r="AG416" s="14">
        <v>150488142209</v>
      </c>
      <c r="AH416" s="14">
        <v>93492513488</v>
      </c>
      <c r="AI416" s="14">
        <v>0</v>
      </c>
      <c r="AJ416" s="14">
        <v>0</v>
      </c>
      <c r="AK416" s="14">
        <v>0</v>
      </c>
      <c r="AL416" s="15">
        <v>12</v>
      </c>
      <c r="AM416" s="14">
        <v>606963640217</v>
      </c>
      <c r="AN416" s="16">
        <v>1176</v>
      </c>
      <c r="AO416" s="14">
        <v>8224988789467</v>
      </c>
      <c r="AP416" s="16">
        <v>694</v>
      </c>
      <c r="AQ416" s="14">
        <v>2707248614318</v>
      </c>
      <c r="AR416" s="14">
        <v>705227666424</v>
      </c>
      <c r="AS416" s="14">
        <v>318538460411</v>
      </c>
      <c r="AT416" s="14">
        <f t="shared" si="33"/>
        <v>386689206013</v>
      </c>
      <c r="AU416" s="41">
        <f t="shared" si="34"/>
        <v>121.394824824</v>
      </c>
      <c r="AV416" s="14">
        <v>12295555114348</v>
      </c>
      <c r="AW416" s="14">
        <v>2601309498089</v>
      </c>
      <c r="AX416" s="14">
        <v>6517257111264</v>
      </c>
      <c r="AY416" s="14">
        <v>4592077098322</v>
      </c>
      <c r="AZ416" s="14">
        <v>9611205312810</v>
      </c>
      <c r="BA416" s="14">
        <v>14710383859481</v>
      </c>
      <c r="BB416" s="14">
        <v>6788034717730</v>
      </c>
      <c r="BC416" s="14">
        <v>33444853312418</v>
      </c>
      <c r="BD416" s="14">
        <v>11953102748449</v>
      </c>
      <c r="BE416" s="14">
        <v>9604489212810</v>
      </c>
      <c r="BF416" s="14">
        <v>11887261351159</v>
      </c>
      <c r="BG416" s="14">
        <v>14373748517411</v>
      </c>
      <c r="BH416" s="14">
        <v>5408652655643</v>
      </c>
      <c r="BI416" s="14">
        <v>0</v>
      </c>
      <c r="BJ416" s="49">
        <v>0</v>
      </c>
      <c r="BK416" s="14">
        <v>189906071309</v>
      </c>
      <c r="BL416" s="14">
        <v>21120000000</v>
      </c>
      <c r="BM416" s="14">
        <v>34166950038</v>
      </c>
      <c r="BN416" s="14">
        <v>72372513488</v>
      </c>
    </row>
    <row r="417" spans="1:66" x14ac:dyDescent="0.25">
      <c r="A417" s="17" t="s">
        <v>437</v>
      </c>
      <c r="B417" s="4">
        <v>3800</v>
      </c>
      <c r="C417" s="4" t="s">
        <v>437</v>
      </c>
      <c r="D417" s="5">
        <v>3682128574067</v>
      </c>
      <c r="E417" s="5">
        <v>502733297888</v>
      </c>
      <c r="F417" s="5">
        <v>155150000000</v>
      </c>
      <c r="G417" s="5">
        <v>3434782400</v>
      </c>
      <c r="H417" s="5">
        <v>4343446654355</v>
      </c>
      <c r="I417" s="5">
        <v>352601811088</v>
      </c>
      <c r="J417" s="5">
        <v>21805238900</v>
      </c>
      <c r="K417" s="5">
        <v>3969039604367</v>
      </c>
      <c r="L417" s="5">
        <v>2978439826078</v>
      </c>
      <c r="M417" s="5">
        <f t="shared" si="30"/>
        <v>1365006828277</v>
      </c>
      <c r="N417" s="36">
        <f t="shared" si="31"/>
        <v>45.829592269266577</v>
      </c>
      <c r="O417" s="5">
        <v>19269400770549</v>
      </c>
      <c r="P417" s="36">
        <v>527.5</v>
      </c>
      <c r="Q417" s="6">
        <v>485.49</v>
      </c>
      <c r="R417" s="6">
        <v>0.92</v>
      </c>
      <c r="S417" s="5">
        <v>19305651024902</v>
      </c>
      <c r="T417" s="5">
        <v>191537639523</v>
      </c>
      <c r="U417" s="5">
        <v>157534199355</v>
      </c>
      <c r="V417" s="5">
        <v>26125860959</v>
      </c>
      <c r="W417" s="5">
        <v>7877579209</v>
      </c>
      <c r="X417" s="5">
        <v>19497188664425</v>
      </c>
      <c r="Y417" s="5">
        <v>19385001360</v>
      </c>
      <c r="Z417" s="5">
        <v>3390492472612</v>
      </c>
      <c r="AA417" s="5">
        <v>24119310000</v>
      </c>
      <c r="AB417" s="5">
        <v>22911800447037</v>
      </c>
      <c r="AC417" s="5">
        <v>10456054673298</v>
      </c>
      <c r="AD417" s="36">
        <f t="shared" si="32"/>
        <v>86.467929574007172</v>
      </c>
      <c r="AE417" s="5">
        <v>8198969663832</v>
      </c>
      <c r="AF417" s="5">
        <v>7981279031752</v>
      </c>
      <c r="AG417" s="5">
        <v>168791703367</v>
      </c>
      <c r="AH417" s="5">
        <v>5445745177</v>
      </c>
      <c r="AI417" s="5">
        <v>0</v>
      </c>
      <c r="AJ417" s="5">
        <v>0</v>
      </c>
      <c r="AK417" s="5">
        <v>0</v>
      </c>
      <c r="AL417" s="6">
        <v>3</v>
      </c>
      <c r="AM417" s="5">
        <v>289568151034</v>
      </c>
      <c r="AN417" s="6">
        <v>41</v>
      </c>
      <c r="AO417" s="5">
        <v>4639437955030</v>
      </c>
      <c r="AP417" s="6">
        <v>52</v>
      </c>
      <c r="AQ417" s="5">
        <v>6169030179800</v>
      </c>
      <c r="AR417" s="5">
        <v>191537639523</v>
      </c>
      <c r="AS417" s="5">
        <v>116091303401</v>
      </c>
      <c r="AT417" s="5">
        <f t="shared" si="33"/>
        <v>75446336122</v>
      </c>
      <c r="AU417" s="36">
        <f t="shared" si="34"/>
        <v>64.988792365776916</v>
      </c>
      <c r="AV417" s="5">
        <v>5052236006492</v>
      </c>
      <c r="AW417" s="5">
        <v>898432094177</v>
      </c>
      <c r="AX417" s="5">
        <v>1300477226660</v>
      </c>
      <c r="AY417" s="5">
        <v>633271925796</v>
      </c>
      <c r="AZ417" s="5">
        <v>598658721611</v>
      </c>
      <c r="BA417" s="5">
        <v>1338594857948</v>
      </c>
      <c r="BB417" s="5">
        <v>262616445647</v>
      </c>
      <c r="BC417" s="5">
        <v>4343446654355</v>
      </c>
      <c r="BD417" s="5">
        <v>2304182376632</v>
      </c>
      <c r="BE417" s="5">
        <v>753808721611</v>
      </c>
      <c r="BF417" s="5">
        <v>1285455556112</v>
      </c>
      <c r="BG417" s="5">
        <v>7483741767545</v>
      </c>
      <c r="BH417" s="5">
        <v>715227896287</v>
      </c>
      <c r="BI417" s="5">
        <v>0</v>
      </c>
      <c r="BJ417" s="48">
        <v>0</v>
      </c>
      <c r="BK417" s="5">
        <v>266255885655</v>
      </c>
      <c r="BL417" s="5">
        <v>0</v>
      </c>
      <c r="BM417" s="5">
        <v>0</v>
      </c>
      <c r="BN417" s="5">
        <v>5445745177</v>
      </c>
    </row>
    <row r="418" spans="1:66" x14ac:dyDescent="0.25">
      <c r="A418" s="17" t="s">
        <v>437</v>
      </c>
      <c r="B418" s="18">
        <v>3801</v>
      </c>
      <c r="C418" s="18" t="s">
        <v>438</v>
      </c>
      <c r="D418" s="19">
        <v>1454848475653</v>
      </c>
      <c r="E418" s="19">
        <v>36631030776</v>
      </c>
      <c r="F418" s="19">
        <v>0</v>
      </c>
      <c r="G418" s="19">
        <v>0</v>
      </c>
      <c r="H418" s="19">
        <v>1491479506429</v>
      </c>
      <c r="I418" s="19">
        <v>74914037311</v>
      </c>
      <c r="J418" s="19">
        <v>1108099296</v>
      </c>
      <c r="K418" s="19">
        <v>1415457369822</v>
      </c>
      <c r="L418" s="19">
        <v>586352993438</v>
      </c>
      <c r="M418" s="5">
        <f t="shared" si="30"/>
        <v>905126512991</v>
      </c>
      <c r="N418" s="36">
        <f t="shared" si="31"/>
        <v>154.36546297545362</v>
      </c>
      <c r="O418" s="19">
        <v>1431193163715</v>
      </c>
      <c r="P418" s="36">
        <v>106.12</v>
      </c>
      <c r="Q418" s="20">
        <v>101.11</v>
      </c>
      <c r="R418" s="20">
        <v>17.14</v>
      </c>
      <c r="S418" s="19">
        <v>1243642201508</v>
      </c>
      <c r="T418" s="19">
        <v>265870304491</v>
      </c>
      <c r="U418" s="19">
        <v>217774552018</v>
      </c>
      <c r="V418" s="19">
        <v>48095752473</v>
      </c>
      <c r="W418" s="19">
        <v>0</v>
      </c>
      <c r="X418" s="19">
        <v>1509512505999</v>
      </c>
      <c r="Y418" s="5">
        <v>5466943133</v>
      </c>
      <c r="Z418" s="19">
        <v>68806250157</v>
      </c>
      <c r="AA418" s="19">
        <v>4399766000</v>
      </c>
      <c r="AB418" s="19">
        <v>1582718522156</v>
      </c>
      <c r="AC418" s="19">
        <v>1641063611504</v>
      </c>
      <c r="AD418" s="36">
        <f t="shared" si="32"/>
        <v>-8.0162100105574954</v>
      </c>
      <c r="AE418" s="19">
        <v>878096744433</v>
      </c>
      <c r="AF418" s="19">
        <v>878096744433</v>
      </c>
      <c r="AG418" s="19">
        <v>0</v>
      </c>
      <c r="AH418" s="19">
        <v>0</v>
      </c>
      <c r="AI418" s="19">
        <v>144682086470</v>
      </c>
      <c r="AJ418" s="19">
        <v>0</v>
      </c>
      <c r="AK418" s="19">
        <v>0</v>
      </c>
      <c r="AL418" s="20">
        <v>0</v>
      </c>
      <c r="AM418" s="19">
        <v>0</v>
      </c>
      <c r="AN418" s="20">
        <v>19</v>
      </c>
      <c r="AO418" s="19">
        <v>298830000000</v>
      </c>
      <c r="AP418" s="20">
        <v>7</v>
      </c>
      <c r="AQ418" s="19">
        <v>27939049600</v>
      </c>
      <c r="AR418" s="19">
        <v>265870304491</v>
      </c>
      <c r="AS418" s="19">
        <v>129247559727</v>
      </c>
      <c r="AT418" s="5">
        <f t="shared" si="33"/>
        <v>136622744764</v>
      </c>
      <c r="AU418" s="36">
        <f t="shared" si="34"/>
        <v>105.70624702901785</v>
      </c>
      <c r="AV418" s="19">
        <v>864347946539</v>
      </c>
      <c r="AW418" s="19">
        <v>453468675521</v>
      </c>
      <c r="AX418" s="19">
        <v>808768445131</v>
      </c>
      <c r="AY418" s="19">
        <v>240609629151</v>
      </c>
      <c r="AZ418" s="19">
        <v>388135401371</v>
      </c>
      <c r="BA418" s="19">
        <v>155383353212</v>
      </c>
      <c r="BB418" s="19">
        <v>120482523847</v>
      </c>
      <c r="BC418" s="19">
        <v>1491479506429</v>
      </c>
      <c r="BD418" s="19">
        <v>1086009105058</v>
      </c>
      <c r="BE418" s="19">
        <v>388135401371</v>
      </c>
      <c r="BF418" s="19">
        <v>17335000000</v>
      </c>
      <c r="BG418" s="19">
        <v>710276744433</v>
      </c>
      <c r="BH418" s="19">
        <v>167820000000</v>
      </c>
      <c r="BI418" s="19">
        <v>0</v>
      </c>
      <c r="BJ418" s="50">
        <v>0</v>
      </c>
      <c r="BK418" s="19">
        <v>0</v>
      </c>
      <c r="BL418" s="19">
        <v>0</v>
      </c>
      <c r="BM418" s="19">
        <v>0</v>
      </c>
      <c r="BN418" s="19">
        <v>0</v>
      </c>
    </row>
    <row r="419" spans="1:66" x14ac:dyDescent="0.25">
      <c r="A419" s="17" t="s">
        <v>437</v>
      </c>
      <c r="B419" s="4">
        <v>3802</v>
      </c>
      <c r="C419" s="4" t="s">
        <v>439</v>
      </c>
      <c r="D419" s="5">
        <v>1356822379834</v>
      </c>
      <c r="E419" s="5">
        <v>20677538516</v>
      </c>
      <c r="F419" s="5">
        <v>0</v>
      </c>
      <c r="G419" s="5">
        <v>0</v>
      </c>
      <c r="H419" s="5">
        <v>1377499918350</v>
      </c>
      <c r="I419" s="5">
        <v>90152192707</v>
      </c>
      <c r="J419" s="5">
        <v>26308131924</v>
      </c>
      <c r="K419" s="5">
        <v>1261039593719</v>
      </c>
      <c r="L419" s="5">
        <v>744564013692</v>
      </c>
      <c r="M419" s="5">
        <f t="shared" si="30"/>
        <v>632935904658</v>
      </c>
      <c r="N419" s="36">
        <f t="shared" si="31"/>
        <v>85.007587395947311</v>
      </c>
      <c r="O419" s="5">
        <v>1080478810196</v>
      </c>
      <c r="P419" s="36">
        <v>90.2</v>
      </c>
      <c r="Q419" s="6">
        <v>85.68</v>
      </c>
      <c r="R419" s="6">
        <v>2.7</v>
      </c>
      <c r="S419" s="5">
        <v>1157187452426</v>
      </c>
      <c r="T419" s="5">
        <v>33496058428</v>
      </c>
      <c r="U419" s="5">
        <v>31583990696</v>
      </c>
      <c r="V419" s="5">
        <v>1912067732</v>
      </c>
      <c r="W419" s="5">
        <v>0</v>
      </c>
      <c r="X419" s="5">
        <v>1190683510854</v>
      </c>
      <c r="Y419" s="5">
        <v>61451689</v>
      </c>
      <c r="Z419" s="5">
        <v>42278139706</v>
      </c>
      <c r="AA419" s="5">
        <v>9600000000</v>
      </c>
      <c r="AB419" s="5">
        <v>1242561650560</v>
      </c>
      <c r="AC419" s="5">
        <v>1588018234332</v>
      </c>
      <c r="AD419" s="36">
        <f t="shared" si="32"/>
        <v>-25.020791001505021</v>
      </c>
      <c r="AE419" s="5">
        <v>716246987943</v>
      </c>
      <c r="AF419" s="5">
        <v>669801960000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6">
        <v>0</v>
      </c>
      <c r="AM419" s="5">
        <v>0</v>
      </c>
      <c r="AN419" s="6">
        <v>18</v>
      </c>
      <c r="AO419" s="5">
        <v>122089688993</v>
      </c>
      <c r="AP419" s="6">
        <v>26</v>
      </c>
      <c r="AQ419" s="5">
        <v>103517232759</v>
      </c>
      <c r="AR419" s="5">
        <v>33496058428</v>
      </c>
      <c r="AS419" s="5">
        <v>60023965030</v>
      </c>
      <c r="AT419" s="5">
        <f t="shared" si="33"/>
        <v>-26527906602</v>
      </c>
      <c r="AU419" s="36">
        <f t="shared" si="34"/>
        <v>-44.195525218537867</v>
      </c>
      <c r="AV419" s="5">
        <v>982865850883</v>
      </c>
      <c r="AW419" s="5">
        <v>414597124254</v>
      </c>
      <c r="AX419" s="5">
        <v>376245788237</v>
      </c>
      <c r="AY419" s="5">
        <v>431402029228</v>
      </c>
      <c r="AZ419" s="5">
        <v>218923940560</v>
      </c>
      <c r="BA419" s="5">
        <v>363658466405</v>
      </c>
      <c r="BB419" s="5">
        <v>194112445003</v>
      </c>
      <c r="BC419" s="5">
        <v>1377499918350</v>
      </c>
      <c r="BD419" s="5">
        <v>828325975246</v>
      </c>
      <c r="BE419" s="5">
        <v>218923940560</v>
      </c>
      <c r="BF419" s="5">
        <v>330250002544</v>
      </c>
      <c r="BG419" s="5">
        <v>550526987943</v>
      </c>
      <c r="BH419" s="5">
        <v>165720000000</v>
      </c>
      <c r="BI419" s="5">
        <v>0</v>
      </c>
      <c r="BJ419" s="48">
        <v>0</v>
      </c>
      <c r="BK419" s="5">
        <v>0</v>
      </c>
      <c r="BL419" s="5">
        <v>0</v>
      </c>
      <c r="BM419" s="5">
        <v>0</v>
      </c>
      <c r="BN419" s="5">
        <v>0</v>
      </c>
    </row>
    <row r="420" spans="1:66" x14ac:dyDescent="0.25">
      <c r="A420" s="17" t="s">
        <v>437</v>
      </c>
      <c r="B420" s="4">
        <v>3803</v>
      </c>
      <c r="C420" s="4" t="s">
        <v>440</v>
      </c>
      <c r="D420" s="5">
        <v>1678218338156</v>
      </c>
      <c r="E420" s="5">
        <v>26484501109</v>
      </c>
      <c r="F420" s="5">
        <v>0</v>
      </c>
      <c r="G420" s="5">
        <v>0</v>
      </c>
      <c r="H420" s="5">
        <v>1704702839265</v>
      </c>
      <c r="I420" s="5">
        <v>119318849025</v>
      </c>
      <c r="J420" s="5">
        <v>5752775297</v>
      </c>
      <c r="K420" s="5">
        <v>1579631214943</v>
      </c>
      <c r="L420" s="5">
        <v>1095341893946</v>
      </c>
      <c r="M420" s="5">
        <f t="shared" si="30"/>
        <v>609360945319</v>
      </c>
      <c r="N420" s="36">
        <f t="shared" si="31"/>
        <v>55.632031303373239</v>
      </c>
      <c r="O420" s="5">
        <v>1980504136319</v>
      </c>
      <c r="P420" s="36">
        <v>131.9</v>
      </c>
      <c r="Q420" s="6">
        <v>125.38</v>
      </c>
      <c r="R420" s="6">
        <v>2.04</v>
      </c>
      <c r="S420" s="5">
        <v>2062218335878</v>
      </c>
      <c r="T420" s="5">
        <v>45687744792</v>
      </c>
      <c r="U420" s="5">
        <v>38458926260</v>
      </c>
      <c r="V420" s="5">
        <v>7228818532</v>
      </c>
      <c r="W420" s="5">
        <v>0</v>
      </c>
      <c r="X420" s="5">
        <v>2107906080670</v>
      </c>
      <c r="Y420" s="5">
        <v>223426441</v>
      </c>
      <c r="Z420" s="5">
        <v>115599797156</v>
      </c>
      <c r="AA420" s="5">
        <v>24918000000</v>
      </c>
      <c r="AB420" s="5">
        <v>2248423877826</v>
      </c>
      <c r="AC420" s="5">
        <v>2130617638062</v>
      </c>
      <c r="AD420" s="36">
        <f t="shared" si="32"/>
        <v>-1.0659612023421683</v>
      </c>
      <c r="AE420" s="5">
        <v>1254998539314</v>
      </c>
      <c r="AF420" s="5">
        <v>1242953539314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6">
        <v>0</v>
      </c>
      <c r="AM420" s="5">
        <v>0</v>
      </c>
      <c r="AN420" s="6">
        <v>7</v>
      </c>
      <c r="AO420" s="5">
        <v>20281052000</v>
      </c>
      <c r="AP420" s="6">
        <v>2</v>
      </c>
      <c r="AQ420" s="5">
        <v>5862500000</v>
      </c>
      <c r="AR420" s="5">
        <v>45687744792</v>
      </c>
      <c r="AS420" s="5">
        <v>12699931423</v>
      </c>
      <c r="AT420" s="5">
        <f t="shared" si="33"/>
        <v>32987813369</v>
      </c>
      <c r="AU420" s="36">
        <f t="shared" si="34"/>
        <v>259.74796453828066</v>
      </c>
      <c r="AV420" s="5">
        <v>1207484909446</v>
      </c>
      <c r="AW420" s="5">
        <v>133892648181</v>
      </c>
      <c r="AX420" s="5">
        <v>457147207167</v>
      </c>
      <c r="AY420" s="5">
        <v>247559674089</v>
      </c>
      <c r="AZ420" s="5">
        <v>474621956900</v>
      </c>
      <c r="BA420" s="5">
        <v>597985714784</v>
      </c>
      <c r="BB420" s="5">
        <v>416986517394</v>
      </c>
      <c r="BC420" s="5">
        <v>1704702839265</v>
      </c>
      <c r="BD420" s="5">
        <v>731191382365</v>
      </c>
      <c r="BE420" s="5">
        <v>474621956900</v>
      </c>
      <c r="BF420" s="5">
        <v>498889500000</v>
      </c>
      <c r="BG420" s="5">
        <v>1233258539314</v>
      </c>
      <c r="BH420" s="5">
        <v>21740000000</v>
      </c>
      <c r="BI420" s="5">
        <v>0</v>
      </c>
      <c r="BJ420" s="48">
        <v>0</v>
      </c>
      <c r="BK420" s="5">
        <v>0</v>
      </c>
      <c r="BL420" s="5">
        <v>0</v>
      </c>
      <c r="BM420" s="5">
        <v>0</v>
      </c>
      <c r="BN420" s="5">
        <v>0</v>
      </c>
    </row>
    <row r="421" spans="1:66" x14ac:dyDescent="0.25">
      <c r="A421" s="17" t="s">
        <v>437</v>
      </c>
      <c r="B421" s="4">
        <v>3804</v>
      </c>
      <c r="C421" s="4" t="s">
        <v>441</v>
      </c>
      <c r="D421" s="5">
        <v>1765129301507</v>
      </c>
      <c r="E421" s="5">
        <v>41724055274</v>
      </c>
      <c r="F421" s="5">
        <v>0</v>
      </c>
      <c r="G421" s="5">
        <v>0</v>
      </c>
      <c r="H421" s="5">
        <v>1806853356781</v>
      </c>
      <c r="I421" s="5">
        <v>160547229638</v>
      </c>
      <c r="J421" s="5">
        <v>852515904</v>
      </c>
      <c r="K421" s="5">
        <v>1645453611239</v>
      </c>
      <c r="L421" s="5">
        <v>1233207327082</v>
      </c>
      <c r="M421" s="5">
        <f t="shared" si="30"/>
        <v>573646029699</v>
      </c>
      <c r="N421" s="36">
        <f t="shared" si="31"/>
        <v>46.516592717329544</v>
      </c>
      <c r="O421" s="5">
        <v>1119024982071</v>
      </c>
      <c r="P421" s="36">
        <v>72.819999999999993</v>
      </c>
      <c r="Q421" s="6">
        <v>68.010000000000005</v>
      </c>
      <c r="R421" s="6">
        <v>1.28</v>
      </c>
      <c r="S421" s="5">
        <v>1242885283592</v>
      </c>
      <c r="T421" s="5">
        <v>16762162089</v>
      </c>
      <c r="U421" s="5">
        <v>16355730675</v>
      </c>
      <c r="V421" s="5">
        <v>406431414</v>
      </c>
      <c r="W421" s="5">
        <v>0</v>
      </c>
      <c r="X421" s="5">
        <v>1259647445681</v>
      </c>
      <c r="Y421" s="5">
        <v>56502313</v>
      </c>
      <c r="Z421" s="5">
        <v>51180700979</v>
      </c>
      <c r="AA421" s="5">
        <v>4850000000</v>
      </c>
      <c r="AB421" s="5">
        <v>1315678146660</v>
      </c>
      <c r="AC421" s="5">
        <v>917139039788</v>
      </c>
      <c r="AD421" s="36">
        <f t="shared" si="32"/>
        <v>37.345308730088739</v>
      </c>
      <c r="AE421" s="5">
        <v>684557627523</v>
      </c>
      <c r="AF421" s="5">
        <v>684557627523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6">
        <v>0</v>
      </c>
      <c r="AM421" s="5">
        <v>0</v>
      </c>
      <c r="AN421" s="6">
        <v>12</v>
      </c>
      <c r="AO421" s="5">
        <v>254862712779</v>
      </c>
      <c r="AP421" s="6">
        <v>11</v>
      </c>
      <c r="AQ421" s="5">
        <v>43443337310</v>
      </c>
      <c r="AR421" s="5">
        <v>16762162089</v>
      </c>
      <c r="AS421" s="5">
        <v>10546538770</v>
      </c>
      <c r="AT421" s="5">
        <f t="shared" si="33"/>
        <v>6215623319</v>
      </c>
      <c r="AU421" s="36">
        <f t="shared" si="34"/>
        <v>58.935196224571406</v>
      </c>
      <c r="AV421" s="5">
        <v>398012707545</v>
      </c>
      <c r="AW421" s="5">
        <v>111116834562</v>
      </c>
      <c r="AX421" s="5">
        <v>294633393373</v>
      </c>
      <c r="AY421" s="5">
        <v>220466106304</v>
      </c>
      <c r="AZ421" s="5">
        <v>762496301830</v>
      </c>
      <c r="BA421" s="5">
        <v>661609392200</v>
      </c>
      <c r="BB421" s="5">
        <v>382189947248</v>
      </c>
      <c r="BC421" s="5">
        <v>1806853356781</v>
      </c>
      <c r="BD421" s="5">
        <v>556823554951</v>
      </c>
      <c r="BE421" s="5">
        <v>762496301830</v>
      </c>
      <c r="BF421" s="5">
        <v>487533500000</v>
      </c>
      <c r="BG421" s="5">
        <v>641008314523</v>
      </c>
      <c r="BH421" s="5">
        <v>43549313000</v>
      </c>
      <c r="BI421" s="5">
        <v>0</v>
      </c>
      <c r="BJ421" s="48">
        <v>0</v>
      </c>
      <c r="BK421" s="5">
        <v>0</v>
      </c>
      <c r="BL421" s="5">
        <v>0</v>
      </c>
      <c r="BM421" s="5">
        <v>0</v>
      </c>
      <c r="BN421" s="5">
        <v>0</v>
      </c>
    </row>
    <row r="422" spans="1:66" x14ac:dyDescent="0.25">
      <c r="A422" s="17" t="s">
        <v>437</v>
      </c>
      <c r="B422" s="4">
        <v>3805</v>
      </c>
      <c r="C422" s="4" t="s">
        <v>442</v>
      </c>
      <c r="D422" s="5">
        <v>966806899404</v>
      </c>
      <c r="E422" s="5">
        <v>33775397806</v>
      </c>
      <c r="F422" s="5">
        <v>0</v>
      </c>
      <c r="G422" s="5">
        <v>0</v>
      </c>
      <c r="H422" s="5">
        <v>1000582297210</v>
      </c>
      <c r="I422" s="5">
        <v>69213570012</v>
      </c>
      <c r="J422" s="5">
        <v>1600815718</v>
      </c>
      <c r="K422" s="5">
        <v>929767911480</v>
      </c>
      <c r="L422" s="5">
        <v>952717872846</v>
      </c>
      <c r="M422" s="5">
        <f t="shared" si="30"/>
        <v>47864424364</v>
      </c>
      <c r="N422" s="36">
        <f t="shared" si="31"/>
        <v>5.0239872398968783</v>
      </c>
      <c r="O422" s="5">
        <v>2980430378967</v>
      </c>
      <c r="P422" s="36">
        <v>322.58</v>
      </c>
      <c r="Q422" s="6">
        <v>320.56</v>
      </c>
      <c r="R422" s="6">
        <v>38.090000000000003</v>
      </c>
      <c r="S422" s="5">
        <v>1739258505477</v>
      </c>
      <c r="T422" s="5">
        <v>1228112025716</v>
      </c>
      <c r="U422" s="5">
        <v>469644134486</v>
      </c>
      <c r="V422" s="5">
        <v>652892797765</v>
      </c>
      <c r="W422" s="5">
        <v>105575093465</v>
      </c>
      <c r="X422" s="5">
        <v>2967370531193</v>
      </c>
      <c r="Y422" s="5">
        <v>1433402429</v>
      </c>
      <c r="Z422" s="5">
        <v>231294824426</v>
      </c>
      <c r="AA422" s="5">
        <v>29049850000</v>
      </c>
      <c r="AB422" s="5">
        <v>3227715205619</v>
      </c>
      <c r="AC422" s="5">
        <v>2686024087438</v>
      </c>
      <c r="AD422" s="36">
        <f t="shared" si="32"/>
        <v>10.474457212457674</v>
      </c>
      <c r="AE422" s="5">
        <v>1136931080875</v>
      </c>
      <c r="AF422" s="5">
        <v>1045567282612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6">
        <v>0</v>
      </c>
      <c r="AM422" s="5">
        <v>0</v>
      </c>
      <c r="AN422" s="6">
        <v>38</v>
      </c>
      <c r="AO422" s="5">
        <v>381134089545</v>
      </c>
      <c r="AP422" s="6">
        <v>22</v>
      </c>
      <c r="AQ422" s="5">
        <v>224815725000</v>
      </c>
      <c r="AR422" s="5">
        <v>1228112025716</v>
      </c>
      <c r="AS422" s="5">
        <v>202461793545</v>
      </c>
      <c r="AT422" s="5">
        <f t="shared" si="33"/>
        <v>1025650232171</v>
      </c>
      <c r="AU422" s="36">
        <f t="shared" si="34"/>
        <v>506.58952200926473</v>
      </c>
      <c r="AV422" s="5">
        <v>800673021477</v>
      </c>
      <c r="AW422" s="5">
        <v>298275804867</v>
      </c>
      <c r="AX422" s="5">
        <v>513535255402</v>
      </c>
      <c r="AY422" s="5">
        <v>150861115462</v>
      </c>
      <c r="AZ422" s="5">
        <v>166319028540</v>
      </c>
      <c r="BA422" s="5">
        <v>148276293908</v>
      </c>
      <c r="BB422" s="5">
        <v>136023341704</v>
      </c>
      <c r="BC422" s="5">
        <v>1000582297210</v>
      </c>
      <c r="BD422" s="5">
        <v>698171768670</v>
      </c>
      <c r="BE422" s="5">
        <v>166319028540</v>
      </c>
      <c r="BF422" s="5">
        <v>136091500000</v>
      </c>
      <c r="BG422" s="5">
        <v>949722080875</v>
      </c>
      <c r="BH422" s="5">
        <v>187209000000</v>
      </c>
      <c r="BI422" s="5">
        <v>0</v>
      </c>
      <c r="BJ422" s="48">
        <v>1324142457</v>
      </c>
      <c r="BK422" s="5">
        <v>0</v>
      </c>
      <c r="BL422" s="5">
        <v>0</v>
      </c>
      <c r="BM422" s="5">
        <v>0</v>
      </c>
      <c r="BN422" s="5">
        <v>13312033556</v>
      </c>
    </row>
    <row r="423" spans="1:66" x14ac:dyDescent="0.25">
      <c r="A423" s="17" t="s">
        <v>437</v>
      </c>
      <c r="B423" s="4">
        <v>3807</v>
      </c>
      <c r="C423" s="4" t="s">
        <v>443</v>
      </c>
      <c r="D423" s="5">
        <v>1332714507618</v>
      </c>
      <c r="E423" s="5">
        <v>33014955585</v>
      </c>
      <c r="F423" s="5">
        <v>0</v>
      </c>
      <c r="G423" s="5">
        <v>0</v>
      </c>
      <c r="H423" s="5">
        <v>1365729463203</v>
      </c>
      <c r="I423" s="5">
        <v>101866319270</v>
      </c>
      <c r="J423" s="5">
        <v>1931564300</v>
      </c>
      <c r="K423" s="5">
        <v>1261931579633</v>
      </c>
      <c r="L423" s="5">
        <v>869619700304</v>
      </c>
      <c r="M423" s="5">
        <f t="shared" si="30"/>
        <v>496109762899</v>
      </c>
      <c r="N423" s="36">
        <f t="shared" si="31"/>
        <v>57.049048305319083</v>
      </c>
      <c r="O423" s="5">
        <v>1951821940800</v>
      </c>
      <c r="P423" s="36">
        <v>153.22999999999999</v>
      </c>
      <c r="Q423" s="6">
        <v>154.66999999999999</v>
      </c>
      <c r="R423" s="6">
        <v>3.02</v>
      </c>
      <c r="S423" s="5">
        <v>1970442601263</v>
      </c>
      <c r="T423" s="5">
        <v>62474147269</v>
      </c>
      <c r="U423" s="5">
        <v>46222914755</v>
      </c>
      <c r="V423" s="5">
        <v>6064434276</v>
      </c>
      <c r="W423" s="5">
        <v>10186798238</v>
      </c>
      <c r="X423" s="5">
        <v>2032916748532</v>
      </c>
      <c r="Y423" s="5">
        <v>691656480</v>
      </c>
      <c r="Z423" s="5">
        <v>59288421018</v>
      </c>
      <c r="AA423" s="5">
        <v>502000000</v>
      </c>
      <c r="AB423" s="5">
        <v>2092707169550</v>
      </c>
      <c r="AC423" s="5">
        <v>1582913662982</v>
      </c>
      <c r="AD423" s="36">
        <f t="shared" si="32"/>
        <v>28.428782698246074</v>
      </c>
      <c r="AE423" s="5">
        <v>1446985571828</v>
      </c>
      <c r="AF423" s="5">
        <v>1386985571828</v>
      </c>
      <c r="AG423" s="5">
        <v>0</v>
      </c>
      <c r="AH423" s="5">
        <v>1215000</v>
      </c>
      <c r="AI423" s="5">
        <v>15291935765</v>
      </c>
      <c r="AJ423" s="5">
        <v>0</v>
      </c>
      <c r="AK423" s="5">
        <v>0</v>
      </c>
      <c r="AL423" s="6">
        <v>1</v>
      </c>
      <c r="AM423" s="5">
        <v>62672500000</v>
      </c>
      <c r="AN423" s="6">
        <v>5</v>
      </c>
      <c r="AO423" s="5">
        <v>38845849000</v>
      </c>
      <c r="AP423" s="6">
        <v>4</v>
      </c>
      <c r="AQ423" s="5">
        <v>1975888000</v>
      </c>
      <c r="AR423" s="5">
        <v>62474147269</v>
      </c>
      <c r="AS423" s="5">
        <v>64127420825</v>
      </c>
      <c r="AT423" s="5">
        <f t="shared" si="33"/>
        <v>-1653273556</v>
      </c>
      <c r="AU423" s="36">
        <f t="shared" si="34"/>
        <v>-2.5781070480156805</v>
      </c>
      <c r="AV423" s="5">
        <v>972953903159</v>
      </c>
      <c r="AW423" s="5">
        <v>460526502441</v>
      </c>
      <c r="AX423" s="5">
        <v>589099122276</v>
      </c>
      <c r="AY423" s="5">
        <v>254335078096</v>
      </c>
      <c r="AZ423" s="5">
        <v>428373307246</v>
      </c>
      <c r="BA423" s="5">
        <v>175057642256</v>
      </c>
      <c r="BB423" s="5">
        <v>383697778822</v>
      </c>
      <c r="BC423" s="5">
        <v>1365729463203</v>
      </c>
      <c r="BD423" s="5">
        <v>876447784474</v>
      </c>
      <c r="BE423" s="5">
        <v>428373307246</v>
      </c>
      <c r="BF423" s="5">
        <v>60908371483</v>
      </c>
      <c r="BG423" s="5">
        <v>1084247638528</v>
      </c>
      <c r="BH423" s="5">
        <v>362737933300</v>
      </c>
      <c r="BI423" s="5">
        <v>0</v>
      </c>
      <c r="BJ423" s="48">
        <v>0</v>
      </c>
      <c r="BK423" s="5">
        <v>0</v>
      </c>
      <c r="BL423" s="5">
        <v>0</v>
      </c>
      <c r="BM423" s="5">
        <v>0</v>
      </c>
      <c r="BN423" s="5">
        <v>1215000</v>
      </c>
    </row>
    <row r="424" spans="1:66" x14ac:dyDescent="0.25">
      <c r="A424" s="17" t="s">
        <v>437</v>
      </c>
      <c r="B424" s="4">
        <v>3808</v>
      </c>
      <c r="C424" s="4" t="s">
        <v>444</v>
      </c>
      <c r="D424" s="5">
        <v>1648419605894</v>
      </c>
      <c r="E424" s="5">
        <v>14817883277</v>
      </c>
      <c r="F424" s="5">
        <v>0</v>
      </c>
      <c r="G424" s="5">
        <v>0</v>
      </c>
      <c r="H424" s="5">
        <v>1663237489171</v>
      </c>
      <c r="I424" s="5">
        <v>116362810697</v>
      </c>
      <c r="J424" s="5">
        <v>8839374616</v>
      </c>
      <c r="K424" s="5">
        <v>1538035303858</v>
      </c>
      <c r="L424" s="5">
        <v>1284993261629</v>
      </c>
      <c r="M424" s="5">
        <f t="shared" si="30"/>
        <v>378244227542</v>
      </c>
      <c r="N424" s="36">
        <f t="shared" si="31"/>
        <v>29.43550280275366</v>
      </c>
      <c r="O424" s="5">
        <v>1154474892678</v>
      </c>
      <c r="P424" s="36">
        <v>77.38</v>
      </c>
      <c r="Q424" s="6">
        <v>75.06</v>
      </c>
      <c r="R424" s="6">
        <v>3.65</v>
      </c>
      <c r="S424" s="5">
        <v>1189499815146</v>
      </c>
      <c r="T424" s="5">
        <v>44701660490</v>
      </c>
      <c r="U424" s="5">
        <v>25926324899</v>
      </c>
      <c r="V424" s="5">
        <v>18459529480</v>
      </c>
      <c r="W424" s="5">
        <v>315806111</v>
      </c>
      <c r="X424" s="5">
        <v>1234201475636</v>
      </c>
      <c r="Y424" s="5">
        <v>2298733829</v>
      </c>
      <c r="Z424" s="5">
        <v>43106973917</v>
      </c>
      <c r="AA424" s="5">
        <v>9747692236</v>
      </c>
      <c r="AB424" s="5">
        <v>1287056141789</v>
      </c>
      <c r="AC424" s="5">
        <v>1335214720219</v>
      </c>
      <c r="AD424" s="36">
        <f t="shared" si="32"/>
        <v>-7.565318375641632</v>
      </c>
      <c r="AE424" s="5">
        <v>1123773911025</v>
      </c>
      <c r="AF424" s="5">
        <v>1053786859858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6">
        <v>0</v>
      </c>
      <c r="AM424" s="5">
        <v>0</v>
      </c>
      <c r="AN424" s="6">
        <v>23</v>
      </c>
      <c r="AO424" s="5">
        <v>436961600000</v>
      </c>
      <c r="AP424" s="6">
        <v>6</v>
      </c>
      <c r="AQ424" s="5">
        <v>13067550000</v>
      </c>
      <c r="AR424" s="5">
        <v>44701660490</v>
      </c>
      <c r="AS424" s="5">
        <v>17675233646</v>
      </c>
      <c r="AT424" s="5">
        <f t="shared" si="33"/>
        <v>27026426844</v>
      </c>
      <c r="AU424" s="36">
        <f t="shared" si="34"/>
        <v>152.90562707846425</v>
      </c>
      <c r="AV424" s="5">
        <v>1162721978225</v>
      </c>
      <c r="AW424" s="5">
        <v>135486389816</v>
      </c>
      <c r="AX424" s="5">
        <v>696417992042</v>
      </c>
      <c r="AY424" s="5">
        <v>227723781971</v>
      </c>
      <c r="AZ424" s="5">
        <v>435707831881</v>
      </c>
      <c r="BA424" s="5">
        <v>317934222888</v>
      </c>
      <c r="BB424" s="5">
        <v>372033476583</v>
      </c>
      <c r="BC424" s="5">
        <v>1663237489171</v>
      </c>
      <c r="BD424" s="5">
        <v>938959657290</v>
      </c>
      <c r="BE424" s="5">
        <v>435707831881</v>
      </c>
      <c r="BF424" s="5">
        <v>288570000000</v>
      </c>
      <c r="BG424" s="5">
        <v>787954131025</v>
      </c>
      <c r="BH424" s="5">
        <v>335819780000</v>
      </c>
      <c r="BI424" s="5">
        <v>0</v>
      </c>
      <c r="BJ424" s="48">
        <v>0</v>
      </c>
      <c r="BK424" s="5">
        <v>0</v>
      </c>
      <c r="BL424" s="5">
        <v>0</v>
      </c>
      <c r="BM424" s="5">
        <v>0</v>
      </c>
      <c r="BN424" s="5">
        <v>0</v>
      </c>
    </row>
    <row r="425" spans="1:66" x14ac:dyDescent="0.25">
      <c r="A425" s="17" t="s">
        <v>437</v>
      </c>
      <c r="B425" s="4">
        <v>3809</v>
      </c>
      <c r="C425" s="4" t="s">
        <v>445</v>
      </c>
      <c r="D425" s="5">
        <v>1402397812650</v>
      </c>
      <c r="E425" s="5">
        <v>20355446191</v>
      </c>
      <c r="F425" s="5">
        <v>0</v>
      </c>
      <c r="G425" s="5">
        <v>0</v>
      </c>
      <c r="H425" s="5">
        <v>1422753258841</v>
      </c>
      <c r="I425" s="5">
        <v>140883253273</v>
      </c>
      <c r="J425" s="5">
        <v>1441459600</v>
      </c>
      <c r="K425" s="5">
        <v>1280428545968</v>
      </c>
      <c r="L425" s="5">
        <v>843632826490</v>
      </c>
      <c r="M425" s="5">
        <f t="shared" si="30"/>
        <v>579120432351</v>
      </c>
      <c r="N425" s="36">
        <f t="shared" si="31"/>
        <v>68.646028718497789</v>
      </c>
      <c r="O425" s="5">
        <v>1581466525403</v>
      </c>
      <c r="P425" s="36">
        <v>121.29</v>
      </c>
      <c r="Q425" s="6">
        <v>123.51</v>
      </c>
      <c r="R425" s="6">
        <v>16.079999999999998</v>
      </c>
      <c r="S425" s="5">
        <v>1364857464427</v>
      </c>
      <c r="T425" s="5">
        <v>277058633652</v>
      </c>
      <c r="U425" s="5">
        <v>272633879947</v>
      </c>
      <c r="V425" s="5">
        <v>4424753705</v>
      </c>
      <c r="W425" s="5">
        <v>0</v>
      </c>
      <c r="X425" s="5">
        <v>1641916098079</v>
      </c>
      <c r="Y425" s="5">
        <v>353603838</v>
      </c>
      <c r="Z425" s="5">
        <v>65734173568</v>
      </c>
      <c r="AA425" s="5">
        <v>17949800000</v>
      </c>
      <c r="AB425" s="5">
        <v>1725600071647</v>
      </c>
      <c r="AC425" s="5">
        <v>1137318550393</v>
      </c>
      <c r="AD425" s="36">
        <f t="shared" si="32"/>
        <v>44.367301272949121</v>
      </c>
      <c r="AE425" s="5">
        <v>2095987392658</v>
      </c>
      <c r="AF425" s="5">
        <v>2042862101742</v>
      </c>
      <c r="AG425" s="5">
        <v>670043934102</v>
      </c>
      <c r="AH425" s="5">
        <v>92559883398</v>
      </c>
      <c r="AI425" s="5">
        <v>0</v>
      </c>
      <c r="AJ425" s="5">
        <v>0</v>
      </c>
      <c r="AK425" s="5">
        <v>0</v>
      </c>
      <c r="AL425" s="6">
        <v>6</v>
      </c>
      <c r="AM425" s="5">
        <v>709025000000</v>
      </c>
      <c r="AN425" s="6">
        <v>43</v>
      </c>
      <c r="AO425" s="5">
        <v>478224848494</v>
      </c>
      <c r="AP425" s="6">
        <v>16</v>
      </c>
      <c r="AQ425" s="5">
        <v>121575372156</v>
      </c>
      <c r="AR425" s="5">
        <v>277058633652</v>
      </c>
      <c r="AS425" s="5">
        <v>6541848724</v>
      </c>
      <c r="AT425" s="5">
        <f t="shared" si="33"/>
        <v>270516784928</v>
      </c>
      <c r="AU425" s="36">
        <f t="shared" si="34"/>
        <v>4135.1733484077431</v>
      </c>
      <c r="AV425" s="5">
        <v>1501124055516</v>
      </c>
      <c r="AW425" s="5">
        <v>137219784626</v>
      </c>
      <c r="AX425" s="5">
        <v>551787326238</v>
      </c>
      <c r="AY425" s="5">
        <v>336722560784</v>
      </c>
      <c r="AZ425" s="5">
        <v>259268925628</v>
      </c>
      <c r="BA425" s="5">
        <v>312023079292</v>
      </c>
      <c r="BB425" s="5">
        <v>214362678047</v>
      </c>
      <c r="BC425" s="5">
        <v>1422753258841</v>
      </c>
      <c r="BD425" s="5">
        <v>908865333213</v>
      </c>
      <c r="BE425" s="5">
        <v>259268925628</v>
      </c>
      <c r="BF425" s="5">
        <v>254619000000</v>
      </c>
      <c r="BG425" s="5">
        <v>1914737392658</v>
      </c>
      <c r="BH425" s="5">
        <v>181250000000</v>
      </c>
      <c r="BI425" s="5">
        <v>0</v>
      </c>
      <c r="BJ425" s="48">
        <v>0</v>
      </c>
      <c r="BK425" s="5">
        <v>683757670358</v>
      </c>
      <c r="BL425" s="5">
        <v>57228845228</v>
      </c>
      <c r="BM425" s="5">
        <v>0</v>
      </c>
      <c r="BN425" s="5">
        <v>29545534064</v>
      </c>
    </row>
    <row r="426" spans="1:66" x14ac:dyDescent="0.25">
      <c r="A426" s="17" t="s">
        <v>437</v>
      </c>
      <c r="B426" s="4">
        <v>3810</v>
      </c>
      <c r="C426" s="4" t="s">
        <v>446</v>
      </c>
      <c r="D426" s="5">
        <v>2850589683753</v>
      </c>
      <c r="E426" s="5">
        <v>266566912067</v>
      </c>
      <c r="F426" s="5">
        <v>0</v>
      </c>
      <c r="G426" s="5">
        <v>0</v>
      </c>
      <c r="H426" s="5">
        <v>3117156595820</v>
      </c>
      <c r="I426" s="5">
        <v>218392627960</v>
      </c>
      <c r="J426" s="5">
        <v>761245000</v>
      </c>
      <c r="K426" s="5">
        <v>2898002722860</v>
      </c>
      <c r="L426" s="5">
        <v>2580597172451</v>
      </c>
      <c r="M426" s="5">
        <f t="shared" si="30"/>
        <v>536559423369</v>
      </c>
      <c r="N426" s="36">
        <f t="shared" si="31"/>
        <v>20.792064298023956</v>
      </c>
      <c r="O426" s="5">
        <v>2437707422052</v>
      </c>
      <c r="P426" s="36">
        <v>88.33</v>
      </c>
      <c r="Q426" s="6">
        <v>84.12</v>
      </c>
      <c r="R426" s="6">
        <v>2.17</v>
      </c>
      <c r="S426" s="5">
        <v>2572007648802</v>
      </c>
      <c r="T426" s="5">
        <v>59797324248</v>
      </c>
      <c r="U426" s="5">
        <v>34289740623</v>
      </c>
      <c r="V426" s="5">
        <v>23671583625</v>
      </c>
      <c r="W426" s="5">
        <v>1836000000</v>
      </c>
      <c r="X426" s="5">
        <v>2631804973050</v>
      </c>
      <c r="Y426" s="5">
        <v>0</v>
      </c>
      <c r="Z426" s="5">
        <v>111958837510</v>
      </c>
      <c r="AA426" s="5">
        <v>9723495086</v>
      </c>
      <c r="AB426" s="5">
        <v>2753487305646</v>
      </c>
      <c r="AC426" s="5">
        <v>2723261216252</v>
      </c>
      <c r="AD426" s="36">
        <f t="shared" si="32"/>
        <v>-3.3583353170897947</v>
      </c>
      <c r="AE426" s="5">
        <v>1770880259669</v>
      </c>
      <c r="AF426" s="5">
        <v>1714347840246</v>
      </c>
      <c r="AG426" s="5">
        <v>56668828347</v>
      </c>
      <c r="AH426" s="5">
        <v>1836000000</v>
      </c>
      <c r="AI426" s="5">
        <v>0</v>
      </c>
      <c r="AJ426" s="5">
        <v>30000000000</v>
      </c>
      <c r="AK426" s="5">
        <v>0</v>
      </c>
      <c r="AL426" s="6">
        <v>1</v>
      </c>
      <c r="AM426" s="5">
        <v>124866183480</v>
      </c>
      <c r="AN426" s="6">
        <v>64</v>
      </c>
      <c r="AO426" s="5">
        <v>2790246753072</v>
      </c>
      <c r="AP426" s="6">
        <v>37</v>
      </c>
      <c r="AQ426" s="5">
        <v>1460427042367</v>
      </c>
      <c r="AR426" s="5">
        <v>59797324248</v>
      </c>
      <c r="AS426" s="5">
        <v>34419210247</v>
      </c>
      <c r="AT426" s="5">
        <f t="shared" si="33"/>
        <v>25378114001</v>
      </c>
      <c r="AU426" s="36">
        <f t="shared" si="34"/>
        <v>73.732412274659822</v>
      </c>
      <c r="AV426" s="5">
        <v>1579961030973</v>
      </c>
      <c r="AW426" s="5">
        <v>264541608037</v>
      </c>
      <c r="AX426" s="5">
        <v>991219407563</v>
      </c>
      <c r="AY426" s="5">
        <v>644936621043</v>
      </c>
      <c r="AZ426" s="5">
        <v>1010147055147</v>
      </c>
      <c r="BA426" s="5">
        <v>238292846680</v>
      </c>
      <c r="BB426" s="5">
        <v>870642053280</v>
      </c>
      <c r="BC426" s="5">
        <v>3117156595820</v>
      </c>
      <c r="BD426" s="5">
        <v>1809557589320</v>
      </c>
      <c r="BE426" s="5">
        <v>1010147055147</v>
      </c>
      <c r="BF426" s="5">
        <v>297451951353</v>
      </c>
      <c r="BG426" s="5">
        <v>1341651031345</v>
      </c>
      <c r="BH426" s="5">
        <v>429229228324</v>
      </c>
      <c r="BI426" s="5">
        <v>0</v>
      </c>
      <c r="BJ426" s="48">
        <v>0</v>
      </c>
      <c r="BK426" s="5">
        <v>44182210000</v>
      </c>
      <c r="BL426" s="5">
        <v>0</v>
      </c>
      <c r="BM426" s="5">
        <v>1836000000</v>
      </c>
      <c r="BN426" s="5">
        <v>0</v>
      </c>
    </row>
    <row r="427" spans="1:66" x14ac:dyDescent="0.25">
      <c r="A427" s="17" t="s">
        <v>437</v>
      </c>
      <c r="B427" s="8">
        <v>3811</v>
      </c>
      <c r="C427" s="8" t="s">
        <v>447</v>
      </c>
      <c r="D427" s="9">
        <v>531585599448</v>
      </c>
      <c r="E427" s="9">
        <v>1516546873</v>
      </c>
      <c r="F427" s="9">
        <v>0</v>
      </c>
      <c r="G427" s="9">
        <v>0</v>
      </c>
      <c r="H427" s="9">
        <v>533102146321</v>
      </c>
      <c r="I427" s="9">
        <v>39961883924</v>
      </c>
      <c r="J427" s="9">
        <v>563672668</v>
      </c>
      <c r="K427" s="9">
        <v>492576589729</v>
      </c>
      <c r="L427" s="9">
        <v>293938500857</v>
      </c>
      <c r="M427" s="5">
        <f t="shared" si="30"/>
        <v>239163645464</v>
      </c>
      <c r="N427" s="36">
        <f t="shared" si="31"/>
        <v>81.365198763244777</v>
      </c>
      <c r="O427" s="9">
        <v>344567952033</v>
      </c>
      <c r="P427" s="36">
        <v>73.38</v>
      </c>
      <c r="Q427" s="10">
        <v>69.95</v>
      </c>
      <c r="R427" s="10">
        <v>0.49</v>
      </c>
      <c r="S427" s="9">
        <v>357586784172</v>
      </c>
      <c r="T427" s="9">
        <v>1928891698</v>
      </c>
      <c r="U427" s="9">
        <v>1928891698</v>
      </c>
      <c r="V427" s="9">
        <v>0</v>
      </c>
      <c r="W427" s="9">
        <v>0</v>
      </c>
      <c r="X427" s="9">
        <v>359515675870</v>
      </c>
      <c r="Y427" s="5">
        <v>0</v>
      </c>
      <c r="Z427" s="9">
        <v>28638514802</v>
      </c>
      <c r="AA427" s="9">
        <v>3030346624</v>
      </c>
      <c r="AB427" s="9">
        <v>391184537296</v>
      </c>
      <c r="AC427" s="9">
        <v>86452091015</v>
      </c>
      <c r="AD427" s="36">
        <f t="shared" si="32"/>
        <v>315.85538492946534</v>
      </c>
      <c r="AE427" s="9">
        <v>355980754096</v>
      </c>
      <c r="AF427" s="9">
        <v>355980754096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10">
        <v>0</v>
      </c>
      <c r="AM427" s="9">
        <v>0</v>
      </c>
      <c r="AN427" s="10">
        <v>3</v>
      </c>
      <c r="AO427" s="9">
        <v>7795000000</v>
      </c>
      <c r="AP427" s="10">
        <v>0</v>
      </c>
      <c r="AQ427" s="9">
        <v>0</v>
      </c>
      <c r="AR427" s="9">
        <v>1928891698</v>
      </c>
      <c r="AS427" s="9">
        <v>470164485</v>
      </c>
      <c r="AT427" s="5">
        <f t="shared" si="33"/>
        <v>1458727213</v>
      </c>
      <c r="AU427" s="36">
        <f t="shared" si="34"/>
        <v>310.25891141054603</v>
      </c>
      <c r="AV427" s="9">
        <v>81927370208</v>
      </c>
      <c r="AW427" s="9">
        <v>3829831345</v>
      </c>
      <c r="AX427" s="9">
        <v>126359399309</v>
      </c>
      <c r="AY427" s="9">
        <v>62493347215</v>
      </c>
      <c r="AZ427" s="9">
        <v>150645852924</v>
      </c>
      <c r="BA427" s="9">
        <v>192087000000</v>
      </c>
      <c r="BB427" s="9">
        <v>146236502499</v>
      </c>
      <c r="BC427" s="9">
        <v>533102146321</v>
      </c>
      <c r="BD427" s="9">
        <v>190369293397</v>
      </c>
      <c r="BE427" s="9">
        <v>150645852924</v>
      </c>
      <c r="BF427" s="9">
        <v>192087000000</v>
      </c>
      <c r="BG427" s="9">
        <v>257368882376</v>
      </c>
      <c r="BH427" s="9">
        <v>98611871720</v>
      </c>
      <c r="BI427" s="9">
        <v>0</v>
      </c>
      <c r="BJ427" s="51">
        <v>0</v>
      </c>
      <c r="BK427" s="9">
        <v>0</v>
      </c>
      <c r="BL427" s="9">
        <v>0</v>
      </c>
      <c r="BM427" s="9">
        <v>0</v>
      </c>
      <c r="BN427" s="9">
        <v>0</v>
      </c>
    </row>
    <row r="428" spans="1:66" x14ac:dyDescent="0.25">
      <c r="A428" s="17" t="s">
        <v>437</v>
      </c>
      <c r="B428" s="4">
        <v>3812</v>
      </c>
      <c r="C428" s="4" t="s">
        <v>448</v>
      </c>
      <c r="D428" s="5">
        <v>529309350971</v>
      </c>
      <c r="E428" s="5">
        <v>459981748</v>
      </c>
      <c r="F428" s="5">
        <v>0</v>
      </c>
      <c r="G428" s="5">
        <v>0</v>
      </c>
      <c r="H428" s="5">
        <v>529769332719</v>
      </c>
      <c r="I428" s="5">
        <v>38855873996</v>
      </c>
      <c r="J428" s="5">
        <v>3004403811</v>
      </c>
      <c r="K428" s="5">
        <v>487909054912</v>
      </c>
      <c r="L428" s="5">
        <v>349099708403</v>
      </c>
      <c r="M428" s="5">
        <f t="shared" si="30"/>
        <v>180669624316</v>
      </c>
      <c r="N428" s="36">
        <f t="shared" si="31"/>
        <v>51.753014960251797</v>
      </c>
      <c r="O428" s="5">
        <v>613344116896</v>
      </c>
      <c r="P428" s="36">
        <v>131.22</v>
      </c>
      <c r="Q428" s="6">
        <v>125.71</v>
      </c>
      <c r="R428" s="6">
        <v>10.67</v>
      </c>
      <c r="S428" s="5">
        <v>551104661445</v>
      </c>
      <c r="T428" s="5">
        <v>74162956971</v>
      </c>
      <c r="U428" s="5">
        <v>28172155209</v>
      </c>
      <c r="V428" s="5">
        <v>45990801762</v>
      </c>
      <c r="W428" s="5">
        <v>0</v>
      </c>
      <c r="X428" s="5">
        <v>625267618416</v>
      </c>
      <c r="Y428" s="5">
        <v>0</v>
      </c>
      <c r="Z428" s="5">
        <v>60360101405</v>
      </c>
      <c r="AA428" s="5">
        <v>9542700000</v>
      </c>
      <c r="AB428" s="5">
        <v>695170419821</v>
      </c>
      <c r="AC428" s="5">
        <v>322788138535</v>
      </c>
      <c r="AD428" s="36">
        <f t="shared" si="32"/>
        <v>93.708362783659751</v>
      </c>
      <c r="AE428" s="5">
        <v>423018460887</v>
      </c>
      <c r="AF428" s="5">
        <v>423018460887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6">
        <v>0</v>
      </c>
      <c r="AM428" s="5">
        <v>0</v>
      </c>
      <c r="AN428" s="6">
        <v>1</v>
      </c>
      <c r="AO428" s="5">
        <v>5069959619</v>
      </c>
      <c r="AP428" s="6">
        <v>1</v>
      </c>
      <c r="AQ428" s="5">
        <v>760000000</v>
      </c>
      <c r="AR428" s="5">
        <v>74162956971</v>
      </c>
      <c r="AS428" s="5">
        <v>7799615743</v>
      </c>
      <c r="AT428" s="5">
        <f t="shared" si="33"/>
        <v>66363341228</v>
      </c>
      <c r="AU428" s="36">
        <f t="shared" si="34"/>
        <v>850.85398325628762</v>
      </c>
      <c r="AV428" s="5">
        <v>105633674196</v>
      </c>
      <c r="AW428" s="5">
        <v>44910271764</v>
      </c>
      <c r="AX428" s="5">
        <v>170034978257</v>
      </c>
      <c r="AY428" s="5">
        <v>118480858583</v>
      </c>
      <c r="AZ428" s="5">
        <v>189184514131</v>
      </c>
      <c r="BA428" s="5">
        <v>92798145872</v>
      </c>
      <c r="BB428" s="5">
        <v>124561509894</v>
      </c>
      <c r="BC428" s="5">
        <v>529769332719</v>
      </c>
      <c r="BD428" s="5">
        <v>288975818588</v>
      </c>
      <c r="BE428" s="5">
        <v>189184514131</v>
      </c>
      <c r="BF428" s="5">
        <v>51609000000</v>
      </c>
      <c r="BG428" s="5">
        <v>232206015387</v>
      </c>
      <c r="BH428" s="5">
        <v>190812445500</v>
      </c>
      <c r="BI428" s="5">
        <v>0</v>
      </c>
      <c r="BJ428" s="48">
        <v>0</v>
      </c>
      <c r="BK428" s="5">
        <v>0</v>
      </c>
      <c r="BL428" s="5">
        <v>0</v>
      </c>
      <c r="BM428" s="5">
        <v>0</v>
      </c>
      <c r="BN428" s="5">
        <v>0</v>
      </c>
    </row>
    <row r="429" spans="1:66" s="32" customFormat="1" x14ac:dyDescent="0.25">
      <c r="A429" s="17" t="s">
        <v>437</v>
      </c>
      <c r="B429" s="8">
        <v>3899</v>
      </c>
      <c r="C429" s="8" t="s">
        <v>449</v>
      </c>
      <c r="D429" s="9">
        <v>0</v>
      </c>
      <c r="E429" s="9">
        <v>12082793784</v>
      </c>
      <c r="F429" s="9">
        <v>0</v>
      </c>
      <c r="G429" s="9">
        <v>0</v>
      </c>
      <c r="H429" s="9">
        <v>12082793784</v>
      </c>
      <c r="I429" s="9">
        <v>372448082</v>
      </c>
      <c r="J429" s="9">
        <v>265500000</v>
      </c>
      <c r="K429" s="9">
        <v>11444845702</v>
      </c>
      <c r="L429" s="9">
        <v>9041763737</v>
      </c>
      <c r="M429" s="5">
        <f t="shared" si="30"/>
        <v>3041030047</v>
      </c>
      <c r="N429" s="36">
        <f t="shared" si="31"/>
        <v>33.633150958764098</v>
      </c>
      <c r="O429" s="9">
        <v>0</v>
      </c>
      <c r="P429" s="36">
        <v>0</v>
      </c>
      <c r="Q429" s="10">
        <v>0</v>
      </c>
      <c r="R429" s="10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36">
        <f t="shared" si="32"/>
        <v>0</v>
      </c>
      <c r="AE429" s="9">
        <v>0</v>
      </c>
      <c r="AF429" s="9">
        <v>0</v>
      </c>
      <c r="AG429" s="9">
        <v>0</v>
      </c>
      <c r="AH429" s="9">
        <v>0</v>
      </c>
      <c r="AI429" s="9">
        <v>0</v>
      </c>
      <c r="AJ429" s="9">
        <v>0</v>
      </c>
      <c r="AK429" s="9">
        <v>0</v>
      </c>
      <c r="AL429" s="10">
        <v>0</v>
      </c>
      <c r="AM429" s="9">
        <v>0</v>
      </c>
      <c r="AN429" s="10">
        <v>0</v>
      </c>
      <c r="AO429" s="9">
        <v>0</v>
      </c>
      <c r="AP429" s="10">
        <v>0</v>
      </c>
      <c r="AQ429" s="9">
        <v>0</v>
      </c>
      <c r="AR429" s="9">
        <v>0</v>
      </c>
      <c r="AS429" s="9">
        <v>0</v>
      </c>
      <c r="AT429" s="5">
        <f t="shared" si="33"/>
        <v>0</v>
      </c>
      <c r="AU429" s="36">
        <f t="shared" si="34"/>
        <v>0</v>
      </c>
      <c r="AV429" s="9">
        <v>0</v>
      </c>
      <c r="AW429" s="9">
        <v>0</v>
      </c>
      <c r="AX429" s="9">
        <v>0</v>
      </c>
      <c r="AY429" s="9">
        <v>0</v>
      </c>
      <c r="AZ429" s="9">
        <v>0</v>
      </c>
      <c r="BA429" s="9">
        <v>0</v>
      </c>
      <c r="BB429" s="9">
        <v>0</v>
      </c>
      <c r="BC429" s="9">
        <v>12082793784</v>
      </c>
      <c r="BD429" s="9">
        <v>12082793784</v>
      </c>
      <c r="BE429" s="9">
        <v>0</v>
      </c>
      <c r="BF429" s="9">
        <v>0</v>
      </c>
      <c r="BG429" s="9">
        <v>0</v>
      </c>
      <c r="BH429" s="9">
        <v>0</v>
      </c>
      <c r="BI429" s="9">
        <v>0</v>
      </c>
      <c r="BJ429" s="51">
        <v>0</v>
      </c>
      <c r="BK429" s="9">
        <v>0</v>
      </c>
      <c r="BL429" s="9">
        <v>0</v>
      </c>
      <c r="BM429" s="9">
        <v>0</v>
      </c>
      <c r="BN429" s="9">
        <v>0</v>
      </c>
    </row>
    <row r="430" spans="1:66" x14ac:dyDescent="0.25">
      <c r="A430" s="30" t="s">
        <v>610</v>
      </c>
      <c r="B430" s="13" t="s">
        <v>625</v>
      </c>
      <c r="C430" s="13" t="s">
        <v>625</v>
      </c>
      <c r="D430" s="14">
        <v>19198970528955</v>
      </c>
      <c r="E430" s="14">
        <v>1010840340894</v>
      </c>
      <c r="F430" s="14">
        <v>155150000000</v>
      </c>
      <c r="G430" s="14">
        <v>3434782400</v>
      </c>
      <c r="H430" s="14">
        <v>20368395652249</v>
      </c>
      <c r="I430" s="14">
        <v>1523442906983</v>
      </c>
      <c r="J430" s="14">
        <v>74234797034</v>
      </c>
      <c r="K430" s="14">
        <v>18770717948232</v>
      </c>
      <c r="L430" s="14">
        <v>13821546860953</v>
      </c>
      <c r="M430" s="14">
        <f t="shared" si="30"/>
        <v>6546848791296</v>
      </c>
      <c r="N430" s="41">
        <f t="shared" si="31"/>
        <v>47.366976049485338</v>
      </c>
      <c r="O430" s="14">
        <v>35944415091679</v>
      </c>
      <c r="P430" s="41">
        <v>203.62</v>
      </c>
      <c r="Q430" s="15">
        <v>191.49</v>
      </c>
      <c r="R430" s="15">
        <v>5.62</v>
      </c>
      <c r="S430" s="14">
        <v>34756341779038</v>
      </c>
      <c r="T430" s="14">
        <v>2301589549367</v>
      </c>
      <c r="U430" s="14">
        <v>1340525440621</v>
      </c>
      <c r="V430" s="14">
        <v>835272831723</v>
      </c>
      <c r="W430" s="14">
        <v>125791277023</v>
      </c>
      <c r="X430" s="14">
        <v>37057931328405</v>
      </c>
      <c r="Y430" s="14">
        <v>29970721512</v>
      </c>
      <c r="Z430" s="14">
        <v>4268739207256</v>
      </c>
      <c r="AA430" s="14">
        <v>147432959946</v>
      </c>
      <c r="AB430" s="14">
        <v>41474103495607</v>
      </c>
      <c r="AC430" s="14">
        <v>26606865663818</v>
      </c>
      <c r="AD430" s="41">
        <f t="shared" si="32"/>
        <v>39.279582182425713</v>
      </c>
      <c r="AE430" s="14">
        <v>20086426994083</v>
      </c>
      <c r="AF430" s="14">
        <v>19479237774291</v>
      </c>
      <c r="AG430" s="14">
        <v>895504465816</v>
      </c>
      <c r="AH430" s="14">
        <v>99842843575</v>
      </c>
      <c r="AI430" s="14">
        <v>159974022235</v>
      </c>
      <c r="AJ430" s="14">
        <v>30000000000</v>
      </c>
      <c r="AK430" s="14">
        <v>0</v>
      </c>
      <c r="AL430" s="15">
        <v>11</v>
      </c>
      <c r="AM430" s="14">
        <v>1186131834514</v>
      </c>
      <c r="AN430" s="15">
        <v>274</v>
      </c>
      <c r="AO430" s="14">
        <v>9473779508532</v>
      </c>
      <c r="AP430" s="15">
        <v>184</v>
      </c>
      <c r="AQ430" s="14">
        <v>8172413876992</v>
      </c>
      <c r="AR430" s="14">
        <v>2301589549367</v>
      </c>
      <c r="AS430" s="14">
        <v>662104585566</v>
      </c>
      <c r="AT430" s="14">
        <f t="shared" si="33"/>
        <v>1639484963801</v>
      </c>
      <c r="AU430" s="41">
        <f t="shared" si="34"/>
        <v>247.61721932487245</v>
      </c>
      <c r="AV430" s="14">
        <v>14709942454659</v>
      </c>
      <c r="AW430" s="14">
        <v>3356297569591</v>
      </c>
      <c r="AX430" s="14">
        <v>6875725541655</v>
      </c>
      <c r="AY430" s="14">
        <v>3568862727722</v>
      </c>
      <c r="AZ430" s="14">
        <v>5082482837769</v>
      </c>
      <c r="BA430" s="14">
        <v>4593701015445</v>
      </c>
      <c r="BB430" s="14">
        <v>3623945219968</v>
      </c>
      <c r="BC430" s="14">
        <v>20368395652249</v>
      </c>
      <c r="BD430" s="14">
        <v>11229962432988</v>
      </c>
      <c r="BE430" s="14">
        <v>5237632837769</v>
      </c>
      <c r="BF430" s="14">
        <v>3900800381492</v>
      </c>
      <c r="BG430" s="14">
        <v>17186699525952</v>
      </c>
      <c r="BH430" s="14">
        <v>2899727468131</v>
      </c>
      <c r="BI430" s="14">
        <v>0</v>
      </c>
      <c r="BJ430" s="49">
        <v>1324142457</v>
      </c>
      <c r="BK430" s="14">
        <v>994195766013</v>
      </c>
      <c r="BL430" s="14">
        <v>57228845228</v>
      </c>
      <c r="BM430" s="14">
        <v>1836000000</v>
      </c>
      <c r="BN430" s="14">
        <v>48304527797</v>
      </c>
    </row>
    <row r="431" spans="1:66" x14ac:dyDescent="0.25">
      <c r="A431" s="17" t="s">
        <v>611</v>
      </c>
      <c r="B431" s="4">
        <v>1800</v>
      </c>
      <c r="C431" s="4" t="s">
        <v>450</v>
      </c>
      <c r="D431" s="5">
        <v>2317967156429</v>
      </c>
      <c r="E431" s="5">
        <v>318543282648</v>
      </c>
      <c r="F431" s="5">
        <v>1858000000</v>
      </c>
      <c r="G431" s="5">
        <v>1226122200</v>
      </c>
      <c r="H431" s="5">
        <v>2639594561277</v>
      </c>
      <c r="I431" s="5">
        <v>217668213911</v>
      </c>
      <c r="J431" s="5">
        <v>39069449845</v>
      </c>
      <c r="K431" s="5">
        <v>2382856897521</v>
      </c>
      <c r="L431" s="5">
        <v>1907983325242</v>
      </c>
      <c r="M431" s="5">
        <f t="shared" si="30"/>
        <v>731611236035</v>
      </c>
      <c r="N431" s="36">
        <f t="shared" si="31"/>
        <v>38.344739514020951</v>
      </c>
      <c r="O431" s="5">
        <v>4576608747464</v>
      </c>
      <c r="P431" s="36">
        <v>251.42</v>
      </c>
      <c r="Q431" s="6">
        <v>192.06</v>
      </c>
      <c r="R431" s="6">
        <v>1.48</v>
      </c>
      <c r="S431" s="5">
        <v>6230213675905</v>
      </c>
      <c r="T431" s="5">
        <v>96711865194</v>
      </c>
      <c r="U431" s="5">
        <v>59502896523</v>
      </c>
      <c r="V431" s="5">
        <v>33063328886</v>
      </c>
      <c r="W431" s="5">
        <v>4145639785</v>
      </c>
      <c r="X431" s="5">
        <v>6326925541099</v>
      </c>
      <c r="Y431" s="5">
        <v>1242907807</v>
      </c>
      <c r="Z431" s="5">
        <v>260662539439</v>
      </c>
      <c r="AA431" s="5">
        <v>48887169161</v>
      </c>
      <c r="AB431" s="5">
        <v>6636475249699</v>
      </c>
      <c r="AC431" s="5">
        <v>4444525519640</v>
      </c>
      <c r="AD431" s="36">
        <f t="shared" si="32"/>
        <v>42.353227878675149</v>
      </c>
      <c r="AE431" s="5">
        <v>3123880361033</v>
      </c>
      <c r="AF431" s="5">
        <v>2961825950459</v>
      </c>
      <c r="AG431" s="5">
        <v>25014600000</v>
      </c>
      <c r="AH431" s="5">
        <v>0</v>
      </c>
      <c r="AI431" s="5">
        <v>0</v>
      </c>
      <c r="AJ431" s="5">
        <v>0</v>
      </c>
      <c r="AK431" s="5">
        <v>0</v>
      </c>
      <c r="AL431" s="6">
        <v>1</v>
      </c>
      <c r="AM431" s="5">
        <v>27794000000</v>
      </c>
      <c r="AN431" s="6">
        <v>41</v>
      </c>
      <c r="AO431" s="5">
        <v>348158532933</v>
      </c>
      <c r="AP431" s="6">
        <v>48</v>
      </c>
      <c r="AQ431" s="5">
        <v>201106637981</v>
      </c>
      <c r="AR431" s="5">
        <v>96711865194</v>
      </c>
      <c r="AS431" s="5">
        <v>200182985711</v>
      </c>
      <c r="AT431" s="5">
        <f t="shared" si="33"/>
        <v>-103471120517</v>
      </c>
      <c r="AU431" s="36">
        <f t="shared" si="34"/>
        <v>-51.688269185064058</v>
      </c>
      <c r="AV431" s="5">
        <v>1736413694919</v>
      </c>
      <c r="AW431" s="5">
        <v>372585743959</v>
      </c>
      <c r="AX431" s="5">
        <v>290554287874</v>
      </c>
      <c r="AY431" s="5">
        <v>390271101266</v>
      </c>
      <c r="AZ431" s="5">
        <v>573089139936</v>
      </c>
      <c r="BA431" s="5">
        <v>1157154450377</v>
      </c>
      <c r="BB431" s="5">
        <v>296469309373</v>
      </c>
      <c r="BC431" s="5">
        <v>2639594561277</v>
      </c>
      <c r="BD431" s="5">
        <v>838468504137</v>
      </c>
      <c r="BE431" s="5">
        <v>574937139936</v>
      </c>
      <c r="BF431" s="5">
        <v>1226188917204</v>
      </c>
      <c r="BG431" s="5">
        <v>1756161785125</v>
      </c>
      <c r="BH431" s="5">
        <v>1367718575908</v>
      </c>
      <c r="BI431" s="5">
        <v>0</v>
      </c>
      <c r="BJ431" s="48">
        <v>0</v>
      </c>
      <c r="BK431" s="5">
        <v>0</v>
      </c>
      <c r="BL431" s="5">
        <v>0</v>
      </c>
      <c r="BM431" s="5">
        <v>0</v>
      </c>
      <c r="BN431" s="5">
        <v>0</v>
      </c>
    </row>
    <row r="432" spans="1:66" x14ac:dyDescent="0.25">
      <c r="A432" s="17" t="s">
        <v>611</v>
      </c>
      <c r="B432" s="4">
        <v>1801</v>
      </c>
      <c r="C432" s="4" t="s">
        <v>451</v>
      </c>
      <c r="D432" s="5">
        <v>754435212226</v>
      </c>
      <c r="E432" s="5">
        <v>77552696318</v>
      </c>
      <c r="F432" s="5">
        <v>0</v>
      </c>
      <c r="G432" s="5">
        <v>0</v>
      </c>
      <c r="H432" s="5">
        <v>831987908544</v>
      </c>
      <c r="I432" s="5">
        <v>77728882521</v>
      </c>
      <c r="J432" s="5">
        <v>1281578609</v>
      </c>
      <c r="K432" s="5">
        <v>752977447414</v>
      </c>
      <c r="L432" s="5">
        <v>733941877675</v>
      </c>
      <c r="M432" s="5">
        <f t="shared" si="30"/>
        <v>98046030869</v>
      </c>
      <c r="N432" s="36">
        <f t="shared" si="31"/>
        <v>13.358827701669341</v>
      </c>
      <c r="O432" s="5">
        <v>1908185565393</v>
      </c>
      <c r="P432" s="36">
        <v>253.66</v>
      </c>
      <c r="Q432" s="6">
        <v>253.42</v>
      </c>
      <c r="R432" s="6">
        <v>9.14</v>
      </c>
      <c r="S432" s="5">
        <v>1730286793473</v>
      </c>
      <c r="T432" s="5">
        <v>178667742026</v>
      </c>
      <c r="U432" s="5">
        <v>42119413534</v>
      </c>
      <c r="V432" s="5">
        <v>55170897764</v>
      </c>
      <c r="W432" s="5">
        <v>81377430728</v>
      </c>
      <c r="X432" s="5">
        <v>1908954535499</v>
      </c>
      <c r="Y432" s="5">
        <v>14163300299</v>
      </c>
      <c r="Z432" s="5">
        <v>185774066266</v>
      </c>
      <c r="AA432" s="5">
        <v>15699513000</v>
      </c>
      <c r="AB432" s="5">
        <v>2110428114765</v>
      </c>
      <c r="AC432" s="5">
        <v>1452215372510</v>
      </c>
      <c r="AD432" s="36">
        <f t="shared" si="32"/>
        <v>31.451200120514827</v>
      </c>
      <c r="AE432" s="5">
        <v>1361368705750</v>
      </c>
      <c r="AF432" s="5">
        <v>1272522227675</v>
      </c>
      <c r="AG432" s="5">
        <v>116416832594</v>
      </c>
      <c r="AH432" s="5">
        <v>2404432145</v>
      </c>
      <c r="AI432" s="5">
        <v>5103817639</v>
      </c>
      <c r="AJ432" s="5">
        <v>0</v>
      </c>
      <c r="AK432" s="5">
        <v>0</v>
      </c>
      <c r="AL432" s="6">
        <v>0</v>
      </c>
      <c r="AM432" s="5">
        <v>0</v>
      </c>
      <c r="AN432" s="6">
        <v>82</v>
      </c>
      <c r="AO432" s="5">
        <v>1319533235937</v>
      </c>
      <c r="AP432" s="6">
        <v>56</v>
      </c>
      <c r="AQ432" s="5">
        <v>497777278448</v>
      </c>
      <c r="AR432" s="5">
        <v>178667742026</v>
      </c>
      <c r="AS432" s="5">
        <v>66663294126</v>
      </c>
      <c r="AT432" s="5">
        <f t="shared" si="33"/>
        <v>112004447900</v>
      </c>
      <c r="AU432" s="36">
        <f t="shared" si="34"/>
        <v>168.01517141997346</v>
      </c>
      <c r="AV432" s="5">
        <v>792236213981</v>
      </c>
      <c r="AW432" s="5">
        <v>377149335002</v>
      </c>
      <c r="AX432" s="5">
        <v>250249806169</v>
      </c>
      <c r="AY432" s="5">
        <v>145541011024</v>
      </c>
      <c r="AZ432" s="5">
        <v>198950346956</v>
      </c>
      <c r="BA432" s="5">
        <v>238888467381</v>
      </c>
      <c r="BB432" s="5">
        <v>128200873016</v>
      </c>
      <c r="BC432" s="5">
        <v>831987908544</v>
      </c>
      <c r="BD432" s="5">
        <v>473343513511</v>
      </c>
      <c r="BE432" s="5">
        <v>198950346956</v>
      </c>
      <c r="BF432" s="5">
        <v>159694048077</v>
      </c>
      <c r="BG432" s="5">
        <v>846079161736</v>
      </c>
      <c r="BH432" s="5">
        <v>515289544014</v>
      </c>
      <c r="BI432" s="5">
        <v>0</v>
      </c>
      <c r="BJ432" s="48">
        <v>77873846470</v>
      </c>
      <c r="BK432" s="5">
        <v>66697210572</v>
      </c>
      <c r="BL432" s="5">
        <v>223300036</v>
      </c>
      <c r="BM432" s="5">
        <v>0</v>
      </c>
      <c r="BN432" s="5">
        <v>2173595991</v>
      </c>
    </row>
    <row r="433" spans="1:66" x14ac:dyDescent="0.25">
      <c r="A433" s="17" t="s">
        <v>611</v>
      </c>
      <c r="B433" s="18">
        <v>1802</v>
      </c>
      <c r="C433" s="18" t="s">
        <v>452</v>
      </c>
      <c r="D433" s="19">
        <v>1458626475827</v>
      </c>
      <c r="E433" s="19">
        <v>72710826474</v>
      </c>
      <c r="F433" s="19">
        <v>0</v>
      </c>
      <c r="G433" s="19">
        <v>0</v>
      </c>
      <c r="H433" s="19">
        <v>1531337302301</v>
      </c>
      <c r="I433" s="19">
        <v>138068181896</v>
      </c>
      <c r="J433" s="19">
        <v>1624982736</v>
      </c>
      <c r="K433" s="19">
        <v>1391644137669</v>
      </c>
      <c r="L433" s="19">
        <v>1084605642728</v>
      </c>
      <c r="M433" s="5">
        <f t="shared" si="30"/>
        <v>446731659573</v>
      </c>
      <c r="N433" s="36">
        <f t="shared" si="31"/>
        <v>41.188395300007898</v>
      </c>
      <c r="O433" s="19">
        <v>2913080522072</v>
      </c>
      <c r="P433" s="36">
        <v>207.18</v>
      </c>
      <c r="Q433" s="20">
        <v>209.33</v>
      </c>
      <c r="R433" s="20">
        <v>15.11</v>
      </c>
      <c r="S433" s="19">
        <v>2456118804757</v>
      </c>
      <c r="T433" s="19">
        <v>456327300080</v>
      </c>
      <c r="U433" s="19">
        <v>105422080509</v>
      </c>
      <c r="V433" s="19">
        <v>112538559042</v>
      </c>
      <c r="W433" s="19">
        <v>238366660529</v>
      </c>
      <c r="X433" s="19">
        <v>2912446104837</v>
      </c>
      <c r="Y433" s="5">
        <v>23025362062</v>
      </c>
      <c r="Z433" s="19">
        <v>236286446300</v>
      </c>
      <c r="AA433" s="19">
        <v>23859760000</v>
      </c>
      <c r="AB433" s="19">
        <v>3172592311137</v>
      </c>
      <c r="AC433" s="19">
        <v>2440284454047</v>
      </c>
      <c r="AD433" s="36">
        <f t="shared" si="32"/>
        <v>19.348631673121584</v>
      </c>
      <c r="AE433" s="19">
        <v>1159380028197</v>
      </c>
      <c r="AF433" s="19">
        <v>1036191028197</v>
      </c>
      <c r="AG433" s="19">
        <v>0</v>
      </c>
      <c r="AH433" s="19">
        <v>0</v>
      </c>
      <c r="AI433" s="19">
        <v>0</v>
      </c>
      <c r="AJ433" s="19">
        <v>0</v>
      </c>
      <c r="AK433" s="19">
        <v>0</v>
      </c>
      <c r="AL433" s="20">
        <v>0</v>
      </c>
      <c r="AM433" s="19">
        <v>0</v>
      </c>
      <c r="AN433" s="20">
        <v>198</v>
      </c>
      <c r="AO433" s="19">
        <v>1067834662013</v>
      </c>
      <c r="AP433" s="20">
        <v>135</v>
      </c>
      <c r="AQ433" s="19">
        <v>457348121318</v>
      </c>
      <c r="AR433" s="19">
        <v>456327300080</v>
      </c>
      <c r="AS433" s="19">
        <v>216594589784</v>
      </c>
      <c r="AT433" s="5">
        <f t="shared" si="33"/>
        <v>239732710296</v>
      </c>
      <c r="AU433" s="36">
        <f t="shared" si="34"/>
        <v>110.68268627350047</v>
      </c>
      <c r="AV433" s="19">
        <v>517658189373</v>
      </c>
      <c r="AW433" s="19">
        <v>260676391370</v>
      </c>
      <c r="AX433" s="19">
        <v>172434306834</v>
      </c>
      <c r="AY433" s="19">
        <v>623815797900</v>
      </c>
      <c r="AZ433" s="19">
        <v>377339200644</v>
      </c>
      <c r="BA433" s="19">
        <v>529551314197</v>
      </c>
      <c r="BB433" s="19">
        <v>189729022338</v>
      </c>
      <c r="BC433" s="19">
        <v>1531337302301</v>
      </c>
      <c r="BD433" s="19">
        <v>868960931208</v>
      </c>
      <c r="BE433" s="19">
        <v>377339200644</v>
      </c>
      <c r="BF433" s="19">
        <v>285037170449</v>
      </c>
      <c r="BG433" s="19">
        <v>906465963668</v>
      </c>
      <c r="BH433" s="19">
        <v>252914064529</v>
      </c>
      <c r="BI433" s="19">
        <v>0</v>
      </c>
      <c r="BJ433" s="50">
        <v>0</v>
      </c>
      <c r="BK433" s="19">
        <v>0</v>
      </c>
      <c r="BL433" s="19">
        <v>0</v>
      </c>
      <c r="BM433" s="19">
        <v>0</v>
      </c>
      <c r="BN433" s="19">
        <v>0</v>
      </c>
    </row>
    <row r="434" spans="1:66" x14ac:dyDescent="0.25">
      <c r="A434" s="17" t="s">
        <v>611</v>
      </c>
      <c r="B434" s="4">
        <v>1803</v>
      </c>
      <c r="C434" s="4" t="s">
        <v>453</v>
      </c>
      <c r="D434" s="5">
        <v>833061294044</v>
      </c>
      <c r="E434" s="5">
        <v>9709118888</v>
      </c>
      <c r="F434" s="5">
        <v>0</v>
      </c>
      <c r="G434" s="5">
        <v>0</v>
      </c>
      <c r="H434" s="5">
        <v>842770412932</v>
      </c>
      <c r="I434" s="5">
        <v>51929342319</v>
      </c>
      <c r="J434" s="5">
        <v>2016520223</v>
      </c>
      <c r="K434" s="5">
        <v>788824550390</v>
      </c>
      <c r="L434" s="5">
        <v>512279734055</v>
      </c>
      <c r="M434" s="5">
        <f t="shared" si="30"/>
        <v>330490678877</v>
      </c>
      <c r="N434" s="36">
        <f t="shared" si="31"/>
        <v>64.513713291167889</v>
      </c>
      <c r="O434" s="5">
        <v>1060991475842</v>
      </c>
      <c r="P434" s="36">
        <v>148.1</v>
      </c>
      <c r="Q434" s="6">
        <v>134.5</v>
      </c>
      <c r="R434" s="6">
        <v>8.0299999999999994</v>
      </c>
      <c r="S434" s="5">
        <v>986170034312</v>
      </c>
      <c r="T434" s="5">
        <v>96184606520</v>
      </c>
      <c r="U434" s="5">
        <v>29192346302</v>
      </c>
      <c r="V434" s="5">
        <v>56703043663</v>
      </c>
      <c r="W434" s="5">
        <v>10289216555</v>
      </c>
      <c r="X434" s="5">
        <v>1082354640832</v>
      </c>
      <c r="Y434" s="5">
        <v>4033356730</v>
      </c>
      <c r="Z434" s="5">
        <v>137616216520</v>
      </c>
      <c r="AA434" s="5">
        <v>28182650000</v>
      </c>
      <c r="AB434" s="5">
        <v>1248153507352</v>
      </c>
      <c r="AC434" s="5">
        <v>876014388090</v>
      </c>
      <c r="AD434" s="36">
        <f t="shared" si="32"/>
        <v>23.554436496401586</v>
      </c>
      <c r="AE434" s="5">
        <v>549766151960</v>
      </c>
      <c r="AF434" s="5">
        <v>413098171471</v>
      </c>
      <c r="AG434" s="5">
        <v>0</v>
      </c>
      <c r="AH434" s="5">
        <v>742500000</v>
      </c>
      <c r="AI434" s="5">
        <v>0</v>
      </c>
      <c r="AJ434" s="5">
        <v>0</v>
      </c>
      <c r="AK434" s="5">
        <v>0</v>
      </c>
      <c r="AL434" s="6">
        <v>0</v>
      </c>
      <c r="AM434" s="5">
        <v>0</v>
      </c>
      <c r="AN434" s="6">
        <v>2</v>
      </c>
      <c r="AO434" s="5">
        <v>8800000000</v>
      </c>
      <c r="AP434" s="6">
        <v>8</v>
      </c>
      <c r="AQ434" s="5">
        <v>12535512000</v>
      </c>
      <c r="AR434" s="5">
        <v>96184606520</v>
      </c>
      <c r="AS434" s="5">
        <v>69322281369</v>
      </c>
      <c r="AT434" s="5">
        <f t="shared" si="33"/>
        <v>26862325151</v>
      </c>
      <c r="AU434" s="36">
        <f t="shared" si="34"/>
        <v>38.749915064123201</v>
      </c>
      <c r="AV434" s="5">
        <v>244758986561</v>
      </c>
      <c r="AW434" s="5">
        <v>124561235263</v>
      </c>
      <c r="AX434" s="5">
        <v>183053211448</v>
      </c>
      <c r="AY434" s="5">
        <v>300930121051</v>
      </c>
      <c r="AZ434" s="5">
        <v>182932961545</v>
      </c>
      <c r="BA434" s="5">
        <v>222436279576</v>
      </c>
      <c r="BB434" s="5">
        <v>131602140079</v>
      </c>
      <c r="BC434" s="5">
        <v>842770412932</v>
      </c>
      <c r="BD434" s="5">
        <v>493692451387</v>
      </c>
      <c r="BE434" s="5">
        <v>182932961545</v>
      </c>
      <c r="BF434" s="5">
        <v>166145000000</v>
      </c>
      <c r="BG434" s="5">
        <v>449397242886</v>
      </c>
      <c r="BH434" s="5">
        <v>100368909074</v>
      </c>
      <c r="BI434" s="5">
        <v>0</v>
      </c>
      <c r="BJ434" s="48">
        <v>0</v>
      </c>
      <c r="BK434" s="5">
        <v>0</v>
      </c>
      <c r="BL434" s="5">
        <v>0</v>
      </c>
      <c r="BM434" s="5">
        <v>0</v>
      </c>
      <c r="BN434" s="5">
        <v>742500000</v>
      </c>
    </row>
    <row r="435" spans="1:66" x14ac:dyDescent="0.25">
      <c r="A435" s="17" t="s">
        <v>611</v>
      </c>
      <c r="B435" s="4">
        <v>1804</v>
      </c>
      <c r="C435" s="4" t="s">
        <v>454</v>
      </c>
      <c r="D435" s="5">
        <v>1297645081711</v>
      </c>
      <c r="E435" s="5">
        <v>34273199500</v>
      </c>
      <c r="F435" s="5">
        <v>0</v>
      </c>
      <c r="G435" s="5">
        <v>0</v>
      </c>
      <c r="H435" s="5">
        <v>1331918281211</v>
      </c>
      <c r="I435" s="5">
        <v>104139225866</v>
      </c>
      <c r="J435" s="5">
        <v>2402553580</v>
      </c>
      <c r="K435" s="5">
        <v>1225376501765</v>
      </c>
      <c r="L435" s="5">
        <v>778783763268</v>
      </c>
      <c r="M435" s="5">
        <f t="shared" si="30"/>
        <v>553134517943</v>
      </c>
      <c r="N435" s="36">
        <f t="shared" si="31"/>
        <v>71.025430168431981</v>
      </c>
      <c r="O435" s="5">
        <v>1268557114582</v>
      </c>
      <c r="P435" s="36">
        <v>105.48</v>
      </c>
      <c r="Q435" s="6">
        <v>103.52</v>
      </c>
      <c r="R435" s="6">
        <v>4.82</v>
      </c>
      <c r="S435" s="5">
        <v>1193886610989</v>
      </c>
      <c r="T435" s="5">
        <v>67686755911</v>
      </c>
      <c r="U435" s="5">
        <v>49087278038</v>
      </c>
      <c r="V435" s="5">
        <v>18504509189</v>
      </c>
      <c r="W435" s="5">
        <v>94968684</v>
      </c>
      <c r="X435" s="5">
        <v>1261573366900</v>
      </c>
      <c r="Y435" s="5">
        <v>68771449</v>
      </c>
      <c r="Z435" s="5">
        <v>112275812770</v>
      </c>
      <c r="AA435" s="5">
        <v>31034922397</v>
      </c>
      <c r="AB435" s="5">
        <v>1404884102067</v>
      </c>
      <c r="AC435" s="5">
        <v>1119890253028</v>
      </c>
      <c r="AD435" s="36">
        <f t="shared" si="32"/>
        <v>12.651517725858588</v>
      </c>
      <c r="AE435" s="5">
        <v>535436398397</v>
      </c>
      <c r="AF435" s="5">
        <v>535436398397</v>
      </c>
      <c r="AG435" s="5">
        <v>0</v>
      </c>
      <c r="AH435" s="5">
        <v>1260000000</v>
      </c>
      <c r="AI435" s="5">
        <v>0</v>
      </c>
      <c r="AJ435" s="5">
        <v>0</v>
      </c>
      <c r="AK435" s="5">
        <v>0</v>
      </c>
      <c r="AL435" s="6">
        <v>0</v>
      </c>
      <c r="AM435" s="5">
        <v>0</v>
      </c>
      <c r="AN435" s="6">
        <v>56</v>
      </c>
      <c r="AO435" s="5">
        <v>559534784371</v>
      </c>
      <c r="AP435" s="6">
        <v>7</v>
      </c>
      <c r="AQ435" s="5">
        <v>19012000000</v>
      </c>
      <c r="AR435" s="5">
        <v>67686755911</v>
      </c>
      <c r="AS435" s="5">
        <v>35078171899</v>
      </c>
      <c r="AT435" s="5">
        <f t="shared" si="33"/>
        <v>32608584012</v>
      </c>
      <c r="AU435" s="36">
        <f t="shared" si="34"/>
        <v>92.959758866252656</v>
      </c>
      <c r="AV435" s="5">
        <v>379270655587</v>
      </c>
      <c r="AW435" s="5">
        <v>157910330642</v>
      </c>
      <c r="AX435" s="5">
        <v>164966830408</v>
      </c>
      <c r="AY435" s="5">
        <v>437020976123</v>
      </c>
      <c r="AZ435" s="5">
        <v>204740275180</v>
      </c>
      <c r="BA435" s="5">
        <v>538694791348</v>
      </c>
      <c r="BB435" s="5">
        <v>138464565666</v>
      </c>
      <c r="BC435" s="5">
        <v>1331918281211</v>
      </c>
      <c r="BD435" s="5">
        <v>636261006031</v>
      </c>
      <c r="BE435" s="5">
        <v>204740275180</v>
      </c>
      <c r="BF435" s="5">
        <v>490917000000</v>
      </c>
      <c r="BG435" s="5">
        <v>362424999397</v>
      </c>
      <c r="BH435" s="5">
        <v>173011399000</v>
      </c>
      <c r="BI435" s="5">
        <v>0</v>
      </c>
      <c r="BJ435" s="48">
        <v>0</v>
      </c>
      <c r="BK435" s="5">
        <v>0</v>
      </c>
      <c r="BL435" s="5">
        <v>0</v>
      </c>
      <c r="BM435" s="5">
        <v>0</v>
      </c>
      <c r="BN435" s="5">
        <v>1260000000</v>
      </c>
    </row>
    <row r="436" spans="1:66" x14ac:dyDescent="0.25">
      <c r="A436" s="17" t="s">
        <v>611</v>
      </c>
      <c r="B436" s="4">
        <v>1805</v>
      </c>
      <c r="C436" s="4" t="s">
        <v>455</v>
      </c>
      <c r="D436" s="5">
        <v>1639177244893</v>
      </c>
      <c r="E436" s="5">
        <v>49448077283</v>
      </c>
      <c r="F436" s="5">
        <v>0</v>
      </c>
      <c r="G436" s="5">
        <v>0</v>
      </c>
      <c r="H436" s="5">
        <v>1688625322176</v>
      </c>
      <c r="I436" s="5">
        <v>129364402654</v>
      </c>
      <c r="J436" s="5">
        <v>2078601009</v>
      </c>
      <c r="K436" s="5">
        <v>1557182318513</v>
      </c>
      <c r="L436" s="5">
        <v>1081392716224</v>
      </c>
      <c r="M436" s="5">
        <f t="shared" si="30"/>
        <v>607232605952</v>
      </c>
      <c r="N436" s="36">
        <f t="shared" si="31"/>
        <v>56.152829295200988</v>
      </c>
      <c r="O436" s="5">
        <v>1529332226184</v>
      </c>
      <c r="P436" s="36">
        <v>104.19</v>
      </c>
      <c r="Q436" s="6">
        <v>98.21</v>
      </c>
      <c r="R436" s="6">
        <v>7.82</v>
      </c>
      <c r="S436" s="5">
        <v>1415001407955</v>
      </c>
      <c r="T436" s="5">
        <v>135959524641</v>
      </c>
      <c r="U436" s="5">
        <v>61336450425</v>
      </c>
      <c r="V436" s="5">
        <v>47907721262</v>
      </c>
      <c r="W436" s="5">
        <v>26715352954</v>
      </c>
      <c r="X436" s="5">
        <v>1550960932596</v>
      </c>
      <c r="Y436" s="5">
        <v>1551188841</v>
      </c>
      <c r="Z436" s="5">
        <v>173616001246</v>
      </c>
      <c r="AA436" s="5">
        <v>34809848950</v>
      </c>
      <c r="AB436" s="5">
        <v>1759386782792</v>
      </c>
      <c r="AC436" s="5">
        <v>1345135460996</v>
      </c>
      <c r="AD436" s="36">
        <f t="shared" si="32"/>
        <v>15.301467961271156</v>
      </c>
      <c r="AE436" s="5">
        <v>977848156740</v>
      </c>
      <c r="AF436" s="5">
        <v>789955188241</v>
      </c>
      <c r="AG436" s="5">
        <v>114146400871</v>
      </c>
      <c r="AH436" s="5">
        <v>6887679432</v>
      </c>
      <c r="AI436" s="5">
        <v>0</v>
      </c>
      <c r="AJ436" s="5">
        <v>0</v>
      </c>
      <c r="AK436" s="5">
        <v>0</v>
      </c>
      <c r="AL436" s="6">
        <v>0</v>
      </c>
      <c r="AM436" s="5">
        <v>0</v>
      </c>
      <c r="AN436" s="6">
        <v>25</v>
      </c>
      <c r="AO436" s="5">
        <v>461691025934</v>
      </c>
      <c r="AP436" s="6">
        <v>30</v>
      </c>
      <c r="AQ436" s="5">
        <v>182965971197</v>
      </c>
      <c r="AR436" s="5">
        <v>135959524641</v>
      </c>
      <c r="AS436" s="5">
        <v>157867861525</v>
      </c>
      <c r="AT436" s="5">
        <f t="shared" si="33"/>
        <v>-21908336884</v>
      </c>
      <c r="AU436" s="36">
        <f t="shared" si="34"/>
        <v>-13.877642144744318</v>
      </c>
      <c r="AV436" s="5">
        <v>617260716106</v>
      </c>
      <c r="AW436" s="5">
        <v>289713835427</v>
      </c>
      <c r="AX436" s="5">
        <v>120917819381</v>
      </c>
      <c r="AY436" s="5">
        <v>180495804932</v>
      </c>
      <c r="AZ436" s="5">
        <v>479918320580</v>
      </c>
      <c r="BA436" s="5">
        <v>894422497748</v>
      </c>
      <c r="BB436" s="5">
        <v>389361587253</v>
      </c>
      <c r="BC436" s="5">
        <v>1688625322176</v>
      </c>
      <c r="BD436" s="5">
        <v>350807681346</v>
      </c>
      <c r="BE436" s="5">
        <v>479918320580</v>
      </c>
      <c r="BF436" s="5">
        <v>857899320250</v>
      </c>
      <c r="BG436" s="5">
        <v>627217405457</v>
      </c>
      <c r="BH436" s="5">
        <v>350630751283</v>
      </c>
      <c r="BI436" s="5">
        <v>0</v>
      </c>
      <c r="BJ436" s="48">
        <v>0</v>
      </c>
      <c r="BK436" s="5">
        <v>114920413293</v>
      </c>
      <c r="BL436" s="5">
        <v>0</v>
      </c>
      <c r="BM436" s="5">
        <v>0</v>
      </c>
      <c r="BN436" s="5">
        <v>6887679432</v>
      </c>
    </row>
    <row r="437" spans="1:66" x14ac:dyDescent="0.25">
      <c r="A437" s="17" t="s">
        <v>611</v>
      </c>
      <c r="B437" s="4">
        <v>1806</v>
      </c>
      <c r="C437" s="4" t="s">
        <v>456</v>
      </c>
      <c r="D437" s="5">
        <v>731351642765</v>
      </c>
      <c r="E437" s="5">
        <v>75271911424</v>
      </c>
      <c r="F437" s="5">
        <v>0</v>
      </c>
      <c r="G437" s="5">
        <v>0</v>
      </c>
      <c r="H437" s="5">
        <v>806623554189</v>
      </c>
      <c r="I437" s="5">
        <v>68547350235</v>
      </c>
      <c r="J437" s="5">
        <v>2400593207</v>
      </c>
      <c r="K437" s="5">
        <v>735675610747</v>
      </c>
      <c r="L437" s="5">
        <v>622649941771</v>
      </c>
      <c r="M437" s="5">
        <f t="shared" si="30"/>
        <v>183973612418</v>
      </c>
      <c r="N437" s="36">
        <f t="shared" si="31"/>
        <v>29.546876997165505</v>
      </c>
      <c r="O437" s="5">
        <v>630385842877</v>
      </c>
      <c r="P437" s="36">
        <v>87.93</v>
      </c>
      <c r="Q437" s="6">
        <v>85.69</v>
      </c>
      <c r="R437" s="6">
        <v>4.18</v>
      </c>
      <c r="S437" s="5">
        <v>587275604229</v>
      </c>
      <c r="T437" s="5">
        <v>29653187972</v>
      </c>
      <c r="U437" s="5">
        <v>28314456608</v>
      </c>
      <c r="V437" s="5">
        <v>1338731364</v>
      </c>
      <c r="W437" s="5">
        <v>0</v>
      </c>
      <c r="X437" s="5">
        <v>616928792201</v>
      </c>
      <c r="Y437" s="5">
        <v>0</v>
      </c>
      <c r="Z437" s="5">
        <v>72977828130</v>
      </c>
      <c r="AA437" s="5">
        <v>19395576000</v>
      </c>
      <c r="AB437" s="5">
        <v>709302196331</v>
      </c>
      <c r="AC437" s="5">
        <v>501217319493</v>
      </c>
      <c r="AD437" s="36">
        <f t="shared" si="32"/>
        <v>23.086088251109611</v>
      </c>
      <c r="AE437" s="5">
        <v>325334264853</v>
      </c>
      <c r="AF437" s="5">
        <v>325334264853</v>
      </c>
      <c r="AG437" s="5">
        <v>0</v>
      </c>
      <c r="AH437" s="5">
        <v>344322534</v>
      </c>
      <c r="AI437" s="5">
        <v>0</v>
      </c>
      <c r="AJ437" s="5">
        <v>0</v>
      </c>
      <c r="AK437" s="5">
        <v>0</v>
      </c>
      <c r="AL437" s="6">
        <v>0</v>
      </c>
      <c r="AM437" s="5">
        <v>0</v>
      </c>
      <c r="AN437" s="6">
        <v>35</v>
      </c>
      <c r="AO437" s="5">
        <v>855129824284</v>
      </c>
      <c r="AP437" s="6">
        <v>15</v>
      </c>
      <c r="AQ437" s="5">
        <v>67150019126</v>
      </c>
      <c r="AR437" s="5">
        <v>29653187972</v>
      </c>
      <c r="AS437" s="5">
        <v>9570473971</v>
      </c>
      <c r="AT437" s="5">
        <f t="shared" si="33"/>
        <v>20082714001</v>
      </c>
      <c r="AU437" s="36">
        <f t="shared" si="34"/>
        <v>209.84032830404948</v>
      </c>
      <c r="AV437" s="5">
        <v>236941435832</v>
      </c>
      <c r="AW437" s="5">
        <v>118337252332</v>
      </c>
      <c r="AX437" s="5">
        <v>113181341860</v>
      </c>
      <c r="AY437" s="5">
        <v>118343185979</v>
      </c>
      <c r="AZ437" s="5">
        <v>64695114926</v>
      </c>
      <c r="BA437" s="5">
        <v>466999762976</v>
      </c>
      <c r="BB437" s="5">
        <v>49185585710</v>
      </c>
      <c r="BC437" s="5">
        <v>806623554189</v>
      </c>
      <c r="BD437" s="5">
        <v>306796439263</v>
      </c>
      <c r="BE437" s="5">
        <v>64695114926</v>
      </c>
      <c r="BF437" s="5">
        <v>435132000000</v>
      </c>
      <c r="BG437" s="5">
        <v>172567164319</v>
      </c>
      <c r="BH437" s="5">
        <v>152767100534</v>
      </c>
      <c r="BI437" s="5">
        <v>0</v>
      </c>
      <c r="BJ437" s="48">
        <v>0</v>
      </c>
      <c r="BK437" s="5">
        <v>0</v>
      </c>
      <c r="BL437" s="5">
        <v>344322534</v>
      </c>
      <c r="BM437" s="5">
        <v>0</v>
      </c>
      <c r="BN437" s="5">
        <v>0</v>
      </c>
    </row>
    <row r="438" spans="1:66" x14ac:dyDescent="0.25">
      <c r="A438" s="17" t="s">
        <v>611</v>
      </c>
      <c r="B438" s="8">
        <v>1807</v>
      </c>
      <c r="C438" s="8" t="s">
        <v>457</v>
      </c>
      <c r="D438" s="9">
        <v>1443285194856</v>
      </c>
      <c r="E438" s="9">
        <v>11580498737</v>
      </c>
      <c r="F438" s="9">
        <v>0</v>
      </c>
      <c r="G438" s="9">
        <v>0</v>
      </c>
      <c r="H438" s="9">
        <v>1454865693593</v>
      </c>
      <c r="I438" s="9">
        <v>100754595084</v>
      </c>
      <c r="J438" s="9">
        <v>699132603</v>
      </c>
      <c r="K438" s="9">
        <v>1353411965906</v>
      </c>
      <c r="L438" s="9">
        <v>912820362114</v>
      </c>
      <c r="M438" s="5">
        <f t="shared" si="30"/>
        <v>542045331479</v>
      </c>
      <c r="N438" s="36">
        <f t="shared" si="31"/>
        <v>59.381380387229484</v>
      </c>
      <c r="O438" s="9">
        <v>1728530690613</v>
      </c>
      <c r="P438" s="36">
        <v>139.69</v>
      </c>
      <c r="Q438" s="10">
        <v>127.72</v>
      </c>
      <c r="R438" s="10">
        <v>1.57</v>
      </c>
      <c r="S438" s="9">
        <v>1682114554391</v>
      </c>
      <c r="T438" s="9">
        <v>31894086068</v>
      </c>
      <c r="U438" s="9">
        <v>31894086068</v>
      </c>
      <c r="V438" s="9">
        <v>0</v>
      </c>
      <c r="W438" s="9">
        <v>0</v>
      </c>
      <c r="X438" s="9">
        <v>1714008640459</v>
      </c>
      <c r="Y438" s="5">
        <v>0</v>
      </c>
      <c r="Z438" s="9">
        <v>252189996831</v>
      </c>
      <c r="AA438" s="9">
        <v>66119850000</v>
      </c>
      <c r="AB438" s="9">
        <v>2032318487290</v>
      </c>
      <c r="AC438" s="9">
        <v>890453675594</v>
      </c>
      <c r="AD438" s="36">
        <f t="shared" si="32"/>
        <v>92.487120603508828</v>
      </c>
      <c r="AE438" s="9">
        <v>1583617441626</v>
      </c>
      <c r="AF438" s="9">
        <v>1569850459803</v>
      </c>
      <c r="AG438" s="9">
        <v>70214364000</v>
      </c>
      <c r="AH438" s="9">
        <v>0</v>
      </c>
      <c r="AI438" s="9">
        <v>0</v>
      </c>
      <c r="AJ438" s="9">
        <v>0</v>
      </c>
      <c r="AK438" s="9">
        <v>0</v>
      </c>
      <c r="AL438" s="10">
        <v>2</v>
      </c>
      <c r="AM438" s="9">
        <v>117831563341</v>
      </c>
      <c r="AN438" s="10">
        <v>24</v>
      </c>
      <c r="AO438" s="9">
        <v>117398000000</v>
      </c>
      <c r="AP438" s="10">
        <v>5</v>
      </c>
      <c r="AQ438" s="9">
        <v>6307200000</v>
      </c>
      <c r="AR438" s="9">
        <v>31894086068</v>
      </c>
      <c r="AS438" s="9">
        <v>0</v>
      </c>
      <c r="AT438" s="5">
        <f t="shared" si="33"/>
        <v>31894086068</v>
      </c>
      <c r="AU438" s="36">
        <f t="shared" si="34"/>
        <v>0</v>
      </c>
      <c r="AV438" s="9">
        <v>810764734454</v>
      </c>
      <c r="AW438" s="9">
        <v>185077045261</v>
      </c>
      <c r="AX438" s="9">
        <v>178515956323</v>
      </c>
      <c r="AY438" s="9">
        <v>173369051149</v>
      </c>
      <c r="AZ438" s="9">
        <v>403476187384</v>
      </c>
      <c r="BA438" s="9">
        <v>690092559372</v>
      </c>
      <c r="BB438" s="9">
        <v>403167040082</v>
      </c>
      <c r="BC438" s="9">
        <v>1454865693593</v>
      </c>
      <c r="BD438" s="9">
        <v>363465506209</v>
      </c>
      <c r="BE438" s="9">
        <v>403476187384</v>
      </c>
      <c r="BF438" s="9">
        <v>687924000000</v>
      </c>
      <c r="BG438" s="9">
        <v>769645571262</v>
      </c>
      <c r="BH438" s="9">
        <v>813971870364</v>
      </c>
      <c r="BI438" s="9">
        <v>0</v>
      </c>
      <c r="BJ438" s="51">
        <v>0</v>
      </c>
      <c r="BK438" s="9">
        <v>70214364000</v>
      </c>
      <c r="BL438" s="9">
        <v>0</v>
      </c>
      <c r="BM438" s="9">
        <v>0</v>
      </c>
      <c r="BN438" s="9">
        <v>0</v>
      </c>
    </row>
    <row r="439" spans="1:66" s="32" customFormat="1" x14ac:dyDescent="0.25">
      <c r="A439" s="17" t="s">
        <v>611</v>
      </c>
      <c r="B439" s="8">
        <v>1899</v>
      </c>
      <c r="C439" s="8" t="s">
        <v>458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3663000000</v>
      </c>
      <c r="K439" s="9">
        <v>-3663000000</v>
      </c>
      <c r="L439" s="9">
        <v>0</v>
      </c>
      <c r="M439" s="5">
        <f t="shared" si="30"/>
        <v>0</v>
      </c>
      <c r="N439" s="36">
        <f t="shared" si="31"/>
        <v>0</v>
      </c>
      <c r="O439" s="9">
        <v>0</v>
      </c>
      <c r="P439" s="36" t="s">
        <v>625</v>
      </c>
      <c r="Q439" s="10">
        <v>0</v>
      </c>
      <c r="R439" s="10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36">
        <f t="shared" si="32"/>
        <v>0</v>
      </c>
      <c r="AE439" s="9">
        <v>0</v>
      </c>
      <c r="AF439" s="9">
        <v>0</v>
      </c>
      <c r="AG439" s="9">
        <v>0</v>
      </c>
      <c r="AH439" s="9">
        <v>0</v>
      </c>
      <c r="AI439" s="9">
        <v>0</v>
      </c>
      <c r="AJ439" s="9">
        <v>0</v>
      </c>
      <c r="AK439" s="9">
        <v>0</v>
      </c>
      <c r="AL439" s="10">
        <v>0</v>
      </c>
      <c r="AM439" s="9">
        <v>0</v>
      </c>
      <c r="AN439" s="10">
        <v>0</v>
      </c>
      <c r="AO439" s="9">
        <v>0</v>
      </c>
      <c r="AP439" s="10">
        <v>0</v>
      </c>
      <c r="AQ439" s="9">
        <v>0</v>
      </c>
      <c r="AR439" s="9">
        <v>0</v>
      </c>
      <c r="AS439" s="9">
        <v>0</v>
      </c>
      <c r="AT439" s="5">
        <f t="shared" si="33"/>
        <v>0</v>
      </c>
      <c r="AU439" s="36">
        <f t="shared" si="34"/>
        <v>0</v>
      </c>
      <c r="AV439" s="9">
        <v>0</v>
      </c>
      <c r="AW439" s="9">
        <v>0</v>
      </c>
      <c r="AX439" s="9">
        <v>0</v>
      </c>
      <c r="AY439" s="9">
        <v>0</v>
      </c>
      <c r="AZ439" s="9">
        <v>0</v>
      </c>
      <c r="BA439" s="9">
        <v>0</v>
      </c>
      <c r="BB439" s="9">
        <v>0</v>
      </c>
      <c r="BC439" s="9">
        <v>0</v>
      </c>
      <c r="BD439" s="9">
        <v>0</v>
      </c>
      <c r="BE439" s="9">
        <v>0</v>
      </c>
      <c r="BF439" s="9">
        <v>0</v>
      </c>
      <c r="BG439" s="9">
        <v>0</v>
      </c>
      <c r="BH439" s="9">
        <v>0</v>
      </c>
      <c r="BI439" s="9">
        <v>0</v>
      </c>
      <c r="BJ439" s="51">
        <v>0</v>
      </c>
      <c r="BK439" s="9">
        <v>0</v>
      </c>
      <c r="BL439" s="9">
        <v>0</v>
      </c>
      <c r="BM439" s="9">
        <v>0</v>
      </c>
      <c r="BN439" s="9">
        <v>0</v>
      </c>
    </row>
    <row r="440" spans="1:66" x14ac:dyDescent="0.25">
      <c r="A440" s="30" t="s">
        <v>612</v>
      </c>
      <c r="B440" s="13" t="s">
        <v>625</v>
      </c>
      <c r="C440" s="13" t="s">
        <v>625</v>
      </c>
      <c r="D440" s="14">
        <v>10475549302751</v>
      </c>
      <c r="E440" s="14">
        <v>649089611272</v>
      </c>
      <c r="F440" s="14">
        <v>1858000000</v>
      </c>
      <c r="G440" s="14">
        <v>1226122200</v>
      </c>
      <c r="H440" s="14">
        <v>11127723036223</v>
      </c>
      <c r="I440" s="14">
        <v>888200194486</v>
      </c>
      <c r="J440" s="14">
        <v>55236411812</v>
      </c>
      <c r="K440" s="14">
        <v>10184286429925</v>
      </c>
      <c r="L440" s="14">
        <v>7634457363077</v>
      </c>
      <c r="M440" s="14">
        <f t="shared" si="30"/>
        <v>3493265673146</v>
      </c>
      <c r="N440" s="41">
        <f t="shared" si="31"/>
        <v>45.756567978762938</v>
      </c>
      <c r="O440" s="14">
        <v>15615672185027</v>
      </c>
      <c r="P440" s="41">
        <v>171.41</v>
      </c>
      <c r="Q440" s="15">
        <v>153.33000000000001</v>
      </c>
      <c r="R440" s="15">
        <v>5.96</v>
      </c>
      <c r="S440" s="14">
        <v>16281067486011</v>
      </c>
      <c r="T440" s="14">
        <v>1093085068412</v>
      </c>
      <c r="U440" s="14">
        <v>406869008007</v>
      </c>
      <c r="V440" s="14">
        <v>325226791170</v>
      </c>
      <c r="W440" s="14">
        <v>360989269235</v>
      </c>
      <c r="X440" s="14">
        <v>17374152554423</v>
      </c>
      <c r="Y440" s="14">
        <v>44084887188</v>
      </c>
      <c r="Z440" s="14">
        <v>1431398907502</v>
      </c>
      <c r="AA440" s="14">
        <v>267989289508</v>
      </c>
      <c r="AB440" s="14">
        <v>19073540751433</v>
      </c>
      <c r="AC440" s="14">
        <v>13069736443398</v>
      </c>
      <c r="AD440" s="41">
        <f t="shared" si="32"/>
        <v>32.934222734072939</v>
      </c>
      <c r="AE440" s="14">
        <v>9616631508556</v>
      </c>
      <c r="AF440" s="14">
        <v>8904213689096</v>
      </c>
      <c r="AG440" s="14">
        <v>325792197465</v>
      </c>
      <c r="AH440" s="14">
        <v>11638934111</v>
      </c>
      <c r="AI440" s="14">
        <v>5103817639</v>
      </c>
      <c r="AJ440" s="14">
        <v>0</v>
      </c>
      <c r="AK440" s="14">
        <v>0</v>
      </c>
      <c r="AL440" s="15">
        <v>3</v>
      </c>
      <c r="AM440" s="14">
        <v>145625563341</v>
      </c>
      <c r="AN440" s="15">
        <v>463</v>
      </c>
      <c r="AO440" s="14">
        <v>4738080065472</v>
      </c>
      <c r="AP440" s="15">
        <v>304</v>
      </c>
      <c r="AQ440" s="14">
        <v>1444202740070</v>
      </c>
      <c r="AR440" s="14">
        <v>1093085068412</v>
      </c>
      <c r="AS440" s="14">
        <v>755279658385</v>
      </c>
      <c r="AT440" s="14">
        <f t="shared" si="33"/>
        <v>337805410027</v>
      </c>
      <c r="AU440" s="41">
        <f t="shared" si="34"/>
        <v>44.725871573096889</v>
      </c>
      <c r="AV440" s="14">
        <v>5335304626813</v>
      </c>
      <c r="AW440" s="14">
        <v>1886011169256</v>
      </c>
      <c r="AX440" s="14">
        <v>1473873560297</v>
      </c>
      <c r="AY440" s="14">
        <v>2369787049424</v>
      </c>
      <c r="AZ440" s="14">
        <v>2485141547151</v>
      </c>
      <c r="BA440" s="14">
        <v>4738240122975</v>
      </c>
      <c r="BB440" s="14">
        <v>1726180123517</v>
      </c>
      <c r="BC440" s="14">
        <v>11127723036223</v>
      </c>
      <c r="BD440" s="14">
        <v>4331796033092</v>
      </c>
      <c r="BE440" s="14">
        <v>2486989547151</v>
      </c>
      <c r="BF440" s="14">
        <v>4308937455980</v>
      </c>
      <c r="BG440" s="14">
        <v>5889959293850</v>
      </c>
      <c r="BH440" s="14">
        <v>3726672214706</v>
      </c>
      <c r="BI440" s="14">
        <v>0</v>
      </c>
      <c r="BJ440" s="49">
        <v>77873846470</v>
      </c>
      <c r="BK440" s="14">
        <v>251831987865</v>
      </c>
      <c r="BL440" s="14">
        <v>567622570</v>
      </c>
      <c r="BM440" s="14">
        <v>0</v>
      </c>
      <c r="BN440" s="14">
        <v>11063775423</v>
      </c>
    </row>
    <row r="441" spans="1:66" x14ac:dyDescent="0.25">
      <c r="A441" s="17" t="s">
        <v>613</v>
      </c>
      <c r="B441" s="8">
        <v>2700</v>
      </c>
      <c r="C441" s="8" t="s">
        <v>459</v>
      </c>
      <c r="D441" s="9">
        <v>1102388948013</v>
      </c>
      <c r="E441" s="9">
        <v>117149081300</v>
      </c>
      <c r="F441" s="9">
        <v>12164600000</v>
      </c>
      <c r="G441" s="9">
        <v>408707400</v>
      </c>
      <c r="H441" s="9">
        <v>1232111336713</v>
      </c>
      <c r="I441" s="9">
        <v>111182621955</v>
      </c>
      <c r="J441" s="9">
        <v>58639588604</v>
      </c>
      <c r="K441" s="9">
        <v>1062289126154</v>
      </c>
      <c r="L441" s="9">
        <v>1020120695958</v>
      </c>
      <c r="M441" s="5">
        <f t="shared" si="30"/>
        <v>211990640755</v>
      </c>
      <c r="N441" s="36">
        <f t="shared" si="31"/>
        <v>20.780937157236931</v>
      </c>
      <c r="O441" s="9">
        <v>4459614618407</v>
      </c>
      <c r="P441" s="36">
        <v>513.25</v>
      </c>
      <c r="Q441" s="10">
        <v>419.81</v>
      </c>
      <c r="R441" s="10">
        <v>2.68</v>
      </c>
      <c r="S441" s="9">
        <v>5987901862617</v>
      </c>
      <c r="T441" s="9">
        <v>168150451115</v>
      </c>
      <c r="U441" s="9">
        <v>65878390987</v>
      </c>
      <c r="V441" s="9">
        <v>94998409078</v>
      </c>
      <c r="W441" s="9">
        <v>7273651050</v>
      </c>
      <c r="X441" s="9">
        <v>6156052313732</v>
      </c>
      <c r="Y441" s="5">
        <v>1328630204</v>
      </c>
      <c r="Z441" s="9">
        <v>156829368205</v>
      </c>
      <c r="AA441" s="9">
        <v>10901075000</v>
      </c>
      <c r="AB441" s="9">
        <v>6323782756937</v>
      </c>
      <c r="AC441" s="9">
        <v>4205604640628</v>
      </c>
      <c r="AD441" s="36">
        <f t="shared" si="32"/>
        <v>46.377342612327681</v>
      </c>
      <c r="AE441" s="9">
        <v>2855421173147</v>
      </c>
      <c r="AF441" s="9">
        <v>2761413411232</v>
      </c>
      <c r="AG441" s="9">
        <v>0</v>
      </c>
      <c r="AH441" s="9">
        <v>0</v>
      </c>
      <c r="AI441" s="9">
        <v>0</v>
      </c>
      <c r="AJ441" s="9">
        <v>0</v>
      </c>
      <c r="AK441" s="9">
        <v>0</v>
      </c>
      <c r="AL441" s="10">
        <v>0</v>
      </c>
      <c r="AM441" s="9">
        <v>0</v>
      </c>
      <c r="AN441" s="10">
        <v>43</v>
      </c>
      <c r="AO441" s="9">
        <v>225862952778</v>
      </c>
      <c r="AP441" s="10">
        <v>49</v>
      </c>
      <c r="AQ441" s="9">
        <v>192964228248</v>
      </c>
      <c r="AR441" s="9">
        <v>168150451115</v>
      </c>
      <c r="AS441" s="9">
        <v>153864289720</v>
      </c>
      <c r="AT441" s="5">
        <f t="shared" si="33"/>
        <v>14286161395</v>
      </c>
      <c r="AU441" s="36">
        <f t="shared" si="34"/>
        <v>9.2849103719893353</v>
      </c>
      <c r="AV441" s="9">
        <v>1366832141406</v>
      </c>
      <c r="AW441" s="9">
        <v>302194056414</v>
      </c>
      <c r="AX441" s="9">
        <v>256705273375</v>
      </c>
      <c r="AY441" s="9">
        <v>538157318979</v>
      </c>
      <c r="AZ441" s="9">
        <v>180736355659</v>
      </c>
      <c r="BA441" s="9">
        <v>270471836956</v>
      </c>
      <c r="BB441" s="9">
        <v>101988051976</v>
      </c>
      <c r="BC441" s="9">
        <v>1232111336713</v>
      </c>
      <c r="BD441" s="9">
        <v>817189691728</v>
      </c>
      <c r="BE441" s="9">
        <v>192751255659</v>
      </c>
      <c r="BF441" s="9">
        <v>222170389326</v>
      </c>
      <c r="BG441" s="9">
        <v>1931601859187</v>
      </c>
      <c r="BH441" s="9">
        <v>923819313960</v>
      </c>
      <c r="BI441" s="9">
        <v>0</v>
      </c>
      <c r="BJ441" s="51">
        <v>0</v>
      </c>
      <c r="BK441" s="9">
        <v>0</v>
      </c>
      <c r="BL441" s="9">
        <v>0</v>
      </c>
      <c r="BM441" s="9">
        <v>0</v>
      </c>
      <c r="BN441" s="9">
        <v>0</v>
      </c>
    </row>
    <row r="442" spans="1:66" x14ac:dyDescent="0.25">
      <c r="A442" s="17" t="s">
        <v>613</v>
      </c>
      <c r="B442" s="4">
        <v>2701</v>
      </c>
      <c r="C442" s="4" t="s">
        <v>460</v>
      </c>
      <c r="D442" s="5">
        <v>1603233689384</v>
      </c>
      <c r="E442" s="5">
        <v>10592449592</v>
      </c>
      <c r="F442" s="5">
        <v>0</v>
      </c>
      <c r="G442" s="5">
        <v>0</v>
      </c>
      <c r="H442" s="5">
        <v>1613826138976</v>
      </c>
      <c r="I442" s="5">
        <v>121090908542</v>
      </c>
      <c r="J442" s="5">
        <v>3564943654</v>
      </c>
      <c r="K442" s="5">
        <v>1489170286780</v>
      </c>
      <c r="L442" s="5">
        <v>1021376737702</v>
      </c>
      <c r="M442" s="5">
        <f t="shared" si="30"/>
        <v>592449401274</v>
      </c>
      <c r="N442" s="36">
        <f t="shared" si="31"/>
        <v>58.004982824158937</v>
      </c>
      <c r="O442" s="5">
        <v>2316278363929</v>
      </c>
      <c r="P442" s="36">
        <v>162.82</v>
      </c>
      <c r="Q442" s="6">
        <v>155.54</v>
      </c>
      <c r="R442" s="6">
        <v>8.7100000000000009</v>
      </c>
      <c r="S442" s="5">
        <v>2157892516119</v>
      </c>
      <c r="T442" s="5">
        <v>216663710818</v>
      </c>
      <c r="U442" s="5">
        <v>91263457931</v>
      </c>
      <c r="V442" s="5">
        <v>94524558839</v>
      </c>
      <c r="W442" s="5">
        <v>30875694048</v>
      </c>
      <c r="X442" s="5">
        <v>2374556226937</v>
      </c>
      <c r="Y442" s="5">
        <v>12187430290</v>
      </c>
      <c r="Z442" s="5">
        <v>247935441937</v>
      </c>
      <c r="AA442" s="5">
        <v>5148500000</v>
      </c>
      <c r="AB442" s="5">
        <v>2627640168874</v>
      </c>
      <c r="AC442" s="5">
        <v>1974575880625</v>
      </c>
      <c r="AD442" s="36">
        <f t="shared" si="32"/>
        <v>20.256519399264452</v>
      </c>
      <c r="AE442" s="5">
        <v>1174259327465</v>
      </c>
      <c r="AF442" s="5">
        <v>1164840038425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6">
        <v>0</v>
      </c>
      <c r="AM442" s="5">
        <v>0</v>
      </c>
      <c r="AN442" s="6">
        <v>7</v>
      </c>
      <c r="AO442" s="5">
        <v>22106000000</v>
      </c>
      <c r="AP442" s="6">
        <v>13</v>
      </c>
      <c r="AQ442" s="5">
        <v>9764865990</v>
      </c>
      <c r="AR442" s="5">
        <v>216663710818</v>
      </c>
      <c r="AS442" s="5">
        <v>239592558897</v>
      </c>
      <c r="AT442" s="5">
        <f t="shared" si="33"/>
        <v>-22928848079</v>
      </c>
      <c r="AU442" s="36">
        <f t="shared" si="34"/>
        <v>-9.569933300331348</v>
      </c>
      <c r="AV442" s="5">
        <v>710117845442</v>
      </c>
      <c r="AW442" s="5">
        <v>275286111927</v>
      </c>
      <c r="AX442" s="5">
        <v>533304648610</v>
      </c>
      <c r="AY442" s="5">
        <v>678895439512</v>
      </c>
      <c r="AZ442" s="5">
        <v>299262601262</v>
      </c>
      <c r="BA442" s="5">
        <v>134811355092</v>
      </c>
      <c r="BB442" s="5">
        <v>241315423648</v>
      </c>
      <c r="BC442" s="5">
        <v>1613826138976</v>
      </c>
      <c r="BD442" s="5">
        <v>1222792537714</v>
      </c>
      <c r="BE442" s="5">
        <v>299262601262</v>
      </c>
      <c r="BF442" s="5">
        <v>91771000000</v>
      </c>
      <c r="BG442" s="5">
        <v>848461216393</v>
      </c>
      <c r="BH442" s="5">
        <v>325798111072</v>
      </c>
      <c r="BI442" s="5">
        <v>0</v>
      </c>
      <c r="BJ442" s="48">
        <v>0</v>
      </c>
      <c r="BK442" s="5">
        <v>0</v>
      </c>
      <c r="BL442" s="5">
        <v>0</v>
      </c>
      <c r="BM442" s="5">
        <v>0</v>
      </c>
      <c r="BN442" s="5">
        <v>0</v>
      </c>
    </row>
    <row r="443" spans="1:66" x14ac:dyDescent="0.25">
      <c r="A443" s="17" t="s">
        <v>613</v>
      </c>
      <c r="B443" s="4">
        <v>2702</v>
      </c>
      <c r="C443" s="4" t="s">
        <v>461</v>
      </c>
      <c r="D443" s="5">
        <v>1033995348621</v>
      </c>
      <c r="E443" s="5">
        <v>22434717583</v>
      </c>
      <c r="F443" s="5">
        <v>0</v>
      </c>
      <c r="G443" s="5">
        <v>0</v>
      </c>
      <c r="H443" s="5">
        <v>1056430066204</v>
      </c>
      <c r="I443" s="5">
        <v>88413710304</v>
      </c>
      <c r="J443" s="5">
        <v>1383891820</v>
      </c>
      <c r="K443" s="5">
        <v>966632464080</v>
      </c>
      <c r="L443" s="5">
        <v>659882729998</v>
      </c>
      <c r="M443" s="5">
        <f t="shared" si="30"/>
        <v>396547336206</v>
      </c>
      <c r="N443" s="36">
        <f t="shared" si="31"/>
        <v>60.093607269764718</v>
      </c>
      <c r="O443" s="5">
        <v>1865308435985</v>
      </c>
      <c r="P443" s="36">
        <v>207.2</v>
      </c>
      <c r="Q443" s="6">
        <v>192.97</v>
      </c>
      <c r="R443" s="6">
        <v>6.89</v>
      </c>
      <c r="S443" s="5">
        <v>1927033534819</v>
      </c>
      <c r="T443" s="5">
        <v>148310151217</v>
      </c>
      <c r="U443" s="5">
        <v>45313201941</v>
      </c>
      <c r="V443" s="5">
        <v>94734651711</v>
      </c>
      <c r="W443" s="5">
        <v>8262297565</v>
      </c>
      <c r="X443" s="5">
        <v>2075343686036</v>
      </c>
      <c r="Y443" s="5">
        <v>2508803001</v>
      </c>
      <c r="Z443" s="5">
        <v>106311123671</v>
      </c>
      <c r="AA443" s="5">
        <v>7300000000</v>
      </c>
      <c r="AB443" s="5">
        <v>2188954809707</v>
      </c>
      <c r="AC443" s="5">
        <v>1898703637842</v>
      </c>
      <c r="AD443" s="36">
        <f t="shared" si="32"/>
        <v>9.3031921714103252</v>
      </c>
      <c r="AE443" s="5">
        <v>786302306725</v>
      </c>
      <c r="AF443" s="5">
        <v>786302306725</v>
      </c>
      <c r="AG443" s="5">
        <v>0</v>
      </c>
      <c r="AH443" s="5">
        <v>3932160000</v>
      </c>
      <c r="AI443" s="5">
        <v>0</v>
      </c>
      <c r="AJ443" s="5">
        <v>0</v>
      </c>
      <c r="AK443" s="5">
        <v>0</v>
      </c>
      <c r="AL443" s="6">
        <v>0</v>
      </c>
      <c r="AM443" s="5">
        <v>0</v>
      </c>
      <c r="AN443" s="6">
        <v>27</v>
      </c>
      <c r="AO443" s="5">
        <v>231769131860</v>
      </c>
      <c r="AP443" s="6">
        <v>24</v>
      </c>
      <c r="AQ443" s="5">
        <v>65830474891</v>
      </c>
      <c r="AR443" s="5">
        <v>148310151217</v>
      </c>
      <c r="AS443" s="5">
        <v>41941942839</v>
      </c>
      <c r="AT443" s="5">
        <f t="shared" si="33"/>
        <v>106368208378</v>
      </c>
      <c r="AU443" s="36">
        <f t="shared" si="34"/>
        <v>253.60820500449685</v>
      </c>
      <c r="AV443" s="5">
        <v>556481685490</v>
      </c>
      <c r="AW443" s="5">
        <v>312363862262</v>
      </c>
      <c r="AX443" s="5">
        <v>284209536376</v>
      </c>
      <c r="AY443" s="5">
        <v>186104703609</v>
      </c>
      <c r="AZ443" s="5">
        <v>280711108636</v>
      </c>
      <c r="BA443" s="5">
        <v>322884559804</v>
      </c>
      <c r="BB443" s="5">
        <v>187865369506</v>
      </c>
      <c r="BC443" s="5">
        <v>1056430066204</v>
      </c>
      <c r="BD443" s="5">
        <v>492748957568</v>
      </c>
      <c r="BE443" s="5">
        <v>280711108636</v>
      </c>
      <c r="BF443" s="5">
        <v>282970000000</v>
      </c>
      <c r="BG443" s="5">
        <v>471375709720</v>
      </c>
      <c r="BH443" s="5">
        <v>314926597005</v>
      </c>
      <c r="BI443" s="5">
        <v>0</v>
      </c>
      <c r="BJ443" s="48">
        <v>0</v>
      </c>
      <c r="BK443" s="5">
        <v>0</v>
      </c>
      <c r="BL443" s="5">
        <v>0</v>
      </c>
      <c r="BM443" s="5">
        <v>0</v>
      </c>
      <c r="BN443" s="5">
        <v>3932160000</v>
      </c>
    </row>
    <row r="444" spans="1:66" x14ac:dyDescent="0.25">
      <c r="A444" s="17" t="s">
        <v>613</v>
      </c>
      <c r="B444" s="4">
        <v>2703</v>
      </c>
      <c r="C444" s="4" t="s">
        <v>462</v>
      </c>
      <c r="D444" s="5">
        <v>2506165600854</v>
      </c>
      <c r="E444" s="5">
        <v>18527077515</v>
      </c>
      <c r="F444" s="5">
        <v>0</v>
      </c>
      <c r="G444" s="5">
        <v>0</v>
      </c>
      <c r="H444" s="5">
        <v>2524692678369</v>
      </c>
      <c r="I444" s="5">
        <v>235669216840</v>
      </c>
      <c r="J444" s="5">
        <v>8800178929</v>
      </c>
      <c r="K444" s="5">
        <v>2280223282600</v>
      </c>
      <c r="L444" s="5">
        <v>2097858528150</v>
      </c>
      <c r="M444" s="5">
        <f t="shared" si="30"/>
        <v>426834150219</v>
      </c>
      <c r="N444" s="36">
        <f t="shared" si="31"/>
        <v>20.346183715038421</v>
      </c>
      <c r="O444" s="5">
        <v>2128956313071</v>
      </c>
      <c r="P444" s="36">
        <v>91.35</v>
      </c>
      <c r="Q444" s="6">
        <v>93.37</v>
      </c>
      <c r="R444" s="6">
        <v>3.39</v>
      </c>
      <c r="S444" s="5">
        <v>2175520689615</v>
      </c>
      <c r="T444" s="5">
        <v>77527199974</v>
      </c>
      <c r="U444" s="5">
        <v>54703605230</v>
      </c>
      <c r="V444" s="5">
        <v>19469114904</v>
      </c>
      <c r="W444" s="5">
        <v>3354479840</v>
      </c>
      <c r="X444" s="5">
        <v>2253047889589</v>
      </c>
      <c r="Y444" s="5">
        <v>665319139</v>
      </c>
      <c r="Z444" s="5">
        <v>34591965033</v>
      </c>
      <c r="AA444" s="5">
        <v>18681850832</v>
      </c>
      <c r="AB444" s="5">
        <v>2306321705454</v>
      </c>
      <c r="AC444" s="5">
        <v>1636464994178</v>
      </c>
      <c r="AD444" s="36">
        <f t="shared" si="32"/>
        <v>37.677732038546353</v>
      </c>
      <c r="AE444" s="5">
        <v>1380918716883</v>
      </c>
      <c r="AF444" s="5">
        <v>1380918716883</v>
      </c>
      <c r="AG444" s="5">
        <v>0</v>
      </c>
      <c r="AH444" s="5">
        <v>20250000</v>
      </c>
      <c r="AI444" s="5">
        <v>0</v>
      </c>
      <c r="AJ444" s="5">
        <v>0</v>
      </c>
      <c r="AK444" s="5">
        <v>0</v>
      </c>
      <c r="AL444" s="6">
        <v>0</v>
      </c>
      <c r="AM444" s="5">
        <v>0</v>
      </c>
      <c r="AN444" s="6">
        <v>7</v>
      </c>
      <c r="AO444" s="5">
        <v>57550000000</v>
      </c>
      <c r="AP444" s="6">
        <v>13</v>
      </c>
      <c r="AQ444" s="5">
        <v>51848000000</v>
      </c>
      <c r="AR444" s="5">
        <v>77527199974</v>
      </c>
      <c r="AS444" s="5">
        <v>24582081021</v>
      </c>
      <c r="AT444" s="5">
        <f t="shared" si="33"/>
        <v>52945118953</v>
      </c>
      <c r="AU444" s="36">
        <f t="shared" si="34"/>
        <v>215.38094723457303</v>
      </c>
      <c r="AV444" s="5">
        <v>781414003892</v>
      </c>
      <c r="AW444" s="5">
        <v>208787711282</v>
      </c>
      <c r="AX444" s="5">
        <v>249397647917</v>
      </c>
      <c r="AY444" s="5">
        <v>1654712900575</v>
      </c>
      <c r="AZ444" s="5">
        <v>402345052362</v>
      </c>
      <c r="BA444" s="5">
        <v>321004131952</v>
      </c>
      <c r="BB444" s="5">
        <v>379610344329</v>
      </c>
      <c r="BC444" s="5">
        <v>2524692678369</v>
      </c>
      <c r="BD444" s="5">
        <v>1922637626007</v>
      </c>
      <c r="BE444" s="5">
        <v>402345052362</v>
      </c>
      <c r="BF444" s="5">
        <v>199710000000</v>
      </c>
      <c r="BG444" s="5">
        <v>1011881481595</v>
      </c>
      <c r="BH444" s="5">
        <v>369037235288</v>
      </c>
      <c r="BI444" s="5">
        <v>0</v>
      </c>
      <c r="BJ444" s="48">
        <v>0</v>
      </c>
      <c r="BK444" s="5">
        <v>0</v>
      </c>
      <c r="BL444" s="5">
        <v>0</v>
      </c>
      <c r="BM444" s="5">
        <v>0</v>
      </c>
      <c r="BN444" s="5">
        <v>20250000</v>
      </c>
    </row>
    <row r="445" spans="1:66" x14ac:dyDescent="0.25">
      <c r="A445" s="17" t="s">
        <v>613</v>
      </c>
      <c r="B445" s="4">
        <v>2704</v>
      </c>
      <c r="C445" s="4" t="s">
        <v>463</v>
      </c>
      <c r="D445" s="5">
        <v>1034717620365</v>
      </c>
      <c r="E445" s="5">
        <v>3584102952</v>
      </c>
      <c r="F445" s="5">
        <v>0</v>
      </c>
      <c r="G445" s="5">
        <v>0</v>
      </c>
      <c r="H445" s="5">
        <v>1038301723317</v>
      </c>
      <c r="I445" s="5">
        <v>99862703855</v>
      </c>
      <c r="J445" s="5">
        <v>4447037220</v>
      </c>
      <c r="K445" s="5">
        <v>933991982242</v>
      </c>
      <c r="L445" s="5">
        <v>797734370756</v>
      </c>
      <c r="M445" s="5">
        <f t="shared" si="30"/>
        <v>240567352561</v>
      </c>
      <c r="N445" s="36">
        <f t="shared" si="31"/>
        <v>30.156322878882381</v>
      </c>
      <c r="O445" s="5">
        <v>1303790113593</v>
      </c>
      <c r="P445" s="36">
        <v>152.13999999999999</v>
      </c>
      <c r="Q445" s="6">
        <v>139.59</v>
      </c>
      <c r="R445" s="6">
        <v>6.09</v>
      </c>
      <c r="S445" s="5">
        <v>1384387377093</v>
      </c>
      <c r="T445" s="5">
        <v>92023446293</v>
      </c>
      <c r="U445" s="5">
        <v>37772692656</v>
      </c>
      <c r="V445" s="5">
        <v>47947726958</v>
      </c>
      <c r="W445" s="5">
        <v>6303026679</v>
      </c>
      <c r="X445" s="5">
        <v>1476410823386</v>
      </c>
      <c r="Y445" s="5">
        <v>4250999169</v>
      </c>
      <c r="Z445" s="5">
        <v>87046879535</v>
      </c>
      <c r="AA445" s="5">
        <v>16166440800</v>
      </c>
      <c r="AB445" s="5">
        <v>1579624143721</v>
      </c>
      <c r="AC445" s="5">
        <v>1192762475791</v>
      </c>
      <c r="AD445" s="36">
        <f t="shared" si="32"/>
        <v>23.780790673088031</v>
      </c>
      <c r="AE445" s="5">
        <v>679432682621</v>
      </c>
      <c r="AF445" s="5">
        <v>679432682621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6">
        <v>0</v>
      </c>
      <c r="AM445" s="5">
        <v>0</v>
      </c>
      <c r="AN445" s="6">
        <v>1</v>
      </c>
      <c r="AO445" s="5">
        <v>300000000</v>
      </c>
      <c r="AP445" s="6">
        <v>3</v>
      </c>
      <c r="AQ445" s="5">
        <v>8720633278</v>
      </c>
      <c r="AR445" s="5">
        <v>92023446293</v>
      </c>
      <c r="AS445" s="5">
        <v>24202835930</v>
      </c>
      <c r="AT445" s="5">
        <f t="shared" si="33"/>
        <v>67820610363</v>
      </c>
      <c r="AU445" s="36">
        <f t="shared" si="34"/>
        <v>280.21761813017423</v>
      </c>
      <c r="AV445" s="5">
        <v>420348427428</v>
      </c>
      <c r="AW445" s="5">
        <v>128799281619</v>
      </c>
      <c r="AX445" s="5">
        <v>27503588341</v>
      </c>
      <c r="AY445" s="5">
        <v>316522305143</v>
      </c>
      <c r="AZ445" s="5">
        <v>186246726881</v>
      </c>
      <c r="BA445" s="5">
        <v>593208667188</v>
      </c>
      <c r="BB445" s="5">
        <v>118149862027</v>
      </c>
      <c r="BC445" s="5">
        <v>1038301723317</v>
      </c>
      <c r="BD445" s="5">
        <v>347609996436</v>
      </c>
      <c r="BE445" s="5">
        <v>186246726881</v>
      </c>
      <c r="BF445" s="5">
        <v>504445000000</v>
      </c>
      <c r="BG445" s="5">
        <v>497151070292</v>
      </c>
      <c r="BH445" s="5">
        <v>182281612329</v>
      </c>
      <c r="BI445" s="5">
        <v>0</v>
      </c>
      <c r="BJ445" s="48">
        <v>0</v>
      </c>
      <c r="BK445" s="5">
        <v>0</v>
      </c>
      <c r="BL445" s="5">
        <v>0</v>
      </c>
      <c r="BM445" s="5">
        <v>0</v>
      </c>
      <c r="BN445" s="5">
        <v>0</v>
      </c>
    </row>
    <row r="446" spans="1:66" x14ac:dyDescent="0.25">
      <c r="A446" s="17" t="s">
        <v>613</v>
      </c>
      <c r="B446" s="4">
        <v>2705</v>
      </c>
      <c r="C446" s="4" t="s">
        <v>464</v>
      </c>
      <c r="D446" s="5">
        <v>921990814701</v>
      </c>
      <c r="E446" s="5">
        <v>4902242858</v>
      </c>
      <c r="F446" s="5">
        <v>0</v>
      </c>
      <c r="G446" s="5">
        <v>0</v>
      </c>
      <c r="H446" s="5">
        <v>926893057559</v>
      </c>
      <c r="I446" s="5">
        <v>66492059926</v>
      </c>
      <c r="J446" s="5">
        <v>1924928273</v>
      </c>
      <c r="K446" s="5">
        <v>858476069360</v>
      </c>
      <c r="L446" s="5">
        <v>500972931517</v>
      </c>
      <c r="M446" s="5">
        <f t="shared" si="30"/>
        <v>425920126042</v>
      </c>
      <c r="N446" s="36">
        <f t="shared" si="31"/>
        <v>85.018590675601573</v>
      </c>
      <c r="O446" s="5">
        <v>1085444788726</v>
      </c>
      <c r="P446" s="36">
        <v>127.62</v>
      </c>
      <c r="Q446" s="6">
        <v>126.44</v>
      </c>
      <c r="R446" s="6">
        <v>6.13</v>
      </c>
      <c r="S446" s="5">
        <v>1040863844366</v>
      </c>
      <c r="T446" s="5">
        <v>71468713466</v>
      </c>
      <c r="U446" s="5">
        <v>31844979563</v>
      </c>
      <c r="V446" s="5">
        <v>28202800330</v>
      </c>
      <c r="W446" s="5">
        <v>11420933573</v>
      </c>
      <c r="X446" s="5">
        <v>1112332557832</v>
      </c>
      <c r="Y446" s="5">
        <v>1020737024</v>
      </c>
      <c r="Z446" s="5">
        <v>50792681697</v>
      </c>
      <c r="AA446" s="5">
        <v>19762172000</v>
      </c>
      <c r="AB446" s="5">
        <v>1182887411529</v>
      </c>
      <c r="AC446" s="5">
        <v>974617566793</v>
      </c>
      <c r="AD446" s="36">
        <f t="shared" si="32"/>
        <v>14.130156866775359</v>
      </c>
      <c r="AE446" s="5">
        <v>515424081810</v>
      </c>
      <c r="AF446" s="5">
        <v>515424081810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6">
        <v>0</v>
      </c>
      <c r="AM446" s="5">
        <v>0</v>
      </c>
      <c r="AN446" s="6">
        <v>4</v>
      </c>
      <c r="AO446" s="5">
        <v>2135200000</v>
      </c>
      <c r="AP446" s="6">
        <v>2</v>
      </c>
      <c r="AQ446" s="5">
        <v>2013000000</v>
      </c>
      <c r="AR446" s="5">
        <v>71468713466</v>
      </c>
      <c r="AS446" s="5">
        <v>62036831584</v>
      </c>
      <c r="AT446" s="5">
        <f t="shared" si="33"/>
        <v>9431881882</v>
      </c>
      <c r="AU446" s="36">
        <f t="shared" si="34"/>
        <v>15.203680847608906</v>
      </c>
      <c r="AV446" s="5">
        <v>385606441794</v>
      </c>
      <c r="AW446" s="5">
        <v>165817932657</v>
      </c>
      <c r="AX446" s="5">
        <v>501879575556</v>
      </c>
      <c r="AY446" s="5">
        <v>207651977236</v>
      </c>
      <c r="AZ446" s="5">
        <v>90004261909</v>
      </c>
      <c r="BA446" s="5">
        <v>159399328316</v>
      </c>
      <c r="BB446" s="5">
        <v>76616425477</v>
      </c>
      <c r="BC446" s="5">
        <v>926893057559</v>
      </c>
      <c r="BD446" s="5">
        <v>714433795650</v>
      </c>
      <c r="BE446" s="5">
        <v>90004261909</v>
      </c>
      <c r="BF446" s="5">
        <v>122455000000</v>
      </c>
      <c r="BG446" s="5">
        <v>372085307000</v>
      </c>
      <c r="BH446" s="5">
        <v>143338774810</v>
      </c>
      <c r="BI446" s="5">
        <v>0</v>
      </c>
      <c r="BJ446" s="48">
        <v>0</v>
      </c>
      <c r="BK446" s="5">
        <v>0</v>
      </c>
      <c r="BL446" s="5">
        <v>0</v>
      </c>
      <c r="BM446" s="5">
        <v>0</v>
      </c>
      <c r="BN446" s="5">
        <v>0</v>
      </c>
    </row>
    <row r="447" spans="1:66" x14ac:dyDescent="0.25">
      <c r="A447" s="17" t="s">
        <v>613</v>
      </c>
      <c r="B447" s="4">
        <v>2706</v>
      </c>
      <c r="C447" s="4" t="s">
        <v>465</v>
      </c>
      <c r="D447" s="5">
        <v>699618187980</v>
      </c>
      <c r="E447" s="5">
        <v>3062608757</v>
      </c>
      <c r="F447" s="5">
        <v>0</v>
      </c>
      <c r="G447" s="5">
        <v>0</v>
      </c>
      <c r="H447" s="5">
        <v>702680796737</v>
      </c>
      <c r="I447" s="5">
        <v>55558441673</v>
      </c>
      <c r="J447" s="5">
        <v>7337558175</v>
      </c>
      <c r="K447" s="5">
        <v>639784796889</v>
      </c>
      <c r="L447" s="5">
        <v>622469378083</v>
      </c>
      <c r="M447" s="5">
        <f t="shared" si="30"/>
        <v>80211418654</v>
      </c>
      <c r="N447" s="36">
        <f t="shared" si="31"/>
        <v>12.886002344569089</v>
      </c>
      <c r="O447" s="5">
        <v>1044516253374</v>
      </c>
      <c r="P447" s="36">
        <v>169.98</v>
      </c>
      <c r="Q447" s="6">
        <v>163.26</v>
      </c>
      <c r="R447" s="6">
        <v>4.42</v>
      </c>
      <c r="S447" s="5">
        <v>1052728187535</v>
      </c>
      <c r="T447" s="5">
        <v>52531417031</v>
      </c>
      <c r="U447" s="5">
        <v>42886906410</v>
      </c>
      <c r="V447" s="5">
        <v>9644510621</v>
      </c>
      <c r="W447" s="5">
        <v>0</v>
      </c>
      <c r="X447" s="5">
        <v>1105259604566</v>
      </c>
      <c r="Y447" s="5">
        <v>268397633</v>
      </c>
      <c r="Z447" s="5">
        <v>73538883455</v>
      </c>
      <c r="AA447" s="5">
        <v>15630000000</v>
      </c>
      <c r="AB447" s="5">
        <v>1194428488021</v>
      </c>
      <c r="AC447" s="5">
        <v>945628251570</v>
      </c>
      <c r="AD447" s="36">
        <f t="shared" si="32"/>
        <v>16.88098391000571</v>
      </c>
      <c r="AE447" s="5">
        <v>544222022027</v>
      </c>
      <c r="AF447" s="5">
        <v>535758483836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6">
        <v>0</v>
      </c>
      <c r="AM447" s="5">
        <v>0</v>
      </c>
      <c r="AN447" s="6">
        <v>0</v>
      </c>
      <c r="AO447" s="5">
        <v>0</v>
      </c>
      <c r="AP447" s="6">
        <v>4</v>
      </c>
      <c r="AQ447" s="5">
        <v>3694800000</v>
      </c>
      <c r="AR447" s="5">
        <v>52531417031</v>
      </c>
      <c r="AS447" s="5">
        <v>18298611404</v>
      </c>
      <c r="AT447" s="5">
        <f t="shared" si="33"/>
        <v>34232805627</v>
      </c>
      <c r="AU447" s="36">
        <f t="shared" si="34"/>
        <v>187.07870707346049</v>
      </c>
      <c r="AV447" s="5">
        <v>372489002652</v>
      </c>
      <c r="AW447" s="5">
        <v>163373439669</v>
      </c>
      <c r="AX447" s="5">
        <v>190373811801</v>
      </c>
      <c r="AY447" s="5">
        <v>247682641025</v>
      </c>
      <c r="AZ447" s="5">
        <v>98282535154</v>
      </c>
      <c r="BA447" s="5">
        <v>168564220832</v>
      </c>
      <c r="BB447" s="5">
        <v>68348457274</v>
      </c>
      <c r="BC447" s="5">
        <v>702680796737</v>
      </c>
      <c r="BD447" s="5">
        <v>441119061583</v>
      </c>
      <c r="BE447" s="5">
        <v>97932535154</v>
      </c>
      <c r="BF447" s="5">
        <v>163629200000</v>
      </c>
      <c r="BG447" s="5">
        <v>496272022027</v>
      </c>
      <c r="BH447" s="5">
        <v>47950000000</v>
      </c>
      <c r="BI447" s="5">
        <v>0</v>
      </c>
      <c r="BJ447" s="48">
        <v>0</v>
      </c>
      <c r="BK447" s="5">
        <v>0</v>
      </c>
      <c r="BL447" s="5">
        <v>0</v>
      </c>
      <c r="BM447" s="5">
        <v>0</v>
      </c>
      <c r="BN447" s="5">
        <v>0</v>
      </c>
    </row>
    <row r="448" spans="1:66" x14ac:dyDescent="0.25">
      <c r="A448" s="17" t="s">
        <v>613</v>
      </c>
      <c r="B448" s="4">
        <v>2707</v>
      </c>
      <c r="C448" s="4" t="s">
        <v>466</v>
      </c>
      <c r="D448" s="5">
        <v>2157371590986</v>
      </c>
      <c r="E448" s="5">
        <v>7316495404</v>
      </c>
      <c r="F448" s="5">
        <v>0</v>
      </c>
      <c r="G448" s="5">
        <v>0</v>
      </c>
      <c r="H448" s="5">
        <v>2164688086390</v>
      </c>
      <c r="I448" s="5">
        <v>163979520512</v>
      </c>
      <c r="J448" s="5">
        <v>536078171</v>
      </c>
      <c r="K448" s="5">
        <v>2000172487707</v>
      </c>
      <c r="L448" s="5">
        <v>1168929211364</v>
      </c>
      <c r="M448" s="5">
        <f t="shared" si="30"/>
        <v>995758875026</v>
      </c>
      <c r="N448" s="36">
        <f t="shared" si="31"/>
        <v>85.18555831657838</v>
      </c>
      <c r="O448" s="5">
        <v>1011245530121</v>
      </c>
      <c r="P448" s="36">
        <v>52.34</v>
      </c>
      <c r="Q448" s="6">
        <v>50.56</v>
      </c>
      <c r="R448" s="6">
        <v>4.07</v>
      </c>
      <c r="S448" s="5">
        <v>1015680434839</v>
      </c>
      <c r="T448" s="5">
        <v>46138927526</v>
      </c>
      <c r="U448" s="5">
        <v>22323225128</v>
      </c>
      <c r="V448" s="5">
        <v>23716779999</v>
      </c>
      <c r="W448" s="5">
        <v>98922399</v>
      </c>
      <c r="X448" s="5">
        <v>1061819362365</v>
      </c>
      <c r="Y448" s="5">
        <v>3682579</v>
      </c>
      <c r="Z448" s="5">
        <v>58884441155</v>
      </c>
      <c r="AA448" s="5">
        <v>12395830000</v>
      </c>
      <c r="AB448" s="5">
        <v>1133099633520</v>
      </c>
      <c r="AC448" s="5">
        <v>915898327205</v>
      </c>
      <c r="AD448" s="36">
        <f t="shared" si="32"/>
        <v>15.932012410733378</v>
      </c>
      <c r="AE448" s="5">
        <v>670239776488</v>
      </c>
      <c r="AF448" s="5">
        <v>670239776488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6">
        <v>0</v>
      </c>
      <c r="AM448" s="5">
        <v>0</v>
      </c>
      <c r="AN448" s="6">
        <v>23</v>
      </c>
      <c r="AO448" s="5">
        <v>15060200000</v>
      </c>
      <c r="AP448" s="6">
        <v>15</v>
      </c>
      <c r="AQ448" s="5">
        <v>7965400000</v>
      </c>
      <c r="AR448" s="5">
        <v>46138927526</v>
      </c>
      <c r="AS448" s="5">
        <v>10962097713</v>
      </c>
      <c r="AT448" s="5">
        <f t="shared" si="33"/>
        <v>35176829813</v>
      </c>
      <c r="AU448" s="36">
        <f t="shared" si="34"/>
        <v>320.89505798952734</v>
      </c>
      <c r="AV448" s="5">
        <v>498036735551</v>
      </c>
      <c r="AW448" s="5">
        <v>112097510727</v>
      </c>
      <c r="AX448" s="5">
        <v>509390491064</v>
      </c>
      <c r="AY448" s="5">
        <v>1014716528284</v>
      </c>
      <c r="AZ448" s="5">
        <v>265249071638</v>
      </c>
      <c r="BA448" s="5">
        <v>397691887580</v>
      </c>
      <c r="BB448" s="5">
        <v>200858339860</v>
      </c>
      <c r="BC448" s="5">
        <v>2164688086390</v>
      </c>
      <c r="BD448" s="5">
        <v>1531423514752</v>
      </c>
      <c r="BE448" s="5">
        <v>265249071638</v>
      </c>
      <c r="BF448" s="5">
        <v>368015500000</v>
      </c>
      <c r="BG448" s="5">
        <v>652539776488</v>
      </c>
      <c r="BH448" s="5">
        <v>17700000000</v>
      </c>
      <c r="BI448" s="5">
        <v>0</v>
      </c>
      <c r="BJ448" s="48">
        <v>0</v>
      </c>
      <c r="BK448" s="5">
        <v>0</v>
      </c>
      <c r="BL448" s="5">
        <v>0</v>
      </c>
      <c r="BM448" s="5">
        <v>0</v>
      </c>
      <c r="BN448" s="5">
        <v>0</v>
      </c>
    </row>
    <row r="449" spans="1:66" x14ac:dyDescent="0.25">
      <c r="A449" s="17" t="s">
        <v>613</v>
      </c>
      <c r="B449" s="18">
        <v>2708</v>
      </c>
      <c r="C449" s="18" t="s">
        <v>467</v>
      </c>
      <c r="D449" s="19">
        <v>786118040968</v>
      </c>
      <c r="E449" s="19">
        <v>53963587954</v>
      </c>
      <c r="F449" s="19">
        <v>0</v>
      </c>
      <c r="G449" s="19">
        <v>0</v>
      </c>
      <c r="H449" s="19">
        <v>840081628922</v>
      </c>
      <c r="I449" s="19">
        <v>74288337332</v>
      </c>
      <c r="J449" s="19">
        <v>3311510107</v>
      </c>
      <c r="K449" s="19">
        <v>762481781483</v>
      </c>
      <c r="L449" s="19">
        <v>762935419617</v>
      </c>
      <c r="M449" s="5">
        <f t="shared" si="30"/>
        <v>77146209305</v>
      </c>
      <c r="N449" s="36">
        <f t="shared" si="31"/>
        <v>10.111761404881168</v>
      </c>
      <c r="O449" s="19">
        <v>1224256214777</v>
      </c>
      <c r="P449" s="36">
        <v>165.57</v>
      </c>
      <c r="Q449" s="20">
        <v>160.56</v>
      </c>
      <c r="R449" s="20">
        <v>6.17</v>
      </c>
      <c r="S449" s="19">
        <v>1215570048357</v>
      </c>
      <c r="T449" s="19">
        <v>85158279241</v>
      </c>
      <c r="U449" s="19">
        <v>30916531396</v>
      </c>
      <c r="V449" s="19">
        <v>50138130344</v>
      </c>
      <c r="W449" s="19">
        <v>4103617501</v>
      </c>
      <c r="X449" s="19">
        <v>1300728327598</v>
      </c>
      <c r="Y449" s="5">
        <v>616281061</v>
      </c>
      <c r="Z449" s="19">
        <v>74025281499</v>
      </c>
      <c r="AA449" s="19">
        <v>16174485590</v>
      </c>
      <c r="AB449" s="19">
        <v>1390928094687</v>
      </c>
      <c r="AC449" s="19">
        <v>1059306614083</v>
      </c>
      <c r="AD449" s="36">
        <f t="shared" si="32"/>
        <v>22.790541501903984</v>
      </c>
      <c r="AE449" s="19">
        <v>638025349230</v>
      </c>
      <c r="AF449" s="19">
        <v>632315237313</v>
      </c>
      <c r="AG449" s="19">
        <v>0</v>
      </c>
      <c r="AH449" s="19">
        <v>941991750</v>
      </c>
      <c r="AI449" s="19">
        <v>0</v>
      </c>
      <c r="AJ449" s="19">
        <v>0</v>
      </c>
      <c r="AK449" s="19">
        <v>0</v>
      </c>
      <c r="AL449" s="20">
        <v>0</v>
      </c>
      <c r="AM449" s="19">
        <v>0</v>
      </c>
      <c r="AN449" s="20">
        <v>9</v>
      </c>
      <c r="AO449" s="19">
        <v>56824481051</v>
      </c>
      <c r="AP449" s="20">
        <v>31</v>
      </c>
      <c r="AQ449" s="19">
        <v>74110904388</v>
      </c>
      <c r="AR449" s="19">
        <v>85158279241</v>
      </c>
      <c r="AS449" s="19">
        <v>61295190694</v>
      </c>
      <c r="AT449" s="5">
        <f t="shared" si="33"/>
        <v>23863088547</v>
      </c>
      <c r="AU449" s="36">
        <f t="shared" si="34"/>
        <v>38.93142068213826</v>
      </c>
      <c r="AV449" s="19">
        <v>432933189502</v>
      </c>
      <c r="AW449" s="19">
        <v>127332082923</v>
      </c>
      <c r="AX449" s="19">
        <v>171186552026</v>
      </c>
      <c r="AY449" s="19">
        <v>246316286224</v>
      </c>
      <c r="AZ449" s="19">
        <v>183545983985</v>
      </c>
      <c r="BA449" s="19">
        <v>234232564993</v>
      </c>
      <c r="BB449" s="19">
        <v>104279783907</v>
      </c>
      <c r="BC449" s="19">
        <v>840081628922</v>
      </c>
      <c r="BD449" s="19">
        <v>425252634928</v>
      </c>
      <c r="BE449" s="19">
        <v>183545983985</v>
      </c>
      <c r="BF449" s="19">
        <v>231283010009</v>
      </c>
      <c r="BG449" s="19">
        <v>479551549230</v>
      </c>
      <c r="BH449" s="19">
        <v>158473800000</v>
      </c>
      <c r="BI449" s="19">
        <v>0</v>
      </c>
      <c r="BJ449" s="50">
        <v>0</v>
      </c>
      <c r="BK449" s="19">
        <v>0</v>
      </c>
      <c r="BL449" s="19">
        <v>0</v>
      </c>
      <c r="BM449" s="19">
        <v>0</v>
      </c>
      <c r="BN449" s="19">
        <v>562500000</v>
      </c>
    </row>
    <row r="450" spans="1:66" x14ac:dyDescent="0.25">
      <c r="A450" s="17" t="s">
        <v>613</v>
      </c>
      <c r="B450" s="4">
        <v>2709</v>
      </c>
      <c r="C450" s="4" t="s">
        <v>468</v>
      </c>
      <c r="D450" s="5">
        <v>246319960797</v>
      </c>
      <c r="E450" s="5">
        <v>369114120</v>
      </c>
      <c r="F450" s="5">
        <v>0</v>
      </c>
      <c r="G450" s="5">
        <v>0</v>
      </c>
      <c r="H450" s="5">
        <v>246689074917</v>
      </c>
      <c r="I450" s="5">
        <v>25454396333</v>
      </c>
      <c r="J450" s="5">
        <v>2198495200</v>
      </c>
      <c r="K450" s="5">
        <v>219036183384</v>
      </c>
      <c r="L450" s="5">
        <v>306700207231</v>
      </c>
      <c r="M450" s="5">
        <f t="shared" si="30"/>
        <v>-60011132314</v>
      </c>
      <c r="N450" s="36">
        <f t="shared" si="31"/>
        <v>-19.566707455401524</v>
      </c>
      <c r="O450" s="5">
        <v>562264637979</v>
      </c>
      <c r="P450" s="36">
        <v>260.14</v>
      </c>
      <c r="Q450" s="6">
        <v>256.7</v>
      </c>
      <c r="R450" s="6">
        <v>7.51</v>
      </c>
      <c r="S450" s="5">
        <v>541981865790</v>
      </c>
      <c r="T450" s="5">
        <v>48179929857</v>
      </c>
      <c r="U450" s="5">
        <v>45027914317</v>
      </c>
      <c r="V450" s="5">
        <v>3152015540</v>
      </c>
      <c r="W450" s="5">
        <v>0</v>
      </c>
      <c r="X450" s="5">
        <v>590161795647</v>
      </c>
      <c r="Y450" s="5">
        <v>0</v>
      </c>
      <c r="Z450" s="5">
        <v>49562923108</v>
      </c>
      <c r="AA450" s="5">
        <v>2000000000</v>
      </c>
      <c r="AB450" s="5">
        <v>641724718755</v>
      </c>
      <c r="AC450" s="5">
        <v>299846982891</v>
      </c>
      <c r="AD450" s="36">
        <f t="shared" si="32"/>
        <v>96.82098847782467</v>
      </c>
      <c r="AE450" s="5">
        <v>485107943211</v>
      </c>
      <c r="AF450" s="5">
        <v>485107943211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6">
        <v>0</v>
      </c>
      <c r="AM450" s="5">
        <v>0</v>
      </c>
      <c r="AN450" s="6">
        <v>1</v>
      </c>
      <c r="AO450" s="5">
        <v>500000000</v>
      </c>
      <c r="AP450" s="6">
        <v>0</v>
      </c>
      <c r="AQ450" s="5">
        <v>0</v>
      </c>
      <c r="AR450" s="5">
        <v>48179929857</v>
      </c>
      <c r="AS450" s="5">
        <v>15103288489</v>
      </c>
      <c r="AT450" s="5">
        <f t="shared" si="33"/>
        <v>33076641368</v>
      </c>
      <c r="AU450" s="36">
        <f t="shared" si="34"/>
        <v>219.00291047271142</v>
      </c>
      <c r="AV450" s="5">
        <v>213592185265</v>
      </c>
      <c r="AW450" s="5">
        <v>85821662852</v>
      </c>
      <c r="AX450" s="5">
        <v>20106662022</v>
      </c>
      <c r="AY450" s="5">
        <v>79612311051</v>
      </c>
      <c r="AZ450" s="5">
        <v>111931987724</v>
      </c>
      <c r="BA450" s="5">
        <v>34669000000</v>
      </c>
      <c r="BB450" s="5">
        <v>111931009556</v>
      </c>
      <c r="BC450" s="5">
        <v>246689074917</v>
      </c>
      <c r="BD450" s="5">
        <v>100088087193</v>
      </c>
      <c r="BE450" s="5">
        <v>111931987724</v>
      </c>
      <c r="BF450" s="5">
        <v>34669000000</v>
      </c>
      <c r="BG450" s="5">
        <v>241215237711</v>
      </c>
      <c r="BH450" s="5">
        <v>243892705500</v>
      </c>
      <c r="BI450" s="5">
        <v>0</v>
      </c>
      <c r="BJ450" s="48">
        <v>0</v>
      </c>
      <c r="BK450" s="5">
        <v>0</v>
      </c>
      <c r="BL450" s="5">
        <v>0</v>
      </c>
      <c r="BM450" s="5">
        <v>0</v>
      </c>
      <c r="BN450" s="5">
        <v>0</v>
      </c>
    </row>
    <row r="451" spans="1:66" x14ac:dyDescent="0.25">
      <c r="A451" s="17" t="s">
        <v>613</v>
      </c>
      <c r="B451" s="4">
        <v>2710</v>
      </c>
      <c r="C451" s="4" t="s">
        <v>469</v>
      </c>
      <c r="D451" s="5">
        <v>159925952048</v>
      </c>
      <c r="E451" s="5">
        <v>2664908917</v>
      </c>
      <c r="F451" s="5">
        <v>0</v>
      </c>
      <c r="G451" s="5">
        <v>0</v>
      </c>
      <c r="H451" s="5">
        <v>162590860965</v>
      </c>
      <c r="I451" s="5">
        <v>13833643085</v>
      </c>
      <c r="J451" s="5">
        <v>1159278142</v>
      </c>
      <c r="K451" s="5">
        <v>147597939738</v>
      </c>
      <c r="L451" s="5">
        <v>106384936597</v>
      </c>
      <c r="M451" s="5">
        <f t="shared" si="30"/>
        <v>56205924368</v>
      </c>
      <c r="N451" s="36">
        <f t="shared" si="31"/>
        <v>52.832596574189225</v>
      </c>
      <c r="O451" s="5">
        <v>186486970159</v>
      </c>
      <c r="P451" s="36">
        <v>117.86</v>
      </c>
      <c r="Q451" s="6">
        <v>126.35</v>
      </c>
      <c r="R451" s="6">
        <v>1.06</v>
      </c>
      <c r="S451" s="5">
        <v>185896023502</v>
      </c>
      <c r="T451" s="5">
        <v>2030283980</v>
      </c>
      <c r="U451" s="5">
        <v>2030283980</v>
      </c>
      <c r="V451" s="5">
        <v>0</v>
      </c>
      <c r="W451" s="5">
        <v>0</v>
      </c>
      <c r="X451" s="5">
        <v>187926307482</v>
      </c>
      <c r="Y451" s="5">
        <v>0</v>
      </c>
      <c r="Z451" s="5">
        <v>3700365929</v>
      </c>
      <c r="AA451" s="5">
        <v>0</v>
      </c>
      <c r="AB451" s="5">
        <v>191626673411</v>
      </c>
      <c r="AC451" s="5">
        <v>94131035495</v>
      </c>
      <c r="AD451" s="36">
        <f t="shared" si="32"/>
        <v>99.643302013799868</v>
      </c>
      <c r="AE451" s="5">
        <v>143959999999</v>
      </c>
      <c r="AF451" s="5">
        <v>143959999999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6">
        <v>0</v>
      </c>
      <c r="AM451" s="5">
        <v>0</v>
      </c>
      <c r="AN451" s="6">
        <v>0</v>
      </c>
      <c r="AO451" s="5">
        <v>0</v>
      </c>
      <c r="AP451" s="6">
        <v>0</v>
      </c>
      <c r="AQ451" s="5">
        <v>0</v>
      </c>
      <c r="AR451" s="5">
        <v>2030283980</v>
      </c>
      <c r="AS451" s="5">
        <v>315672536</v>
      </c>
      <c r="AT451" s="5">
        <f t="shared" si="33"/>
        <v>1714611444</v>
      </c>
      <c r="AU451" s="36">
        <f t="shared" si="34"/>
        <v>543.16142472400577</v>
      </c>
      <c r="AV451" s="5">
        <v>20641595333</v>
      </c>
      <c r="AW451" s="5">
        <v>3804895197</v>
      </c>
      <c r="AX451" s="5">
        <v>3460178826</v>
      </c>
      <c r="AY451" s="5">
        <v>68981627117</v>
      </c>
      <c r="AZ451" s="5">
        <v>56294136105</v>
      </c>
      <c r="BA451" s="5">
        <v>31540547096</v>
      </c>
      <c r="BB451" s="5">
        <v>56294136105</v>
      </c>
      <c r="BC451" s="5">
        <v>162590860965</v>
      </c>
      <c r="BD451" s="5">
        <v>75106714860</v>
      </c>
      <c r="BE451" s="5">
        <v>56294136105</v>
      </c>
      <c r="BF451" s="5">
        <v>31190010000</v>
      </c>
      <c r="BG451" s="5">
        <v>132224999999</v>
      </c>
      <c r="BH451" s="5">
        <v>11735000000</v>
      </c>
      <c r="BI451" s="5">
        <v>0</v>
      </c>
      <c r="BJ451" s="48">
        <v>0</v>
      </c>
      <c r="BK451" s="5">
        <v>0</v>
      </c>
      <c r="BL451" s="5">
        <v>0</v>
      </c>
      <c r="BM451" s="5">
        <v>0</v>
      </c>
      <c r="BN451" s="5">
        <v>0</v>
      </c>
    </row>
    <row r="452" spans="1:66" s="32" customFormat="1" x14ac:dyDescent="0.25">
      <c r="A452" s="17" t="s">
        <v>613</v>
      </c>
      <c r="B452" s="8">
        <v>2799</v>
      </c>
      <c r="C452" s="8" t="s">
        <v>470</v>
      </c>
      <c r="D452" s="9">
        <v>6791519069</v>
      </c>
      <c r="E452" s="9">
        <v>84263386743</v>
      </c>
      <c r="F452" s="9">
        <v>0</v>
      </c>
      <c r="G452" s="9">
        <v>0</v>
      </c>
      <c r="H452" s="9">
        <v>91054905812</v>
      </c>
      <c r="I452" s="9">
        <v>8500131328</v>
      </c>
      <c r="J452" s="9">
        <v>11010870000</v>
      </c>
      <c r="K452" s="9">
        <v>71543904484</v>
      </c>
      <c r="L452" s="9">
        <v>26663368081</v>
      </c>
      <c r="M452" s="5">
        <f t="shared" ref="M452:M515" si="35">H452-L452</f>
        <v>64391537731</v>
      </c>
      <c r="N452" s="36">
        <f t="shared" ref="N452:N515" si="36">IFERROR(M452/L452*100,0)</f>
        <v>241.49813907750328</v>
      </c>
      <c r="O452" s="9">
        <v>0</v>
      </c>
      <c r="P452" s="36">
        <v>0</v>
      </c>
      <c r="Q452" s="10">
        <v>0</v>
      </c>
      <c r="R452" s="10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36">
        <f t="shared" ref="AD452:AD515" si="37">IFERROR((X452-AC452)/AC452*100,0)</f>
        <v>0</v>
      </c>
      <c r="AE452" s="9">
        <v>0</v>
      </c>
      <c r="AF452" s="9">
        <v>0</v>
      </c>
      <c r="AG452" s="9">
        <v>0</v>
      </c>
      <c r="AH452" s="9">
        <v>0</v>
      </c>
      <c r="AI452" s="9">
        <v>0</v>
      </c>
      <c r="AJ452" s="9">
        <v>0</v>
      </c>
      <c r="AK452" s="9">
        <v>0</v>
      </c>
      <c r="AL452" s="10">
        <v>0</v>
      </c>
      <c r="AM452" s="9">
        <v>0</v>
      </c>
      <c r="AN452" s="10">
        <v>0</v>
      </c>
      <c r="AO452" s="9">
        <v>0</v>
      </c>
      <c r="AP452" s="10">
        <v>0</v>
      </c>
      <c r="AQ452" s="9">
        <v>0</v>
      </c>
      <c r="AR452" s="9">
        <v>0</v>
      </c>
      <c r="AS452" s="9">
        <v>0</v>
      </c>
      <c r="AT452" s="5">
        <f t="shared" ref="AT452:AT515" si="38">AR452-AS452</f>
        <v>0</v>
      </c>
      <c r="AU452" s="36">
        <f t="shared" ref="AU452:AU515" si="39">IFERROR(AT452/AS452*100,0)</f>
        <v>0</v>
      </c>
      <c r="AV452" s="9">
        <v>0</v>
      </c>
      <c r="AW452" s="9">
        <v>0</v>
      </c>
      <c r="AX452" s="9">
        <v>6791519069</v>
      </c>
      <c r="AY452" s="9">
        <v>0</v>
      </c>
      <c r="AZ452" s="9">
        <v>0</v>
      </c>
      <c r="BA452" s="9">
        <v>0</v>
      </c>
      <c r="BB452" s="9">
        <v>0</v>
      </c>
      <c r="BC452" s="9">
        <v>91054905812</v>
      </c>
      <c r="BD452" s="9">
        <v>91054905812</v>
      </c>
      <c r="BE452" s="9">
        <v>0</v>
      </c>
      <c r="BF452" s="9">
        <v>0</v>
      </c>
      <c r="BG452" s="9">
        <v>0</v>
      </c>
      <c r="BH452" s="9">
        <v>0</v>
      </c>
      <c r="BI452" s="9">
        <v>0</v>
      </c>
      <c r="BJ452" s="51">
        <v>0</v>
      </c>
      <c r="BK452" s="9">
        <v>0</v>
      </c>
      <c r="BL452" s="9">
        <v>0</v>
      </c>
      <c r="BM452" s="9">
        <v>0</v>
      </c>
      <c r="BN452" s="9">
        <v>0</v>
      </c>
    </row>
    <row r="453" spans="1:66" x14ac:dyDescent="0.25">
      <c r="A453" s="30" t="s">
        <v>614</v>
      </c>
      <c r="B453" s="13" t="s">
        <v>625</v>
      </c>
      <c r="C453" s="13" t="s">
        <v>625</v>
      </c>
      <c r="D453" s="14">
        <v>12258637273786</v>
      </c>
      <c r="E453" s="14">
        <v>328829773695</v>
      </c>
      <c r="F453" s="14">
        <v>12164600000</v>
      </c>
      <c r="G453" s="14">
        <v>408707400</v>
      </c>
      <c r="H453" s="14">
        <v>12600040354881</v>
      </c>
      <c r="I453" s="14">
        <v>1064325691685</v>
      </c>
      <c r="J453" s="14">
        <v>104314358295</v>
      </c>
      <c r="K453" s="14">
        <v>11431400304901</v>
      </c>
      <c r="L453" s="14">
        <v>9092028515054</v>
      </c>
      <c r="M453" s="14">
        <f t="shared" si="35"/>
        <v>3508011839827</v>
      </c>
      <c r="N453" s="41">
        <f t="shared" si="36"/>
        <v>38.583379209806239</v>
      </c>
      <c r="O453" s="14">
        <v>17188162240121</v>
      </c>
      <c r="P453" s="41">
        <v>164.77</v>
      </c>
      <c r="Q453" s="15">
        <v>150.36000000000001</v>
      </c>
      <c r="R453" s="15">
        <v>4.97</v>
      </c>
      <c r="S453" s="14">
        <v>18685456384652</v>
      </c>
      <c r="T453" s="14">
        <v>1008182510518</v>
      </c>
      <c r="U453" s="14">
        <v>469961189539</v>
      </c>
      <c r="V453" s="14">
        <v>466528698324</v>
      </c>
      <c r="W453" s="14">
        <v>71692622655</v>
      </c>
      <c r="X453" s="14">
        <v>19693638895170</v>
      </c>
      <c r="Y453" s="14">
        <v>22850280100</v>
      </c>
      <c r="Z453" s="14">
        <v>943219355224</v>
      </c>
      <c r="AA453" s="14">
        <v>124160354222</v>
      </c>
      <c r="AB453" s="14">
        <v>20761018604616</v>
      </c>
      <c r="AC453" s="14">
        <v>15197540407101</v>
      </c>
      <c r="AD453" s="41">
        <f t="shared" si="37"/>
        <v>29.584382522636442</v>
      </c>
      <c r="AE453" s="14">
        <v>9873313379606</v>
      </c>
      <c r="AF453" s="14">
        <v>9755712678543</v>
      </c>
      <c r="AG453" s="14">
        <v>0</v>
      </c>
      <c r="AH453" s="14">
        <v>4894401750</v>
      </c>
      <c r="AI453" s="14">
        <v>0</v>
      </c>
      <c r="AJ453" s="14">
        <v>0</v>
      </c>
      <c r="AK453" s="14">
        <v>0</v>
      </c>
      <c r="AL453" s="15">
        <v>0</v>
      </c>
      <c r="AM453" s="14">
        <v>0</v>
      </c>
      <c r="AN453" s="15">
        <v>122</v>
      </c>
      <c r="AO453" s="14">
        <v>612107965689</v>
      </c>
      <c r="AP453" s="15">
        <v>154</v>
      </c>
      <c r="AQ453" s="14">
        <v>416912306795</v>
      </c>
      <c r="AR453" s="14">
        <v>1008182510518</v>
      </c>
      <c r="AS453" s="14">
        <v>652195400827</v>
      </c>
      <c r="AT453" s="14">
        <f t="shared" si="38"/>
        <v>355987109691</v>
      </c>
      <c r="AU453" s="41">
        <f t="shared" si="39"/>
        <v>54.582891759064765</v>
      </c>
      <c r="AV453" s="14">
        <v>5758493253755</v>
      </c>
      <c r="AW453" s="14">
        <v>1885678547529</v>
      </c>
      <c r="AX453" s="14">
        <v>2754309484983</v>
      </c>
      <c r="AY453" s="14">
        <v>5239354038755</v>
      </c>
      <c r="AZ453" s="14">
        <v>2154609821315</v>
      </c>
      <c r="BA453" s="14">
        <v>2668478099809</v>
      </c>
      <c r="BB453" s="14">
        <v>1647257203665</v>
      </c>
      <c r="BC453" s="14">
        <v>12600040354881</v>
      </c>
      <c r="BD453" s="14">
        <v>8181457524231</v>
      </c>
      <c r="BE453" s="14">
        <v>2166274721315</v>
      </c>
      <c r="BF453" s="14">
        <v>2252308109335</v>
      </c>
      <c r="BG453" s="14">
        <v>7134360229642</v>
      </c>
      <c r="BH453" s="14">
        <v>2738953149964</v>
      </c>
      <c r="BI453" s="14">
        <v>0</v>
      </c>
      <c r="BJ453" s="49">
        <v>0</v>
      </c>
      <c r="BK453" s="14">
        <v>0</v>
      </c>
      <c r="BL453" s="14">
        <v>0</v>
      </c>
      <c r="BM453" s="14">
        <v>0</v>
      </c>
      <c r="BN453" s="14">
        <v>4514910000</v>
      </c>
    </row>
    <row r="454" spans="1:66" x14ac:dyDescent="0.25">
      <c r="A454" s="17" t="s">
        <v>471</v>
      </c>
      <c r="B454" s="4">
        <v>2800</v>
      </c>
      <c r="C454" s="4" t="s">
        <v>471</v>
      </c>
      <c r="D454" s="5">
        <v>3428222974021</v>
      </c>
      <c r="E454" s="5">
        <v>679799100598</v>
      </c>
      <c r="F454" s="5">
        <v>0</v>
      </c>
      <c r="G454" s="5">
        <v>10047900743</v>
      </c>
      <c r="H454" s="5">
        <v>4118069975362</v>
      </c>
      <c r="I454" s="5">
        <v>241371384514</v>
      </c>
      <c r="J454" s="5">
        <v>26569312821</v>
      </c>
      <c r="K454" s="5">
        <v>3850129278027</v>
      </c>
      <c r="L454" s="5">
        <v>2605982377354</v>
      </c>
      <c r="M454" s="5">
        <f t="shared" si="35"/>
        <v>1512087598008</v>
      </c>
      <c r="N454" s="36">
        <f t="shared" si="36"/>
        <v>58.023707725272779</v>
      </c>
      <c r="O454" s="5">
        <v>8589079786621</v>
      </c>
      <c r="P454" s="36">
        <v>312.41000000000003</v>
      </c>
      <c r="Q454" s="6">
        <v>223.09</v>
      </c>
      <c r="R454" s="6">
        <v>0.76</v>
      </c>
      <c r="S454" s="5">
        <v>12555033937611</v>
      </c>
      <c r="T454" s="5">
        <v>82736318078</v>
      </c>
      <c r="U454" s="5">
        <v>50044685874</v>
      </c>
      <c r="V454" s="5">
        <v>32580954324</v>
      </c>
      <c r="W454" s="5">
        <v>110677880</v>
      </c>
      <c r="X454" s="5">
        <v>12637770255689</v>
      </c>
      <c r="Y454" s="5">
        <v>15654273864</v>
      </c>
      <c r="Z454" s="5">
        <v>207958410045</v>
      </c>
      <c r="AA454" s="5">
        <v>19390477082</v>
      </c>
      <c r="AB454" s="5">
        <v>12865119142816</v>
      </c>
      <c r="AC454" s="5">
        <v>8669300186524</v>
      </c>
      <c r="AD454" s="36">
        <f t="shared" si="37"/>
        <v>45.776129373554184</v>
      </c>
      <c r="AE454" s="5">
        <v>6253018015741</v>
      </c>
      <c r="AF454" s="5">
        <v>5483607737999</v>
      </c>
      <c r="AG454" s="5">
        <v>63800000000</v>
      </c>
      <c r="AH454" s="5">
        <v>67913239270</v>
      </c>
      <c r="AI454" s="5">
        <v>283656260996</v>
      </c>
      <c r="AJ454" s="5">
        <v>0</v>
      </c>
      <c r="AK454" s="5">
        <v>0</v>
      </c>
      <c r="AL454" s="6">
        <v>8</v>
      </c>
      <c r="AM454" s="5">
        <v>542938375404</v>
      </c>
      <c r="AN454" s="6">
        <v>360</v>
      </c>
      <c r="AO454" s="5">
        <v>5473598212620</v>
      </c>
      <c r="AP454" s="6">
        <v>394</v>
      </c>
      <c r="AQ454" s="5">
        <v>5367653025156</v>
      </c>
      <c r="AR454" s="5">
        <v>82736318078</v>
      </c>
      <c r="AS454" s="5">
        <v>57223948826</v>
      </c>
      <c r="AT454" s="5">
        <f t="shared" si="38"/>
        <v>25512369252</v>
      </c>
      <c r="AU454" s="36">
        <f t="shared" si="39"/>
        <v>44.583377721057097</v>
      </c>
      <c r="AV454" s="5">
        <v>3435054686345</v>
      </c>
      <c r="AW454" s="5">
        <v>663881047814</v>
      </c>
      <c r="AX454" s="5">
        <v>892273762845</v>
      </c>
      <c r="AY454" s="5">
        <v>1350181981020</v>
      </c>
      <c r="AZ454" s="5">
        <v>735269299771</v>
      </c>
      <c r="BA454" s="5">
        <v>605135607229</v>
      </c>
      <c r="BB454" s="5">
        <v>351921929817</v>
      </c>
      <c r="BC454" s="5">
        <v>4118069975362</v>
      </c>
      <c r="BD454" s="5">
        <v>2786654900426</v>
      </c>
      <c r="BE454" s="5">
        <v>734993299771</v>
      </c>
      <c r="BF454" s="5">
        <v>596421775165</v>
      </c>
      <c r="BG454" s="5">
        <v>4829695369512</v>
      </c>
      <c r="BH454" s="5">
        <v>1423322646229</v>
      </c>
      <c r="BI454" s="5">
        <v>0</v>
      </c>
      <c r="BJ454" s="48">
        <v>0</v>
      </c>
      <c r="BK454" s="5">
        <v>63800000000</v>
      </c>
      <c r="BL454" s="5">
        <v>112132942</v>
      </c>
      <c r="BM454" s="5">
        <v>0</v>
      </c>
      <c r="BN454" s="5">
        <v>68305010567</v>
      </c>
    </row>
    <row r="455" spans="1:66" x14ac:dyDescent="0.25">
      <c r="A455" s="17" t="s">
        <v>471</v>
      </c>
      <c r="B455" s="4">
        <v>2801</v>
      </c>
      <c r="C455" s="4" t="s">
        <v>472</v>
      </c>
      <c r="D455" s="5">
        <v>2916964497726</v>
      </c>
      <c r="E455" s="5">
        <v>121174213524</v>
      </c>
      <c r="F455" s="5">
        <v>0</v>
      </c>
      <c r="G455" s="5">
        <v>0</v>
      </c>
      <c r="H455" s="5">
        <v>3038138711250</v>
      </c>
      <c r="I455" s="5">
        <v>234419053968</v>
      </c>
      <c r="J455" s="5">
        <v>3465746262</v>
      </c>
      <c r="K455" s="5">
        <v>2800253911020</v>
      </c>
      <c r="L455" s="5">
        <v>2248974053443</v>
      </c>
      <c r="M455" s="5">
        <f t="shared" si="35"/>
        <v>789164657807</v>
      </c>
      <c r="N455" s="36">
        <f t="shared" si="36"/>
        <v>35.089984991105247</v>
      </c>
      <c r="O455" s="5">
        <v>1674696033674</v>
      </c>
      <c r="P455" s="36">
        <v>64.930000000000007</v>
      </c>
      <c r="Q455" s="6">
        <v>59.81</v>
      </c>
      <c r="R455" s="6">
        <v>1.1499999999999999</v>
      </c>
      <c r="S455" s="5">
        <v>1831121803482</v>
      </c>
      <c r="T455" s="5">
        <v>18978951570</v>
      </c>
      <c r="U455" s="5">
        <v>12450373850</v>
      </c>
      <c r="V455" s="5">
        <v>4355868758</v>
      </c>
      <c r="W455" s="5">
        <v>2172708962</v>
      </c>
      <c r="X455" s="5">
        <v>1850100755052</v>
      </c>
      <c r="Y455" s="5">
        <v>3618017338</v>
      </c>
      <c r="Z455" s="5">
        <v>113499488145</v>
      </c>
      <c r="AA455" s="5">
        <v>8961000000</v>
      </c>
      <c r="AB455" s="5">
        <v>1972561243197</v>
      </c>
      <c r="AC455" s="5">
        <v>1470321265120</v>
      </c>
      <c r="AD455" s="36">
        <f t="shared" si="37"/>
        <v>25.829694430829331</v>
      </c>
      <c r="AE455" s="5">
        <v>1342711787295</v>
      </c>
      <c r="AF455" s="5">
        <v>986164272240</v>
      </c>
      <c r="AG455" s="5">
        <v>0</v>
      </c>
      <c r="AH455" s="5">
        <v>0</v>
      </c>
      <c r="AI455" s="5">
        <v>31667919586</v>
      </c>
      <c r="AJ455" s="5">
        <v>0</v>
      </c>
      <c r="AK455" s="5">
        <v>0</v>
      </c>
      <c r="AL455" s="6">
        <v>0</v>
      </c>
      <c r="AM455" s="5">
        <v>0</v>
      </c>
      <c r="AN455" s="6">
        <v>117</v>
      </c>
      <c r="AO455" s="5">
        <v>1348126097374</v>
      </c>
      <c r="AP455" s="6">
        <v>78</v>
      </c>
      <c r="AQ455" s="5">
        <v>682523767301</v>
      </c>
      <c r="AR455" s="5">
        <v>18978951570</v>
      </c>
      <c r="AS455" s="5">
        <v>14879219770</v>
      </c>
      <c r="AT455" s="5">
        <f t="shared" si="38"/>
        <v>4099731800</v>
      </c>
      <c r="AU455" s="36">
        <f t="shared" si="39"/>
        <v>27.553405779152623</v>
      </c>
      <c r="AV455" s="5">
        <v>696280224269</v>
      </c>
      <c r="AW455" s="5">
        <v>116583389498</v>
      </c>
      <c r="AX455" s="5">
        <v>854697571531</v>
      </c>
      <c r="AY455" s="5">
        <v>794312183331</v>
      </c>
      <c r="AZ455" s="5">
        <v>715454630568</v>
      </c>
      <c r="BA455" s="5">
        <v>604385825056</v>
      </c>
      <c r="BB455" s="5">
        <v>537854792467</v>
      </c>
      <c r="BC455" s="5">
        <v>3038138711250</v>
      </c>
      <c r="BD455" s="5">
        <v>1769777867670</v>
      </c>
      <c r="BE455" s="5">
        <v>715454630568</v>
      </c>
      <c r="BF455" s="5">
        <v>552906213012</v>
      </c>
      <c r="BG455" s="5">
        <v>1082941914856</v>
      </c>
      <c r="BH455" s="5">
        <v>259769872439</v>
      </c>
      <c r="BI455" s="5">
        <v>0</v>
      </c>
      <c r="BJ455" s="48">
        <v>0</v>
      </c>
      <c r="BK455" s="5">
        <v>0</v>
      </c>
      <c r="BL455" s="5">
        <v>0</v>
      </c>
      <c r="BM455" s="5">
        <v>0</v>
      </c>
      <c r="BN455" s="5">
        <v>0</v>
      </c>
    </row>
    <row r="456" spans="1:66" x14ac:dyDescent="0.25">
      <c r="A456" s="17" t="s">
        <v>471</v>
      </c>
      <c r="B456" s="4">
        <v>2802</v>
      </c>
      <c r="C456" s="4" t="s">
        <v>473</v>
      </c>
      <c r="D456" s="5">
        <v>2554800586323</v>
      </c>
      <c r="E456" s="5">
        <v>167518374981</v>
      </c>
      <c r="F456" s="5">
        <v>0</v>
      </c>
      <c r="G456" s="5">
        <v>0</v>
      </c>
      <c r="H456" s="5">
        <v>2722318961304</v>
      </c>
      <c r="I456" s="5">
        <v>236316759090</v>
      </c>
      <c r="J456" s="5">
        <v>15746059129</v>
      </c>
      <c r="K456" s="5">
        <v>2470256143085</v>
      </c>
      <c r="L456" s="5">
        <v>2262759691006</v>
      </c>
      <c r="M456" s="5">
        <f t="shared" si="35"/>
        <v>459559270298</v>
      </c>
      <c r="N456" s="36">
        <f t="shared" si="36"/>
        <v>20.309680790437124</v>
      </c>
      <c r="O456" s="5">
        <v>1306777180813</v>
      </c>
      <c r="P456" s="36">
        <v>57.98</v>
      </c>
      <c r="Q456" s="6">
        <v>52.9</v>
      </c>
      <c r="R456" s="6">
        <v>1.53</v>
      </c>
      <c r="S456" s="5">
        <v>1452930280412</v>
      </c>
      <c r="T456" s="5">
        <v>18327271185</v>
      </c>
      <c r="U456" s="5">
        <v>13390331088</v>
      </c>
      <c r="V456" s="5">
        <v>4346912203</v>
      </c>
      <c r="W456" s="5">
        <v>590027894</v>
      </c>
      <c r="X456" s="5">
        <v>1471257551597</v>
      </c>
      <c r="Y456" s="5">
        <v>5864700752</v>
      </c>
      <c r="Z456" s="5">
        <v>90340543198</v>
      </c>
      <c r="AA456" s="5">
        <v>16841303725</v>
      </c>
      <c r="AB456" s="5">
        <v>1578439398520</v>
      </c>
      <c r="AC456" s="5">
        <v>1019895904063</v>
      </c>
      <c r="AD456" s="36">
        <f t="shared" si="37"/>
        <v>44.255658419245783</v>
      </c>
      <c r="AE456" s="5">
        <v>958403393668</v>
      </c>
      <c r="AF456" s="5">
        <v>724955778808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6">
        <v>0</v>
      </c>
      <c r="AM456" s="5">
        <v>0</v>
      </c>
      <c r="AN456" s="6">
        <v>51</v>
      </c>
      <c r="AO456" s="5">
        <v>910859034586</v>
      </c>
      <c r="AP456" s="6">
        <v>49</v>
      </c>
      <c r="AQ456" s="5">
        <v>561694406775</v>
      </c>
      <c r="AR456" s="5">
        <v>18327271185</v>
      </c>
      <c r="AS456" s="5">
        <v>6863992362</v>
      </c>
      <c r="AT456" s="5">
        <f t="shared" si="38"/>
        <v>11463278823</v>
      </c>
      <c r="AU456" s="36">
        <f t="shared" si="39"/>
        <v>167.00599619635764</v>
      </c>
      <c r="AV456" s="5">
        <v>395981681887</v>
      </c>
      <c r="AW456" s="5">
        <v>94700037701</v>
      </c>
      <c r="AX456" s="5">
        <v>201787603592</v>
      </c>
      <c r="AY456" s="5">
        <v>526303263407</v>
      </c>
      <c r="AZ456" s="5">
        <v>365609019324</v>
      </c>
      <c r="BA456" s="5">
        <v>1731647927132</v>
      </c>
      <c r="BB456" s="5">
        <v>156435776599</v>
      </c>
      <c r="BC456" s="5">
        <v>2722318961304</v>
      </c>
      <c r="BD456" s="5">
        <v>895689241980</v>
      </c>
      <c r="BE456" s="5">
        <v>365609019324</v>
      </c>
      <c r="BF456" s="5">
        <v>1461020700000</v>
      </c>
      <c r="BG456" s="5">
        <v>806970636896</v>
      </c>
      <c r="BH456" s="5">
        <v>151432756772</v>
      </c>
      <c r="BI456" s="5">
        <v>0</v>
      </c>
      <c r="BJ456" s="48">
        <v>0</v>
      </c>
      <c r="BK456" s="5">
        <v>0</v>
      </c>
      <c r="BL456" s="5">
        <v>0</v>
      </c>
      <c r="BM456" s="5">
        <v>0</v>
      </c>
      <c r="BN456" s="5">
        <v>0</v>
      </c>
    </row>
    <row r="457" spans="1:66" x14ac:dyDescent="0.25">
      <c r="A457" s="17" t="s">
        <v>471</v>
      </c>
      <c r="B457" s="4">
        <v>2803</v>
      </c>
      <c r="C457" s="4" t="s">
        <v>474</v>
      </c>
      <c r="D457" s="5">
        <v>737987855674</v>
      </c>
      <c r="E457" s="5">
        <v>18443810049</v>
      </c>
      <c r="F457" s="5">
        <v>0</v>
      </c>
      <c r="G457" s="5">
        <v>0</v>
      </c>
      <c r="H457" s="5">
        <v>756431665723</v>
      </c>
      <c r="I457" s="5">
        <v>68034387377</v>
      </c>
      <c r="J457" s="5">
        <v>7495016103</v>
      </c>
      <c r="K457" s="5">
        <v>680902262243</v>
      </c>
      <c r="L457" s="5">
        <v>645994386952</v>
      </c>
      <c r="M457" s="5">
        <f t="shared" si="35"/>
        <v>110437278771</v>
      </c>
      <c r="N457" s="36">
        <f t="shared" si="36"/>
        <v>17.095702532660852</v>
      </c>
      <c r="O457" s="5">
        <v>586662666864</v>
      </c>
      <c r="P457" s="36">
        <v>88.06</v>
      </c>
      <c r="Q457" s="6">
        <v>86.16</v>
      </c>
      <c r="R457" s="6">
        <v>2.91</v>
      </c>
      <c r="S457" s="5">
        <v>629608154586</v>
      </c>
      <c r="T457" s="5">
        <v>19094431637</v>
      </c>
      <c r="U457" s="5">
        <v>13215512237</v>
      </c>
      <c r="V457" s="5">
        <v>4745269510</v>
      </c>
      <c r="W457" s="5">
        <v>1133649890</v>
      </c>
      <c r="X457" s="5">
        <v>648702586223</v>
      </c>
      <c r="Y457" s="5">
        <v>307535479</v>
      </c>
      <c r="Z457" s="5">
        <v>16385459506</v>
      </c>
      <c r="AA457" s="5">
        <v>1000000000</v>
      </c>
      <c r="AB457" s="5">
        <v>666088045729</v>
      </c>
      <c r="AC457" s="5">
        <v>476389596152</v>
      </c>
      <c r="AD457" s="36">
        <f t="shared" si="37"/>
        <v>36.170603107801853</v>
      </c>
      <c r="AE457" s="5">
        <v>448546950681</v>
      </c>
      <c r="AF457" s="5">
        <v>409718840000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6">
        <v>0</v>
      </c>
      <c r="AM457" s="5">
        <v>0</v>
      </c>
      <c r="AN457" s="6">
        <v>29</v>
      </c>
      <c r="AO457" s="5">
        <v>102732826631</v>
      </c>
      <c r="AP457" s="6">
        <v>16</v>
      </c>
      <c r="AQ457" s="5">
        <v>215490181999</v>
      </c>
      <c r="AR457" s="5">
        <v>19094431637</v>
      </c>
      <c r="AS457" s="5">
        <v>12169270812</v>
      </c>
      <c r="AT457" s="5">
        <f t="shared" si="38"/>
        <v>6925160825</v>
      </c>
      <c r="AU457" s="36">
        <f t="shared" si="39"/>
        <v>56.906949742388555</v>
      </c>
      <c r="AV457" s="5">
        <v>187325472153</v>
      </c>
      <c r="AW457" s="5">
        <v>49240449206</v>
      </c>
      <c r="AX457" s="5">
        <v>70047755459</v>
      </c>
      <c r="AY457" s="5">
        <v>348158616986</v>
      </c>
      <c r="AZ457" s="5">
        <v>182360692544</v>
      </c>
      <c r="BA457" s="5">
        <v>368830239921</v>
      </c>
      <c r="BB457" s="5">
        <v>133441740116</v>
      </c>
      <c r="BC457" s="5">
        <v>756431665723</v>
      </c>
      <c r="BD457" s="5">
        <v>436650182494</v>
      </c>
      <c r="BE457" s="5">
        <v>182360692544</v>
      </c>
      <c r="BF457" s="5">
        <v>137420790685</v>
      </c>
      <c r="BG457" s="5">
        <v>399627910681</v>
      </c>
      <c r="BH457" s="5">
        <v>48919040000</v>
      </c>
      <c r="BI457" s="5">
        <v>0</v>
      </c>
      <c r="BJ457" s="48">
        <v>0</v>
      </c>
      <c r="BK457" s="5">
        <v>0</v>
      </c>
      <c r="BL457" s="5">
        <v>0</v>
      </c>
      <c r="BM457" s="5">
        <v>0</v>
      </c>
      <c r="BN457" s="5">
        <v>0</v>
      </c>
    </row>
    <row r="458" spans="1:66" x14ac:dyDescent="0.25">
      <c r="A458" s="17" t="s">
        <v>471</v>
      </c>
      <c r="B458" s="4">
        <v>2804</v>
      </c>
      <c r="C458" s="4" t="s">
        <v>475</v>
      </c>
      <c r="D458" s="5">
        <v>1880768529761</v>
      </c>
      <c r="E458" s="5">
        <v>388633078005</v>
      </c>
      <c r="F458" s="5">
        <v>0</v>
      </c>
      <c r="G458" s="5">
        <v>0</v>
      </c>
      <c r="H458" s="5">
        <v>2269401607766</v>
      </c>
      <c r="I458" s="5">
        <v>152676439913</v>
      </c>
      <c r="J458" s="5">
        <v>5311785600</v>
      </c>
      <c r="K458" s="5">
        <v>2111413382253</v>
      </c>
      <c r="L458" s="5">
        <v>1878154872632</v>
      </c>
      <c r="M458" s="5">
        <f t="shared" si="35"/>
        <v>391246735134</v>
      </c>
      <c r="N458" s="36">
        <f t="shared" si="36"/>
        <v>20.831441583180862</v>
      </c>
      <c r="O458" s="5">
        <v>3203456091652</v>
      </c>
      <c r="P458" s="36">
        <v>157.33000000000001</v>
      </c>
      <c r="Q458" s="6">
        <v>151.72</v>
      </c>
      <c r="R458" s="6">
        <v>4.0199999999999996</v>
      </c>
      <c r="S458" s="5">
        <v>3269490423908</v>
      </c>
      <c r="T458" s="5">
        <v>136154908552</v>
      </c>
      <c r="U458" s="5">
        <v>79750612180</v>
      </c>
      <c r="V458" s="5">
        <v>39936634430</v>
      </c>
      <c r="W458" s="5">
        <v>16467661942</v>
      </c>
      <c r="X458" s="5">
        <v>3405645332460</v>
      </c>
      <c r="Y458" s="5">
        <v>7506428074</v>
      </c>
      <c r="Z458" s="5">
        <v>163757444716</v>
      </c>
      <c r="AA458" s="5">
        <v>1000000000</v>
      </c>
      <c r="AB458" s="5">
        <v>3570402777176</v>
      </c>
      <c r="AC458" s="5">
        <v>2783610739342</v>
      </c>
      <c r="AD458" s="36">
        <f t="shared" si="37"/>
        <v>22.346321068765484</v>
      </c>
      <c r="AE458" s="5">
        <v>2691250785782</v>
      </c>
      <c r="AF458" s="5">
        <v>2490009977564</v>
      </c>
      <c r="AG458" s="5">
        <v>0</v>
      </c>
      <c r="AH458" s="5">
        <v>5213912448</v>
      </c>
      <c r="AI458" s="5">
        <v>115446164241</v>
      </c>
      <c r="AJ458" s="5">
        <v>0</v>
      </c>
      <c r="AK458" s="5">
        <v>0</v>
      </c>
      <c r="AL458" s="6">
        <v>0</v>
      </c>
      <c r="AM458" s="5">
        <v>0</v>
      </c>
      <c r="AN458" s="6">
        <v>625</v>
      </c>
      <c r="AO458" s="5">
        <v>4431133284238</v>
      </c>
      <c r="AP458" s="6">
        <v>720</v>
      </c>
      <c r="AQ458" s="5">
        <v>3870786916269</v>
      </c>
      <c r="AR458" s="5">
        <v>136154908552</v>
      </c>
      <c r="AS458" s="5">
        <v>76158296850</v>
      </c>
      <c r="AT458" s="5">
        <f t="shared" si="38"/>
        <v>59996611702</v>
      </c>
      <c r="AU458" s="36">
        <f t="shared" si="39"/>
        <v>78.778825398588197</v>
      </c>
      <c r="AV458" s="5">
        <v>1809646515743</v>
      </c>
      <c r="AW458" s="5">
        <v>740189547904</v>
      </c>
      <c r="AX458" s="5">
        <v>385470330789</v>
      </c>
      <c r="AY458" s="5">
        <v>623956553115</v>
      </c>
      <c r="AZ458" s="5">
        <v>721987095857</v>
      </c>
      <c r="BA458" s="5">
        <v>317586428780</v>
      </c>
      <c r="BB458" s="5">
        <v>652393458728</v>
      </c>
      <c r="BC458" s="5">
        <v>2269401607766</v>
      </c>
      <c r="BD458" s="5">
        <v>1388734519397</v>
      </c>
      <c r="BE458" s="5">
        <v>721987095857</v>
      </c>
      <c r="BF458" s="5">
        <v>158679992512</v>
      </c>
      <c r="BG458" s="5">
        <v>2059439490109</v>
      </c>
      <c r="BH458" s="5">
        <v>631811295673</v>
      </c>
      <c r="BI458" s="5">
        <v>0</v>
      </c>
      <c r="BJ458" s="48">
        <v>0</v>
      </c>
      <c r="BK458" s="5">
        <v>0</v>
      </c>
      <c r="BL458" s="5">
        <v>145595999</v>
      </c>
      <c r="BM458" s="5">
        <v>160404796</v>
      </c>
      <c r="BN458" s="5">
        <v>4907911653</v>
      </c>
    </row>
    <row r="459" spans="1:66" x14ac:dyDescent="0.25">
      <c r="A459" s="17" t="s">
        <v>471</v>
      </c>
      <c r="B459" s="4">
        <v>2805</v>
      </c>
      <c r="C459" s="4" t="s">
        <v>476</v>
      </c>
      <c r="D459" s="5">
        <v>2836804922155</v>
      </c>
      <c r="E459" s="5">
        <v>247698221513</v>
      </c>
      <c r="F459" s="5">
        <v>0</v>
      </c>
      <c r="G459" s="5">
        <v>0</v>
      </c>
      <c r="H459" s="5">
        <v>3084503143668</v>
      </c>
      <c r="I459" s="5">
        <v>241603985667</v>
      </c>
      <c r="J459" s="5">
        <v>50949853381</v>
      </c>
      <c r="K459" s="5">
        <v>2791949304620</v>
      </c>
      <c r="L459" s="5">
        <v>2150904550049</v>
      </c>
      <c r="M459" s="5">
        <f t="shared" si="35"/>
        <v>933598593619</v>
      </c>
      <c r="N459" s="36">
        <f t="shared" si="36"/>
        <v>43.404929037773044</v>
      </c>
      <c r="O459" s="5">
        <v>1594571422181</v>
      </c>
      <c r="P459" s="36">
        <v>56.22</v>
      </c>
      <c r="Q459" s="6">
        <v>57.11</v>
      </c>
      <c r="R459" s="6">
        <v>2.66</v>
      </c>
      <c r="S459" s="5">
        <v>1637807891894</v>
      </c>
      <c r="T459" s="5">
        <v>45164538497</v>
      </c>
      <c r="U459" s="5">
        <v>31314068255</v>
      </c>
      <c r="V459" s="5">
        <v>13850470242</v>
      </c>
      <c r="W459" s="5">
        <v>0</v>
      </c>
      <c r="X459" s="5">
        <v>1682972430391</v>
      </c>
      <c r="Y459" s="5">
        <v>899086978</v>
      </c>
      <c r="Z459" s="5">
        <v>50301215926</v>
      </c>
      <c r="AA459" s="5">
        <v>950000000</v>
      </c>
      <c r="AB459" s="5">
        <v>1734223646317</v>
      </c>
      <c r="AC459" s="5">
        <v>1130815321207</v>
      </c>
      <c r="AD459" s="36">
        <f t="shared" si="37"/>
        <v>48.828230289154845</v>
      </c>
      <c r="AE459" s="5">
        <v>1712269908419</v>
      </c>
      <c r="AF459" s="5">
        <v>1630159908419</v>
      </c>
      <c r="AG459" s="5">
        <v>45507932663</v>
      </c>
      <c r="AH459" s="5">
        <v>444283233295</v>
      </c>
      <c r="AI459" s="5">
        <v>14974166889</v>
      </c>
      <c r="AJ459" s="5">
        <v>0</v>
      </c>
      <c r="AK459" s="5">
        <v>0</v>
      </c>
      <c r="AL459" s="6">
        <v>0</v>
      </c>
      <c r="AM459" s="5">
        <v>0</v>
      </c>
      <c r="AN459" s="6">
        <v>149</v>
      </c>
      <c r="AO459" s="5">
        <v>2459511774540</v>
      </c>
      <c r="AP459" s="6">
        <v>83</v>
      </c>
      <c r="AQ459" s="5">
        <v>2471611666465</v>
      </c>
      <c r="AR459" s="5">
        <v>45164538497</v>
      </c>
      <c r="AS459" s="5">
        <v>14827933755</v>
      </c>
      <c r="AT459" s="5">
        <f t="shared" si="38"/>
        <v>30336604742</v>
      </c>
      <c r="AU459" s="36">
        <f t="shared" si="39"/>
        <v>204.5909109336994</v>
      </c>
      <c r="AV459" s="5">
        <v>1039214534565</v>
      </c>
      <c r="AW459" s="5">
        <v>157491169637</v>
      </c>
      <c r="AX459" s="5">
        <v>477929664216</v>
      </c>
      <c r="AY459" s="5">
        <v>727588277506</v>
      </c>
      <c r="AZ459" s="5">
        <v>554683980433</v>
      </c>
      <c r="BA459" s="5">
        <v>1153443220464</v>
      </c>
      <c r="BB459" s="5">
        <v>373223879042</v>
      </c>
      <c r="BC459" s="5">
        <v>3084503143668</v>
      </c>
      <c r="BD459" s="5">
        <v>1453216163235</v>
      </c>
      <c r="BE459" s="5">
        <v>554683980433</v>
      </c>
      <c r="BF459" s="5">
        <v>1076603000000</v>
      </c>
      <c r="BG459" s="5">
        <v>1499276066639</v>
      </c>
      <c r="BH459" s="5">
        <v>212993841780</v>
      </c>
      <c r="BI459" s="5">
        <v>0</v>
      </c>
      <c r="BJ459" s="48">
        <v>0</v>
      </c>
      <c r="BK459" s="5">
        <v>45507932663</v>
      </c>
      <c r="BL459" s="5">
        <v>0</v>
      </c>
      <c r="BM459" s="5">
        <v>0</v>
      </c>
      <c r="BN459" s="5">
        <v>444283233295</v>
      </c>
    </row>
    <row r="460" spans="1:66" x14ac:dyDescent="0.25">
      <c r="A460" s="17" t="s">
        <v>471</v>
      </c>
      <c r="B460" s="4">
        <v>2806</v>
      </c>
      <c r="C460" s="4" t="s">
        <v>477</v>
      </c>
      <c r="D460" s="5">
        <v>5743677835042</v>
      </c>
      <c r="E460" s="5">
        <v>218765438908</v>
      </c>
      <c r="F460" s="5">
        <v>0</v>
      </c>
      <c r="G460" s="5">
        <v>0</v>
      </c>
      <c r="H460" s="5">
        <v>5962443273950</v>
      </c>
      <c r="I460" s="5">
        <v>461628858889</v>
      </c>
      <c r="J460" s="5">
        <v>967044080</v>
      </c>
      <c r="K460" s="5">
        <v>5499847370981</v>
      </c>
      <c r="L460" s="5">
        <v>4279504100654</v>
      </c>
      <c r="M460" s="5">
        <f t="shared" si="35"/>
        <v>1682939173296</v>
      </c>
      <c r="N460" s="36">
        <f t="shared" si="36"/>
        <v>39.325565152252359</v>
      </c>
      <c r="O460" s="5">
        <v>2138953507889</v>
      </c>
      <c r="P460" s="36">
        <v>41.27</v>
      </c>
      <c r="Q460" s="6">
        <v>38.89</v>
      </c>
      <c r="R460" s="6">
        <v>0.16</v>
      </c>
      <c r="S460" s="5">
        <v>2351664443471</v>
      </c>
      <c r="T460" s="5">
        <v>3910281444</v>
      </c>
      <c r="U460" s="5">
        <v>3910281444</v>
      </c>
      <c r="V460" s="5">
        <v>0</v>
      </c>
      <c r="W460" s="5">
        <v>0</v>
      </c>
      <c r="X460" s="5">
        <v>2355574724915</v>
      </c>
      <c r="Y460" s="5">
        <v>78117093</v>
      </c>
      <c r="Z460" s="5">
        <v>94943315794</v>
      </c>
      <c r="AA460" s="5">
        <v>10467413000</v>
      </c>
      <c r="AB460" s="5">
        <v>2460985453709</v>
      </c>
      <c r="AC460" s="5">
        <v>1432598985915</v>
      </c>
      <c r="AD460" s="36">
        <f t="shared" si="37"/>
        <v>64.426664270636493</v>
      </c>
      <c r="AE460" s="5">
        <v>1834434054676</v>
      </c>
      <c r="AF460" s="5">
        <v>1803254054676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6">
        <v>0</v>
      </c>
      <c r="AM460" s="5">
        <v>0</v>
      </c>
      <c r="AN460" s="6">
        <v>382</v>
      </c>
      <c r="AO460" s="5">
        <v>2414436156881</v>
      </c>
      <c r="AP460" s="6">
        <v>89</v>
      </c>
      <c r="AQ460" s="5">
        <v>1204295211494</v>
      </c>
      <c r="AR460" s="5">
        <v>3910281444</v>
      </c>
      <c r="AS460" s="5">
        <v>632110407</v>
      </c>
      <c r="AT460" s="5">
        <f t="shared" si="38"/>
        <v>3278171037</v>
      </c>
      <c r="AU460" s="36">
        <f t="shared" si="39"/>
        <v>518.60735097816541</v>
      </c>
      <c r="AV460" s="5">
        <v>939685691183</v>
      </c>
      <c r="AW460" s="5">
        <v>90237641058</v>
      </c>
      <c r="AX460" s="5">
        <v>765420626254</v>
      </c>
      <c r="AY460" s="5">
        <v>1368089927507</v>
      </c>
      <c r="AZ460" s="5">
        <v>886999581281</v>
      </c>
      <c r="BA460" s="5">
        <v>2763294863664</v>
      </c>
      <c r="BB460" s="5">
        <v>800514661078</v>
      </c>
      <c r="BC460" s="5">
        <v>5962443273950</v>
      </c>
      <c r="BD460" s="5">
        <v>2352275992669</v>
      </c>
      <c r="BE460" s="5">
        <v>886999581281</v>
      </c>
      <c r="BF460" s="5">
        <v>2723167700000</v>
      </c>
      <c r="BG460" s="5">
        <v>1672984725676</v>
      </c>
      <c r="BH460" s="5">
        <v>161449329000</v>
      </c>
      <c r="BI460" s="5">
        <v>0</v>
      </c>
      <c r="BJ460" s="48">
        <v>0</v>
      </c>
      <c r="BK460" s="5">
        <v>0</v>
      </c>
      <c r="BL460" s="5">
        <v>0</v>
      </c>
      <c r="BM460" s="5">
        <v>0</v>
      </c>
      <c r="BN460" s="5">
        <v>0</v>
      </c>
    </row>
    <row r="461" spans="1:66" x14ac:dyDescent="0.25">
      <c r="A461" s="17" t="s">
        <v>471</v>
      </c>
      <c r="B461" s="4">
        <v>2807</v>
      </c>
      <c r="C461" s="4" t="s">
        <v>478</v>
      </c>
      <c r="D461" s="5">
        <v>2559633363950</v>
      </c>
      <c r="E461" s="5">
        <v>79861779417</v>
      </c>
      <c r="F461" s="5">
        <v>0</v>
      </c>
      <c r="G461" s="5">
        <v>0</v>
      </c>
      <c r="H461" s="5">
        <v>2639495143367</v>
      </c>
      <c r="I461" s="5">
        <v>243345313111</v>
      </c>
      <c r="J461" s="5">
        <v>64176960892</v>
      </c>
      <c r="K461" s="5">
        <v>2331972869364</v>
      </c>
      <c r="L461" s="5">
        <v>2217475698454</v>
      </c>
      <c r="M461" s="5">
        <f t="shared" si="35"/>
        <v>422019444913</v>
      </c>
      <c r="N461" s="36">
        <f t="shared" si="36"/>
        <v>19.031525134964383</v>
      </c>
      <c r="O461" s="5">
        <v>2863123977457</v>
      </c>
      <c r="P461" s="36">
        <v>117.33</v>
      </c>
      <c r="Q461" s="6">
        <v>122.78</v>
      </c>
      <c r="R461" s="6">
        <v>3.67</v>
      </c>
      <c r="S461" s="5">
        <v>2898579120984</v>
      </c>
      <c r="T461" s="5">
        <v>111824924991</v>
      </c>
      <c r="U461" s="5">
        <v>108619906611</v>
      </c>
      <c r="V461" s="5">
        <v>3036870808</v>
      </c>
      <c r="W461" s="5">
        <v>168147572</v>
      </c>
      <c r="X461" s="5">
        <v>3010404045975</v>
      </c>
      <c r="Y461" s="5">
        <v>1793352703</v>
      </c>
      <c r="Z461" s="5">
        <v>86420962741</v>
      </c>
      <c r="AA461" s="5">
        <v>0</v>
      </c>
      <c r="AB461" s="5">
        <v>3096825008716</v>
      </c>
      <c r="AC461" s="5">
        <v>1890948869529</v>
      </c>
      <c r="AD461" s="36">
        <f t="shared" si="37"/>
        <v>59.200711054912624</v>
      </c>
      <c r="AE461" s="5">
        <v>2781007375669</v>
      </c>
      <c r="AF461" s="5">
        <v>2615673617205</v>
      </c>
      <c r="AG461" s="5">
        <v>0</v>
      </c>
      <c r="AH461" s="5">
        <v>201945205</v>
      </c>
      <c r="AI461" s="5">
        <v>58406357078</v>
      </c>
      <c r="AJ461" s="5">
        <v>0</v>
      </c>
      <c r="AK461" s="5">
        <v>0</v>
      </c>
      <c r="AL461" s="6">
        <v>0</v>
      </c>
      <c r="AM461" s="5">
        <v>0</v>
      </c>
      <c r="AN461" s="6">
        <v>71</v>
      </c>
      <c r="AO461" s="5">
        <v>736976532694</v>
      </c>
      <c r="AP461" s="6">
        <v>119</v>
      </c>
      <c r="AQ461" s="5">
        <v>1304251941898</v>
      </c>
      <c r="AR461" s="5">
        <v>111824924991</v>
      </c>
      <c r="AS461" s="5">
        <v>12923453934</v>
      </c>
      <c r="AT461" s="5">
        <f t="shared" si="38"/>
        <v>98901471057</v>
      </c>
      <c r="AU461" s="36">
        <f t="shared" si="39"/>
        <v>765.28667616327027</v>
      </c>
      <c r="AV461" s="5">
        <v>1496633390664</v>
      </c>
      <c r="AW461" s="5">
        <v>499148491023</v>
      </c>
      <c r="AX461" s="5">
        <v>561908216673</v>
      </c>
      <c r="AY461" s="5">
        <v>1016162936437</v>
      </c>
      <c r="AZ461" s="5">
        <v>737794710840</v>
      </c>
      <c r="BA461" s="5">
        <v>396621378604</v>
      </c>
      <c r="BB461" s="5">
        <v>667555149894</v>
      </c>
      <c r="BC461" s="5">
        <v>2639495143367</v>
      </c>
      <c r="BD461" s="5">
        <v>1657932932527</v>
      </c>
      <c r="BE461" s="5">
        <v>737794710840</v>
      </c>
      <c r="BF461" s="5">
        <v>243767500000</v>
      </c>
      <c r="BG461" s="5">
        <v>1635713003464</v>
      </c>
      <c r="BH461" s="5">
        <v>1145294372205</v>
      </c>
      <c r="BI461" s="5">
        <v>0</v>
      </c>
      <c r="BJ461" s="48">
        <v>0</v>
      </c>
      <c r="BK461" s="5">
        <v>0</v>
      </c>
      <c r="BL461" s="5">
        <v>0</v>
      </c>
      <c r="BM461" s="5">
        <v>0</v>
      </c>
      <c r="BN461" s="5">
        <v>201945205</v>
      </c>
    </row>
    <row r="462" spans="1:66" x14ac:dyDescent="0.25">
      <c r="A462" s="17" t="s">
        <v>471</v>
      </c>
      <c r="B462" s="4">
        <v>2808</v>
      </c>
      <c r="C462" s="4" t="s">
        <v>479</v>
      </c>
      <c r="D462" s="5">
        <v>1560653591539</v>
      </c>
      <c r="E462" s="5">
        <v>164122192233</v>
      </c>
      <c r="F462" s="5">
        <v>0</v>
      </c>
      <c r="G462" s="5">
        <v>0</v>
      </c>
      <c r="H462" s="5">
        <v>1724775783772</v>
      </c>
      <c r="I462" s="5">
        <v>104442779555</v>
      </c>
      <c r="J462" s="5">
        <v>5066155250</v>
      </c>
      <c r="K462" s="5">
        <v>1615266848967</v>
      </c>
      <c r="L462" s="5">
        <v>1239315206332</v>
      </c>
      <c r="M462" s="5">
        <f t="shared" si="35"/>
        <v>485460577440</v>
      </c>
      <c r="N462" s="36">
        <f t="shared" si="36"/>
        <v>39.171679243476497</v>
      </c>
      <c r="O462" s="5">
        <v>1357802960096</v>
      </c>
      <c r="P462" s="36">
        <v>91.85</v>
      </c>
      <c r="Q462" s="6">
        <v>84.06</v>
      </c>
      <c r="R462" s="6">
        <v>1.67</v>
      </c>
      <c r="S462" s="5">
        <v>1410851577871</v>
      </c>
      <c r="T462" s="5">
        <v>26170673886</v>
      </c>
      <c r="U462" s="5">
        <v>19612331045</v>
      </c>
      <c r="V462" s="5">
        <v>6523336799</v>
      </c>
      <c r="W462" s="5">
        <v>35006042</v>
      </c>
      <c r="X462" s="5">
        <v>1437022251757</v>
      </c>
      <c r="Y462" s="5">
        <v>227185064</v>
      </c>
      <c r="Z462" s="5">
        <v>124998583886</v>
      </c>
      <c r="AA462" s="5">
        <v>22144668570</v>
      </c>
      <c r="AB462" s="5">
        <v>1584165504213</v>
      </c>
      <c r="AC462" s="5">
        <v>946952100011</v>
      </c>
      <c r="AD462" s="36">
        <f t="shared" si="37"/>
        <v>51.75236970701129</v>
      </c>
      <c r="AE462" s="5">
        <v>1286633475079</v>
      </c>
      <c r="AF462" s="5">
        <v>1286633475079</v>
      </c>
      <c r="AG462" s="5">
        <v>0</v>
      </c>
      <c r="AH462" s="5">
        <v>6637520127</v>
      </c>
      <c r="AI462" s="5">
        <v>0</v>
      </c>
      <c r="AJ462" s="5">
        <v>0</v>
      </c>
      <c r="AK462" s="5">
        <v>0</v>
      </c>
      <c r="AL462" s="6">
        <v>0</v>
      </c>
      <c r="AM462" s="5">
        <v>0</v>
      </c>
      <c r="AN462" s="6">
        <v>210</v>
      </c>
      <c r="AO462" s="5">
        <v>2259588201906</v>
      </c>
      <c r="AP462" s="6">
        <v>168</v>
      </c>
      <c r="AQ462" s="5">
        <v>3651179221250</v>
      </c>
      <c r="AR462" s="5">
        <v>26170673886</v>
      </c>
      <c r="AS462" s="5">
        <v>19354997814</v>
      </c>
      <c r="AT462" s="5">
        <f t="shared" si="38"/>
        <v>6815676072</v>
      </c>
      <c r="AU462" s="36">
        <f t="shared" si="39"/>
        <v>35.214036898883215</v>
      </c>
      <c r="AV462" s="5">
        <v>809429214469</v>
      </c>
      <c r="AW462" s="5">
        <v>121026013360</v>
      </c>
      <c r="AX462" s="5">
        <v>452987660984</v>
      </c>
      <c r="AY462" s="5">
        <v>418210498365</v>
      </c>
      <c r="AZ462" s="5">
        <v>444313132190</v>
      </c>
      <c r="BA462" s="5">
        <v>313289615320</v>
      </c>
      <c r="BB462" s="5">
        <v>408784763274</v>
      </c>
      <c r="BC462" s="5">
        <v>1724775783772</v>
      </c>
      <c r="BD462" s="5">
        <v>1035320351582</v>
      </c>
      <c r="BE462" s="5">
        <v>444313132190</v>
      </c>
      <c r="BF462" s="5">
        <v>245142300000</v>
      </c>
      <c r="BG462" s="5">
        <v>792124380159</v>
      </c>
      <c r="BH462" s="5">
        <v>494509094920</v>
      </c>
      <c r="BI462" s="5">
        <v>0</v>
      </c>
      <c r="BJ462" s="48">
        <v>0</v>
      </c>
      <c r="BK462" s="5">
        <v>0</v>
      </c>
      <c r="BL462" s="5">
        <v>0</v>
      </c>
      <c r="BM462" s="5">
        <v>0</v>
      </c>
      <c r="BN462" s="5">
        <v>6637520127</v>
      </c>
    </row>
    <row r="463" spans="1:66" x14ac:dyDescent="0.25">
      <c r="A463" s="17" t="s">
        <v>471</v>
      </c>
      <c r="B463" s="4">
        <v>2809</v>
      </c>
      <c r="C463" s="4" t="s">
        <v>480</v>
      </c>
      <c r="D463" s="5">
        <v>948502119315</v>
      </c>
      <c r="E463" s="5">
        <v>45194259763</v>
      </c>
      <c r="F463" s="5">
        <v>0</v>
      </c>
      <c r="G463" s="5">
        <v>0</v>
      </c>
      <c r="H463" s="5">
        <v>993696379078</v>
      </c>
      <c r="I463" s="5">
        <v>78782366083</v>
      </c>
      <c r="J463" s="5">
        <v>2681168999</v>
      </c>
      <c r="K463" s="5">
        <v>912232843996</v>
      </c>
      <c r="L463" s="5">
        <v>698544795647</v>
      </c>
      <c r="M463" s="5">
        <f t="shared" si="35"/>
        <v>295151583431</v>
      </c>
      <c r="N463" s="36">
        <f t="shared" si="36"/>
        <v>42.252348778524265</v>
      </c>
      <c r="O463" s="5">
        <v>1229600494037</v>
      </c>
      <c r="P463" s="36">
        <v>134.69</v>
      </c>
      <c r="Q463" s="6">
        <v>134.79</v>
      </c>
      <c r="R463" s="6">
        <v>5.08</v>
      </c>
      <c r="S463" s="5">
        <v>1234400478051</v>
      </c>
      <c r="T463" s="5">
        <v>67188542426</v>
      </c>
      <c r="U463" s="5">
        <v>43944501581</v>
      </c>
      <c r="V463" s="5">
        <v>16962482338</v>
      </c>
      <c r="W463" s="5">
        <v>6281558507</v>
      </c>
      <c r="X463" s="5">
        <v>1301589020477</v>
      </c>
      <c r="Y463" s="5">
        <v>823025588</v>
      </c>
      <c r="Z463" s="5">
        <v>35812789923</v>
      </c>
      <c r="AA463" s="5">
        <v>999280000</v>
      </c>
      <c r="AB463" s="5">
        <v>1338401090400</v>
      </c>
      <c r="AC463" s="5">
        <v>1126806663151</v>
      </c>
      <c r="AD463" s="36">
        <f t="shared" si="37"/>
        <v>15.511299590405239</v>
      </c>
      <c r="AE463" s="5">
        <v>686530126964</v>
      </c>
      <c r="AF463" s="5">
        <v>573850286562</v>
      </c>
      <c r="AG463" s="5">
        <v>0</v>
      </c>
      <c r="AH463" s="5">
        <v>0</v>
      </c>
      <c r="AI463" s="5">
        <v>29151465666</v>
      </c>
      <c r="AJ463" s="5">
        <v>0</v>
      </c>
      <c r="AK463" s="5">
        <v>0</v>
      </c>
      <c r="AL463" s="6">
        <v>0</v>
      </c>
      <c r="AM463" s="5">
        <v>0</v>
      </c>
      <c r="AN463" s="6">
        <v>117</v>
      </c>
      <c r="AO463" s="5">
        <v>1108454973027</v>
      </c>
      <c r="AP463" s="6">
        <v>21</v>
      </c>
      <c r="AQ463" s="5">
        <v>127411455799</v>
      </c>
      <c r="AR463" s="5">
        <v>67188542426</v>
      </c>
      <c r="AS463" s="5">
        <v>50863081120</v>
      </c>
      <c r="AT463" s="5">
        <f t="shared" si="38"/>
        <v>16325461306</v>
      </c>
      <c r="AU463" s="36">
        <f t="shared" si="39"/>
        <v>32.096878416554723</v>
      </c>
      <c r="AV463" s="5">
        <v>417334435986</v>
      </c>
      <c r="AW463" s="5">
        <v>202579303154</v>
      </c>
      <c r="AX463" s="5">
        <v>123746530551</v>
      </c>
      <c r="AY463" s="5">
        <v>441005034816</v>
      </c>
      <c r="AZ463" s="5">
        <v>213291334598</v>
      </c>
      <c r="BA463" s="5">
        <v>223529291174</v>
      </c>
      <c r="BB463" s="5">
        <v>145355002010</v>
      </c>
      <c r="BC463" s="5">
        <v>993696379078</v>
      </c>
      <c r="BD463" s="5">
        <v>609945825130</v>
      </c>
      <c r="BE463" s="5">
        <v>213291334598</v>
      </c>
      <c r="BF463" s="5">
        <v>170459219350</v>
      </c>
      <c r="BG463" s="5">
        <v>519141125594</v>
      </c>
      <c r="BH463" s="5">
        <v>167389001370</v>
      </c>
      <c r="BI463" s="5">
        <v>0</v>
      </c>
      <c r="BJ463" s="48">
        <v>0</v>
      </c>
      <c r="BK463" s="5">
        <v>0</v>
      </c>
      <c r="BL463" s="5">
        <v>0</v>
      </c>
      <c r="BM463" s="5">
        <v>0</v>
      </c>
      <c r="BN463" s="5">
        <v>0</v>
      </c>
    </row>
    <row r="464" spans="1:66" x14ac:dyDescent="0.25">
      <c r="A464" s="17" t="s">
        <v>471</v>
      </c>
      <c r="B464" s="4">
        <v>2810</v>
      </c>
      <c r="C464" s="4" t="s">
        <v>481</v>
      </c>
      <c r="D464" s="5">
        <v>1265081433787</v>
      </c>
      <c r="E464" s="5">
        <v>4804902229</v>
      </c>
      <c r="F464" s="5">
        <v>0</v>
      </c>
      <c r="G464" s="5">
        <v>0</v>
      </c>
      <c r="H464" s="5">
        <v>1269886336016</v>
      </c>
      <c r="I464" s="5">
        <v>107923459806</v>
      </c>
      <c r="J464" s="5">
        <v>5171139373</v>
      </c>
      <c r="K464" s="5">
        <v>1156791736837</v>
      </c>
      <c r="L464" s="5">
        <v>771151250523</v>
      </c>
      <c r="M464" s="5">
        <f t="shared" si="35"/>
        <v>498735085493</v>
      </c>
      <c r="N464" s="36">
        <f t="shared" si="36"/>
        <v>64.674094109910925</v>
      </c>
      <c r="O464" s="5">
        <v>1109313694792</v>
      </c>
      <c r="P464" s="36">
        <v>96.26</v>
      </c>
      <c r="Q464" s="6">
        <v>95.9</v>
      </c>
      <c r="R464" s="6">
        <v>1.59</v>
      </c>
      <c r="S464" s="5">
        <v>1167650203038</v>
      </c>
      <c r="T464" s="5">
        <v>19402355246</v>
      </c>
      <c r="U464" s="5">
        <v>18487511651</v>
      </c>
      <c r="V464" s="5">
        <v>914843595</v>
      </c>
      <c r="W464" s="5">
        <v>0</v>
      </c>
      <c r="X464" s="5">
        <v>1187052558284</v>
      </c>
      <c r="Y464" s="5">
        <v>9994579</v>
      </c>
      <c r="Z464" s="5">
        <v>27605159752</v>
      </c>
      <c r="AA464" s="5">
        <v>7700000000</v>
      </c>
      <c r="AB464" s="5">
        <v>1222357718036</v>
      </c>
      <c r="AC464" s="5">
        <v>692500213162</v>
      </c>
      <c r="AD464" s="36">
        <f t="shared" si="37"/>
        <v>71.415479117882512</v>
      </c>
      <c r="AE464" s="5">
        <v>829409466828</v>
      </c>
      <c r="AF464" s="5">
        <v>829409466828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6">
        <v>0</v>
      </c>
      <c r="AM464" s="5">
        <v>0</v>
      </c>
      <c r="AN464" s="6">
        <v>18</v>
      </c>
      <c r="AO464" s="5">
        <v>46115000000</v>
      </c>
      <c r="AP464" s="6">
        <v>9</v>
      </c>
      <c r="AQ464" s="5">
        <v>2486756000</v>
      </c>
      <c r="AR464" s="5">
        <v>19402355246</v>
      </c>
      <c r="AS464" s="5">
        <v>11535944010</v>
      </c>
      <c r="AT464" s="5">
        <f t="shared" si="38"/>
        <v>7866411236</v>
      </c>
      <c r="AU464" s="36">
        <f t="shared" si="39"/>
        <v>68.190442231523974</v>
      </c>
      <c r="AV464" s="5">
        <v>350065451584</v>
      </c>
      <c r="AW464" s="5">
        <v>87008513195</v>
      </c>
      <c r="AX464" s="5">
        <v>173794098882</v>
      </c>
      <c r="AY464" s="5">
        <v>422381898045</v>
      </c>
      <c r="AZ464" s="5">
        <v>343798836860</v>
      </c>
      <c r="BA464" s="5">
        <v>382525198580</v>
      </c>
      <c r="BB464" s="5">
        <v>311435987978</v>
      </c>
      <c r="BC464" s="5">
        <v>1269886336016</v>
      </c>
      <c r="BD464" s="5">
        <v>600980899156</v>
      </c>
      <c r="BE464" s="5">
        <v>343798836860</v>
      </c>
      <c r="BF464" s="5">
        <v>325106600000</v>
      </c>
      <c r="BG464" s="5">
        <v>659119639828</v>
      </c>
      <c r="BH464" s="5">
        <v>170289827000</v>
      </c>
      <c r="BI464" s="5">
        <v>0</v>
      </c>
      <c r="BJ464" s="48">
        <v>0</v>
      </c>
      <c r="BK464" s="5">
        <v>0</v>
      </c>
      <c r="BL464" s="5">
        <v>0</v>
      </c>
      <c r="BM464" s="5">
        <v>0</v>
      </c>
      <c r="BN464" s="5">
        <v>0</v>
      </c>
    </row>
    <row r="465" spans="1:66" x14ac:dyDescent="0.25">
      <c r="A465" s="17" t="s">
        <v>471</v>
      </c>
      <c r="B465" s="4">
        <v>2811</v>
      </c>
      <c r="C465" s="4" t="s">
        <v>482</v>
      </c>
      <c r="D465" s="5">
        <v>12372744232272</v>
      </c>
      <c r="E465" s="5">
        <v>308865042645</v>
      </c>
      <c r="F465" s="5">
        <v>4735000000</v>
      </c>
      <c r="G465" s="5">
        <v>0</v>
      </c>
      <c r="H465" s="5">
        <v>12686344274917</v>
      </c>
      <c r="I465" s="5">
        <v>799107926462</v>
      </c>
      <c r="J465" s="5">
        <v>26787845597</v>
      </c>
      <c r="K465" s="5">
        <v>11860448502858</v>
      </c>
      <c r="L465" s="5">
        <v>8159493156813</v>
      </c>
      <c r="M465" s="5">
        <f t="shared" si="35"/>
        <v>4526851118104</v>
      </c>
      <c r="N465" s="36">
        <f t="shared" si="36"/>
        <v>55.4795626530329</v>
      </c>
      <c r="O465" s="5">
        <v>4978464441163</v>
      </c>
      <c r="P465" s="36">
        <v>46.5</v>
      </c>
      <c r="Q465" s="6">
        <v>41.98</v>
      </c>
      <c r="R465" s="6">
        <v>3.66</v>
      </c>
      <c r="S465" s="5">
        <v>5403642832346</v>
      </c>
      <c r="T465" s="5">
        <v>173073909822</v>
      </c>
      <c r="U465" s="5">
        <v>138757483902</v>
      </c>
      <c r="V465" s="5">
        <v>12695242280</v>
      </c>
      <c r="W465" s="5">
        <v>21621183640</v>
      </c>
      <c r="X465" s="5">
        <v>5576716742168</v>
      </c>
      <c r="Y465" s="5">
        <v>42755589179</v>
      </c>
      <c r="Z465" s="5">
        <v>302296267163</v>
      </c>
      <c r="AA465" s="5">
        <v>20287489000</v>
      </c>
      <c r="AB465" s="5">
        <v>5899300498331</v>
      </c>
      <c r="AC465" s="5">
        <v>2927908688250</v>
      </c>
      <c r="AD465" s="36">
        <f t="shared" si="37"/>
        <v>90.467577235176094</v>
      </c>
      <c r="AE465" s="5">
        <v>8128738056312</v>
      </c>
      <c r="AF465" s="5">
        <v>7572940699909</v>
      </c>
      <c r="AG465" s="5">
        <v>0</v>
      </c>
      <c r="AH465" s="5">
        <v>2175184538220</v>
      </c>
      <c r="AI465" s="5">
        <v>47741212760</v>
      </c>
      <c r="AJ465" s="5">
        <v>0</v>
      </c>
      <c r="AK465" s="5">
        <v>0</v>
      </c>
      <c r="AL465" s="6">
        <v>0</v>
      </c>
      <c r="AM465" s="5">
        <v>0</v>
      </c>
      <c r="AN465" s="6">
        <v>333</v>
      </c>
      <c r="AO465" s="5">
        <v>5645898391525</v>
      </c>
      <c r="AP465" s="6">
        <v>293</v>
      </c>
      <c r="AQ465" s="5">
        <v>1686236620613</v>
      </c>
      <c r="AR465" s="5">
        <v>173073909822</v>
      </c>
      <c r="AS465" s="5">
        <v>33612362771</v>
      </c>
      <c r="AT465" s="5">
        <f t="shared" si="38"/>
        <v>139461547051</v>
      </c>
      <c r="AU465" s="36">
        <f t="shared" si="39"/>
        <v>414.9114657637943</v>
      </c>
      <c r="AV465" s="5">
        <v>5434730570204</v>
      </c>
      <c r="AW465" s="5">
        <v>374756597461</v>
      </c>
      <c r="AX465" s="5">
        <v>1042745055347</v>
      </c>
      <c r="AY465" s="5">
        <v>1008460218616</v>
      </c>
      <c r="AZ465" s="5">
        <v>8849385125344</v>
      </c>
      <c r="BA465" s="5">
        <v>1528056203041</v>
      </c>
      <c r="BB465" s="5">
        <v>5607955197195</v>
      </c>
      <c r="BC465" s="5">
        <v>12686344274917</v>
      </c>
      <c r="BD465" s="5">
        <v>2360070316608</v>
      </c>
      <c r="BE465" s="5">
        <v>8854120125344</v>
      </c>
      <c r="BF465" s="5">
        <v>1472153832965</v>
      </c>
      <c r="BG465" s="5">
        <v>7275759330511</v>
      </c>
      <c r="BH465" s="5">
        <v>852978725801</v>
      </c>
      <c r="BI465" s="5">
        <v>0</v>
      </c>
      <c r="BJ465" s="48">
        <v>0</v>
      </c>
      <c r="BK465" s="5">
        <v>0</v>
      </c>
      <c r="BL465" s="5">
        <v>0</v>
      </c>
      <c r="BM465" s="5">
        <v>0</v>
      </c>
      <c r="BN465" s="5">
        <v>2175184538220</v>
      </c>
    </row>
    <row r="466" spans="1:66" x14ac:dyDescent="0.25">
      <c r="A466" s="17" t="s">
        <v>471</v>
      </c>
      <c r="B466" s="4">
        <v>2812</v>
      </c>
      <c r="C466" s="4" t="s">
        <v>483</v>
      </c>
      <c r="D466" s="5">
        <v>3443675162282</v>
      </c>
      <c r="E466" s="5">
        <v>157054784799</v>
      </c>
      <c r="F466" s="5">
        <v>0</v>
      </c>
      <c r="G466" s="5">
        <v>0</v>
      </c>
      <c r="H466" s="5">
        <v>3600729947081</v>
      </c>
      <c r="I466" s="5">
        <v>228715876750</v>
      </c>
      <c r="J466" s="5">
        <v>98259878090</v>
      </c>
      <c r="K466" s="5">
        <v>3273754192241</v>
      </c>
      <c r="L466" s="5">
        <v>2221065212889</v>
      </c>
      <c r="M466" s="5">
        <f t="shared" si="35"/>
        <v>1379664734192</v>
      </c>
      <c r="N466" s="36">
        <f t="shared" si="36"/>
        <v>62.117254648161925</v>
      </c>
      <c r="O466" s="5">
        <v>2406417573623</v>
      </c>
      <c r="P466" s="36">
        <v>76.819999999999993</v>
      </c>
      <c r="Q466" s="6">
        <v>73.510000000000005</v>
      </c>
      <c r="R466" s="6">
        <v>0.73</v>
      </c>
      <c r="S466" s="5">
        <v>2609401863240</v>
      </c>
      <c r="T466" s="5">
        <v>20085430783</v>
      </c>
      <c r="U466" s="5">
        <v>17673652818</v>
      </c>
      <c r="V466" s="5">
        <v>2411777965</v>
      </c>
      <c r="W466" s="5">
        <v>0</v>
      </c>
      <c r="X466" s="5">
        <v>2629487294023</v>
      </c>
      <c r="Y466" s="5">
        <v>0</v>
      </c>
      <c r="Z466" s="5">
        <v>112684907107</v>
      </c>
      <c r="AA466" s="5">
        <v>23897750000</v>
      </c>
      <c r="AB466" s="5">
        <v>2766069951130</v>
      </c>
      <c r="AC466" s="5">
        <v>1220090950591</v>
      </c>
      <c r="AD466" s="36">
        <f t="shared" si="37"/>
        <v>115.51567879011826</v>
      </c>
      <c r="AE466" s="5">
        <v>2048377205860</v>
      </c>
      <c r="AF466" s="5">
        <v>2041707205860</v>
      </c>
      <c r="AG466" s="5">
        <v>0</v>
      </c>
      <c r="AH466" s="5">
        <v>1756174142</v>
      </c>
      <c r="AI466" s="5">
        <v>0</v>
      </c>
      <c r="AJ466" s="5">
        <v>0</v>
      </c>
      <c r="AK466" s="5">
        <v>0</v>
      </c>
      <c r="AL466" s="6">
        <v>0</v>
      </c>
      <c r="AM466" s="5">
        <v>0</v>
      </c>
      <c r="AN466" s="6">
        <v>216</v>
      </c>
      <c r="AO466" s="5">
        <v>3155902640577</v>
      </c>
      <c r="AP466" s="6">
        <v>109</v>
      </c>
      <c r="AQ466" s="5">
        <v>723549857331</v>
      </c>
      <c r="AR466" s="5">
        <v>20085430783</v>
      </c>
      <c r="AS466" s="5">
        <v>12279092844</v>
      </c>
      <c r="AT466" s="5">
        <f t="shared" si="38"/>
        <v>7806337939</v>
      </c>
      <c r="AU466" s="36">
        <f t="shared" si="39"/>
        <v>63.574223586186605</v>
      </c>
      <c r="AV466" s="5">
        <v>803119236175</v>
      </c>
      <c r="AW466" s="5">
        <v>227246969476</v>
      </c>
      <c r="AX466" s="5">
        <v>1470581991176</v>
      </c>
      <c r="AY466" s="5">
        <v>322614915964</v>
      </c>
      <c r="AZ466" s="5">
        <v>677091229542</v>
      </c>
      <c r="BA466" s="5">
        <v>1059116161596</v>
      </c>
      <c r="BB466" s="5">
        <v>556539216737</v>
      </c>
      <c r="BC466" s="5">
        <v>3600729947081</v>
      </c>
      <c r="BD466" s="5">
        <v>1950251691939</v>
      </c>
      <c r="BE466" s="5">
        <v>677091229542</v>
      </c>
      <c r="BF466" s="5">
        <v>973387025600</v>
      </c>
      <c r="BG466" s="5">
        <v>1501822114096</v>
      </c>
      <c r="BH466" s="5">
        <v>546555091764</v>
      </c>
      <c r="BI466" s="5">
        <v>0</v>
      </c>
      <c r="BJ466" s="48">
        <v>0</v>
      </c>
      <c r="BK466" s="5">
        <v>0</v>
      </c>
      <c r="BL466" s="5">
        <v>45084532</v>
      </c>
      <c r="BM466" s="5">
        <v>0</v>
      </c>
      <c r="BN466" s="5">
        <v>1668215961</v>
      </c>
    </row>
    <row r="467" spans="1:66" x14ac:dyDescent="0.25">
      <c r="A467" s="17" t="s">
        <v>471</v>
      </c>
      <c r="B467" s="4">
        <v>2813</v>
      </c>
      <c r="C467" s="4" t="s">
        <v>484</v>
      </c>
      <c r="D467" s="5">
        <v>1854628593189</v>
      </c>
      <c r="E467" s="5">
        <v>26341534181</v>
      </c>
      <c r="F467" s="5">
        <v>0</v>
      </c>
      <c r="G467" s="5">
        <v>0</v>
      </c>
      <c r="H467" s="5">
        <v>1880970127370</v>
      </c>
      <c r="I467" s="5">
        <v>130382468379</v>
      </c>
      <c r="J467" s="5">
        <v>28787260342</v>
      </c>
      <c r="K467" s="5">
        <v>1721800398649</v>
      </c>
      <c r="L467" s="5">
        <v>1207065956569</v>
      </c>
      <c r="M467" s="5">
        <f t="shared" si="35"/>
        <v>673904170801</v>
      </c>
      <c r="N467" s="36">
        <f t="shared" si="36"/>
        <v>55.829937637917084</v>
      </c>
      <c r="O467" s="5">
        <v>1147265786114</v>
      </c>
      <c r="P467" s="36">
        <v>67.349999999999994</v>
      </c>
      <c r="Q467" s="6">
        <v>66.63</v>
      </c>
      <c r="R467" s="6">
        <v>1.54</v>
      </c>
      <c r="S467" s="5">
        <v>1157951173994</v>
      </c>
      <c r="T467" s="5">
        <v>13918855956</v>
      </c>
      <c r="U467" s="5">
        <v>10565001959</v>
      </c>
      <c r="V467" s="5">
        <v>711723553</v>
      </c>
      <c r="W467" s="5">
        <v>2642130444</v>
      </c>
      <c r="X467" s="5">
        <v>1171870029950</v>
      </c>
      <c r="Y467" s="5">
        <v>5536494188</v>
      </c>
      <c r="Z467" s="5">
        <v>77830581164</v>
      </c>
      <c r="AA467" s="5">
        <v>17053683800</v>
      </c>
      <c r="AB467" s="5">
        <v>1266754294914</v>
      </c>
      <c r="AC467" s="5">
        <v>993805311840</v>
      </c>
      <c r="AD467" s="36">
        <f t="shared" si="37"/>
        <v>17.917464918789641</v>
      </c>
      <c r="AE467" s="5">
        <v>745251648634</v>
      </c>
      <c r="AF467" s="5">
        <v>728291648634</v>
      </c>
      <c r="AG467" s="5">
        <v>0</v>
      </c>
      <c r="AH467" s="5">
        <v>347631114</v>
      </c>
      <c r="AI467" s="5">
        <v>51728827311</v>
      </c>
      <c r="AJ467" s="5">
        <v>0</v>
      </c>
      <c r="AK467" s="5">
        <v>0</v>
      </c>
      <c r="AL467" s="6">
        <v>0</v>
      </c>
      <c r="AM467" s="5">
        <v>0</v>
      </c>
      <c r="AN467" s="6">
        <v>9</v>
      </c>
      <c r="AO467" s="5">
        <v>98347918731</v>
      </c>
      <c r="AP467" s="6">
        <v>28</v>
      </c>
      <c r="AQ467" s="5">
        <v>102485714065</v>
      </c>
      <c r="AR467" s="5">
        <v>13918855956</v>
      </c>
      <c r="AS467" s="5">
        <v>40567358065</v>
      </c>
      <c r="AT467" s="5">
        <f t="shared" si="38"/>
        <v>-26648502109</v>
      </c>
      <c r="AU467" s="36">
        <f t="shared" si="39"/>
        <v>-65.689518322346288</v>
      </c>
      <c r="AV467" s="5">
        <v>510829534112</v>
      </c>
      <c r="AW467" s="5">
        <v>139295325392</v>
      </c>
      <c r="AX467" s="5">
        <v>147660799408</v>
      </c>
      <c r="AY467" s="5">
        <v>737897891854</v>
      </c>
      <c r="AZ467" s="5">
        <v>645816101927</v>
      </c>
      <c r="BA467" s="5">
        <v>425349284848</v>
      </c>
      <c r="BB467" s="5">
        <v>561352783687</v>
      </c>
      <c r="BC467" s="5">
        <v>1880970127370</v>
      </c>
      <c r="BD467" s="5">
        <v>911900225443</v>
      </c>
      <c r="BE467" s="5">
        <v>643151101927</v>
      </c>
      <c r="BF467" s="5">
        <v>325918800000</v>
      </c>
      <c r="BG467" s="5">
        <v>612175195498</v>
      </c>
      <c r="BH467" s="5">
        <v>133076453136</v>
      </c>
      <c r="BI467" s="5">
        <v>0</v>
      </c>
      <c r="BJ467" s="48">
        <v>0</v>
      </c>
      <c r="BK467" s="5">
        <v>0</v>
      </c>
      <c r="BL467" s="5">
        <v>0</v>
      </c>
      <c r="BM467" s="5">
        <v>0</v>
      </c>
      <c r="BN467" s="5">
        <v>2488317620</v>
      </c>
    </row>
    <row r="468" spans="1:66" x14ac:dyDescent="0.25">
      <c r="A468" s="17" t="s">
        <v>471</v>
      </c>
      <c r="B468" s="18">
        <v>2814</v>
      </c>
      <c r="C468" s="18" t="s">
        <v>485</v>
      </c>
      <c r="D468" s="19">
        <v>2487623152597</v>
      </c>
      <c r="E468" s="19">
        <v>31985111472</v>
      </c>
      <c r="F468" s="19">
        <v>0</v>
      </c>
      <c r="G468" s="19">
        <v>0</v>
      </c>
      <c r="H468" s="19">
        <v>2519608264069</v>
      </c>
      <c r="I468" s="19">
        <v>178763229970</v>
      </c>
      <c r="J468" s="19">
        <v>6542887510</v>
      </c>
      <c r="K468" s="19">
        <v>2334302146589</v>
      </c>
      <c r="L468" s="19">
        <v>1461089006678</v>
      </c>
      <c r="M468" s="5">
        <f t="shared" si="35"/>
        <v>1058519257391</v>
      </c>
      <c r="N468" s="36">
        <f t="shared" si="36"/>
        <v>72.447280935861585</v>
      </c>
      <c r="O468" s="19">
        <v>774207116053</v>
      </c>
      <c r="P468" s="36">
        <v>36.86</v>
      </c>
      <c r="Q468" s="20">
        <v>33.17</v>
      </c>
      <c r="R468" s="20">
        <v>0.62</v>
      </c>
      <c r="S468" s="19">
        <v>861577879847</v>
      </c>
      <c r="T468" s="19">
        <v>5750360192</v>
      </c>
      <c r="U468" s="19">
        <v>5750360192</v>
      </c>
      <c r="V468" s="19">
        <v>0</v>
      </c>
      <c r="W468" s="19">
        <v>0</v>
      </c>
      <c r="X468" s="19">
        <v>867328240039</v>
      </c>
      <c r="Y468" s="5">
        <v>0</v>
      </c>
      <c r="Z468" s="19">
        <v>49234776463</v>
      </c>
      <c r="AA468" s="19">
        <v>12235153766</v>
      </c>
      <c r="AB468" s="19">
        <v>928798170268</v>
      </c>
      <c r="AC468" s="19">
        <v>721121612924</v>
      </c>
      <c r="AD468" s="36">
        <f t="shared" si="37"/>
        <v>20.274891848292018</v>
      </c>
      <c r="AE468" s="19">
        <v>534025912666</v>
      </c>
      <c r="AF468" s="19">
        <v>479132380831</v>
      </c>
      <c r="AG468" s="19">
        <v>0</v>
      </c>
      <c r="AH468" s="19">
        <v>0</v>
      </c>
      <c r="AI468" s="19">
        <v>0</v>
      </c>
      <c r="AJ468" s="19">
        <v>0</v>
      </c>
      <c r="AK468" s="19">
        <v>0</v>
      </c>
      <c r="AL468" s="20">
        <v>0</v>
      </c>
      <c r="AM468" s="19">
        <v>0</v>
      </c>
      <c r="AN468" s="21">
        <v>12</v>
      </c>
      <c r="AO468" s="19">
        <v>194374723776</v>
      </c>
      <c r="AP468" s="21">
        <v>9</v>
      </c>
      <c r="AQ468" s="19">
        <v>468811830378</v>
      </c>
      <c r="AR468" s="19">
        <v>5750360192</v>
      </c>
      <c r="AS468" s="19">
        <v>750267472</v>
      </c>
      <c r="AT468" s="5">
        <f t="shared" si="38"/>
        <v>5000092720</v>
      </c>
      <c r="AU468" s="36">
        <f t="shared" si="39"/>
        <v>666.44135679655324</v>
      </c>
      <c r="AV468" s="19">
        <v>348617478153</v>
      </c>
      <c r="AW468" s="19">
        <v>20699705286</v>
      </c>
      <c r="AX468" s="19">
        <v>476701869152</v>
      </c>
      <c r="AY468" s="19">
        <v>602408020898</v>
      </c>
      <c r="AZ468" s="19">
        <v>575246462547</v>
      </c>
      <c r="BA468" s="19">
        <v>853083553936</v>
      </c>
      <c r="BB468" s="19">
        <v>153431256514</v>
      </c>
      <c r="BC468" s="19">
        <v>2519608264069</v>
      </c>
      <c r="BD468" s="19">
        <v>1111095001522</v>
      </c>
      <c r="BE468" s="19">
        <v>575246462547</v>
      </c>
      <c r="BF468" s="19">
        <v>833266800000</v>
      </c>
      <c r="BG468" s="19">
        <v>379100048095</v>
      </c>
      <c r="BH468" s="19">
        <v>154925864571</v>
      </c>
      <c r="BI468" s="19">
        <v>0</v>
      </c>
      <c r="BJ468" s="50">
        <v>0</v>
      </c>
      <c r="BK468" s="19">
        <v>0</v>
      </c>
      <c r="BL468" s="19">
        <v>0</v>
      </c>
      <c r="BM468" s="19">
        <v>0</v>
      </c>
      <c r="BN468" s="19">
        <v>0</v>
      </c>
    </row>
    <row r="469" spans="1:66" x14ac:dyDescent="0.25">
      <c r="A469" s="17" t="s">
        <v>471</v>
      </c>
      <c r="B469" s="4">
        <v>2815</v>
      </c>
      <c r="C469" s="4" t="s">
        <v>486</v>
      </c>
      <c r="D469" s="5">
        <v>3030379616838</v>
      </c>
      <c r="E469" s="5">
        <v>99745264650</v>
      </c>
      <c r="F469" s="5">
        <v>0</v>
      </c>
      <c r="G469" s="5">
        <v>0</v>
      </c>
      <c r="H469" s="5">
        <v>3130124881488</v>
      </c>
      <c r="I469" s="5">
        <v>217582757804</v>
      </c>
      <c r="J469" s="5">
        <v>4613316000</v>
      </c>
      <c r="K469" s="5">
        <v>2907928807684</v>
      </c>
      <c r="L469" s="5">
        <v>2099015582347</v>
      </c>
      <c r="M469" s="5">
        <f t="shared" si="35"/>
        <v>1031109299141</v>
      </c>
      <c r="N469" s="36">
        <f t="shared" si="36"/>
        <v>49.123470440751667</v>
      </c>
      <c r="O469" s="5">
        <v>1259973195871</v>
      </c>
      <c r="P469" s="36">
        <v>44.29</v>
      </c>
      <c r="Q469" s="6">
        <v>43.33</v>
      </c>
      <c r="R469" s="6">
        <v>0.8</v>
      </c>
      <c r="S469" s="5">
        <v>1336660366198</v>
      </c>
      <c r="T469" s="5">
        <v>10195841636</v>
      </c>
      <c r="U469" s="5">
        <v>10195841636</v>
      </c>
      <c r="V469" s="5">
        <v>0</v>
      </c>
      <c r="W469" s="5">
        <v>0</v>
      </c>
      <c r="X469" s="5">
        <v>1346856207834</v>
      </c>
      <c r="Y469" s="5">
        <v>839003649</v>
      </c>
      <c r="Z469" s="5">
        <v>32650162217</v>
      </c>
      <c r="AA469" s="5">
        <v>6973610567</v>
      </c>
      <c r="AB469" s="5">
        <v>1386479980618</v>
      </c>
      <c r="AC469" s="5">
        <v>760050788809</v>
      </c>
      <c r="AD469" s="36">
        <f t="shared" si="37"/>
        <v>77.206079865336946</v>
      </c>
      <c r="AE469" s="5">
        <v>1122275390634</v>
      </c>
      <c r="AF469" s="5">
        <v>1122275390634</v>
      </c>
      <c r="AG469" s="5">
        <v>0</v>
      </c>
      <c r="AH469" s="5">
        <v>223440000</v>
      </c>
      <c r="AI469" s="5">
        <v>45335044896</v>
      </c>
      <c r="AJ469" s="5">
        <v>0</v>
      </c>
      <c r="AK469" s="5">
        <v>0</v>
      </c>
      <c r="AL469" s="6">
        <v>4</v>
      </c>
      <c r="AM469" s="5">
        <v>58694827470</v>
      </c>
      <c r="AN469" s="6">
        <v>201</v>
      </c>
      <c r="AO469" s="5">
        <v>1304265192088</v>
      </c>
      <c r="AP469" s="6">
        <v>112</v>
      </c>
      <c r="AQ469" s="5">
        <v>1462547236399</v>
      </c>
      <c r="AR469" s="5">
        <v>10195841636</v>
      </c>
      <c r="AS469" s="5">
        <v>596194111</v>
      </c>
      <c r="AT469" s="5">
        <f t="shared" si="38"/>
        <v>9599647525</v>
      </c>
      <c r="AU469" s="36">
        <f t="shared" si="39"/>
        <v>1610.1547042956283</v>
      </c>
      <c r="AV469" s="5">
        <v>559429247693</v>
      </c>
      <c r="AW469" s="5">
        <v>74495316806</v>
      </c>
      <c r="AX469" s="5">
        <v>420209518625</v>
      </c>
      <c r="AY469" s="5">
        <v>869271082527</v>
      </c>
      <c r="AZ469" s="5">
        <v>567144474037</v>
      </c>
      <c r="BA469" s="5">
        <v>1238092618053</v>
      </c>
      <c r="BB469" s="5">
        <v>472338174824</v>
      </c>
      <c r="BC469" s="5">
        <v>3130124881488</v>
      </c>
      <c r="BD469" s="5">
        <v>1389225865802</v>
      </c>
      <c r="BE469" s="5">
        <v>560959474037</v>
      </c>
      <c r="BF469" s="5">
        <v>1179939541649</v>
      </c>
      <c r="BG469" s="5">
        <v>827721509040</v>
      </c>
      <c r="BH469" s="5">
        <v>294553881594</v>
      </c>
      <c r="BI469" s="5">
        <v>0</v>
      </c>
      <c r="BJ469" s="48">
        <v>0</v>
      </c>
      <c r="BK469" s="5">
        <v>6068972060</v>
      </c>
      <c r="BL469" s="5">
        <v>0</v>
      </c>
      <c r="BM469" s="5">
        <v>0</v>
      </c>
      <c r="BN469" s="5">
        <v>223440000</v>
      </c>
    </row>
    <row r="470" spans="1:66" x14ac:dyDescent="0.25">
      <c r="A470" s="17" t="s">
        <v>471</v>
      </c>
      <c r="B470" s="4">
        <v>2816</v>
      </c>
      <c r="C470" s="4" t="s">
        <v>487</v>
      </c>
      <c r="D470" s="5">
        <v>1097243242260</v>
      </c>
      <c r="E470" s="5">
        <v>2195957566</v>
      </c>
      <c r="F470" s="5">
        <v>0</v>
      </c>
      <c r="G470" s="5">
        <v>0</v>
      </c>
      <c r="H470" s="5">
        <v>1099439199826</v>
      </c>
      <c r="I470" s="5">
        <v>90817131957</v>
      </c>
      <c r="J470" s="5">
        <v>2856889412</v>
      </c>
      <c r="K470" s="5">
        <v>1005765178457</v>
      </c>
      <c r="L470" s="5">
        <v>824465793467</v>
      </c>
      <c r="M470" s="5">
        <f t="shared" si="35"/>
        <v>274973406359</v>
      </c>
      <c r="N470" s="36">
        <f t="shared" si="36"/>
        <v>33.351705860675715</v>
      </c>
      <c r="O470" s="5">
        <v>554033441287</v>
      </c>
      <c r="P470" s="36">
        <v>56.85</v>
      </c>
      <c r="Q470" s="6">
        <v>55.09</v>
      </c>
      <c r="R470" s="6">
        <v>0.94</v>
      </c>
      <c r="S470" s="5">
        <v>576521557457</v>
      </c>
      <c r="T470" s="5">
        <v>5882706436</v>
      </c>
      <c r="U470" s="5">
        <v>5451561646</v>
      </c>
      <c r="V470" s="5">
        <v>431144790</v>
      </c>
      <c r="W470" s="5">
        <v>0</v>
      </c>
      <c r="X470" s="5">
        <v>582404263893</v>
      </c>
      <c r="Y470" s="5">
        <v>0</v>
      </c>
      <c r="Z470" s="5">
        <v>32519919606</v>
      </c>
      <c r="AA470" s="5">
        <v>10091220600</v>
      </c>
      <c r="AB470" s="5">
        <v>625015404099</v>
      </c>
      <c r="AC470" s="5">
        <v>426903847122</v>
      </c>
      <c r="AD470" s="36">
        <f t="shared" si="37"/>
        <v>36.425161735907544</v>
      </c>
      <c r="AE470" s="5">
        <v>452527624150</v>
      </c>
      <c r="AF470" s="5">
        <v>452527624150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6">
        <v>0</v>
      </c>
      <c r="AM470" s="5">
        <v>0</v>
      </c>
      <c r="AN470" s="6">
        <v>1</v>
      </c>
      <c r="AO470" s="5">
        <v>2793700000</v>
      </c>
      <c r="AP470" s="6">
        <v>6</v>
      </c>
      <c r="AQ470" s="5">
        <v>6606339785</v>
      </c>
      <c r="AR470" s="5">
        <v>5882706436</v>
      </c>
      <c r="AS470" s="5">
        <v>3253335122</v>
      </c>
      <c r="AT470" s="5">
        <f t="shared" si="38"/>
        <v>2629371314</v>
      </c>
      <c r="AU470" s="36">
        <f t="shared" si="39"/>
        <v>80.820795134796441</v>
      </c>
      <c r="AV470" s="5">
        <v>305908480031</v>
      </c>
      <c r="AW470" s="5">
        <v>74862038634</v>
      </c>
      <c r="AX470" s="5">
        <v>96758909023</v>
      </c>
      <c r="AY470" s="5">
        <v>353120554565</v>
      </c>
      <c r="AZ470" s="5">
        <v>79759778672</v>
      </c>
      <c r="BA470" s="5">
        <v>604258979648</v>
      </c>
      <c r="BB470" s="5">
        <v>16807394657</v>
      </c>
      <c r="BC470" s="5">
        <v>1099439199826</v>
      </c>
      <c r="BD470" s="5">
        <v>452075421154</v>
      </c>
      <c r="BE470" s="5">
        <v>79759778672</v>
      </c>
      <c r="BF470" s="5">
        <v>567604000000</v>
      </c>
      <c r="BG470" s="5">
        <v>228788824150</v>
      </c>
      <c r="BH470" s="5">
        <v>223738800000</v>
      </c>
      <c r="BI470" s="5">
        <v>0</v>
      </c>
      <c r="BJ470" s="48">
        <v>0</v>
      </c>
      <c r="BK470" s="5">
        <v>0</v>
      </c>
      <c r="BL470" s="5">
        <v>0</v>
      </c>
      <c r="BM470" s="5">
        <v>0</v>
      </c>
      <c r="BN470" s="5">
        <v>0</v>
      </c>
    </row>
    <row r="471" spans="1:66" x14ac:dyDescent="0.25">
      <c r="A471" s="17" t="s">
        <v>471</v>
      </c>
      <c r="B471" s="4">
        <v>2817</v>
      </c>
      <c r="C471" s="4" t="s">
        <v>488</v>
      </c>
      <c r="D471" s="5">
        <v>2307553039113</v>
      </c>
      <c r="E471" s="5">
        <v>14175007334</v>
      </c>
      <c r="F471" s="5">
        <v>0</v>
      </c>
      <c r="G471" s="5">
        <v>0</v>
      </c>
      <c r="H471" s="5">
        <v>2321728046447</v>
      </c>
      <c r="I471" s="5">
        <v>220047648354</v>
      </c>
      <c r="J471" s="5">
        <v>8662690375</v>
      </c>
      <c r="K471" s="5">
        <v>2093017707718</v>
      </c>
      <c r="L471" s="5">
        <v>1729644116052</v>
      </c>
      <c r="M471" s="5">
        <f t="shared" si="35"/>
        <v>592083930395</v>
      </c>
      <c r="N471" s="36">
        <f t="shared" si="36"/>
        <v>34.231546530303667</v>
      </c>
      <c r="O471" s="5">
        <v>900524848978</v>
      </c>
      <c r="P471" s="36">
        <v>40.89</v>
      </c>
      <c r="Q471" s="6">
        <v>43.03</v>
      </c>
      <c r="R471" s="6">
        <v>2.1</v>
      </c>
      <c r="S471" s="5">
        <v>900604185207</v>
      </c>
      <c r="T471" s="5">
        <v>19905789114</v>
      </c>
      <c r="U471" s="5">
        <v>19260946408</v>
      </c>
      <c r="V471" s="5">
        <v>644842706</v>
      </c>
      <c r="W471" s="5">
        <v>0</v>
      </c>
      <c r="X471" s="5">
        <v>920509974321</v>
      </c>
      <c r="Y471" s="5">
        <v>0</v>
      </c>
      <c r="Z471" s="5">
        <v>27370764222</v>
      </c>
      <c r="AA471" s="5">
        <v>1500000000</v>
      </c>
      <c r="AB471" s="5">
        <v>949380738543</v>
      </c>
      <c r="AC471" s="5">
        <v>583587785230</v>
      </c>
      <c r="AD471" s="36">
        <f t="shared" si="37"/>
        <v>57.732906277024689</v>
      </c>
      <c r="AE471" s="5">
        <v>692225541701</v>
      </c>
      <c r="AF471" s="5">
        <v>692225541701</v>
      </c>
      <c r="AG471" s="5">
        <v>0</v>
      </c>
      <c r="AH471" s="5">
        <v>13500000000</v>
      </c>
      <c r="AI471" s="5">
        <v>0</v>
      </c>
      <c r="AJ471" s="5">
        <v>0</v>
      </c>
      <c r="AK471" s="5">
        <v>0</v>
      </c>
      <c r="AL471" s="6">
        <v>0</v>
      </c>
      <c r="AM471" s="5">
        <v>0</v>
      </c>
      <c r="AN471" s="6">
        <v>24</v>
      </c>
      <c r="AO471" s="5">
        <v>70678712738</v>
      </c>
      <c r="AP471" s="6">
        <v>9</v>
      </c>
      <c r="AQ471" s="5">
        <v>118097260726</v>
      </c>
      <c r="AR471" s="5">
        <v>19905789114</v>
      </c>
      <c r="AS471" s="5">
        <v>8318446864</v>
      </c>
      <c r="AT471" s="5">
        <f t="shared" si="38"/>
        <v>11587342250</v>
      </c>
      <c r="AU471" s="36">
        <f t="shared" si="39"/>
        <v>139.29694376178443</v>
      </c>
      <c r="AV471" s="5">
        <v>373952276285</v>
      </c>
      <c r="AW471" s="5">
        <v>87595614076</v>
      </c>
      <c r="AX471" s="5">
        <v>207604419801</v>
      </c>
      <c r="AY471" s="5">
        <v>773793535288</v>
      </c>
      <c r="AZ471" s="5">
        <v>749086584024</v>
      </c>
      <c r="BA471" s="5">
        <v>675366153944</v>
      </c>
      <c r="BB471" s="5">
        <v>558111122252</v>
      </c>
      <c r="BC471" s="5">
        <v>2321728046447</v>
      </c>
      <c r="BD471" s="5">
        <v>995572962423</v>
      </c>
      <c r="BE471" s="5">
        <v>748086584024</v>
      </c>
      <c r="BF471" s="5">
        <v>578068500000</v>
      </c>
      <c r="BG471" s="5">
        <v>489791773142</v>
      </c>
      <c r="BH471" s="5">
        <v>202433768559</v>
      </c>
      <c r="BI471" s="5">
        <v>0</v>
      </c>
      <c r="BJ471" s="48">
        <v>0</v>
      </c>
      <c r="BK471" s="5">
        <v>0</v>
      </c>
      <c r="BL471" s="5">
        <v>0</v>
      </c>
      <c r="BM471" s="5">
        <v>0</v>
      </c>
      <c r="BN471" s="5">
        <v>13500000000</v>
      </c>
    </row>
    <row r="472" spans="1:66" x14ac:dyDescent="0.25">
      <c r="A472" s="17" t="s">
        <v>471</v>
      </c>
      <c r="B472" s="4">
        <v>2818</v>
      </c>
      <c r="C472" s="4" t="s">
        <v>489</v>
      </c>
      <c r="D472" s="5">
        <v>1318798671703</v>
      </c>
      <c r="E472" s="5">
        <v>238669861650</v>
      </c>
      <c r="F472" s="5">
        <v>0</v>
      </c>
      <c r="G472" s="5">
        <v>0</v>
      </c>
      <c r="H472" s="5">
        <v>1557468533353</v>
      </c>
      <c r="I472" s="5">
        <v>133985982531</v>
      </c>
      <c r="J472" s="5">
        <v>4062158000</v>
      </c>
      <c r="K472" s="5">
        <v>1419420392822</v>
      </c>
      <c r="L472" s="5">
        <v>1308980207643</v>
      </c>
      <c r="M472" s="5">
        <f t="shared" si="35"/>
        <v>248488325710</v>
      </c>
      <c r="N472" s="36">
        <f t="shared" si="36"/>
        <v>18.983352403581229</v>
      </c>
      <c r="O472" s="5">
        <v>915151963476</v>
      </c>
      <c r="P472" s="36">
        <v>65.16</v>
      </c>
      <c r="Q472" s="6">
        <v>64.47</v>
      </c>
      <c r="R472" s="6">
        <v>0.25</v>
      </c>
      <c r="S472" s="5">
        <v>970839662551</v>
      </c>
      <c r="T472" s="5">
        <v>2512150602</v>
      </c>
      <c r="U472" s="5">
        <v>2512150602</v>
      </c>
      <c r="V472" s="5">
        <v>0</v>
      </c>
      <c r="W472" s="5">
        <v>0</v>
      </c>
      <c r="X472" s="5">
        <v>973351813153</v>
      </c>
      <c r="Y472" s="5">
        <v>0</v>
      </c>
      <c r="Z472" s="5">
        <v>29586033659</v>
      </c>
      <c r="AA472" s="5">
        <v>11846000000</v>
      </c>
      <c r="AB472" s="5">
        <v>1014783846812</v>
      </c>
      <c r="AC472" s="5">
        <v>693834987732</v>
      </c>
      <c r="AD472" s="36">
        <f t="shared" si="37"/>
        <v>40.285778371408085</v>
      </c>
      <c r="AE472" s="5">
        <v>860613986169</v>
      </c>
      <c r="AF472" s="5">
        <v>850833986169</v>
      </c>
      <c r="AG472" s="5">
        <v>0</v>
      </c>
      <c r="AH472" s="5">
        <v>1889153369</v>
      </c>
      <c r="AI472" s="5">
        <v>8312844535</v>
      </c>
      <c r="AJ472" s="5">
        <v>0</v>
      </c>
      <c r="AK472" s="5">
        <v>0</v>
      </c>
      <c r="AL472" s="6">
        <v>0</v>
      </c>
      <c r="AM472" s="5">
        <v>0</v>
      </c>
      <c r="AN472" s="6">
        <v>254</v>
      </c>
      <c r="AO472" s="5">
        <v>3487837864053</v>
      </c>
      <c r="AP472" s="6">
        <v>148</v>
      </c>
      <c r="AQ472" s="5">
        <v>2509596467837</v>
      </c>
      <c r="AR472" s="5">
        <v>2512150602</v>
      </c>
      <c r="AS472" s="5">
        <v>0</v>
      </c>
      <c r="AT472" s="5">
        <f t="shared" si="38"/>
        <v>2512150602</v>
      </c>
      <c r="AU472" s="36">
        <f t="shared" si="39"/>
        <v>0</v>
      </c>
      <c r="AV472" s="5">
        <v>564324515029</v>
      </c>
      <c r="AW472" s="5">
        <v>125069661625</v>
      </c>
      <c r="AX472" s="5">
        <v>202309608331</v>
      </c>
      <c r="AY472" s="5">
        <v>694970160224</v>
      </c>
      <c r="AZ472" s="5">
        <v>244175923891</v>
      </c>
      <c r="BA472" s="5">
        <v>217790604349</v>
      </c>
      <c r="BB472" s="5">
        <v>166960370947</v>
      </c>
      <c r="BC472" s="5">
        <v>1557468533353</v>
      </c>
      <c r="BD472" s="5">
        <v>1135949630205</v>
      </c>
      <c r="BE472" s="5">
        <v>244175923891</v>
      </c>
      <c r="BF472" s="5">
        <v>177342979257</v>
      </c>
      <c r="BG472" s="5">
        <v>590068564327</v>
      </c>
      <c r="BH472" s="5">
        <v>270545421842</v>
      </c>
      <c r="BI472" s="5">
        <v>0</v>
      </c>
      <c r="BJ472" s="48">
        <v>0</v>
      </c>
      <c r="BK472" s="5">
        <v>0</v>
      </c>
      <c r="BL472" s="5">
        <v>0</v>
      </c>
      <c r="BM472" s="5">
        <v>0</v>
      </c>
      <c r="BN472" s="5">
        <v>1889153369</v>
      </c>
    </row>
    <row r="473" spans="1:66" x14ac:dyDescent="0.25">
      <c r="A473" s="17" t="s">
        <v>471</v>
      </c>
      <c r="B473" s="8">
        <v>2819</v>
      </c>
      <c r="C473" s="8" t="s">
        <v>490</v>
      </c>
      <c r="D473" s="9">
        <v>1173424544359</v>
      </c>
      <c r="E473" s="9">
        <v>55371964004</v>
      </c>
      <c r="F473" s="9">
        <v>0</v>
      </c>
      <c r="G473" s="9">
        <v>0</v>
      </c>
      <c r="H473" s="9">
        <v>1228796508363</v>
      </c>
      <c r="I473" s="9">
        <v>93958372897</v>
      </c>
      <c r="J473" s="9">
        <v>6682270758</v>
      </c>
      <c r="K473" s="9">
        <v>1128155864708</v>
      </c>
      <c r="L473" s="9">
        <v>751793522410</v>
      </c>
      <c r="M473" s="5">
        <f t="shared" si="35"/>
        <v>477002985953</v>
      </c>
      <c r="N473" s="36">
        <f t="shared" si="36"/>
        <v>63.448669313335806</v>
      </c>
      <c r="O473" s="9">
        <v>1035495232395</v>
      </c>
      <c r="P473" s="36">
        <v>93.27</v>
      </c>
      <c r="Q473" s="10">
        <v>91.79</v>
      </c>
      <c r="R473" s="10">
        <v>2.74</v>
      </c>
      <c r="S473" s="9">
        <v>1073796432014</v>
      </c>
      <c r="T473" s="9">
        <v>31419831414</v>
      </c>
      <c r="U473" s="9">
        <v>22562413260</v>
      </c>
      <c r="V473" s="9">
        <v>8857418154</v>
      </c>
      <c r="W473" s="9">
        <v>0</v>
      </c>
      <c r="X473" s="9">
        <v>1105216263428</v>
      </c>
      <c r="Y473" s="5">
        <v>0</v>
      </c>
      <c r="Z473" s="9">
        <v>34851931962</v>
      </c>
      <c r="AA473" s="9">
        <v>6014911000</v>
      </c>
      <c r="AB473" s="9">
        <v>1146083106390</v>
      </c>
      <c r="AC473" s="9">
        <v>881363739148</v>
      </c>
      <c r="AD473" s="36">
        <f t="shared" si="37"/>
        <v>25.398426817104436</v>
      </c>
      <c r="AE473" s="9">
        <v>657910299288</v>
      </c>
      <c r="AF473" s="9">
        <v>638340299288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10">
        <v>0</v>
      </c>
      <c r="AM473" s="9">
        <v>0</v>
      </c>
      <c r="AN473" s="11">
        <v>19</v>
      </c>
      <c r="AO473" s="9">
        <v>647461938159</v>
      </c>
      <c r="AP473" s="11">
        <v>17</v>
      </c>
      <c r="AQ473" s="9">
        <v>457689630099</v>
      </c>
      <c r="AR473" s="9">
        <v>31419831414</v>
      </c>
      <c r="AS473" s="9">
        <v>10711954584</v>
      </c>
      <c r="AT473" s="5">
        <f t="shared" si="38"/>
        <v>20707876830</v>
      </c>
      <c r="AU473" s="36">
        <f t="shared" si="39"/>
        <v>193.315577167686</v>
      </c>
      <c r="AV473" s="9">
        <v>419981807956</v>
      </c>
      <c r="AW473" s="9">
        <v>115105492499</v>
      </c>
      <c r="AX473" s="9">
        <v>104879012746</v>
      </c>
      <c r="AY473" s="9">
        <v>222453819446</v>
      </c>
      <c r="AZ473" s="9">
        <v>482934701821</v>
      </c>
      <c r="BA473" s="9">
        <v>367359307130</v>
      </c>
      <c r="BB473" s="9">
        <v>432383736937</v>
      </c>
      <c r="BC473" s="9">
        <v>1228796508363</v>
      </c>
      <c r="BD473" s="9">
        <v>382704796196</v>
      </c>
      <c r="BE473" s="9">
        <v>482934701821</v>
      </c>
      <c r="BF473" s="9">
        <v>363157010346</v>
      </c>
      <c r="BG473" s="9">
        <v>523406502220</v>
      </c>
      <c r="BH473" s="9">
        <v>134503797068</v>
      </c>
      <c r="BI473" s="9">
        <v>0</v>
      </c>
      <c r="BJ473" s="51">
        <v>0</v>
      </c>
      <c r="BK473" s="9">
        <v>0</v>
      </c>
      <c r="BL473" s="9">
        <v>0</v>
      </c>
      <c r="BM473" s="9">
        <v>0</v>
      </c>
      <c r="BN473" s="9">
        <v>0</v>
      </c>
    </row>
    <row r="474" spans="1:66" x14ac:dyDescent="0.25">
      <c r="A474" s="17" t="s">
        <v>471</v>
      </c>
      <c r="B474" s="4">
        <v>2820</v>
      </c>
      <c r="C474" s="4" t="s">
        <v>491</v>
      </c>
      <c r="D474" s="5">
        <v>574861030729</v>
      </c>
      <c r="E474" s="5">
        <v>5760850111</v>
      </c>
      <c r="F474" s="5">
        <v>0</v>
      </c>
      <c r="G474" s="5">
        <v>0</v>
      </c>
      <c r="H474" s="5">
        <v>580621880840</v>
      </c>
      <c r="I474" s="5">
        <v>39616404498</v>
      </c>
      <c r="J474" s="5">
        <v>4753210000</v>
      </c>
      <c r="K474" s="5">
        <v>536252266342</v>
      </c>
      <c r="L474" s="5">
        <v>234305254425</v>
      </c>
      <c r="M474" s="5">
        <f t="shared" si="35"/>
        <v>346316626415</v>
      </c>
      <c r="N474" s="36">
        <f t="shared" si="36"/>
        <v>147.80574480281419</v>
      </c>
      <c r="O474" s="5">
        <v>213302888172</v>
      </c>
      <c r="P474" s="36">
        <v>43.22</v>
      </c>
      <c r="Q474" s="6">
        <v>39.78</v>
      </c>
      <c r="R474" s="6">
        <v>0.21</v>
      </c>
      <c r="S474" s="5">
        <v>235021436375</v>
      </c>
      <c r="T474" s="5">
        <v>534274159</v>
      </c>
      <c r="U474" s="5">
        <v>534274159</v>
      </c>
      <c r="V474" s="5">
        <v>0</v>
      </c>
      <c r="W474" s="5">
        <v>0</v>
      </c>
      <c r="X474" s="5">
        <v>235555710534</v>
      </c>
      <c r="Y474" s="5">
        <v>0</v>
      </c>
      <c r="Z474" s="5">
        <v>15377817977</v>
      </c>
      <c r="AA474" s="5">
        <v>0</v>
      </c>
      <c r="AB474" s="5">
        <v>250933528511</v>
      </c>
      <c r="AC474" s="5">
        <v>127528438244</v>
      </c>
      <c r="AD474" s="36">
        <f t="shared" si="37"/>
        <v>84.708378599690491</v>
      </c>
      <c r="AE474" s="5">
        <v>177275240000</v>
      </c>
      <c r="AF474" s="5">
        <v>177275240000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6">
        <v>0</v>
      </c>
      <c r="AM474" s="5">
        <v>0</v>
      </c>
      <c r="AN474" s="6">
        <v>14</v>
      </c>
      <c r="AO474" s="5">
        <v>60545432216</v>
      </c>
      <c r="AP474" s="6">
        <v>3</v>
      </c>
      <c r="AQ474" s="5">
        <v>12922200000</v>
      </c>
      <c r="AR474" s="5">
        <v>534274159</v>
      </c>
      <c r="AS474" s="5">
        <v>0</v>
      </c>
      <c r="AT474" s="5">
        <f t="shared" si="38"/>
        <v>534274159</v>
      </c>
      <c r="AU474" s="36">
        <f t="shared" si="39"/>
        <v>0</v>
      </c>
      <c r="AV474" s="5">
        <v>76561509673</v>
      </c>
      <c r="AW474" s="5">
        <v>4070978077</v>
      </c>
      <c r="AX474" s="5">
        <v>42233407482</v>
      </c>
      <c r="AY474" s="5">
        <v>138839843243</v>
      </c>
      <c r="AZ474" s="5">
        <v>179071780004</v>
      </c>
      <c r="BA474" s="5">
        <v>214716000000</v>
      </c>
      <c r="BB474" s="5">
        <v>176385083647</v>
      </c>
      <c r="BC474" s="5">
        <v>580621880840</v>
      </c>
      <c r="BD474" s="5">
        <v>186834100836</v>
      </c>
      <c r="BE474" s="5">
        <v>179071780004</v>
      </c>
      <c r="BF474" s="5">
        <v>214716000000</v>
      </c>
      <c r="BG474" s="5">
        <v>100500000000</v>
      </c>
      <c r="BH474" s="5">
        <v>76775240000</v>
      </c>
      <c r="BI474" s="5">
        <v>0</v>
      </c>
      <c r="BJ474" s="48">
        <v>0</v>
      </c>
      <c r="BK474" s="5">
        <v>0</v>
      </c>
      <c r="BL474" s="5">
        <v>0</v>
      </c>
      <c r="BM474" s="5">
        <v>0</v>
      </c>
      <c r="BN474" s="5">
        <v>0</v>
      </c>
    </row>
    <row r="475" spans="1:66" x14ac:dyDescent="0.25">
      <c r="A475" s="17" t="s">
        <v>471</v>
      </c>
      <c r="B475" s="4">
        <v>2821</v>
      </c>
      <c r="C475" s="4" t="s">
        <v>492</v>
      </c>
      <c r="D475" s="5">
        <v>475215560439</v>
      </c>
      <c r="E475" s="5">
        <v>34624303373</v>
      </c>
      <c r="F475" s="5">
        <v>0</v>
      </c>
      <c r="G475" s="5">
        <v>0</v>
      </c>
      <c r="H475" s="5">
        <v>509839863812</v>
      </c>
      <c r="I475" s="5">
        <v>27817542704</v>
      </c>
      <c r="J475" s="5">
        <v>2927195000</v>
      </c>
      <c r="K475" s="5">
        <v>479095126108</v>
      </c>
      <c r="L475" s="5">
        <v>305447558761</v>
      </c>
      <c r="M475" s="5">
        <f t="shared" si="35"/>
        <v>204392305051</v>
      </c>
      <c r="N475" s="36">
        <f t="shared" si="36"/>
        <v>66.915678056189179</v>
      </c>
      <c r="O475" s="5">
        <v>330538028266</v>
      </c>
      <c r="P475" s="36">
        <v>73.09</v>
      </c>
      <c r="Q475" s="6">
        <v>68.989999999999995</v>
      </c>
      <c r="R475" s="6">
        <v>1.18</v>
      </c>
      <c r="S475" s="5">
        <v>336071122472</v>
      </c>
      <c r="T475" s="5">
        <v>4402565528</v>
      </c>
      <c r="U475" s="5">
        <v>4402565528</v>
      </c>
      <c r="V475" s="5">
        <v>0</v>
      </c>
      <c r="W475" s="5">
        <v>0</v>
      </c>
      <c r="X475" s="5">
        <v>340473688000</v>
      </c>
      <c r="Y475" s="5">
        <v>0</v>
      </c>
      <c r="Z475" s="5">
        <v>23564444825</v>
      </c>
      <c r="AA475" s="5">
        <v>8612967150</v>
      </c>
      <c r="AB475" s="5">
        <v>372651099975</v>
      </c>
      <c r="AC475" s="5">
        <v>56673696204</v>
      </c>
      <c r="AD475" s="36">
        <f t="shared" si="37"/>
        <v>500.76139515313554</v>
      </c>
      <c r="AE475" s="5">
        <v>368721420675</v>
      </c>
      <c r="AF475" s="5">
        <v>368721420675</v>
      </c>
      <c r="AG475" s="5">
        <v>0</v>
      </c>
      <c r="AH475" s="5">
        <v>0</v>
      </c>
      <c r="AI475" s="5">
        <v>4480506726</v>
      </c>
      <c r="AJ475" s="5">
        <v>0</v>
      </c>
      <c r="AK475" s="5">
        <v>0</v>
      </c>
      <c r="AL475" s="6">
        <v>0</v>
      </c>
      <c r="AM475" s="5">
        <v>0</v>
      </c>
      <c r="AN475" s="6">
        <v>31</v>
      </c>
      <c r="AO475" s="5">
        <v>648839114211</v>
      </c>
      <c r="AP475" s="6">
        <v>7</v>
      </c>
      <c r="AQ475" s="5">
        <v>178856064480</v>
      </c>
      <c r="AR475" s="5">
        <v>4402565528</v>
      </c>
      <c r="AS475" s="5">
        <v>0</v>
      </c>
      <c r="AT475" s="5">
        <f t="shared" si="38"/>
        <v>4402565528</v>
      </c>
      <c r="AU475" s="36">
        <f t="shared" si="39"/>
        <v>0</v>
      </c>
      <c r="AV475" s="5">
        <v>90515192838</v>
      </c>
      <c r="AW475" s="5">
        <v>12969637294</v>
      </c>
      <c r="AX475" s="5">
        <v>140263301320</v>
      </c>
      <c r="AY475" s="5">
        <v>138577416318</v>
      </c>
      <c r="AZ475" s="5">
        <v>145896842801</v>
      </c>
      <c r="BA475" s="5">
        <v>53718912500</v>
      </c>
      <c r="BB475" s="5">
        <v>144311774820</v>
      </c>
      <c r="BC475" s="5">
        <v>509839863812</v>
      </c>
      <c r="BD475" s="5">
        <v>313465021011</v>
      </c>
      <c r="BE475" s="5">
        <v>145896842801</v>
      </c>
      <c r="BF475" s="5">
        <v>50478000000</v>
      </c>
      <c r="BG475" s="5">
        <v>311663220675</v>
      </c>
      <c r="BH475" s="5">
        <v>57058200000</v>
      </c>
      <c r="BI475" s="5">
        <v>0</v>
      </c>
      <c r="BJ475" s="48">
        <v>0</v>
      </c>
      <c r="BK475" s="5">
        <v>0</v>
      </c>
      <c r="BL475" s="5">
        <v>0</v>
      </c>
      <c r="BM475" s="5">
        <v>0</v>
      </c>
      <c r="BN475" s="5">
        <v>0</v>
      </c>
    </row>
    <row r="476" spans="1:66" x14ac:dyDescent="0.25">
      <c r="A476" s="17" t="s">
        <v>471</v>
      </c>
      <c r="B476" s="4">
        <v>2822</v>
      </c>
      <c r="C476" s="4" t="s">
        <v>493</v>
      </c>
      <c r="D476" s="5">
        <v>1216756879056</v>
      </c>
      <c r="E476" s="5">
        <v>7878929793</v>
      </c>
      <c r="F476" s="5">
        <v>0</v>
      </c>
      <c r="G476" s="5">
        <v>0</v>
      </c>
      <c r="H476" s="5">
        <v>1224635808849</v>
      </c>
      <c r="I476" s="5">
        <v>117713558197</v>
      </c>
      <c r="J476" s="5">
        <v>1692036000</v>
      </c>
      <c r="K476" s="5">
        <v>1105230214652</v>
      </c>
      <c r="L476" s="5">
        <v>405828760903</v>
      </c>
      <c r="M476" s="5">
        <f t="shared" si="35"/>
        <v>818807047946</v>
      </c>
      <c r="N476" s="36">
        <f t="shared" si="36"/>
        <v>201.76171006808187</v>
      </c>
      <c r="O476" s="5">
        <v>1125543648722</v>
      </c>
      <c r="P476" s="36">
        <v>97.25</v>
      </c>
      <c r="Q476" s="6">
        <v>101.84</v>
      </c>
      <c r="R476" s="6">
        <v>2.14</v>
      </c>
      <c r="S476" s="5">
        <v>1140658976350</v>
      </c>
      <c r="T476" s="5">
        <v>25496132981</v>
      </c>
      <c r="U476" s="5">
        <v>25496132981</v>
      </c>
      <c r="V476" s="5">
        <v>0</v>
      </c>
      <c r="W476" s="5">
        <v>0</v>
      </c>
      <c r="X476" s="5">
        <v>1166155109331</v>
      </c>
      <c r="Y476" s="5">
        <v>0</v>
      </c>
      <c r="Z476" s="5">
        <v>21109375946</v>
      </c>
      <c r="AA476" s="5">
        <v>3710600000</v>
      </c>
      <c r="AB476" s="5">
        <v>1190975085277</v>
      </c>
      <c r="AC476" s="5">
        <v>275678644600</v>
      </c>
      <c r="AD476" s="36">
        <f t="shared" si="37"/>
        <v>323.01249377624083</v>
      </c>
      <c r="AE476" s="5">
        <v>1213465460033</v>
      </c>
      <c r="AF476" s="5">
        <v>1213465460033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6">
        <v>0</v>
      </c>
      <c r="AM476" s="5">
        <v>0</v>
      </c>
      <c r="AN476" s="6">
        <v>12</v>
      </c>
      <c r="AO476" s="5">
        <v>29806108619</v>
      </c>
      <c r="AP476" s="6">
        <v>16</v>
      </c>
      <c r="AQ476" s="5">
        <v>25120173600</v>
      </c>
      <c r="AR476" s="5">
        <v>25496132981</v>
      </c>
      <c r="AS476" s="5">
        <v>880645636</v>
      </c>
      <c r="AT476" s="5">
        <f t="shared" si="38"/>
        <v>24615487345</v>
      </c>
      <c r="AU476" s="36">
        <f t="shared" si="39"/>
        <v>2795.1637229256653</v>
      </c>
      <c r="AV476" s="5">
        <v>336464179934</v>
      </c>
      <c r="AW476" s="5">
        <v>54193630188</v>
      </c>
      <c r="AX476" s="5">
        <v>120204780178</v>
      </c>
      <c r="AY476" s="5">
        <v>637963519737</v>
      </c>
      <c r="AZ476" s="5">
        <v>323786579141</v>
      </c>
      <c r="BA476" s="5">
        <v>397880090548</v>
      </c>
      <c r="BB476" s="5">
        <v>322896293980</v>
      </c>
      <c r="BC476" s="5">
        <v>1224635808849</v>
      </c>
      <c r="BD476" s="5">
        <v>766047229708</v>
      </c>
      <c r="BE476" s="5">
        <v>323786579141</v>
      </c>
      <c r="BF476" s="5">
        <v>134802000000</v>
      </c>
      <c r="BG476" s="5">
        <v>953486000033</v>
      </c>
      <c r="BH476" s="5">
        <v>259979460000</v>
      </c>
      <c r="BI476" s="5">
        <v>0</v>
      </c>
      <c r="BJ476" s="48">
        <v>0</v>
      </c>
      <c r="BK476" s="5">
        <v>0</v>
      </c>
      <c r="BL476" s="5">
        <v>0</v>
      </c>
      <c r="BM476" s="5">
        <v>0</v>
      </c>
      <c r="BN476" s="5">
        <v>0</v>
      </c>
    </row>
    <row r="477" spans="1:66" s="32" customFormat="1" x14ac:dyDescent="0.25">
      <c r="A477" s="17" t="s">
        <v>471</v>
      </c>
      <c r="B477" s="8">
        <v>2899</v>
      </c>
      <c r="C477" s="8" t="s">
        <v>494</v>
      </c>
      <c r="D477" s="9">
        <v>0</v>
      </c>
      <c r="E477" s="9">
        <v>1257060000</v>
      </c>
      <c r="F477" s="9">
        <v>0</v>
      </c>
      <c r="G477" s="9">
        <v>0</v>
      </c>
      <c r="H477" s="9">
        <v>1257060000</v>
      </c>
      <c r="I477" s="9">
        <v>89509520</v>
      </c>
      <c r="J477" s="9">
        <v>7146000000</v>
      </c>
      <c r="K477" s="9">
        <v>-5978449520</v>
      </c>
      <c r="L477" s="9">
        <v>692660000</v>
      </c>
      <c r="M477" s="5">
        <f t="shared" si="35"/>
        <v>564400000</v>
      </c>
      <c r="N477" s="36">
        <f t="shared" si="36"/>
        <v>81.482978661969796</v>
      </c>
      <c r="O477" s="9">
        <v>0</v>
      </c>
      <c r="P477" s="36">
        <v>0</v>
      </c>
      <c r="Q477" s="10">
        <v>0</v>
      </c>
      <c r="R477" s="10">
        <v>0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36">
        <f t="shared" si="37"/>
        <v>0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10">
        <v>0</v>
      </c>
      <c r="AM477" s="9">
        <v>0</v>
      </c>
      <c r="AN477" s="11">
        <v>0</v>
      </c>
      <c r="AO477" s="9">
        <v>0</v>
      </c>
      <c r="AP477" s="11">
        <v>0</v>
      </c>
      <c r="AQ477" s="9">
        <v>0</v>
      </c>
      <c r="AR477" s="9">
        <v>0</v>
      </c>
      <c r="AS477" s="9">
        <v>0</v>
      </c>
      <c r="AT477" s="5">
        <f t="shared" si="38"/>
        <v>0</v>
      </c>
      <c r="AU477" s="36">
        <f t="shared" si="39"/>
        <v>0</v>
      </c>
      <c r="AV477" s="9">
        <v>0</v>
      </c>
      <c r="AW477" s="9">
        <v>0</v>
      </c>
      <c r="AX477" s="9">
        <v>0</v>
      </c>
      <c r="AY477" s="9">
        <v>0</v>
      </c>
      <c r="AZ477" s="9">
        <v>0</v>
      </c>
      <c r="BA477" s="9">
        <v>0</v>
      </c>
      <c r="BB477" s="9">
        <v>0</v>
      </c>
      <c r="BC477" s="9">
        <v>1257060000</v>
      </c>
      <c r="BD477" s="9">
        <v>1257060000</v>
      </c>
      <c r="BE477" s="9">
        <v>0</v>
      </c>
      <c r="BF477" s="9">
        <v>0</v>
      </c>
      <c r="BG477" s="9">
        <v>0</v>
      </c>
      <c r="BH477" s="9">
        <v>0</v>
      </c>
      <c r="BI477" s="9">
        <v>0</v>
      </c>
      <c r="BJ477" s="51">
        <v>0</v>
      </c>
      <c r="BK477" s="9">
        <v>0</v>
      </c>
      <c r="BL477" s="9">
        <v>0</v>
      </c>
      <c r="BM477" s="9">
        <v>0</v>
      </c>
      <c r="BN477" s="9">
        <v>0</v>
      </c>
    </row>
    <row r="478" spans="1:66" x14ac:dyDescent="0.25">
      <c r="A478" s="30" t="s">
        <v>615</v>
      </c>
      <c r="B478" s="13" t="s">
        <v>625</v>
      </c>
      <c r="C478" s="13" t="s">
        <v>625</v>
      </c>
      <c r="D478" s="14">
        <v>57786001434130</v>
      </c>
      <c r="E478" s="14">
        <v>3119941042798</v>
      </c>
      <c r="F478" s="14">
        <v>4735000000</v>
      </c>
      <c r="G478" s="14">
        <v>10047900743</v>
      </c>
      <c r="H478" s="14">
        <v>60920725377671</v>
      </c>
      <c r="I478" s="14">
        <v>4449143197996</v>
      </c>
      <c r="J478" s="14">
        <v>391373878974</v>
      </c>
      <c r="K478" s="14">
        <v>56080208300701</v>
      </c>
      <c r="L478" s="14">
        <v>41707647772003</v>
      </c>
      <c r="M478" s="14">
        <f t="shared" si="35"/>
        <v>19213077605668</v>
      </c>
      <c r="N478" s="41">
        <f t="shared" si="36"/>
        <v>46.066078122404015</v>
      </c>
      <c r="O478" s="14">
        <v>41294955980196</v>
      </c>
      <c r="P478" s="41">
        <v>81.89</v>
      </c>
      <c r="Q478" s="15">
        <v>73.64</v>
      </c>
      <c r="R478" s="15">
        <v>1.9</v>
      </c>
      <c r="S478" s="14">
        <v>47041885803359</v>
      </c>
      <c r="T478" s="14">
        <v>862131046135</v>
      </c>
      <c r="U478" s="14">
        <v>657902500907</v>
      </c>
      <c r="V478" s="14">
        <v>153005792455</v>
      </c>
      <c r="W478" s="14">
        <v>51222752773</v>
      </c>
      <c r="X478" s="14">
        <v>47904016849494</v>
      </c>
      <c r="Y478" s="14">
        <v>85912804528</v>
      </c>
      <c r="Z478" s="14">
        <v>1771100355943</v>
      </c>
      <c r="AA478" s="14">
        <v>211677528260</v>
      </c>
      <c r="AB478" s="14">
        <v>49886794733697</v>
      </c>
      <c r="AC478" s="14">
        <v>31308688334870</v>
      </c>
      <c r="AD478" s="41">
        <f t="shared" si="37"/>
        <v>53.005505491397351</v>
      </c>
      <c r="AE478" s="14">
        <v>37825623126924</v>
      </c>
      <c r="AF478" s="14">
        <v>35171174313264</v>
      </c>
      <c r="AG478" s="14">
        <v>109307932663</v>
      </c>
      <c r="AH478" s="14">
        <v>2717150787190</v>
      </c>
      <c r="AI478" s="14">
        <v>690900770684</v>
      </c>
      <c r="AJ478" s="14">
        <v>0</v>
      </c>
      <c r="AK478" s="14">
        <v>0</v>
      </c>
      <c r="AL478" s="15">
        <v>12</v>
      </c>
      <c r="AM478" s="14">
        <v>601633202874</v>
      </c>
      <c r="AN478" s="16">
        <v>3255</v>
      </c>
      <c r="AO478" s="14">
        <v>36638283831190</v>
      </c>
      <c r="AP478" s="16">
        <v>2503</v>
      </c>
      <c r="AQ478" s="14">
        <v>27211903945719</v>
      </c>
      <c r="AR478" s="14">
        <v>862131046135</v>
      </c>
      <c r="AS478" s="14">
        <v>388401907129</v>
      </c>
      <c r="AT478" s="14">
        <f t="shared" si="38"/>
        <v>473729139006</v>
      </c>
      <c r="AU478" s="41">
        <f t="shared" si="39"/>
        <v>121.96879837890711</v>
      </c>
      <c r="AV478" s="14">
        <v>21401085326931</v>
      </c>
      <c r="AW478" s="14">
        <v>4132446570364</v>
      </c>
      <c r="AX478" s="14">
        <v>9432216494365</v>
      </c>
      <c r="AY478" s="14">
        <v>14536722149215</v>
      </c>
      <c r="AZ478" s="14">
        <v>19420957898017</v>
      </c>
      <c r="BA478" s="14">
        <v>16495077465517</v>
      </c>
      <c r="BB478" s="14">
        <v>13708389547200</v>
      </c>
      <c r="BC478" s="14">
        <v>60920725377671</v>
      </c>
      <c r="BD478" s="14">
        <v>26943628199113</v>
      </c>
      <c r="BE478" s="14">
        <v>19415566898017</v>
      </c>
      <c r="BF478" s="14">
        <v>14561530280541</v>
      </c>
      <c r="BG478" s="14">
        <v>29751317345201</v>
      </c>
      <c r="BH478" s="14">
        <v>8074305781723</v>
      </c>
      <c r="BI478" s="14">
        <v>0</v>
      </c>
      <c r="BJ478" s="49">
        <v>0</v>
      </c>
      <c r="BK478" s="14">
        <v>115376904723</v>
      </c>
      <c r="BL478" s="14">
        <v>302813473</v>
      </c>
      <c r="BM478" s="14">
        <v>160404796</v>
      </c>
      <c r="BN478" s="14">
        <v>2719289286017</v>
      </c>
    </row>
    <row r="479" spans="1:66" x14ac:dyDescent="0.25">
      <c r="A479" s="17" t="s">
        <v>495</v>
      </c>
      <c r="B479" s="4">
        <v>2900</v>
      </c>
      <c r="C479" s="4" t="s">
        <v>495</v>
      </c>
      <c r="D479" s="5">
        <v>3719954022482</v>
      </c>
      <c r="E479" s="5">
        <v>276856078345</v>
      </c>
      <c r="F479" s="5">
        <v>10000000</v>
      </c>
      <c r="G479" s="5">
        <v>0</v>
      </c>
      <c r="H479" s="5">
        <v>3996820100827</v>
      </c>
      <c r="I479" s="5">
        <v>348234600015</v>
      </c>
      <c r="J479" s="5">
        <v>12892309980</v>
      </c>
      <c r="K479" s="5">
        <v>3635693190832</v>
      </c>
      <c r="L479" s="5">
        <v>2433093314107</v>
      </c>
      <c r="M479" s="5">
        <f t="shared" si="35"/>
        <v>1563726786720</v>
      </c>
      <c r="N479" s="36">
        <f t="shared" si="36"/>
        <v>64.269084036093489</v>
      </c>
      <c r="O479" s="5">
        <v>8929914575137</v>
      </c>
      <c r="P479" s="36">
        <v>302.10000000000002</v>
      </c>
      <c r="Q479" s="6">
        <v>245.62</v>
      </c>
      <c r="R479" s="6">
        <v>12.32</v>
      </c>
      <c r="S479" s="5">
        <v>9888937087340</v>
      </c>
      <c r="T479" s="5">
        <v>1345451746758</v>
      </c>
      <c r="U479" s="5">
        <v>206500632110</v>
      </c>
      <c r="V479" s="5">
        <v>144476637733</v>
      </c>
      <c r="W479" s="5">
        <v>994474476915</v>
      </c>
      <c r="X479" s="5">
        <v>11234388834098</v>
      </c>
      <c r="Y479" s="5">
        <v>142278946515</v>
      </c>
      <c r="Z479" s="5">
        <v>820981876379</v>
      </c>
      <c r="AA479" s="5">
        <v>18859142879</v>
      </c>
      <c r="AB479" s="5">
        <v>12074229853356</v>
      </c>
      <c r="AC479" s="5">
        <v>8016305318128</v>
      </c>
      <c r="AD479" s="36">
        <f t="shared" si="37"/>
        <v>40.144223407916549</v>
      </c>
      <c r="AE479" s="5">
        <v>5007093979693</v>
      </c>
      <c r="AF479" s="5">
        <v>4950451044684</v>
      </c>
      <c r="AG479" s="5">
        <v>35672910000</v>
      </c>
      <c r="AH479" s="5">
        <v>0</v>
      </c>
      <c r="AI479" s="5">
        <v>178203180101</v>
      </c>
      <c r="AJ479" s="5">
        <v>0</v>
      </c>
      <c r="AK479" s="5">
        <v>0</v>
      </c>
      <c r="AL479" s="6">
        <v>1</v>
      </c>
      <c r="AM479" s="5">
        <v>44593510000</v>
      </c>
      <c r="AN479" s="6">
        <v>151</v>
      </c>
      <c r="AO479" s="5">
        <v>1145419260946</v>
      </c>
      <c r="AP479" s="6">
        <v>63</v>
      </c>
      <c r="AQ479" s="5">
        <v>757257809354</v>
      </c>
      <c r="AR479" s="5">
        <v>1345451746758</v>
      </c>
      <c r="AS479" s="5">
        <v>1030978781250</v>
      </c>
      <c r="AT479" s="5">
        <f t="shared" si="38"/>
        <v>314472965508</v>
      </c>
      <c r="AU479" s="36">
        <f t="shared" si="39"/>
        <v>30.502370293860015</v>
      </c>
      <c r="AV479" s="5">
        <v>2579034384537</v>
      </c>
      <c r="AW479" s="5">
        <v>579971154766</v>
      </c>
      <c r="AX479" s="5">
        <v>725447016933</v>
      </c>
      <c r="AY479" s="5">
        <v>468931001142</v>
      </c>
      <c r="AZ479" s="5">
        <v>550941023782</v>
      </c>
      <c r="BA479" s="5">
        <v>2268127868257</v>
      </c>
      <c r="BB479" s="5">
        <v>276733138107</v>
      </c>
      <c r="BC479" s="5">
        <v>3996820100827</v>
      </c>
      <c r="BD479" s="5">
        <v>1301594758446</v>
      </c>
      <c r="BE479" s="5">
        <v>550951023782</v>
      </c>
      <c r="BF479" s="5">
        <v>2144274318599</v>
      </c>
      <c r="BG479" s="5">
        <v>3228403833905</v>
      </c>
      <c r="BH479" s="5">
        <v>1778690145788</v>
      </c>
      <c r="BI479" s="5">
        <v>0</v>
      </c>
      <c r="BJ479" s="48">
        <v>0</v>
      </c>
      <c r="BK479" s="5">
        <v>0</v>
      </c>
      <c r="BL479" s="5">
        <v>0</v>
      </c>
      <c r="BM479" s="5">
        <v>0</v>
      </c>
      <c r="BN479" s="5">
        <v>0</v>
      </c>
    </row>
    <row r="480" spans="1:66" x14ac:dyDescent="0.25">
      <c r="A480" s="17" t="s">
        <v>495</v>
      </c>
      <c r="B480" s="4">
        <v>2901</v>
      </c>
      <c r="C480" s="4" t="s">
        <v>496</v>
      </c>
      <c r="D480" s="5">
        <v>1371714841162</v>
      </c>
      <c r="E480" s="5">
        <v>3433211031</v>
      </c>
      <c r="F480" s="5">
        <v>0</v>
      </c>
      <c r="G480" s="5">
        <v>0</v>
      </c>
      <c r="H480" s="5">
        <v>1375148052193</v>
      </c>
      <c r="I480" s="5">
        <v>130653864143</v>
      </c>
      <c r="J480" s="5">
        <v>2782848574</v>
      </c>
      <c r="K480" s="5">
        <v>1241711339476</v>
      </c>
      <c r="L480" s="5">
        <v>1189333275602</v>
      </c>
      <c r="M480" s="5">
        <f t="shared" si="35"/>
        <v>185814776591</v>
      </c>
      <c r="N480" s="36">
        <f t="shared" si="36"/>
        <v>15.623440494166523</v>
      </c>
      <c r="O480" s="5">
        <v>1924665850700</v>
      </c>
      <c r="P480" s="36">
        <v>168.57</v>
      </c>
      <c r="Q480" s="6">
        <v>155</v>
      </c>
      <c r="R480" s="6">
        <v>3.01</v>
      </c>
      <c r="S480" s="5">
        <v>2103729468465</v>
      </c>
      <c r="T480" s="5">
        <v>69591874553</v>
      </c>
      <c r="U480" s="5">
        <v>67438007880</v>
      </c>
      <c r="V480" s="5">
        <v>2153866673</v>
      </c>
      <c r="W480" s="5">
        <v>0</v>
      </c>
      <c r="X480" s="5">
        <v>2173321343018</v>
      </c>
      <c r="Y480" s="5">
        <v>247149733</v>
      </c>
      <c r="Z480" s="5">
        <v>141011831043</v>
      </c>
      <c r="AA480" s="5">
        <v>3814340000</v>
      </c>
      <c r="AB480" s="5">
        <v>2318147514061</v>
      </c>
      <c r="AC480" s="5">
        <v>1609056801877</v>
      </c>
      <c r="AD480" s="36">
        <f t="shared" si="37"/>
        <v>35.068031189624449</v>
      </c>
      <c r="AE480" s="5">
        <v>1088909412558</v>
      </c>
      <c r="AF480" s="5">
        <v>922599412558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6">
        <v>0</v>
      </c>
      <c r="AM480" s="5">
        <v>0</v>
      </c>
      <c r="AN480" s="6">
        <v>3</v>
      </c>
      <c r="AO480" s="5">
        <v>7580000000</v>
      </c>
      <c r="AP480" s="6">
        <v>0</v>
      </c>
      <c r="AQ480" s="5">
        <v>0</v>
      </c>
      <c r="AR480" s="5">
        <v>69591874553</v>
      </c>
      <c r="AS480" s="5">
        <v>19931918497</v>
      </c>
      <c r="AT480" s="5">
        <f t="shared" si="38"/>
        <v>49659956056</v>
      </c>
      <c r="AU480" s="36">
        <f t="shared" si="39"/>
        <v>249.14789844978765</v>
      </c>
      <c r="AV480" s="5">
        <v>563571832971</v>
      </c>
      <c r="AW480" s="5">
        <v>134402418751</v>
      </c>
      <c r="AX480" s="5">
        <v>114036672601</v>
      </c>
      <c r="AY480" s="5">
        <v>300346531168</v>
      </c>
      <c r="AZ480" s="5">
        <v>377858637393</v>
      </c>
      <c r="BA480" s="5">
        <v>768244485840</v>
      </c>
      <c r="BB480" s="5">
        <v>223206184241</v>
      </c>
      <c r="BC480" s="5">
        <v>1375148052193</v>
      </c>
      <c r="BD480" s="5">
        <v>417816414800</v>
      </c>
      <c r="BE480" s="5">
        <v>377858637393</v>
      </c>
      <c r="BF480" s="5">
        <v>579473000000</v>
      </c>
      <c r="BG480" s="5">
        <v>650161596727</v>
      </c>
      <c r="BH480" s="5">
        <v>438747815831</v>
      </c>
      <c r="BI480" s="5">
        <v>0</v>
      </c>
      <c r="BJ480" s="48">
        <v>0</v>
      </c>
      <c r="BK480" s="5">
        <v>0</v>
      </c>
      <c r="BL480" s="5">
        <v>0</v>
      </c>
      <c r="BM480" s="5">
        <v>0</v>
      </c>
      <c r="BN480" s="5">
        <v>0</v>
      </c>
    </row>
    <row r="481" spans="1:66" x14ac:dyDescent="0.25">
      <c r="A481" s="17" t="s">
        <v>495</v>
      </c>
      <c r="B481" s="4">
        <v>2902</v>
      </c>
      <c r="C481" s="4" t="s">
        <v>497</v>
      </c>
      <c r="D481" s="5">
        <v>1077383596990</v>
      </c>
      <c r="E481" s="5">
        <v>2052138299</v>
      </c>
      <c r="F481" s="5">
        <v>0</v>
      </c>
      <c r="G481" s="5">
        <v>0</v>
      </c>
      <c r="H481" s="5">
        <v>1079435735289</v>
      </c>
      <c r="I481" s="5">
        <v>78388519918</v>
      </c>
      <c r="J481" s="5">
        <v>2417421639</v>
      </c>
      <c r="K481" s="5">
        <v>998629793732</v>
      </c>
      <c r="L481" s="5">
        <v>594948617376</v>
      </c>
      <c r="M481" s="5">
        <f t="shared" si="35"/>
        <v>484487117913</v>
      </c>
      <c r="N481" s="36">
        <f t="shared" si="36"/>
        <v>81.433438748007077</v>
      </c>
      <c r="O481" s="5">
        <v>1125640247879</v>
      </c>
      <c r="P481" s="36">
        <v>117.71</v>
      </c>
      <c r="Q481" s="6">
        <v>112.72</v>
      </c>
      <c r="R481" s="6">
        <v>3.86</v>
      </c>
      <c r="S481" s="5">
        <v>1175999217784</v>
      </c>
      <c r="T481" s="5">
        <v>47701345329</v>
      </c>
      <c r="U481" s="5">
        <v>16428326388</v>
      </c>
      <c r="V481" s="5">
        <v>13530053976</v>
      </c>
      <c r="W481" s="5">
        <v>17742964965</v>
      </c>
      <c r="X481" s="5">
        <v>1223700563113</v>
      </c>
      <c r="Y481" s="5">
        <v>1321754626</v>
      </c>
      <c r="Z481" s="5">
        <v>42858119381</v>
      </c>
      <c r="AA481" s="5">
        <v>4000000000</v>
      </c>
      <c r="AB481" s="5">
        <v>1270558682494</v>
      </c>
      <c r="AC481" s="5">
        <v>1021813591706</v>
      </c>
      <c r="AD481" s="36">
        <f t="shared" si="37"/>
        <v>19.757710510576931</v>
      </c>
      <c r="AE481" s="5">
        <v>528506454500</v>
      </c>
      <c r="AF481" s="5">
        <v>528506454500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6">
        <v>0</v>
      </c>
      <c r="AM481" s="5">
        <v>0</v>
      </c>
      <c r="AN481" s="6">
        <v>1</v>
      </c>
      <c r="AO481" s="5">
        <v>600000000</v>
      </c>
      <c r="AP481" s="6">
        <v>2</v>
      </c>
      <c r="AQ481" s="5">
        <v>4000000000</v>
      </c>
      <c r="AR481" s="5">
        <v>47701345329</v>
      </c>
      <c r="AS481" s="5">
        <v>36284542903</v>
      </c>
      <c r="AT481" s="5">
        <f t="shared" si="38"/>
        <v>11416802426</v>
      </c>
      <c r="AU481" s="36">
        <f t="shared" si="39"/>
        <v>31.464644481041709</v>
      </c>
      <c r="AV481" s="5">
        <v>307883360134</v>
      </c>
      <c r="AW481" s="5">
        <v>91481011454</v>
      </c>
      <c r="AX481" s="5">
        <v>138501191644</v>
      </c>
      <c r="AY481" s="5">
        <v>377174170321</v>
      </c>
      <c r="AZ481" s="5">
        <v>232130234345</v>
      </c>
      <c r="BA481" s="5">
        <v>416940556576</v>
      </c>
      <c r="BB481" s="5">
        <v>180618880816</v>
      </c>
      <c r="BC481" s="5">
        <v>1079435735289</v>
      </c>
      <c r="BD481" s="5">
        <v>517727500264</v>
      </c>
      <c r="BE481" s="5">
        <v>232130234345</v>
      </c>
      <c r="BF481" s="5">
        <v>329578000680</v>
      </c>
      <c r="BG481" s="5">
        <v>423823577788</v>
      </c>
      <c r="BH481" s="5">
        <v>104682876712</v>
      </c>
      <c r="BI481" s="5">
        <v>0</v>
      </c>
      <c r="BJ481" s="48">
        <v>0</v>
      </c>
      <c r="BK481" s="5">
        <v>0</v>
      </c>
      <c r="BL481" s="5">
        <v>0</v>
      </c>
      <c r="BM481" s="5">
        <v>0</v>
      </c>
      <c r="BN481" s="5">
        <v>0</v>
      </c>
    </row>
    <row r="482" spans="1:66" x14ac:dyDescent="0.25">
      <c r="A482" s="17" t="s">
        <v>495</v>
      </c>
      <c r="B482" s="8">
        <v>2903</v>
      </c>
      <c r="C482" s="8" t="s">
        <v>498</v>
      </c>
      <c r="D482" s="9">
        <v>875091651233</v>
      </c>
      <c r="E482" s="9">
        <v>2262648808</v>
      </c>
      <c r="F482" s="9">
        <v>0</v>
      </c>
      <c r="G482" s="9">
        <v>0</v>
      </c>
      <c r="H482" s="9">
        <v>877354300041</v>
      </c>
      <c r="I482" s="9">
        <v>87517047315</v>
      </c>
      <c r="J482" s="9">
        <v>560714299</v>
      </c>
      <c r="K482" s="9">
        <v>789276538427</v>
      </c>
      <c r="L482" s="9">
        <v>794374400674</v>
      </c>
      <c r="M482" s="5">
        <f t="shared" si="35"/>
        <v>82979899367</v>
      </c>
      <c r="N482" s="36">
        <f t="shared" si="36"/>
        <v>10.445943285256215</v>
      </c>
      <c r="O482" s="9">
        <v>928201104239</v>
      </c>
      <c r="P482" s="36">
        <v>124.9</v>
      </c>
      <c r="Q482" s="10">
        <v>117.6</v>
      </c>
      <c r="R482" s="10">
        <v>2.11</v>
      </c>
      <c r="S482" s="9">
        <v>988683381105</v>
      </c>
      <c r="T482" s="9">
        <v>23121699274</v>
      </c>
      <c r="U482" s="9">
        <v>21084529930</v>
      </c>
      <c r="V482" s="9">
        <v>2037169344</v>
      </c>
      <c r="W482" s="9">
        <v>0</v>
      </c>
      <c r="X482" s="9">
        <v>1011805080379</v>
      </c>
      <c r="Y482" s="5">
        <v>35690365</v>
      </c>
      <c r="Z482" s="9">
        <v>76119665491</v>
      </c>
      <c r="AA482" s="9">
        <v>7900000000</v>
      </c>
      <c r="AB482" s="9">
        <v>1095824745870</v>
      </c>
      <c r="AC482" s="9">
        <v>748843285237</v>
      </c>
      <c r="AD482" s="36">
        <f t="shared" si="37"/>
        <v>35.115731198521161</v>
      </c>
      <c r="AE482" s="9">
        <v>523604856945</v>
      </c>
      <c r="AF482" s="9">
        <v>523604856945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10">
        <v>0</v>
      </c>
      <c r="AM482" s="9">
        <v>0</v>
      </c>
      <c r="AN482" s="10">
        <v>7</v>
      </c>
      <c r="AO482" s="9">
        <v>4766732000</v>
      </c>
      <c r="AP482" s="10">
        <v>6</v>
      </c>
      <c r="AQ482" s="9">
        <v>1935520518</v>
      </c>
      <c r="AR482" s="9">
        <v>23121699274</v>
      </c>
      <c r="AS482" s="9">
        <v>10515957580</v>
      </c>
      <c r="AT482" s="5">
        <f t="shared" si="38"/>
        <v>12605741694</v>
      </c>
      <c r="AU482" s="36">
        <f t="shared" si="39"/>
        <v>119.87250422134169</v>
      </c>
      <c r="AV482" s="9">
        <v>288261207358</v>
      </c>
      <c r="AW482" s="9">
        <v>70422660025</v>
      </c>
      <c r="AX482" s="9">
        <v>56441886861</v>
      </c>
      <c r="AY482" s="9">
        <v>224034576736</v>
      </c>
      <c r="AZ482" s="9">
        <v>181001417062</v>
      </c>
      <c r="BA482" s="9">
        <v>473401087282</v>
      </c>
      <c r="BB482" s="9">
        <v>116278856293</v>
      </c>
      <c r="BC482" s="9">
        <v>877354300041</v>
      </c>
      <c r="BD482" s="9">
        <v>282739112405</v>
      </c>
      <c r="BE482" s="9">
        <v>181001417062</v>
      </c>
      <c r="BF482" s="9">
        <v>413613770574</v>
      </c>
      <c r="BG482" s="9">
        <v>292018632045</v>
      </c>
      <c r="BH482" s="9">
        <v>231586224900</v>
      </c>
      <c r="BI482" s="9">
        <v>0</v>
      </c>
      <c r="BJ482" s="51">
        <v>0</v>
      </c>
      <c r="BK482" s="9">
        <v>0</v>
      </c>
      <c r="BL482" s="9">
        <v>0</v>
      </c>
      <c r="BM482" s="9">
        <v>0</v>
      </c>
      <c r="BN482" s="9">
        <v>0</v>
      </c>
    </row>
    <row r="483" spans="1:66" x14ac:dyDescent="0.25">
      <c r="A483" s="17" t="s">
        <v>495</v>
      </c>
      <c r="B483" s="4">
        <v>2904</v>
      </c>
      <c r="C483" s="4" t="s">
        <v>499</v>
      </c>
      <c r="D483" s="5">
        <v>2198989976550</v>
      </c>
      <c r="E483" s="5">
        <v>12008659040</v>
      </c>
      <c r="F483" s="5">
        <v>0</v>
      </c>
      <c r="G483" s="5">
        <v>0</v>
      </c>
      <c r="H483" s="5">
        <v>2210998635590</v>
      </c>
      <c r="I483" s="5">
        <v>192173849283</v>
      </c>
      <c r="J483" s="5">
        <v>13521591761</v>
      </c>
      <c r="K483" s="5">
        <v>2005303194546</v>
      </c>
      <c r="L483" s="5">
        <v>1650759875623</v>
      </c>
      <c r="M483" s="5">
        <f t="shared" si="35"/>
        <v>560238759967</v>
      </c>
      <c r="N483" s="36">
        <f t="shared" si="36"/>
        <v>33.938234642125934</v>
      </c>
      <c r="O483" s="5">
        <v>2172448658058</v>
      </c>
      <c r="P483" s="36">
        <v>109.87</v>
      </c>
      <c r="Q483" s="6">
        <v>108.34</v>
      </c>
      <c r="R483" s="6">
        <v>1.5</v>
      </c>
      <c r="S483" s="5">
        <v>2283697824118</v>
      </c>
      <c r="T483" s="5">
        <v>35321959569</v>
      </c>
      <c r="U483" s="5">
        <v>29659095589</v>
      </c>
      <c r="V483" s="5">
        <v>5153574395</v>
      </c>
      <c r="W483" s="5">
        <v>509289585</v>
      </c>
      <c r="X483" s="5">
        <v>2319019783687</v>
      </c>
      <c r="Y483" s="5">
        <v>1075152305</v>
      </c>
      <c r="Z483" s="5">
        <v>98083457759</v>
      </c>
      <c r="AA483" s="5">
        <v>12216213137</v>
      </c>
      <c r="AB483" s="5">
        <v>2429319454583</v>
      </c>
      <c r="AC483" s="5">
        <v>1791428651754</v>
      </c>
      <c r="AD483" s="36">
        <f t="shared" si="37"/>
        <v>29.450859313678606</v>
      </c>
      <c r="AE483" s="5">
        <v>1317692067289</v>
      </c>
      <c r="AF483" s="5">
        <v>1288661065208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6">
        <v>0</v>
      </c>
      <c r="AM483" s="5">
        <v>0</v>
      </c>
      <c r="AN483" s="6">
        <v>74</v>
      </c>
      <c r="AO483" s="5">
        <v>341572028598</v>
      </c>
      <c r="AP483" s="6">
        <v>12</v>
      </c>
      <c r="AQ483" s="5">
        <v>35955927744</v>
      </c>
      <c r="AR483" s="5">
        <v>35321959569</v>
      </c>
      <c r="AS483" s="5">
        <v>10825644629</v>
      </c>
      <c r="AT483" s="5">
        <f t="shared" si="38"/>
        <v>24496314940</v>
      </c>
      <c r="AU483" s="36">
        <f t="shared" si="39"/>
        <v>226.28042744335684</v>
      </c>
      <c r="AV483" s="5">
        <v>818834802953</v>
      </c>
      <c r="AW483" s="5">
        <v>150856126779</v>
      </c>
      <c r="AX483" s="5">
        <v>191134543490</v>
      </c>
      <c r="AY483" s="5">
        <v>714254639645</v>
      </c>
      <c r="AZ483" s="5">
        <v>401040793415</v>
      </c>
      <c r="BA483" s="5">
        <v>925473151712</v>
      </c>
      <c r="BB483" s="5">
        <v>287062815500</v>
      </c>
      <c r="BC483" s="5">
        <v>2210998635590</v>
      </c>
      <c r="BD483" s="5">
        <v>917397842175</v>
      </c>
      <c r="BE483" s="5">
        <v>401040793415</v>
      </c>
      <c r="BF483" s="5">
        <v>892560000000</v>
      </c>
      <c r="BG483" s="5">
        <v>1083473047289</v>
      </c>
      <c r="BH483" s="5">
        <v>234219020000</v>
      </c>
      <c r="BI483" s="5">
        <v>0</v>
      </c>
      <c r="BJ483" s="48">
        <v>0</v>
      </c>
      <c r="BK483" s="5">
        <v>0</v>
      </c>
      <c r="BL483" s="5">
        <v>0</v>
      </c>
      <c r="BM483" s="5">
        <v>0</v>
      </c>
      <c r="BN483" s="5">
        <v>0</v>
      </c>
    </row>
    <row r="484" spans="1:66" x14ac:dyDescent="0.25">
      <c r="A484" s="17" t="s">
        <v>495</v>
      </c>
      <c r="B484" s="4">
        <v>2905</v>
      </c>
      <c r="C484" s="4" t="s">
        <v>500</v>
      </c>
      <c r="D484" s="5">
        <v>1254456853146</v>
      </c>
      <c r="E484" s="5">
        <v>2358179819</v>
      </c>
      <c r="F484" s="5">
        <v>0</v>
      </c>
      <c r="G484" s="5">
        <v>0</v>
      </c>
      <c r="H484" s="5">
        <v>1256815032965</v>
      </c>
      <c r="I484" s="5">
        <v>120090323810</v>
      </c>
      <c r="J484" s="5">
        <v>1454081074</v>
      </c>
      <c r="K484" s="5">
        <v>1135270628081</v>
      </c>
      <c r="L484" s="5">
        <v>920165683232</v>
      </c>
      <c r="M484" s="5">
        <f t="shared" si="35"/>
        <v>336649349733</v>
      </c>
      <c r="N484" s="36">
        <f t="shared" si="36"/>
        <v>36.58573188151825</v>
      </c>
      <c r="O484" s="5">
        <v>1644984341452</v>
      </c>
      <c r="P484" s="36">
        <v>150.96</v>
      </c>
      <c r="Q484" s="6">
        <v>144.9</v>
      </c>
      <c r="R484" s="6">
        <v>5.26</v>
      </c>
      <c r="S484" s="5">
        <v>1680609621075</v>
      </c>
      <c r="T484" s="5">
        <v>95376105704</v>
      </c>
      <c r="U484" s="5">
        <v>25148027509</v>
      </c>
      <c r="V484" s="5">
        <v>59946855043</v>
      </c>
      <c r="W484" s="5">
        <v>10281223152</v>
      </c>
      <c r="X484" s="5">
        <v>1775985726779</v>
      </c>
      <c r="Y484" s="5">
        <v>4399257251</v>
      </c>
      <c r="Z484" s="5">
        <v>107427950317</v>
      </c>
      <c r="AA484" s="5">
        <v>13841260274</v>
      </c>
      <c r="AB484" s="5">
        <v>1897254937370</v>
      </c>
      <c r="AC484" s="5">
        <v>1551814335532</v>
      </c>
      <c r="AD484" s="36">
        <f t="shared" si="37"/>
        <v>14.445761075544425</v>
      </c>
      <c r="AE484" s="5">
        <v>723214957696</v>
      </c>
      <c r="AF484" s="5">
        <v>723214957696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6">
        <v>0</v>
      </c>
      <c r="AM484" s="5">
        <v>0</v>
      </c>
      <c r="AN484" s="6">
        <v>7</v>
      </c>
      <c r="AO484" s="5">
        <v>10604911553</v>
      </c>
      <c r="AP484" s="6">
        <v>3</v>
      </c>
      <c r="AQ484" s="5">
        <v>868121553</v>
      </c>
      <c r="AR484" s="5">
        <v>95376105704</v>
      </c>
      <c r="AS484" s="5">
        <v>60693242625</v>
      </c>
      <c r="AT484" s="5">
        <f t="shared" si="38"/>
        <v>34682863079</v>
      </c>
      <c r="AU484" s="36">
        <f t="shared" si="39"/>
        <v>57.144521496885503</v>
      </c>
      <c r="AV484" s="5">
        <v>532942713887</v>
      </c>
      <c r="AW484" s="5">
        <v>113659889687</v>
      </c>
      <c r="AX484" s="5">
        <v>43347784202</v>
      </c>
      <c r="AY484" s="5">
        <v>262469554086</v>
      </c>
      <c r="AZ484" s="5">
        <v>177886568288</v>
      </c>
      <c r="BA484" s="5">
        <v>905394452562</v>
      </c>
      <c r="BB484" s="5">
        <v>140593369255</v>
      </c>
      <c r="BC484" s="5">
        <v>1256815032965</v>
      </c>
      <c r="BD484" s="5">
        <v>308176445937</v>
      </c>
      <c r="BE484" s="5">
        <v>177886568288</v>
      </c>
      <c r="BF484" s="5">
        <v>770752018740</v>
      </c>
      <c r="BG484" s="5">
        <v>617575143997</v>
      </c>
      <c r="BH484" s="5">
        <v>105639813699</v>
      </c>
      <c r="BI484" s="5">
        <v>0</v>
      </c>
      <c r="BJ484" s="48">
        <v>0</v>
      </c>
      <c r="BK484" s="5">
        <v>0</v>
      </c>
      <c r="BL484" s="5">
        <v>0</v>
      </c>
      <c r="BM484" s="5">
        <v>0</v>
      </c>
      <c r="BN484" s="5">
        <v>0</v>
      </c>
    </row>
    <row r="485" spans="1:66" x14ac:dyDescent="0.25">
      <c r="A485" s="17" t="s">
        <v>495</v>
      </c>
      <c r="B485" s="4">
        <v>2906</v>
      </c>
      <c r="C485" s="4" t="s">
        <v>501</v>
      </c>
      <c r="D485" s="5">
        <v>1384753212399</v>
      </c>
      <c r="E485" s="5">
        <v>2834113536</v>
      </c>
      <c r="F485" s="5">
        <v>0</v>
      </c>
      <c r="G485" s="5">
        <v>0</v>
      </c>
      <c r="H485" s="5">
        <v>1387587325935</v>
      </c>
      <c r="I485" s="5">
        <v>132717761013</v>
      </c>
      <c r="J485" s="5">
        <v>4599859798</v>
      </c>
      <c r="K485" s="5">
        <v>1250269705124</v>
      </c>
      <c r="L485" s="5">
        <v>1259596732172</v>
      </c>
      <c r="M485" s="5">
        <f t="shared" si="35"/>
        <v>127990593763</v>
      </c>
      <c r="N485" s="36">
        <f t="shared" si="36"/>
        <v>10.161235774429008</v>
      </c>
      <c r="O485" s="5">
        <v>1484155867184</v>
      </c>
      <c r="P485" s="36">
        <v>124.21</v>
      </c>
      <c r="Q485" s="6">
        <v>118.71</v>
      </c>
      <c r="R485" s="6">
        <v>3.39</v>
      </c>
      <c r="S485" s="5">
        <v>1586410272259</v>
      </c>
      <c r="T485" s="5">
        <v>58089853421</v>
      </c>
      <c r="U485" s="5">
        <v>52986433009</v>
      </c>
      <c r="V485" s="5">
        <v>4549041146</v>
      </c>
      <c r="W485" s="5">
        <v>554379266</v>
      </c>
      <c r="X485" s="5">
        <v>1644500125680</v>
      </c>
      <c r="Y485" s="5">
        <v>281111165</v>
      </c>
      <c r="Z485" s="5">
        <v>68320930970</v>
      </c>
      <c r="AA485" s="5">
        <v>10670000000</v>
      </c>
      <c r="AB485" s="5">
        <v>1723491056650</v>
      </c>
      <c r="AC485" s="5">
        <v>1314129104507</v>
      </c>
      <c r="AD485" s="36">
        <f t="shared" si="37"/>
        <v>25.139921187343294</v>
      </c>
      <c r="AE485" s="5">
        <v>865073931434</v>
      </c>
      <c r="AF485" s="5">
        <v>784225369930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6">
        <v>0</v>
      </c>
      <c r="AM485" s="5">
        <v>0</v>
      </c>
      <c r="AN485" s="6">
        <v>4</v>
      </c>
      <c r="AO485" s="5">
        <v>18613599500</v>
      </c>
      <c r="AP485" s="6">
        <v>0</v>
      </c>
      <c r="AQ485" s="5">
        <v>0</v>
      </c>
      <c r="AR485" s="5">
        <v>58089853421</v>
      </c>
      <c r="AS485" s="5">
        <v>30441742408</v>
      </c>
      <c r="AT485" s="5">
        <f t="shared" si="38"/>
        <v>27648111013</v>
      </c>
      <c r="AU485" s="36">
        <f t="shared" si="39"/>
        <v>90.823023999224688</v>
      </c>
      <c r="AV485" s="5">
        <v>526007262913</v>
      </c>
      <c r="AW485" s="5">
        <v>171487349051</v>
      </c>
      <c r="AX485" s="5">
        <v>64340143705</v>
      </c>
      <c r="AY485" s="5">
        <v>466567823477</v>
      </c>
      <c r="AZ485" s="5">
        <v>272653245217</v>
      </c>
      <c r="BA485" s="5">
        <v>810464002624</v>
      </c>
      <c r="BB485" s="5">
        <v>183128849770</v>
      </c>
      <c r="BC485" s="5">
        <v>1387587325935</v>
      </c>
      <c r="BD485" s="5">
        <v>533742080718</v>
      </c>
      <c r="BE485" s="5">
        <v>272653245217</v>
      </c>
      <c r="BF485" s="5">
        <v>581192000000</v>
      </c>
      <c r="BG485" s="5">
        <v>728540133558</v>
      </c>
      <c r="BH485" s="5">
        <v>136533797876</v>
      </c>
      <c r="BI485" s="5">
        <v>0</v>
      </c>
      <c r="BJ485" s="48">
        <v>0</v>
      </c>
      <c r="BK485" s="5">
        <v>0</v>
      </c>
      <c r="BL485" s="5">
        <v>0</v>
      </c>
      <c r="BM485" s="5">
        <v>0</v>
      </c>
      <c r="BN485" s="5">
        <v>0</v>
      </c>
    </row>
    <row r="486" spans="1:66" x14ac:dyDescent="0.25">
      <c r="A486" s="17" t="s">
        <v>495</v>
      </c>
      <c r="B486" s="4">
        <v>2907</v>
      </c>
      <c r="C486" s="4" t="s">
        <v>502</v>
      </c>
      <c r="D486" s="5">
        <v>1620928896438</v>
      </c>
      <c r="E486" s="5">
        <v>11394782876</v>
      </c>
      <c r="F486" s="5">
        <v>0</v>
      </c>
      <c r="G486" s="5">
        <v>0</v>
      </c>
      <c r="H486" s="5">
        <v>1632323679314</v>
      </c>
      <c r="I486" s="5">
        <v>141043169036</v>
      </c>
      <c r="J486" s="5">
        <v>5174998944</v>
      </c>
      <c r="K486" s="5">
        <v>1486105511334</v>
      </c>
      <c r="L486" s="5">
        <v>926841869560</v>
      </c>
      <c r="M486" s="5">
        <f t="shared" si="35"/>
        <v>705481809754</v>
      </c>
      <c r="N486" s="36">
        <f t="shared" si="36"/>
        <v>76.116739319180056</v>
      </c>
      <c r="O486" s="5">
        <v>1440132026491</v>
      </c>
      <c r="P486" s="36">
        <v>98.21</v>
      </c>
      <c r="Q486" s="6">
        <v>96.91</v>
      </c>
      <c r="R486" s="6">
        <v>11.06</v>
      </c>
      <c r="S486" s="5">
        <v>1332956038795</v>
      </c>
      <c r="T486" s="5">
        <v>168375431137</v>
      </c>
      <c r="U486" s="5">
        <v>52536704768</v>
      </c>
      <c r="V486" s="5">
        <v>19580877553</v>
      </c>
      <c r="W486" s="5">
        <v>96257848816</v>
      </c>
      <c r="X486" s="5">
        <v>1501331469932</v>
      </c>
      <c r="Y486" s="5">
        <v>8926480578</v>
      </c>
      <c r="Z486" s="5">
        <v>92325572131</v>
      </c>
      <c r="AA486" s="5">
        <v>9514914153</v>
      </c>
      <c r="AB486" s="5">
        <v>1603171956216</v>
      </c>
      <c r="AC486" s="5">
        <v>1226331856812</v>
      </c>
      <c r="AD486" s="36">
        <f t="shared" si="37"/>
        <v>22.424567346305039</v>
      </c>
      <c r="AE486" s="5">
        <v>729871124016</v>
      </c>
      <c r="AF486" s="5">
        <v>729871124016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6">
        <v>0</v>
      </c>
      <c r="AM486" s="5">
        <v>0</v>
      </c>
      <c r="AN486" s="6">
        <v>2</v>
      </c>
      <c r="AO486" s="5">
        <v>32316680000</v>
      </c>
      <c r="AP486" s="6">
        <v>0</v>
      </c>
      <c r="AQ486" s="5">
        <v>0</v>
      </c>
      <c r="AR486" s="5">
        <v>168375431137</v>
      </c>
      <c r="AS486" s="5">
        <v>105512192580</v>
      </c>
      <c r="AT486" s="5">
        <f t="shared" si="38"/>
        <v>62863238557</v>
      </c>
      <c r="AU486" s="36">
        <f t="shared" si="39"/>
        <v>59.579122582763787</v>
      </c>
      <c r="AV486" s="5">
        <v>485232557203</v>
      </c>
      <c r="AW486" s="5">
        <v>89499800242</v>
      </c>
      <c r="AX486" s="5">
        <v>65177209720</v>
      </c>
      <c r="AY486" s="5">
        <v>377647602078</v>
      </c>
      <c r="AZ486" s="5">
        <v>475783084640</v>
      </c>
      <c r="BA486" s="5">
        <v>860606129408</v>
      </c>
      <c r="BB486" s="5">
        <v>350074229015</v>
      </c>
      <c r="BC486" s="5">
        <v>1632323679314</v>
      </c>
      <c r="BD486" s="5">
        <v>454219594674</v>
      </c>
      <c r="BE486" s="5">
        <v>475783084640</v>
      </c>
      <c r="BF486" s="5">
        <v>702321000000</v>
      </c>
      <c r="BG486" s="5">
        <v>405291566720</v>
      </c>
      <c r="BH486" s="5">
        <v>324579557296</v>
      </c>
      <c r="BI486" s="5">
        <v>0</v>
      </c>
      <c r="BJ486" s="48">
        <v>0</v>
      </c>
      <c r="BK486" s="5">
        <v>0</v>
      </c>
      <c r="BL486" s="5">
        <v>0</v>
      </c>
      <c r="BM486" s="5">
        <v>0</v>
      </c>
      <c r="BN486" s="5">
        <v>0</v>
      </c>
    </row>
    <row r="487" spans="1:66" x14ac:dyDescent="0.25">
      <c r="A487" s="17" t="s">
        <v>495</v>
      </c>
      <c r="B487" s="4">
        <v>2908</v>
      </c>
      <c r="C487" s="4" t="s">
        <v>503</v>
      </c>
      <c r="D487" s="5">
        <v>1785600752808</v>
      </c>
      <c r="E487" s="5">
        <v>3993365394</v>
      </c>
      <c r="F487" s="5">
        <v>0</v>
      </c>
      <c r="G487" s="5">
        <v>0</v>
      </c>
      <c r="H487" s="5">
        <v>1789594118202</v>
      </c>
      <c r="I487" s="5">
        <v>169731661568</v>
      </c>
      <c r="J487" s="5">
        <v>1439384528</v>
      </c>
      <c r="K487" s="5">
        <v>1618423072106</v>
      </c>
      <c r="L487" s="5">
        <v>1435718890813</v>
      </c>
      <c r="M487" s="5">
        <f t="shared" si="35"/>
        <v>353875227389</v>
      </c>
      <c r="N487" s="36">
        <f t="shared" si="36"/>
        <v>24.647946729224422</v>
      </c>
      <c r="O487" s="5">
        <v>1256887193982</v>
      </c>
      <c r="P487" s="36">
        <v>78.7</v>
      </c>
      <c r="Q487" s="6">
        <v>77.66</v>
      </c>
      <c r="R487" s="6">
        <v>3.52</v>
      </c>
      <c r="S487" s="5">
        <v>1295137984577</v>
      </c>
      <c r="T487" s="5">
        <v>49104387824</v>
      </c>
      <c r="U487" s="5">
        <v>40139268105</v>
      </c>
      <c r="V487" s="5">
        <v>8288020137</v>
      </c>
      <c r="W487" s="5">
        <v>677099582</v>
      </c>
      <c r="X487" s="5">
        <v>1344242372401</v>
      </c>
      <c r="Y487" s="5">
        <v>475325471</v>
      </c>
      <c r="Z487" s="5">
        <v>59334772623</v>
      </c>
      <c r="AA487" s="5">
        <v>4876036680</v>
      </c>
      <c r="AB487" s="5">
        <v>1408453181704</v>
      </c>
      <c r="AC487" s="5">
        <v>1164072936927</v>
      </c>
      <c r="AD487" s="36">
        <f t="shared" si="37"/>
        <v>15.477504008436421</v>
      </c>
      <c r="AE487" s="5">
        <v>722270764453</v>
      </c>
      <c r="AF487" s="5">
        <v>722270764453</v>
      </c>
      <c r="AG487" s="5">
        <v>0</v>
      </c>
      <c r="AH487" s="5">
        <v>14802195</v>
      </c>
      <c r="AI487" s="5">
        <v>0</v>
      </c>
      <c r="AJ487" s="5">
        <v>0</v>
      </c>
      <c r="AK487" s="5">
        <v>0</v>
      </c>
      <c r="AL487" s="6">
        <v>0</v>
      </c>
      <c r="AM487" s="5">
        <v>0</v>
      </c>
      <c r="AN487" s="6">
        <v>5</v>
      </c>
      <c r="AO487" s="5">
        <v>8973000000</v>
      </c>
      <c r="AP487" s="6">
        <v>3</v>
      </c>
      <c r="AQ487" s="5">
        <v>1610948880</v>
      </c>
      <c r="AR487" s="5">
        <v>49104387824</v>
      </c>
      <c r="AS487" s="5">
        <v>19860675238</v>
      </c>
      <c r="AT487" s="5">
        <f t="shared" si="38"/>
        <v>29243712586</v>
      </c>
      <c r="AU487" s="36">
        <f t="shared" si="39"/>
        <v>147.24430179517341</v>
      </c>
      <c r="AV487" s="5">
        <v>539078312903</v>
      </c>
      <c r="AW487" s="5">
        <v>125579218501</v>
      </c>
      <c r="AX487" s="5">
        <v>84502583251</v>
      </c>
      <c r="AY487" s="5">
        <v>361108298178</v>
      </c>
      <c r="AZ487" s="5">
        <v>261691471379</v>
      </c>
      <c r="BA487" s="5">
        <v>1216986638976</v>
      </c>
      <c r="BB487" s="5">
        <v>181598801689</v>
      </c>
      <c r="BC487" s="5">
        <v>1789594118202</v>
      </c>
      <c r="BD487" s="5">
        <v>449604246823</v>
      </c>
      <c r="BE487" s="5">
        <v>261691471379</v>
      </c>
      <c r="BF487" s="5">
        <v>1078298400000</v>
      </c>
      <c r="BG487" s="5">
        <v>313262859453</v>
      </c>
      <c r="BH487" s="5">
        <v>409007905000</v>
      </c>
      <c r="BI487" s="5">
        <v>0</v>
      </c>
      <c r="BJ487" s="48">
        <v>0</v>
      </c>
      <c r="BK487" s="5">
        <v>0</v>
      </c>
      <c r="BL487" s="5">
        <v>0</v>
      </c>
      <c r="BM487" s="5">
        <v>0</v>
      </c>
      <c r="BN487" s="5">
        <v>14802195</v>
      </c>
    </row>
    <row r="488" spans="1:66" x14ac:dyDescent="0.25">
      <c r="A488" s="17" t="s">
        <v>495</v>
      </c>
      <c r="B488" s="4">
        <v>2909</v>
      </c>
      <c r="C488" s="4" t="s">
        <v>504</v>
      </c>
      <c r="D488" s="5">
        <v>986559372453</v>
      </c>
      <c r="E488" s="5">
        <v>22474944499</v>
      </c>
      <c r="F488" s="5">
        <v>0</v>
      </c>
      <c r="G488" s="5">
        <v>0</v>
      </c>
      <c r="H488" s="5">
        <v>1009034316952</v>
      </c>
      <c r="I488" s="5">
        <v>91237380823</v>
      </c>
      <c r="J488" s="5">
        <v>3884917687</v>
      </c>
      <c r="K488" s="5">
        <v>913912018442</v>
      </c>
      <c r="L488" s="5">
        <v>754879543481</v>
      </c>
      <c r="M488" s="5">
        <f t="shared" si="35"/>
        <v>254154773471</v>
      </c>
      <c r="N488" s="36">
        <f t="shared" si="36"/>
        <v>33.668255507230732</v>
      </c>
      <c r="O488" s="5">
        <v>797075284922</v>
      </c>
      <c r="P488" s="36">
        <v>94.36</v>
      </c>
      <c r="Q488" s="6">
        <v>87.22</v>
      </c>
      <c r="R488" s="6">
        <v>5.47</v>
      </c>
      <c r="S488" s="5">
        <v>841427870133</v>
      </c>
      <c r="T488" s="5">
        <v>52091113669</v>
      </c>
      <c r="U488" s="5">
        <v>33411953909</v>
      </c>
      <c r="V488" s="5">
        <v>18666339333</v>
      </c>
      <c r="W488" s="5">
        <v>12820427</v>
      </c>
      <c r="X488" s="5">
        <v>893518983802</v>
      </c>
      <c r="Y488" s="5">
        <v>901996</v>
      </c>
      <c r="Z488" s="5">
        <v>51579850571</v>
      </c>
      <c r="AA488" s="5">
        <v>7000000000</v>
      </c>
      <c r="AB488" s="5">
        <v>952098834373</v>
      </c>
      <c r="AC488" s="5">
        <v>679237917000</v>
      </c>
      <c r="AD488" s="36">
        <f t="shared" si="37"/>
        <v>31.547276946554799</v>
      </c>
      <c r="AE488" s="5">
        <v>441474358382</v>
      </c>
      <c r="AF488" s="5">
        <v>404518580651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6">
        <v>0</v>
      </c>
      <c r="AM488" s="5">
        <v>0</v>
      </c>
      <c r="AN488" s="6">
        <v>9</v>
      </c>
      <c r="AO488" s="5">
        <v>245601800000</v>
      </c>
      <c r="AP488" s="6">
        <v>0</v>
      </c>
      <c r="AQ488" s="5">
        <v>0</v>
      </c>
      <c r="AR488" s="5">
        <v>52091113669</v>
      </c>
      <c r="AS488" s="5">
        <v>17857530858</v>
      </c>
      <c r="AT488" s="5">
        <f t="shared" si="38"/>
        <v>34233582811</v>
      </c>
      <c r="AU488" s="36">
        <f t="shared" si="39"/>
        <v>191.703898390094</v>
      </c>
      <c r="AV488" s="5">
        <v>230643848913</v>
      </c>
      <c r="AW488" s="5">
        <v>83910036691</v>
      </c>
      <c r="AX488" s="5">
        <v>28934410907</v>
      </c>
      <c r="AY488" s="5">
        <v>168530173633</v>
      </c>
      <c r="AZ488" s="5">
        <v>176157473417</v>
      </c>
      <c r="BA488" s="5">
        <v>769843111544</v>
      </c>
      <c r="BB488" s="5">
        <v>84887474520</v>
      </c>
      <c r="BC488" s="5">
        <v>1009034316952</v>
      </c>
      <c r="BD488" s="5">
        <v>219939529039</v>
      </c>
      <c r="BE488" s="5">
        <v>176157473417</v>
      </c>
      <c r="BF488" s="5">
        <v>612937314496</v>
      </c>
      <c r="BG488" s="5">
        <v>427724358382</v>
      </c>
      <c r="BH488" s="5">
        <v>13750000000</v>
      </c>
      <c r="BI488" s="5">
        <v>0</v>
      </c>
      <c r="BJ488" s="48">
        <v>0</v>
      </c>
      <c r="BK488" s="5">
        <v>0</v>
      </c>
      <c r="BL488" s="5">
        <v>0</v>
      </c>
      <c r="BM488" s="5">
        <v>0</v>
      </c>
      <c r="BN488" s="5">
        <v>0</v>
      </c>
    </row>
    <row r="489" spans="1:66" x14ac:dyDescent="0.25">
      <c r="A489" s="17" t="s">
        <v>495</v>
      </c>
      <c r="B489" s="4">
        <v>2910</v>
      </c>
      <c r="C489" s="4" t="s">
        <v>505</v>
      </c>
      <c r="D489" s="5">
        <v>2372484450702</v>
      </c>
      <c r="E489" s="5">
        <v>1714415702</v>
      </c>
      <c r="F489" s="5">
        <v>0</v>
      </c>
      <c r="G489" s="5">
        <v>0</v>
      </c>
      <c r="H489" s="5">
        <v>2374198866404</v>
      </c>
      <c r="I489" s="5">
        <v>248756138247</v>
      </c>
      <c r="J489" s="5">
        <v>1124128415</v>
      </c>
      <c r="K489" s="5">
        <v>2124318599742</v>
      </c>
      <c r="L489" s="5">
        <v>1644260050969</v>
      </c>
      <c r="M489" s="5">
        <f t="shared" si="35"/>
        <v>729938815435</v>
      </c>
      <c r="N489" s="36">
        <f t="shared" si="36"/>
        <v>44.393149064518738</v>
      </c>
      <c r="O489" s="5">
        <v>1171848235675</v>
      </c>
      <c r="P489" s="36">
        <v>58.21</v>
      </c>
      <c r="Q489" s="6">
        <v>55.16</v>
      </c>
      <c r="R489" s="6">
        <v>2.85</v>
      </c>
      <c r="S489" s="5">
        <v>1276793722506</v>
      </c>
      <c r="T489" s="5">
        <v>39178562181</v>
      </c>
      <c r="U489" s="5">
        <v>36560625640</v>
      </c>
      <c r="V489" s="5">
        <v>2532230847</v>
      </c>
      <c r="W489" s="5">
        <v>85705694</v>
      </c>
      <c r="X489" s="5">
        <v>1315972284687</v>
      </c>
      <c r="Y489" s="5">
        <v>187666338</v>
      </c>
      <c r="Z489" s="5">
        <v>56505322783</v>
      </c>
      <c r="AA489" s="5">
        <v>9548530000</v>
      </c>
      <c r="AB489" s="5">
        <v>1382026137470</v>
      </c>
      <c r="AC489" s="5">
        <v>1040375145361</v>
      </c>
      <c r="AD489" s="36">
        <f t="shared" si="37"/>
        <v>26.490169488850146</v>
      </c>
      <c r="AE489" s="5">
        <v>611811674575</v>
      </c>
      <c r="AF489" s="5">
        <v>611811674575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6">
        <v>0</v>
      </c>
      <c r="AM489" s="5">
        <v>0</v>
      </c>
      <c r="AN489" s="6">
        <v>3</v>
      </c>
      <c r="AO489" s="5">
        <v>48570117000</v>
      </c>
      <c r="AP489" s="6">
        <v>1</v>
      </c>
      <c r="AQ489" s="5">
        <v>550000000</v>
      </c>
      <c r="AR489" s="5">
        <v>39178562181</v>
      </c>
      <c r="AS489" s="5">
        <v>7888819260</v>
      </c>
      <c r="AT489" s="5">
        <f t="shared" si="38"/>
        <v>31289742921</v>
      </c>
      <c r="AU489" s="36">
        <f t="shared" si="39"/>
        <v>396.63404483930333</v>
      </c>
      <c r="AV489" s="5">
        <v>375860423746</v>
      </c>
      <c r="AW489" s="5">
        <v>92842424110</v>
      </c>
      <c r="AX489" s="5">
        <v>38355597116</v>
      </c>
      <c r="AY489" s="5">
        <v>235621447577</v>
      </c>
      <c r="AZ489" s="5">
        <v>448140106009</v>
      </c>
      <c r="BA489" s="5">
        <v>2461426135692</v>
      </c>
      <c r="BB489" s="5">
        <v>268305000901</v>
      </c>
      <c r="BC489" s="5">
        <v>2374198866404</v>
      </c>
      <c r="BD489" s="5">
        <v>275691460395</v>
      </c>
      <c r="BE489" s="5">
        <v>448140106009</v>
      </c>
      <c r="BF489" s="5">
        <v>1650367300000</v>
      </c>
      <c r="BG489" s="5">
        <v>441905962246</v>
      </c>
      <c r="BH489" s="5">
        <v>169905712329</v>
      </c>
      <c r="BI489" s="5">
        <v>0</v>
      </c>
      <c r="BJ489" s="48">
        <v>0</v>
      </c>
      <c r="BK489" s="5">
        <v>0</v>
      </c>
      <c r="BL489" s="5">
        <v>0</v>
      </c>
      <c r="BM489" s="5">
        <v>0</v>
      </c>
      <c r="BN489" s="5">
        <v>0</v>
      </c>
    </row>
    <row r="490" spans="1:66" x14ac:dyDescent="0.25">
      <c r="A490" s="17" t="s">
        <v>495</v>
      </c>
      <c r="B490" s="4">
        <v>2911</v>
      </c>
      <c r="C490" s="4" t="s">
        <v>506</v>
      </c>
      <c r="D490" s="5">
        <v>1373238517192</v>
      </c>
      <c r="E490" s="5">
        <v>9868850214</v>
      </c>
      <c r="F490" s="5">
        <v>0</v>
      </c>
      <c r="G490" s="5">
        <v>0</v>
      </c>
      <c r="H490" s="5">
        <v>1383107367406</v>
      </c>
      <c r="I490" s="5">
        <v>129905625848</v>
      </c>
      <c r="J490" s="5">
        <v>937069944</v>
      </c>
      <c r="K490" s="5">
        <v>1252264671614</v>
      </c>
      <c r="L490" s="5">
        <v>1041898223018</v>
      </c>
      <c r="M490" s="5">
        <f t="shared" si="35"/>
        <v>341209144388</v>
      </c>
      <c r="N490" s="36">
        <f t="shared" si="36"/>
        <v>32.748797996760302</v>
      </c>
      <c r="O490" s="5">
        <v>1759122563979</v>
      </c>
      <c r="P490" s="36">
        <v>153.72</v>
      </c>
      <c r="Q490" s="6">
        <v>140.47999999999999</v>
      </c>
      <c r="R490" s="6">
        <v>11.28</v>
      </c>
      <c r="S490" s="5">
        <v>1768703870220</v>
      </c>
      <c r="T490" s="5">
        <v>237658936713</v>
      </c>
      <c r="U490" s="5">
        <v>23934984730</v>
      </c>
      <c r="V490" s="5">
        <v>210536988322</v>
      </c>
      <c r="W490" s="5">
        <v>3186963661</v>
      </c>
      <c r="X490" s="5">
        <v>2006362806933</v>
      </c>
      <c r="Y490" s="5">
        <v>2192964172</v>
      </c>
      <c r="Z490" s="5">
        <v>109148066104</v>
      </c>
      <c r="AA490" s="5">
        <v>10597239038</v>
      </c>
      <c r="AB490" s="5">
        <v>2126108112075</v>
      </c>
      <c r="AC490" s="5">
        <v>1838591746901</v>
      </c>
      <c r="AD490" s="36">
        <f t="shared" si="37"/>
        <v>9.1249762387317919</v>
      </c>
      <c r="AE490" s="5">
        <v>619920335989</v>
      </c>
      <c r="AF490" s="5">
        <v>613546162457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6">
        <v>0</v>
      </c>
      <c r="AM490" s="5">
        <v>0</v>
      </c>
      <c r="AN490" s="6">
        <v>33</v>
      </c>
      <c r="AO490" s="5">
        <v>127236620621</v>
      </c>
      <c r="AP490" s="6">
        <v>18</v>
      </c>
      <c r="AQ490" s="5">
        <v>38565644599</v>
      </c>
      <c r="AR490" s="5">
        <v>237658936713</v>
      </c>
      <c r="AS490" s="5">
        <v>91626881852</v>
      </c>
      <c r="AT490" s="5">
        <f t="shared" si="38"/>
        <v>146032054861</v>
      </c>
      <c r="AU490" s="36">
        <f t="shared" si="39"/>
        <v>159.3768683483934</v>
      </c>
      <c r="AV490" s="5">
        <v>481604349492</v>
      </c>
      <c r="AW490" s="5">
        <v>77777311185</v>
      </c>
      <c r="AX490" s="5">
        <v>90510140818</v>
      </c>
      <c r="AY490" s="5">
        <v>175972218714</v>
      </c>
      <c r="AZ490" s="5">
        <v>335714144330</v>
      </c>
      <c r="BA490" s="5">
        <v>834680052634</v>
      </c>
      <c r="BB490" s="5">
        <v>248675294583</v>
      </c>
      <c r="BC490" s="5">
        <v>1383107367406</v>
      </c>
      <c r="BD490" s="5">
        <v>276282680373</v>
      </c>
      <c r="BE490" s="5">
        <v>335714144330</v>
      </c>
      <c r="BF490" s="5">
        <v>771110542703</v>
      </c>
      <c r="BG490" s="5">
        <v>309498205098</v>
      </c>
      <c r="BH490" s="5">
        <v>310422130891</v>
      </c>
      <c r="BI490" s="5">
        <v>0</v>
      </c>
      <c r="BJ490" s="48">
        <v>0</v>
      </c>
      <c r="BK490" s="5">
        <v>0</v>
      </c>
      <c r="BL490" s="5">
        <v>0</v>
      </c>
      <c r="BM490" s="5">
        <v>0</v>
      </c>
      <c r="BN490" s="5">
        <v>0</v>
      </c>
    </row>
    <row r="491" spans="1:66" x14ac:dyDescent="0.25">
      <c r="A491" s="17" t="s">
        <v>495</v>
      </c>
      <c r="B491" s="4">
        <v>2912</v>
      </c>
      <c r="C491" s="4" t="s">
        <v>507</v>
      </c>
      <c r="D491" s="5">
        <v>1260156239967</v>
      </c>
      <c r="E491" s="5">
        <v>27511243726</v>
      </c>
      <c r="F491" s="5">
        <v>0</v>
      </c>
      <c r="G491" s="5">
        <v>0</v>
      </c>
      <c r="H491" s="5">
        <v>1287667483693</v>
      </c>
      <c r="I491" s="5">
        <v>99253633174</v>
      </c>
      <c r="J491" s="5">
        <v>370712515</v>
      </c>
      <c r="K491" s="5">
        <v>1188043138004</v>
      </c>
      <c r="L491" s="5">
        <v>877635821862</v>
      </c>
      <c r="M491" s="5">
        <f t="shared" si="35"/>
        <v>410031661831</v>
      </c>
      <c r="N491" s="36">
        <f t="shared" si="36"/>
        <v>46.720023455865004</v>
      </c>
      <c r="O491" s="5">
        <v>2374869987179</v>
      </c>
      <c r="P491" s="36">
        <v>250.82</v>
      </c>
      <c r="Q491" s="6">
        <v>199.9</v>
      </c>
      <c r="R491" s="6">
        <v>2.33</v>
      </c>
      <c r="S491" s="5">
        <v>3057142459593</v>
      </c>
      <c r="T491" s="5">
        <v>74899024454</v>
      </c>
      <c r="U491" s="5">
        <v>26210068173</v>
      </c>
      <c r="V491" s="5">
        <v>46277402951</v>
      </c>
      <c r="W491" s="5">
        <v>2411553330</v>
      </c>
      <c r="X491" s="5">
        <v>3132041484047</v>
      </c>
      <c r="Y491" s="5">
        <v>346681659</v>
      </c>
      <c r="Z491" s="5">
        <v>91469099633</v>
      </c>
      <c r="AA491" s="5">
        <v>6160000000</v>
      </c>
      <c r="AB491" s="5">
        <v>3229670583680</v>
      </c>
      <c r="AC491" s="5">
        <v>1955658394464</v>
      </c>
      <c r="AD491" s="36">
        <f t="shared" si="37"/>
        <v>60.152790124955281</v>
      </c>
      <c r="AE491" s="5">
        <v>1842320536445</v>
      </c>
      <c r="AF491" s="5">
        <v>745467435661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6">
        <v>0</v>
      </c>
      <c r="AM491" s="5">
        <v>0</v>
      </c>
      <c r="AN491" s="6">
        <v>8</v>
      </c>
      <c r="AO491" s="5">
        <v>23332294000</v>
      </c>
      <c r="AP491" s="6">
        <v>54</v>
      </c>
      <c r="AQ491" s="5">
        <v>417669225447</v>
      </c>
      <c r="AR491" s="5">
        <v>74899024454</v>
      </c>
      <c r="AS491" s="5">
        <v>18611878735</v>
      </c>
      <c r="AT491" s="5">
        <f t="shared" si="38"/>
        <v>56287145719</v>
      </c>
      <c r="AU491" s="36">
        <f t="shared" si="39"/>
        <v>302.42592121101092</v>
      </c>
      <c r="AV491" s="5">
        <v>541749588882</v>
      </c>
      <c r="AW491" s="5">
        <v>144057428713</v>
      </c>
      <c r="AX491" s="5">
        <v>93212688370</v>
      </c>
      <c r="AY491" s="5">
        <v>208067608388</v>
      </c>
      <c r="AZ491" s="5">
        <v>414102741226</v>
      </c>
      <c r="BA491" s="5">
        <v>608130189355</v>
      </c>
      <c r="BB491" s="5">
        <v>331478117912</v>
      </c>
      <c r="BC491" s="5">
        <v>1287667483693</v>
      </c>
      <c r="BD491" s="5">
        <v>328791740484</v>
      </c>
      <c r="BE491" s="5">
        <v>414102741226</v>
      </c>
      <c r="BF491" s="5">
        <v>544773001983</v>
      </c>
      <c r="BG491" s="5">
        <v>480000710707</v>
      </c>
      <c r="BH491" s="5">
        <v>1362319825738</v>
      </c>
      <c r="BI491" s="5">
        <v>0</v>
      </c>
      <c r="BJ491" s="48">
        <v>0</v>
      </c>
      <c r="BK491" s="5">
        <v>0</v>
      </c>
      <c r="BL491" s="5">
        <v>0</v>
      </c>
      <c r="BM491" s="5">
        <v>0</v>
      </c>
      <c r="BN491" s="5">
        <v>0</v>
      </c>
    </row>
    <row r="492" spans="1:66" x14ac:dyDescent="0.25">
      <c r="A492" s="17" t="s">
        <v>495</v>
      </c>
      <c r="B492" s="4">
        <v>2913</v>
      </c>
      <c r="C492" s="4" t="s">
        <v>508</v>
      </c>
      <c r="D492" s="5">
        <v>416746899145</v>
      </c>
      <c r="E492" s="5">
        <v>764296643</v>
      </c>
      <c r="F492" s="5">
        <v>0</v>
      </c>
      <c r="G492" s="5">
        <v>0</v>
      </c>
      <c r="H492" s="5">
        <v>417511195788</v>
      </c>
      <c r="I492" s="5">
        <v>39930654567</v>
      </c>
      <c r="J492" s="5">
        <v>2012607122</v>
      </c>
      <c r="K492" s="5">
        <v>375567934099</v>
      </c>
      <c r="L492" s="5">
        <v>317970563070</v>
      </c>
      <c r="M492" s="5">
        <f t="shared" si="35"/>
        <v>99540632718</v>
      </c>
      <c r="N492" s="36">
        <f t="shared" si="36"/>
        <v>31.304983630225703</v>
      </c>
      <c r="O492" s="5">
        <v>367983490630</v>
      </c>
      <c r="P492" s="36">
        <v>100.01</v>
      </c>
      <c r="Q492" s="6">
        <v>97.98</v>
      </c>
      <c r="R492" s="6">
        <v>1.4</v>
      </c>
      <c r="S492" s="5">
        <v>394671154915</v>
      </c>
      <c r="T492" s="5">
        <v>5826645737</v>
      </c>
      <c r="U492" s="5">
        <v>5826645737</v>
      </c>
      <c r="V492" s="5">
        <v>0</v>
      </c>
      <c r="W492" s="5">
        <v>0</v>
      </c>
      <c r="X492" s="5">
        <v>400497800652</v>
      </c>
      <c r="Y492" s="5">
        <v>0</v>
      </c>
      <c r="Z492" s="5">
        <v>16039811011</v>
      </c>
      <c r="AA492" s="5">
        <v>1000000000</v>
      </c>
      <c r="AB492" s="5">
        <v>417537611663</v>
      </c>
      <c r="AC492" s="5">
        <v>222630315479</v>
      </c>
      <c r="AD492" s="36">
        <f t="shared" si="37"/>
        <v>79.89365005853287</v>
      </c>
      <c r="AE492" s="5">
        <v>269744480207</v>
      </c>
      <c r="AF492" s="5">
        <v>269744480207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6">
        <v>0</v>
      </c>
      <c r="AM492" s="5">
        <v>0</v>
      </c>
      <c r="AN492" s="6">
        <v>1</v>
      </c>
      <c r="AO492" s="5">
        <v>1782000000</v>
      </c>
      <c r="AP492" s="6">
        <v>1</v>
      </c>
      <c r="AQ492" s="5">
        <v>3000000000</v>
      </c>
      <c r="AR492" s="5">
        <v>5826645737</v>
      </c>
      <c r="AS492" s="5">
        <v>391161910</v>
      </c>
      <c r="AT492" s="5">
        <f t="shared" si="38"/>
        <v>5435483827</v>
      </c>
      <c r="AU492" s="36">
        <f t="shared" si="39"/>
        <v>1389.5739048313778</v>
      </c>
      <c r="AV492" s="5">
        <v>105477953226</v>
      </c>
      <c r="AW492" s="5">
        <v>11974234622</v>
      </c>
      <c r="AX492" s="5">
        <v>16474066748</v>
      </c>
      <c r="AY492" s="5">
        <v>95313356229</v>
      </c>
      <c r="AZ492" s="5">
        <v>89049476168</v>
      </c>
      <c r="BA492" s="5">
        <v>235631341472</v>
      </c>
      <c r="BB492" s="5">
        <v>86903136707</v>
      </c>
      <c r="BC492" s="5">
        <v>417511195788</v>
      </c>
      <c r="BD492" s="5">
        <v>112551719620</v>
      </c>
      <c r="BE492" s="5">
        <v>89049476168</v>
      </c>
      <c r="BF492" s="5">
        <v>215910000000</v>
      </c>
      <c r="BG492" s="5">
        <v>208925450207</v>
      </c>
      <c r="BH492" s="5">
        <v>60819030000</v>
      </c>
      <c r="BI492" s="5">
        <v>0</v>
      </c>
      <c r="BJ492" s="48">
        <v>0</v>
      </c>
      <c r="BK492" s="5">
        <v>0</v>
      </c>
      <c r="BL492" s="5">
        <v>0</v>
      </c>
      <c r="BM492" s="5">
        <v>0</v>
      </c>
      <c r="BN492" s="5">
        <v>0</v>
      </c>
    </row>
    <row r="493" spans="1:66" x14ac:dyDescent="0.25">
      <c r="A493" s="17" t="s">
        <v>495</v>
      </c>
      <c r="B493" s="4">
        <v>2914</v>
      </c>
      <c r="C493" s="4" t="s">
        <v>509</v>
      </c>
      <c r="D493" s="5">
        <v>615287783888</v>
      </c>
      <c r="E493" s="5">
        <v>1456918260</v>
      </c>
      <c r="F493" s="5">
        <v>0</v>
      </c>
      <c r="G493" s="5">
        <v>0</v>
      </c>
      <c r="H493" s="5">
        <v>616744702148</v>
      </c>
      <c r="I493" s="5">
        <v>51467287384</v>
      </c>
      <c r="J493" s="5">
        <v>2287471146</v>
      </c>
      <c r="K493" s="5">
        <v>562989943618</v>
      </c>
      <c r="L493" s="5">
        <v>357333893667</v>
      </c>
      <c r="M493" s="5">
        <f t="shared" si="35"/>
        <v>259410808481</v>
      </c>
      <c r="N493" s="36">
        <f t="shared" si="36"/>
        <v>72.59619450561982</v>
      </c>
      <c r="O493" s="5">
        <v>694380979161</v>
      </c>
      <c r="P493" s="36">
        <v>119.71</v>
      </c>
      <c r="Q493" s="6">
        <v>123.34</v>
      </c>
      <c r="R493" s="6">
        <v>2.57</v>
      </c>
      <c r="S493" s="5">
        <v>686907007413</v>
      </c>
      <c r="T493" s="5">
        <v>18957363920</v>
      </c>
      <c r="U493" s="5">
        <v>10092234854</v>
      </c>
      <c r="V493" s="5">
        <v>8865129066</v>
      </c>
      <c r="W493" s="5">
        <v>0</v>
      </c>
      <c r="X493" s="5">
        <v>705864371333</v>
      </c>
      <c r="Y493" s="5">
        <v>0</v>
      </c>
      <c r="Z493" s="5">
        <v>31439328051</v>
      </c>
      <c r="AA493" s="5">
        <v>1000000000</v>
      </c>
      <c r="AB493" s="5">
        <v>738303699384</v>
      </c>
      <c r="AC493" s="5">
        <v>371117743917</v>
      </c>
      <c r="AD493" s="36">
        <f t="shared" si="37"/>
        <v>90.199574906573488</v>
      </c>
      <c r="AE493" s="5">
        <v>579305251837</v>
      </c>
      <c r="AF493" s="5">
        <v>579305251837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6">
        <v>0</v>
      </c>
      <c r="AM493" s="5">
        <v>0</v>
      </c>
      <c r="AN493" s="6">
        <v>15</v>
      </c>
      <c r="AO493" s="5">
        <v>24578000000</v>
      </c>
      <c r="AP493" s="6">
        <v>0</v>
      </c>
      <c r="AQ493" s="5">
        <v>0</v>
      </c>
      <c r="AR493" s="5">
        <v>18957363920</v>
      </c>
      <c r="AS493" s="5">
        <v>3590408601</v>
      </c>
      <c r="AT493" s="5">
        <f t="shared" si="38"/>
        <v>15366955319</v>
      </c>
      <c r="AU493" s="36">
        <f t="shared" si="39"/>
        <v>428.00018122505605</v>
      </c>
      <c r="AV493" s="5">
        <v>178700613508</v>
      </c>
      <c r="AW493" s="5">
        <v>60243246673</v>
      </c>
      <c r="AX493" s="5">
        <v>9443587328</v>
      </c>
      <c r="AY493" s="5">
        <v>130297500163</v>
      </c>
      <c r="AZ493" s="5">
        <v>364761694177</v>
      </c>
      <c r="BA493" s="5">
        <v>114381637276</v>
      </c>
      <c r="BB493" s="5">
        <v>364305682828</v>
      </c>
      <c r="BC493" s="5">
        <v>616744702148</v>
      </c>
      <c r="BD493" s="5">
        <v>141198005751</v>
      </c>
      <c r="BE493" s="5">
        <v>364761694177</v>
      </c>
      <c r="BF493" s="5">
        <v>110785002220</v>
      </c>
      <c r="BG493" s="5">
        <v>480621201837</v>
      </c>
      <c r="BH493" s="5">
        <v>98684050000</v>
      </c>
      <c r="BI493" s="5">
        <v>0</v>
      </c>
      <c r="BJ493" s="48">
        <v>0</v>
      </c>
      <c r="BK493" s="5">
        <v>0</v>
      </c>
      <c r="BL493" s="5">
        <v>0</v>
      </c>
      <c r="BM493" s="5">
        <v>0</v>
      </c>
      <c r="BN493" s="5">
        <v>0</v>
      </c>
    </row>
    <row r="494" spans="1:66" s="32" customFormat="1" x14ac:dyDescent="0.25">
      <c r="A494" s="17" t="s">
        <v>495</v>
      </c>
      <c r="B494" s="8">
        <v>2999</v>
      </c>
      <c r="C494" s="8" t="s">
        <v>510</v>
      </c>
      <c r="D494" s="9">
        <v>0</v>
      </c>
      <c r="E494" s="9">
        <v>8733933924</v>
      </c>
      <c r="F494" s="9">
        <v>0</v>
      </c>
      <c r="G494" s="9">
        <v>0</v>
      </c>
      <c r="H494" s="9">
        <v>8733933924</v>
      </c>
      <c r="I494" s="9">
        <v>976726504</v>
      </c>
      <c r="J494" s="9">
        <v>11685000000</v>
      </c>
      <c r="K494" s="9">
        <v>-3927792580</v>
      </c>
      <c r="L494" s="9">
        <v>11107682004</v>
      </c>
      <c r="M494" s="5">
        <f t="shared" si="35"/>
        <v>-2373748080</v>
      </c>
      <c r="N494" s="36">
        <f t="shared" si="36"/>
        <v>-21.37032802294112</v>
      </c>
      <c r="O494" s="9">
        <v>0</v>
      </c>
      <c r="P494" s="36">
        <v>0</v>
      </c>
      <c r="Q494" s="10">
        <v>0</v>
      </c>
      <c r="R494" s="10">
        <v>0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36">
        <f t="shared" si="37"/>
        <v>0</v>
      </c>
      <c r="AE494" s="9">
        <v>0</v>
      </c>
      <c r="AF494" s="9">
        <v>0</v>
      </c>
      <c r="AG494" s="9">
        <v>0</v>
      </c>
      <c r="AH494" s="9">
        <v>0</v>
      </c>
      <c r="AI494" s="9">
        <v>0</v>
      </c>
      <c r="AJ494" s="9">
        <v>0</v>
      </c>
      <c r="AK494" s="9">
        <v>0</v>
      </c>
      <c r="AL494" s="10">
        <v>0</v>
      </c>
      <c r="AM494" s="9">
        <v>0</v>
      </c>
      <c r="AN494" s="10">
        <v>0</v>
      </c>
      <c r="AO494" s="9">
        <v>0</v>
      </c>
      <c r="AP494" s="10">
        <v>0</v>
      </c>
      <c r="AQ494" s="9">
        <v>0</v>
      </c>
      <c r="AR494" s="9">
        <v>0</v>
      </c>
      <c r="AS494" s="9">
        <v>0</v>
      </c>
      <c r="AT494" s="5">
        <f t="shared" si="38"/>
        <v>0</v>
      </c>
      <c r="AU494" s="36">
        <f t="shared" si="39"/>
        <v>0</v>
      </c>
      <c r="AV494" s="9">
        <v>0</v>
      </c>
      <c r="AW494" s="9">
        <v>0</v>
      </c>
      <c r="AX494" s="9">
        <v>0</v>
      </c>
      <c r="AY494" s="9">
        <v>0</v>
      </c>
      <c r="AZ494" s="9">
        <v>0</v>
      </c>
      <c r="BA494" s="9">
        <v>0</v>
      </c>
      <c r="BB494" s="9">
        <v>0</v>
      </c>
      <c r="BC494" s="9">
        <v>8733933924</v>
      </c>
      <c r="BD494" s="9">
        <v>8733933924</v>
      </c>
      <c r="BE494" s="9">
        <v>0</v>
      </c>
      <c r="BF494" s="9">
        <v>0</v>
      </c>
      <c r="BG494" s="9">
        <v>0</v>
      </c>
      <c r="BH494" s="9">
        <v>0</v>
      </c>
      <c r="BI494" s="9">
        <v>0</v>
      </c>
      <c r="BJ494" s="51">
        <v>0</v>
      </c>
      <c r="BK494" s="9">
        <v>0</v>
      </c>
      <c r="BL494" s="9">
        <v>0</v>
      </c>
      <c r="BM494" s="9">
        <v>0</v>
      </c>
      <c r="BN494" s="9">
        <v>0</v>
      </c>
    </row>
    <row r="495" spans="1:66" x14ac:dyDescent="0.25">
      <c r="A495" s="30" t="s">
        <v>616</v>
      </c>
      <c r="B495" s="13" t="s">
        <v>625</v>
      </c>
      <c r="C495" s="13" t="s">
        <v>625</v>
      </c>
      <c r="D495" s="14">
        <v>22313347066555</v>
      </c>
      <c r="E495" s="14">
        <v>389717780116</v>
      </c>
      <c r="F495" s="14">
        <v>10000000</v>
      </c>
      <c r="G495" s="14">
        <v>0</v>
      </c>
      <c r="H495" s="14">
        <v>22703074846671</v>
      </c>
      <c r="I495" s="14">
        <v>2062078242648</v>
      </c>
      <c r="J495" s="14">
        <v>67145117426</v>
      </c>
      <c r="K495" s="14">
        <v>20573851486597</v>
      </c>
      <c r="L495" s="14">
        <v>16209918437230</v>
      </c>
      <c r="M495" s="14">
        <f t="shared" si="35"/>
        <v>6493156409441</v>
      </c>
      <c r="N495" s="41">
        <f t="shared" si="36"/>
        <v>40.056687728470585</v>
      </c>
      <c r="O495" s="14">
        <v>28072310406668</v>
      </c>
      <c r="P495" s="41">
        <v>152.69</v>
      </c>
      <c r="Q495" s="15">
        <v>136.44999999999999</v>
      </c>
      <c r="R495" s="15">
        <v>7.16</v>
      </c>
      <c r="S495" s="14">
        <v>30361806980298</v>
      </c>
      <c r="T495" s="14">
        <v>2320746050243</v>
      </c>
      <c r="U495" s="14">
        <v>647957538331</v>
      </c>
      <c r="V495" s="14">
        <v>546594186519</v>
      </c>
      <c r="W495" s="14">
        <v>1126194325393</v>
      </c>
      <c r="X495" s="14">
        <v>32682553030541</v>
      </c>
      <c r="Y495" s="14">
        <v>161769082174</v>
      </c>
      <c r="Z495" s="14">
        <v>1862645654247</v>
      </c>
      <c r="AA495" s="14">
        <v>120997676161</v>
      </c>
      <c r="AB495" s="14">
        <v>34666196360949</v>
      </c>
      <c r="AC495" s="14">
        <v>24551407145602</v>
      </c>
      <c r="AD495" s="41">
        <f t="shared" si="37"/>
        <v>33.118858877282591</v>
      </c>
      <c r="AE495" s="14">
        <v>15870814186019</v>
      </c>
      <c r="AF495" s="14">
        <v>14397798635378</v>
      </c>
      <c r="AG495" s="14">
        <v>35672910000</v>
      </c>
      <c r="AH495" s="14">
        <v>14802195</v>
      </c>
      <c r="AI495" s="14">
        <v>178203180101</v>
      </c>
      <c r="AJ495" s="14">
        <v>0</v>
      </c>
      <c r="AK495" s="14">
        <v>0</v>
      </c>
      <c r="AL495" s="15">
        <v>1</v>
      </c>
      <c r="AM495" s="14">
        <v>44593510000</v>
      </c>
      <c r="AN495" s="15">
        <v>323</v>
      </c>
      <c r="AO495" s="14">
        <v>2041547044218</v>
      </c>
      <c r="AP495" s="15">
        <v>163</v>
      </c>
      <c r="AQ495" s="14">
        <v>1261413198095</v>
      </c>
      <c r="AR495" s="14">
        <v>2320746050243</v>
      </c>
      <c r="AS495" s="14">
        <v>1465011378926</v>
      </c>
      <c r="AT495" s="14">
        <f t="shared" si="38"/>
        <v>855734671317</v>
      </c>
      <c r="AU495" s="41">
        <f t="shared" si="39"/>
        <v>58.411469264104909</v>
      </c>
      <c r="AV495" s="14">
        <v>8554883212626</v>
      </c>
      <c r="AW495" s="14">
        <v>1998164311250</v>
      </c>
      <c r="AX495" s="14">
        <v>1759859523694</v>
      </c>
      <c r="AY495" s="14">
        <v>4566336501535</v>
      </c>
      <c r="AZ495" s="14">
        <v>4758912110848</v>
      </c>
      <c r="BA495" s="14">
        <v>13669730841210</v>
      </c>
      <c r="BB495" s="14">
        <v>3323849832137</v>
      </c>
      <c r="BC495" s="14">
        <v>22703074846671</v>
      </c>
      <c r="BD495" s="14">
        <v>6546207065828</v>
      </c>
      <c r="BE495" s="14">
        <v>4758922110848</v>
      </c>
      <c r="BF495" s="14">
        <v>11397945669995</v>
      </c>
      <c r="BG495" s="14">
        <v>10091226279959</v>
      </c>
      <c r="BH495" s="14">
        <v>5779587906060</v>
      </c>
      <c r="BI495" s="14">
        <v>0</v>
      </c>
      <c r="BJ495" s="49">
        <v>0</v>
      </c>
      <c r="BK495" s="14">
        <v>0</v>
      </c>
      <c r="BL495" s="14">
        <v>0</v>
      </c>
      <c r="BM495" s="14">
        <v>0</v>
      </c>
      <c r="BN495" s="14">
        <v>14802195</v>
      </c>
    </row>
    <row r="496" spans="1:66" x14ac:dyDescent="0.25">
      <c r="A496" s="17" t="s">
        <v>617</v>
      </c>
      <c r="B496" s="4">
        <v>3000</v>
      </c>
      <c r="C496" s="4" t="s">
        <v>511</v>
      </c>
      <c r="D496" s="5">
        <v>1728153621007</v>
      </c>
      <c r="E496" s="5">
        <v>409381466224</v>
      </c>
      <c r="F496" s="5">
        <v>11225500000</v>
      </c>
      <c r="G496" s="5">
        <v>817414800</v>
      </c>
      <c r="H496" s="5">
        <v>2149578002031</v>
      </c>
      <c r="I496" s="5">
        <v>140817878724</v>
      </c>
      <c r="J496" s="5">
        <v>16966195794</v>
      </c>
      <c r="K496" s="5">
        <v>1991793927513</v>
      </c>
      <c r="L496" s="5">
        <v>1669982942843</v>
      </c>
      <c r="M496" s="5">
        <f t="shared" si="35"/>
        <v>479595059188</v>
      </c>
      <c r="N496" s="36">
        <f t="shared" si="36"/>
        <v>28.718560344785999</v>
      </c>
      <c r="O496" s="5">
        <v>4746286594629</v>
      </c>
      <c r="P496" s="36">
        <v>322.52</v>
      </c>
      <c r="Q496" s="6">
        <v>238.29</v>
      </c>
      <c r="R496" s="6">
        <v>7.01</v>
      </c>
      <c r="S496" s="5">
        <v>6152142460672</v>
      </c>
      <c r="T496" s="5">
        <v>410466212315</v>
      </c>
      <c r="U496" s="5">
        <v>116060341531</v>
      </c>
      <c r="V496" s="5">
        <v>40881861273</v>
      </c>
      <c r="W496" s="5">
        <v>253524009511</v>
      </c>
      <c r="X496" s="5">
        <v>6562608672987</v>
      </c>
      <c r="Y496" s="5">
        <v>75485157882</v>
      </c>
      <c r="Z496" s="5">
        <v>359391797358</v>
      </c>
      <c r="AA496" s="5">
        <v>10743630000</v>
      </c>
      <c r="AB496" s="5">
        <v>6932744100345</v>
      </c>
      <c r="AC496" s="5">
        <v>4337418635856</v>
      </c>
      <c r="AD496" s="36">
        <f t="shared" si="37"/>
        <v>51.302173572458344</v>
      </c>
      <c r="AE496" s="5">
        <v>2917769489367</v>
      </c>
      <c r="AF496" s="5">
        <v>2562962097906</v>
      </c>
      <c r="AG496" s="5">
        <v>0</v>
      </c>
      <c r="AH496" s="5">
        <v>8974473055</v>
      </c>
      <c r="AI496" s="5">
        <v>22653776515</v>
      </c>
      <c r="AJ496" s="5">
        <v>0</v>
      </c>
      <c r="AK496" s="5">
        <v>4480000000</v>
      </c>
      <c r="AL496" s="6">
        <v>0</v>
      </c>
      <c r="AM496" s="5">
        <v>0</v>
      </c>
      <c r="AN496" s="6">
        <v>700</v>
      </c>
      <c r="AO496" s="5">
        <v>4701349690118</v>
      </c>
      <c r="AP496" s="6">
        <v>617</v>
      </c>
      <c r="AQ496" s="5">
        <v>2918206619109</v>
      </c>
      <c r="AR496" s="5">
        <v>410466212315</v>
      </c>
      <c r="AS496" s="5">
        <v>314407493948</v>
      </c>
      <c r="AT496" s="5">
        <f t="shared" si="38"/>
        <v>96058718367</v>
      </c>
      <c r="AU496" s="36">
        <f t="shared" si="39"/>
        <v>30.552299234600049</v>
      </c>
      <c r="AV496" s="5">
        <v>1138154065755</v>
      </c>
      <c r="AW496" s="5">
        <v>200350534020</v>
      </c>
      <c r="AX496" s="5">
        <v>283649514112</v>
      </c>
      <c r="AY496" s="5">
        <v>799198867097</v>
      </c>
      <c r="AZ496" s="5">
        <v>439151538152</v>
      </c>
      <c r="BA496" s="5">
        <v>284735199578</v>
      </c>
      <c r="BB496" s="5">
        <v>230942532157</v>
      </c>
      <c r="BC496" s="5">
        <v>2149578002031</v>
      </c>
      <c r="BD496" s="5">
        <v>1454149853261</v>
      </c>
      <c r="BE496" s="5">
        <v>450377038152</v>
      </c>
      <c r="BF496" s="5">
        <v>245051110618</v>
      </c>
      <c r="BG496" s="5">
        <v>1788591459447</v>
      </c>
      <c r="BH496" s="5">
        <v>1129178029920</v>
      </c>
      <c r="BI496" s="5">
        <v>0</v>
      </c>
      <c r="BJ496" s="48">
        <v>0</v>
      </c>
      <c r="BK496" s="5">
        <v>0</v>
      </c>
      <c r="BL496" s="5">
        <v>1393430500</v>
      </c>
      <c r="BM496" s="5">
        <v>97748606024</v>
      </c>
      <c r="BN496" s="5">
        <v>12638325924</v>
      </c>
    </row>
    <row r="497" spans="1:66" x14ac:dyDescent="0.25">
      <c r="A497" s="17" t="s">
        <v>617</v>
      </c>
      <c r="B497" s="4">
        <v>3001</v>
      </c>
      <c r="C497" s="4" t="s">
        <v>512</v>
      </c>
      <c r="D497" s="5">
        <v>2110891987278</v>
      </c>
      <c r="E497" s="5">
        <v>96423520373</v>
      </c>
      <c r="F497" s="5">
        <v>0</v>
      </c>
      <c r="G497" s="5">
        <v>0</v>
      </c>
      <c r="H497" s="5">
        <v>2207315507651</v>
      </c>
      <c r="I497" s="5">
        <v>133090750310</v>
      </c>
      <c r="J497" s="5">
        <v>19309101132</v>
      </c>
      <c r="K497" s="5">
        <v>2054915656209</v>
      </c>
      <c r="L497" s="5">
        <v>1366986156908</v>
      </c>
      <c r="M497" s="5">
        <f t="shared" si="35"/>
        <v>840329350743</v>
      </c>
      <c r="N497" s="36">
        <f t="shared" si="36"/>
        <v>61.47314268666404</v>
      </c>
      <c r="O497" s="5">
        <v>1626897545970</v>
      </c>
      <c r="P497" s="36">
        <v>88.68</v>
      </c>
      <c r="Q497" s="6">
        <v>79.17</v>
      </c>
      <c r="R497" s="6">
        <v>5.49</v>
      </c>
      <c r="S497" s="5">
        <v>1688960390879</v>
      </c>
      <c r="T497" s="5">
        <v>104968913379</v>
      </c>
      <c r="U497" s="5">
        <v>36179674226</v>
      </c>
      <c r="V497" s="5">
        <v>60177182766</v>
      </c>
      <c r="W497" s="5">
        <v>8612056387</v>
      </c>
      <c r="X497" s="5">
        <v>1793929304258</v>
      </c>
      <c r="Y497" s="5">
        <v>2526557489</v>
      </c>
      <c r="Z497" s="5">
        <v>151076502238</v>
      </c>
      <c r="AA497" s="5">
        <v>12517800000</v>
      </c>
      <c r="AB497" s="5">
        <v>1957523606496</v>
      </c>
      <c r="AC497" s="5">
        <v>1509476249579</v>
      </c>
      <c r="AD497" s="36">
        <f t="shared" si="37"/>
        <v>18.844486937660353</v>
      </c>
      <c r="AE497" s="5">
        <v>915984050379</v>
      </c>
      <c r="AF497" s="5">
        <v>812325933609</v>
      </c>
      <c r="AG497" s="5">
        <v>63006336650</v>
      </c>
      <c r="AH497" s="5">
        <v>9362290784</v>
      </c>
      <c r="AI497" s="5">
        <v>0</v>
      </c>
      <c r="AJ497" s="5">
        <v>0</v>
      </c>
      <c r="AK497" s="5">
        <v>0</v>
      </c>
      <c r="AL497" s="6">
        <v>0</v>
      </c>
      <c r="AM497" s="5">
        <v>0</v>
      </c>
      <c r="AN497" s="6">
        <v>374</v>
      </c>
      <c r="AO497" s="5">
        <v>3346772361381</v>
      </c>
      <c r="AP497" s="6">
        <v>105</v>
      </c>
      <c r="AQ497" s="5">
        <v>474692976203</v>
      </c>
      <c r="AR497" s="5">
        <v>104968913379</v>
      </c>
      <c r="AS497" s="5">
        <v>85513037945</v>
      </c>
      <c r="AT497" s="5">
        <f t="shared" si="38"/>
        <v>19455875434</v>
      </c>
      <c r="AU497" s="36">
        <f t="shared" si="39"/>
        <v>22.751940407629498</v>
      </c>
      <c r="AV497" s="5">
        <v>617355146599</v>
      </c>
      <c r="AW497" s="5">
        <v>253761811830</v>
      </c>
      <c r="AX497" s="5">
        <v>319759133704</v>
      </c>
      <c r="AY497" s="5">
        <v>607410610876</v>
      </c>
      <c r="AZ497" s="5">
        <v>414974706522</v>
      </c>
      <c r="BA497" s="5">
        <v>795465100280</v>
      </c>
      <c r="BB497" s="5">
        <v>248829197601</v>
      </c>
      <c r="BC497" s="5">
        <v>2207315507651</v>
      </c>
      <c r="BD497" s="5">
        <v>1023593264953</v>
      </c>
      <c r="BE497" s="5">
        <v>414974706522</v>
      </c>
      <c r="BF497" s="5">
        <v>768747536176</v>
      </c>
      <c r="BG497" s="5">
        <v>258529872570</v>
      </c>
      <c r="BH497" s="5">
        <v>657454177809</v>
      </c>
      <c r="BI497" s="5">
        <v>0</v>
      </c>
      <c r="BJ497" s="48">
        <v>0</v>
      </c>
      <c r="BK497" s="5">
        <v>85640866669</v>
      </c>
      <c r="BL497" s="5">
        <v>0</v>
      </c>
      <c r="BM497" s="5">
        <v>0</v>
      </c>
      <c r="BN497" s="5">
        <v>9362290784</v>
      </c>
    </row>
    <row r="498" spans="1:66" x14ac:dyDescent="0.25">
      <c r="A498" s="17" t="s">
        <v>617</v>
      </c>
      <c r="B498" s="4">
        <v>3002</v>
      </c>
      <c r="C498" s="4" t="s">
        <v>513</v>
      </c>
      <c r="D498" s="5">
        <v>935698112078</v>
      </c>
      <c r="E498" s="5">
        <v>30098707361</v>
      </c>
      <c r="F498" s="5">
        <v>0</v>
      </c>
      <c r="G498" s="5">
        <v>0</v>
      </c>
      <c r="H498" s="5">
        <v>965796819439</v>
      </c>
      <c r="I498" s="5">
        <v>61511739289</v>
      </c>
      <c r="J498" s="5">
        <v>4083640638</v>
      </c>
      <c r="K498" s="5">
        <v>900201439512</v>
      </c>
      <c r="L498" s="5">
        <v>566549264756</v>
      </c>
      <c r="M498" s="5">
        <f t="shared" si="35"/>
        <v>399247554683</v>
      </c>
      <c r="N498" s="36">
        <f t="shared" si="36"/>
        <v>70.470050800427202</v>
      </c>
      <c r="O498" s="5">
        <v>2177164721088</v>
      </c>
      <c r="P498" s="36">
        <v>260.12</v>
      </c>
      <c r="Q498" s="6">
        <v>241.85</v>
      </c>
      <c r="R498" s="6">
        <v>5.73</v>
      </c>
      <c r="S498" s="5">
        <v>2206131870683</v>
      </c>
      <c r="T498" s="5">
        <v>138382290627</v>
      </c>
      <c r="U498" s="5">
        <v>54913762628</v>
      </c>
      <c r="V498" s="5">
        <v>57115468612</v>
      </c>
      <c r="W498" s="5">
        <v>26353059387</v>
      </c>
      <c r="X498" s="5">
        <v>2344514161310</v>
      </c>
      <c r="Y498" s="5">
        <v>5654377067</v>
      </c>
      <c r="Z498" s="5">
        <v>137439742782</v>
      </c>
      <c r="AA498" s="5">
        <v>30267070000</v>
      </c>
      <c r="AB498" s="5">
        <v>2512220974092</v>
      </c>
      <c r="AC498" s="5">
        <v>1878200037536</v>
      </c>
      <c r="AD498" s="36">
        <f t="shared" si="37"/>
        <v>24.827713473254683</v>
      </c>
      <c r="AE498" s="5">
        <v>922925447193</v>
      </c>
      <c r="AF498" s="5">
        <v>917072354043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6">
        <v>0</v>
      </c>
      <c r="AM498" s="5">
        <v>0</v>
      </c>
      <c r="AN498" s="6">
        <v>104</v>
      </c>
      <c r="AO498" s="5">
        <v>566041937099</v>
      </c>
      <c r="AP498" s="6">
        <v>29</v>
      </c>
      <c r="AQ498" s="5">
        <v>125375607118</v>
      </c>
      <c r="AR498" s="5">
        <v>138382290627</v>
      </c>
      <c r="AS498" s="5">
        <v>69236052672</v>
      </c>
      <c r="AT498" s="5">
        <f t="shared" si="38"/>
        <v>69146237955</v>
      </c>
      <c r="AU498" s="36">
        <f t="shared" si="39"/>
        <v>99.870277530948385</v>
      </c>
      <c r="AV498" s="5">
        <v>490178025679</v>
      </c>
      <c r="AW498" s="5">
        <v>166310654695</v>
      </c>
      <c r="AX498" s="5">
        <v>189399074937</v>
      </c>
      <c r="AY498" s="5">
        <v>430380422113</v>
      </c>
      <c r="AZ498" s="5">
        <v>237067415803</v>
      </c>
      <c r="BA498" s="5">
        <v>95750613365</v>
      </c>
      <c r="BB498" s="5">
        <v>183569089188</v>
      </c>
      <c r="BC498" s="5">
        <v>965796819439</v>
      </c>
      <c r="BD498" s="5">
        <v>649878204411</v>
      </c>
      <c r="BE498" s="5">
        <v>237067415803</v>
      </c>
      <c r="BF498" s="5">
        <v>78851199225</v>
      </c>
      <c r="BG498" s="5">
        <v>438033427161</v>
      </c>
      <c r="BH498" s="5">
        <v>484892020032</v>
      </c>
      <c r="BI498" s="5">
        <v>0</v>
      </c>
      <c r="BJ498" s="48">
        <v>0</v>
      </c>
      <c r="BK498" s="5">
        <v>0</v>
      </c>
      <c r="BL498" s="5">
        <v>0</v>
      </c>
      <c r="BM498" s="5">
        <v>0</v>
      </c>
      <c r="BN498" s="5">
        <v>0</v>
      </c>
    </row>
    <row r="499" spans="1:66" x14ac:dyDescent="0.25">
      <c r="A499" s="17" t="s">
        <v>617</v>
      </c>
      <c r="B499" s="4">
        <v>3003</v>
      </c>
      <c r="C499" s="4" t="s">
        <v>514</v>
      </c>
      <c r="D499" s="5">
        <v>2070182759548</v>
      </c>
      <c r="E499" s="5">
        <v>175398191397</v>
      </c>
      <c r="F499" s="5">
        <v>0</v>
      </c>
      <c r="G499" s="5">
        <v>0</v>
      </c>
      <c r="H499" s="5">
        <v>2245580950945</v>
      </c>
      <c r="I499" s="5">
        <v>154189700161</v>
      </c>
      <c r="J499" s="5">
        <v>6338698235</v>
      </c>
      <c r="K499" s="5">
        <v>2085052552549</v>
      </c>
      <c r="L499" s="5">
        <v>1248453888169</v>
      </c>
      <c r="M499" s="5">
        <f t="shared" si="35"/>
        <v>997127062776</v>
      </c>
      <c r="N499" s="36">
        <f t="shared" si="36"/>
        <v>79.868954089958464</v>
      </c>
      <c r="O499" s="5">
        <v>2770415171777</v>
      </c>
      <c r="P499" s="36">
        <v>149.12</v>
      </c>
      <c r="Q499" s="6">
        <v>132.87</v>
      </c>
      <c r="R499" s="6">
        <v>6.25</v>
      </c>
      <c r="S499" s="5">
        <v>2862717093435</v>
      </c>
      <c r="T499" s="5">
        <v>205481367465</v>
      </c>
      <c r="U499" s="5">
        <v>116273918600</v>
      </c>
      <c r="V499" s="5">
        <v>58215082003</v>
      </c>
      <c r="W499" s="5">
        <v>30992366862</v>
      </c>
      <c r="X499" s="5">
        <v>3068198460900</v>
      </c>
      <c r="Y499" s="5">
        <v>3938218561</v>
      </c>
      <c r="Z499" s="5">
        <v>246620948059</v>
      </c>
      <c r="AA499" s="5">
        <v>33798139436</v>
      </c>
      <c r="AB499" s="5">
        <v>3348617548395</v>
      </c>
      <c r="AC499" s="5">
        <v>2341484682106</v>
      </c>
      <c r="AD499" s="36">
        <f t="shared" si="37"/>
        <v>31.036452399098007</v>
      </c>
      <c r="AE499" s="5">
        <v>1495848495241</v>
      </c>
      <c r="AF499" s="5">
        <v>1430418267207</v>
      </c>
      <c r="AG499" s="5">
        <v>0</v>
      </c>
      <c r="AH499" s="5">
        <v>215560071</v>
      </c>
      <c r="AI499" s="5">
        <v>33460587903</v>
      </c>
      <c r="AJ499" s="5">
        <v>0</v>
      </c>
      <c r="AK499" s="5">
        <v>0</v>
      </c>
      <c r="AL499" s="6">
        <v>0</v>
      </c>
      <c r="AM499" s="5">
        <v>0</v>
      </c>
      <c r="AN499" s="6">
        <v>420</v>
      </c>
      <c r="AO499" s="5">
        <v>2221581622687</v>
      </c>
      <c r="AP499" s="6">
        <v>255</v>
      </c>
      <c r="AQ499" s="5">
        <v>897976990203</v>
      </c>
      <c r="AR499" s="5">
        <v>205481367465</v>
      </c>
      <c r="AS499" s="5">
        <v>146539412174</v>
      </c>
      <c r="AT499" s="5">
        <f t="shared" si="38"/>
        <v>58941955291</v>
      </c>
      <c r="AU499" s="36">
        <f t="shared" si="39"/>
        <v>40.222595693923409</v>
      </c>
      <c r="AV499" s="5">
        <v>822878149855</v>
      </c>
      <c r="AW499" s="5">
        <v>422293180967</v>
      </c>
      <c r="AX499" s="5">
        <v>290324104110</v>
      </c>
      <c r="AY499" s="5">
        <v>584677459871</v>
      </c>
      <c r="AZ499" s="5">
        <v>779092195567</v>
      </c>
      <c r="BA499" s="5">
        <v>472076411620</v>
      </c>
      <c r="BB499" s="5">
        <v>655099268110</v>
      </c>
      <c r="BC499" s="5">
        <v>2245580950945</v>
      </c>
      <c r="BD499" s="5">
        <v>1050399755378</v>
      </c>
      <c r="BE499" s="5">
        <v>779092195567</v>
      </c>
      <c r="BF499" s="5">
        <v>416089000000</v>
      </c>
      <c r="BG499" s="5">
        <v>1084820390688</v>
      </c>
      <c r="BH499" s="5">
        <v>411028104553</v>
      </c>
      <c r="BI499" s="5">
        <v>0</v>
      </c>
      <c r="BJ499" s="48">
        <v>0</v>
      </c>
      <c r="BK499" s="5">
        <v>91372436100</v>
      </c>
      <c r="BL499" s="5">
        <v>75146571</v>
      </c>
      <c r="BM499" s="5">
        <v>6358510402</v>
      </c>
      <c r="BN499" s="5">
        <v>531374262</v>
      </c>
    </row>
    <row r="500" spans="1:66" x14ac:dyDescent="0.25">
      <c r="A500" s="17" t="s">
        <v>617</v>
      </c>
      <c r="B500" s="18">
        <v>3004</v>
      </c>
      <c r="C500" s="18" t="s">
        <v>515</v>
      </c>
      <c r="D500" s="19">
        <v>1122857408406</v>
      </c>
      <c r="E500" s="19">
        <v>41457528959</v>
      </c>
      <c r="F500" s="19">
        <v>0</v>
      </c>
      <c r="G500" s="19">
        <v>0</v>
      </c>
      <c r="H500" s="19">
        <v>1164314937365</v>
      </c>
      <c r="I500" s="19">
        <v>99384827784</v>
      </c>
      <c r="J500" s="19">
        <v>1373390958</v>
      </c>
      <c r="K500" s="19">
        <v>1063556718623</v>
      </c>
      <c r="L500" s="19">
        <v>748568020507</v>
      </c>
      <c r="M500" s="5">
        <f t="shared" si="35"/>
        <v>415746916858</v>
      </c>
      <c r="N500" s="36">
        <f t="shared" si="36"/>
        <v>55.538963122738991</v>
      </c>
      <c r="O500" s="19">
        <v>2026450231252</v>
      </c>
      <c r="P500" s="36">
        <v>196.67</v>
      </c>
      <c r="Q500" s="20">
        <v>190.54</v>
      </c>
      <c r="R500" s="20">
        <v>5.67</v>
      </c>
      <c r="S500" s="19">
        <v>2055214053684</v>
      </c>
      <c r="T500" s="19">
        <v>129381010722</v>
      </c>
      <c r="U500" s="19">
        <v>71928046805</v>
      </c>
      <c r="V500" s="19">
        <v>46565117410</v>
      </c>
      <c r="W500" s="19">
        <v>10887846507</v>
      </c>
      <c r="X500" s="19">
        <v>2184595064406</v>
      </c>
      <c r="Y500" s="5">
        <v>525670480</v>
      </c>
      <c r="Z500" s="19">
        <v>99520489541</v>
      </c>
      <c r="AA500" s="19">
        <v>5699550000</v>
      </c>
      <c r="AB500" s="19">
        <v>2289815103947</v>
      </c>
      <c r="AC500" s="19">
        <v>1651153031791</v>
      </c>
      <c r="AD500" s="36">
        <f t="shared" si="37"/>
        <v>32.307243625769637</v>
      </c>
      <c r="AE500" s="19">
        <v>1041221338817</v>
      </c>
      <c r="AF500" s="19">
        <v>983620897274</v>
      </c>
      <c r="AG500" s="19">
        <v>0</v>
      </c>
      <c r="AH500" s="19">
        <v>0</v>
      </c>
      <c r="AI500" s="19">
        <v>0</v>
      </c>
      <c r="AJ500" s="19">
        <v>0</v>
      </c>
      <c r="AK500" s="19">
        <v>0</v>
      </c>
      <c r="AL500" s="20">
        <v>0</v>
      </c>
      <c r="AM500" s="19">
        <v>0</v>
      </c>
      <c r="AN500" s="21">
        <v>105</v>
      </c>
      <c r="AO500" s="19">
        <v>904948984328</v>
      </c>
      <c r="AP500" s="21">
        <v>32</v>
      </c>
      <c r="AQ500" s="19">
        <v>88578211885</v>
      </c>
      <c r="AR500" s="19">
        <v>129381010722</v>
      </c>
      <c r="AS500" s="19">
        <v>60351671484</v>
      </c>
      <c r="AT500" s="5">
        <f t="shared" si="38"/>
        <v>69029339238</v>
      </c>
      <c r="AU500" s="36">
        <f t="shared" si="39"/>
        <v>114.37850442352794</v>
      </c>
      <c r="AV500" s="19">
        <v>484750510323</v>
      </c>
      <c r="AW500" s="19">
        <v>187084548870</v>
      </c>
      <c r="AX500" s="19">
        <v>129966687054</v>
      </c>
      <c r="AY500" s="19">
        <v>295729153903</v>
      </c>
      <c r="AZ500" s="19">
        <v>275861347008</v>
      </c>
      <c r="BA500" s="19">
        <v>466271640837</v>
      </c>
      <c r="BB500" s="19">
        <v>157126211435</v>
      </c>
      <c r="BC500" s="19">
        <v>1164314937365</v>
      </c>
      <c r="BD500" s="19">
        <v>467153369916</v>
      </c>
      <c r="BE500" s="19">
        <v>275861347008</v>
      </c>
      <c r="BF500" s="19">
        <v>421300220441</v>
      </c>
      <c r="BG500" s="19">
        <v>748916401917</v>
      </c>
      <c r="BH500" s="19">
        <v>292304936900</v>
      </c>
      <c r="BI500" s="19">
        <v>0</v>
      </c>
      <c r="BJ500" s="50">
        <v>0</v>
      </c>
      <c r="BK500" s="19">
        <v>0</v>
      </c>
      <c r="BL500" s="19">
        <v>0</v>
      </c>
      <c r="BM500" s="19">
        <v>0</v>
      </c>
      <c r="BN500" s="19">
        <v>0</v>
      </c>
    </row>
    <row r="501" spans="1:66" x14ac:dyDescent="0.25">
      <c r="A501" s="17" t="s">
        <v>617</v>
      </c>
      <c r="B501" s="4">
        <v>3005</v>
      </c>
      <c r="C501" s="4" t="s">
        <v>516</v>
      </c>
      <c r="D501" s="5">
        <v>1689306929520</v>
      </c>
      <c r="E501" s="5">
        <v>299238542880</v>
      </c>
      <c r="F501" s="5">
        <v>0</v>
      </c>
      <c r="G501" s="5">
        <v>0</v>
      </c>
      <c r="H501" s="5">
        <v>1988545472400</v>
      </c>
      <c r="I501" s="5">
        <v>144809620612</v>
      </c>
      <c r="J501" s="5">
        <v>1543659778</v>
      </c>
      <c r="K501" s="5">
        <v>1842192192010</v>
      </c>
      <c r="L501" s="5">
        <v>1077758768537</v>
      </c>
      <c r="M501" s="5">
        <f t="shared" si="35"/>
        <v>910786703863</v>
      </c>
      <c r="N501" s="36">
        <f t="shared" si="36"/>
        <v>84.507473328131141</v>
      </c>
      <c r="O501" s="5">
        <v>2111800276687</v>
      </c>
      <c r="P501" s="36">
        <v>125.28</v>
      </c>
      <c r="Q501" s="6">
        <v>114.64</v>
      </c>
      <c r="R501" s="6">
        <v>5.6</v>
      </c>
      <c r="S501" s="5">
        <v>2208431702944</v>
      </c>
      <c r="T501" s="5">
        <v>132299197688</v>
      </c>
      <c r="U501" s="5">
        <v>60238426713</v>
      </c>
      <c r="V501" s="5">
        <v>47285669187</v>
      </c>
      <c r="W501" s="5">
        <v>24775101788</v>
      </c>
      <c r="X501" s="5">
        <v>2340730900632</v>
      </c>
      <c r="Y501" s="5">
        <v>7279308735</v>
      </c>
      <c r="Z501" s="5">
        <v>134074485165</v>
      </c>
      <c r="AA501" s="5">
        <v>16476330000</v>
      </c>
      <c r="AB501" s="5">
        <v>2491281715797</v>
      </c>
      <c r="AC501" s="5">
        <v>1784645129375</v>
      </c>
      <c r="AD501" s="36">
        <f t="shared" si="37"/>
        <v>31.15945921706836</v>
      </c>
      <c r="AE501" s="5">
        <v>1114340107349</v>
      </c>
      <c r="AF501" s="5">
        <v>1066970107349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6">
        <v>0</v>
      </c>
      <c r="AM501" s="5">
        <v>0</v>
      </c>
      <c r="AN501" s="6">
        <v>195</v>
      </c>
      <c r="AO501" s="5">
        <v>2752299280416</v>
      </c>
      <c r="AP501" s="6">
        <v>167</v>
      </c>
      <c r="AQ501" s="5">
        <v>991441276020</v>
      </c>
      <c r="AR501" s="5">
        <v>132299197688</v>
      </c>
      <c r="AS501" s="5">
        <v>117649293596</v>
      </c>
      <c r="AT501" s="5">
        <f t="shared" si="38"/>
        <v>14649904092</v>
      </c>
      <c r="AU501" s="36">
        <f t="shared" si="39"/>
        <v>12.452181941956079</v>
      </c>
      <c r="AV501" s="5">
        <v>592013448994</v>
      </c>
      <c r="AW501" s="5">
        <v>250156528607</v>
      </c>
      <c r="AX501" s="5">
        <v>589301221821</v>
      </c>
      <c r="AY501" s="5">
        <v>411405973708</v>
      </c>
      <c r="AZ501" s="5">
        <v>404941661428</v>
      </c>
      <c r="BA501" s="5">
        <v>419331485095</v>
      </c>
      <c r="BB501" s="5">
        <v>253760531365</v>
      </c>
      <c r="BC501" s="5">
        <v>1988545472400</v>
      </c>
      <c r="BD501" s="5">
        <v>1299945738409</v>
      </c>
      <c r="BE501" s="5">
        <v>404941661428</v>
      </c>
      <c r="BF501" s="5">
        <v>283658072563</v>
      </c>
      <c r="BG501" s="5">
        <v>859785950459</v>
      </c>
      <c r="BH501" s="5">
        <v>254554156890</v>
      </c>
      <c r="BI501" s="5">
        <v>0</v>
      </c>
      <c r="BJ501" s="48">
        <v>0</v>
      </c>
      <c r="BK501" s="5">
        <v>0</v>
      </c>
      <c r="BL501" s="5">
        <v>0</v>
      </c>
      <c r="BM501" s="5">
        <v>7661260393</v>
      </c>
      <c r="BN501" s="5">
        <v>0</v>
      </c>
    </row>
    <row r="502" spans="1:66" s="32" customFormat="1" x14ac:dyDescent="0.25">
      <c r="A502" s="17" t="s">
        <v>617</v>
      </c>
      <c r="B502" s="8">
        <v>3099</v>
      </c>
      <c r="C502" s="8" t="s">
        <v>517</v>
      </c>
      <c r="D502" s="9">
        <v>0</v>
      </c>
      <c r="E502" s="9">
        <v>67028440</v>
      </c>
      <c r="F502" s="9">
        <v>0</v>
      </c>
      <c r="G502" s="9">
        <v>0</v>
      </c>
      <c r="H502" s="9">
        <v>67028440</v>
      </c>
      <c r="I502" s="9">
        <v>9167130</v>
      </c>
      <c r="J502" s="9">
        <v>879405000</v>
      </c>
      <c r="K502" s="9">
        <v>-821543690</v>
      </c>
      <c r="L502" s="9">
        <v>442111112</v>
      </c>
      <c r="M502" s="5">
        <f t="shared" si="35"/>
        <v>-375082672</v>
      </c>
      <c r="N502" s="36">
        <f t="shared" si="36"/>
        <v>-84.839005810828837</v>
      </c>
      <c r="O502" s="9">
        <v>0</v>
      </c>
      <c r="P502" s="36">
        <v>0</v>
      </c>
      <c r="Q502" s="10">
        <v>0</v>
      </c>
      <c r="R502" s="10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36">
        <f t="shared" si="37"/>
        <v>0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10">
        <v>0</v>
      </c>
      <c r="AM502" s="9">
        <v>0</v>
      </c>
      <c r="AN502" s="11">
        <v>0</v>
      </c>
      <c r="AO502" s="9">
        <v>0</v>
      </c>
      <c r="AP502" s="11">
        <v>0</v>
      </c>
      <c r="AQ502" s="9">
        <v>0</v>
      </c>
      <c r="AR502" s="9">
        <v>0</v>
      </c>
      <c r="AS502" s="9">
        <v>0</v>
      </c>
      <c r="AT502" s="5">
        <f t="shared" si="38"/>
        <v>0</v>
      </c>
      <c r="AU502" s="36">
        <f t="shared" si="39"/>
        <v>0</v>
      </c>
      <c r="AV502" s="9">
        <v>0</v>
      </c>
      <c r="AW502" s="9">
        <v>0</v>
      </c>
      <c r="AX502" s="9">
        <v>0</v>
      </c>
      <c r="AY502" s="9">
        <v>0</v>
      </c>
      <c r="AZ502" s="9">
        <v>0</v>
      </c>
      <c r="BA502" s="9">
        <v>0</v>
      </c>
      <c r="BB502" s="9">
        <v>0</v>
      </c>
      <c r="BC502" s="9">
        <v>67028440</v>
      </c>
      <c r="BD502" s="9">
        <v>67028440</v>
      </c>
      <c r="BE502" s="9">
        <v>0</v>
      </c>
      <c r="BF502" s="9">
        <v>0</v>
      </c>
      <c r="BG502" s="9">
        <v>0</v>
      </c>
      <c r="BH502" s="9">
        <v>0</v>
      </c>
      <c r="BI502" s="9">
        <v>0</v>
      </c>
      <c r="BJ502" s="51">
        <v>0</v>
      </c>
      <c r="BK502" s="9">
        <v>0</v>
      </c>
      <c r="BL502" s="9">
        <v>0</v>
      </c>
      <c r="BM502" s="9">
        <v>0</v>
      </c>
      <c r="BN502" s="9">
        <v>0</v>
      </c>
    </row>
    <row r="503" spans="1:66" x14ac:dyDescent="0.25">
      <c r="A503" s="30" t="s">
        <v>618</v>
      </c>
      <c r="B503" s="13" t="s">
        <v>625</v>
      </c>
      <c r="C503" s="13" t="s">
        <v>625</v>
      </c>
      <c r="D503" s="14">
        <v>9657090817837</v>
      </c>
      <c r="E503" s="14">
        <v>1052064985634</v>
      </c>
      <c r="F503" s="14">
        <v>11225500000</v>
      </c>
      <c r="G503" s="14">
        <v>817414800</v>
      </c>
      <c r="H503" s="14">
        <v>10721198718271</v>
      </c>
      <c r="I503" s="14">
        <v>733813684010</v>
      </c>
      <c r="J503" s="14">
        <v>50494091535</v>
      </c>
      <c r="K503" s="14">
        <v>9936890942726</v>
      </c>
      <c r="L503" s="14">
        <v>6678741152832</v>
      </c>
      <c r="M503" s="14">
        <f t="shared" si="35"/>
        <v>4042457565439</v>
      </c>
      <c r="N503" s="41">
        <f t="shared" si="36"/>
        <v>60.527238186568567</v>
      </c>
      <c r="O503" s="14">
        <v>15459014541403</v>
      </c>
      <c r="P503" s="41">
        <v>182.18</v>
      </c>
      <c r="Q503" s="15">
        <v>155.57</v>
      </c>
      <c r="R503" s="15">
        <v>6.23</v>
      </c>
      <c r="S503" s="14">
        <v>17173597572297</v>
      </c>
      <c r="T503" s="14">
        <v>1120978992196</v>
      </c>
      <c r="U503" s="14">
        <v>455594170503</v>
      </c>
      <c r="V503" s="14">
        <v>310240381251</v>
      </c>
      <c r="W503" s="14">
        <v>355144440442</v>
      </c>
      <c r="X503" s="14">
        <v>18294576564493</v>
      </c>
      <c r="Y503" s="14">
        <v>95409290214</v>
      </c>
      <c r="Z503" s="14">
        <v>1128123965143</v>
      </c>
      <c r="AA503" s="14">
        <v>109502519436</v>
      </c>
      <c r="AB503" s="14">
        <v>19532203049072</v>
      </c>
      <c r="AC503" s="14">
        <v>13502377766243</v>
      </c>
      <c r="AD503" s="41">
        <f t="shared" si="37"/>
        <v>35.491517725351095</v>
      </c>
      <c r="AE503" s="14">
        <v>8408088928346</v>
      </c>
      <c r="AF503" s="14">
        <v>7773369657388</v>
      </c>
      <c r="AG503" s="14">
        <v>63006336650</v>
      </c>
      <c r="AH503" s="14">
        <v>18552323910</v>
      </c>
      <c r="AI503" s="14">
        <v>56114364418</v>
      </c>
      <c r="AJ503" s="14">
        <v>0</v>
      </c>
      <c r="AK503" s="14">
        <v>4480000000</v>
      </c>
      <c r="AL503" s="15">
        <v>0</v>
      </c>
      <c r="AM503" s="14">
        <v>0</v>
      </c>
      <c r="AN503" s="16">
        <v>1898</v>
      </c>
      <c r="AO503" s="14">
        <v>14492993876029</v>
      </c>
      <c r="AP503" s="16">
        <v>1205</v>
      </c>
      <c r="AQ503" s="14">
        <v>5496271680538</v>
      </c>
      <c r="AR503" s="14">
        <v>1120978992196</v>
      </c>
      <c r="AS503" s="14">
        <v>793696961819</v>
      </c>
      <c r="AT503" s="14">
        <f t="shared" si="38"/>
        <v>327282030377</v>
      </c>
      <c r="AU503" s="41">
        <f t="shared" si="39"/>
        <v>41.235137101562394</v>
      </c>
      <c r="AV503" s="14">
        <v>4145329347205</v>
      </c>
      <c r="AW503" s="14">
        <v>1479957258989</v>
      </c>
      <c r="AX503" s="14">
        <v>1802399735738</v>
      </c>
      <c r="AY503" s="14">
        <v>3128802487568</v>
      </c>
      <c r="AZ503" s="14">
        <v>2551088864480</v>
      </c>
      <c r="BA503" s="14">
        <v>2533630450775</v>
      </c>
      <c r="BB503" s="14">
        <v>1729326829856</v>
      </c>
      <c r="BC503" s="14">
        <v>10721198718271</v>
      </c>
      <c r="BD503" s="14">
        <v>5945187214768</v>
      </c>
      <c r="BE503" s="14">
        <v>2562314364480</v>
      </c>
      <c r="BF503" s="14">
        <v>2213697139023</v>
      </c>
      <c r="BG503" s="14">
        <v>5178677502242</v>
      </c>
      <c r="BH503" s="14">
        <v>3229411426104</v>
      </c>
      <c r="BI503" s="14">
        <v>0</v>
      </c>
      <c r="BJ503" s="49">
        <v>0</v>
      </c>
      <c r="BK503" s="14">
        <v>177013302769</v>
      </c>
      <c r="BL503" s="14">
        <v>1468577071</v>
      </c>
      <c r="BM503" s="14">
        <v>111768376819</v>
      </c>
      <c r="BN503" s="14">
        <v>22531990970</v>
      </c>
    </row>
    <row r="504" spans="1:66" x14ac:dyDescent="0.25">
      <c r="A504" s="17" t="s">
        <v>619</v>
      </c>
      <c r="B504" s="4">
        <v>3100</v>
      </c>
      <c r="C504" s="4" t="s">
        <v>518</v>
      </c>
      <c r="D504" s="5">
        <v>6671514674364</v>
      </c>
      <c r="E504" s="5">
        <v>347058533713</v>
      </c>
      <c r="F504" s="5">
        <v>0</v>
      </c>
      <c r="G504" s="5">
        <v>2745574378</v>
      </c>
      <c r="H504" s="5">
        <v>7021318782455</v>
      </c>
      <c r="I504" s="5">
        <v>515348454521</v>
      </c>
      <c r="J504" s="5">
        <v>179228914192</v>
      </c>
      <c r="K504" s="5">
        <v>6326741413742</v>
      </c>
      <c r="L504" s="5">
        <v>4647790180244</v>
      </c>
      <c r="M504" s="5">
        <f t="shared" si="35"/>
        <v>2373528602211</v>
      </c>
      <c r="N504" s="36">
        <f t="shared" si="36"/>
        <v>51.067894852482219</v>
      </c>
      <c r="O504" s="5">
        <v>11120610158949</v>
      </c>
      <c r="P504" s="36">
        <v>218.32</v>
      </c>
      <c r="Q504" s="6">
        <v>175.77</v>
      </c>
      <c r="R504" s="6">
        <v>2.04</v>
      </c>
      <c r="S504" s="5">
        <v>14661774117517</v>
      </c>
      <c r="T504" s="5">
        <v>300461659455</v>
      </c>
      <c r="U504" s="5">
        <v>138531206722</v>
      </c>
      <c r="V504" s="5">
        <v>121485227971</v>
      </c>
      <c r="W504" s="5">
        <v>40445224762</v>
      </c>
      <c r="X504" s="5">
        <v>14962235776972</v>
      </c>
      <c r="Y504" s="5">
        <v>12697909315</v>
      </c>
      <c r="Z504" s="5">
        <v>343702401060</v>
      </c>
      <c r="AA504" s="5">
        <v>22800796676</v>
      </c>
      <c r="AB504" s="5">
        <v>15328738974708</v>
      </c>
      <c r="AC504" s="5">
        <v>10075440859692</v>
      </c>
      <c r="AD504" s="36">
        <f t="shared" si="37"/>
        <v>48.502045571327848</v>
      </c>
      <c r="AE504" s="5">
        <v>8483611159717</v>
      </c>
      <c r="AF504" s="5">
        <v>7823504249743</v>
      </c>
      <c r="AG504" s="5">
        <v>102618706679</v>
      </c>
      <c r="AH504" s="5">
        <v>3496119918</v>
      </c>
      <c r="AI504" s="5">
        <v>0</v>
      </c>
      <c r="AJ504" s="5">
        <v>0</v>
      </c>
      <c r="AK504" s="5">
        <v>0</v>
      </c>
      <c r="AL504" s="6">
        <v>3</v>
      </c>
      <c r="AM504" s="5">
        <v>136000000000</v>
      </c>
      <c r="AN504" s="6">
        <v>230</v>
      </c>
      <c r="AO504" s="5">
        <v>3354604024813</v>
      </c>
      <c r="AP504" s="6">
        <v>237</v>
      </c>
      <c r="AQ504" s="5">
        <v>2030268023270</v>
      </c>
      <c r="AR504" s="5">
        <v>300461659455</v>
      </c>
      <c r="AS504" s="5">
        <v>108429731902</v>
      </c>
      <c r="AT504" s="5">
        <f t="shared" si="38"/>
        <v>192031927553</v>
      </c>
      <c r="AU504" s="36">
        <f t="shared" si="39"/>
        <v>177.1026490469981</v>
      </c>
      <c r="AV504" s="5">
        <v>4353984002305</v>
      </c>
      <c r="AW504" s="5">
        <v>857150989915</v>
      </c>
      <c r="AX504" s="5">
        <v>2332060787203</v>
      </c>
      <c r="AY504" s="5">
        <v>420613076512</v>
      </c>
      <c r="AZ504" s="5">
        <v>1835198346676</v>
      </c>
      <c r="BA504" s="5">
        <v>2544470145805</v>
      </c>
      <c r="BB504" s="5">
        <v>1375902566884</v>
      </c>
      <c r="BC504" s="5">
        <v>7021318782455</v>
      </c>
      <c r="BD504" s="5">
        <v>3020239766363</v>
      </c>
      <c r="BE504" s="5">
        <v>1835198346676</v>
      </c>
      <c r="BF504" s="5">
        <v>2165880669416</v>
      </c>
      <c r="BG504" s="5">
        <v>3942286243739</v>
      </c>
      <c r="BH504" s="5">
        <v>4541324915978</v>
      </c>
      <c r="BI504" s="5">
        <v>0</v>
      </c>
      <c r="BJ504" s="48">
        <v>0</v>
      </c>
      <c r="BK504" s="5">
        <v>102618706679</v>
      </c>
      <c r="BL504" s="5">
        <v>0</v>
      </c>
      <c r="BM504" s="5">
        <v>0</v>
      </c>
      <c r="BN504" s="5">
        <v>3496119918</v>
      </c>
    </row>
    <row r="505" spans="1:66" x14ac:dyDescent="0.25">
      <c r="A505" s="17" t="s">
        <v>619</v>
      </c>
      <c r="B505" s="4">
        <v>3101</v>
      </c>
      <c r="C505" s="4" t="s">
        <v>519</v>
      </c>
      <c r="D505" s="5">
        <v>2827082834891</v>
      </c>
      <c r="E505" s="5">
        <v>57751999294</v>
      </c>
      <c r="F505" s="5">
        <v>0</v>
      </c>
      <c r="G505" s="5">
        <v>0</v>
      </c>
      <c r="H505" s="5">
        <v>2884834834185</v>
      </c>
      <c r="I505" s="5">
        <v>211003082477</v>
      </c>
      <c r="J505" s="5">
        <v>5309095486</v>
      </c>
      <c r="K505" s="5">
        <v>2668522656222</v>
      </c>
      <c r="L505" s="5">
        <v>2042473875118</v>
      </c>
      <c r="M505" s="5">
        <f t="shared" si="35"/>
        <v>842360959067</v>
      </c>
      <c r="N505" s="36">
        <f t="shared" si="36"/>
        <v>41.242190136622149</v>
      </c>
      <c r="O505" s="5">
        <v>2626919890867</v>
      </c>
      <c r="P505" s="36">
        <v>101.84</v>
      </c>
      <c r="Q505" s="6">
        <v>98.44</v>
      </c>
      <c r="R505" s="6">
        <v>3.09</v>
      </c>
      <c r="S505" s="5">
        <v>2700248115332</v>
      </c>
      <c r="T505" s="5">
        <v>83345452263</v>
      </c>
      <c r="U505" s="5">
        <v>66834201369</v>
      </c>
      <c r="V505" s="5">
        <v>3794465105</v>
      </c>
      <c r="W505" s="5">
        <v>12716785789</v>
      </c>
      <c r="X505" s="5">
        <v>2783593567595</v>
      </c>
      <c r="Y505" s="5">
        <v>7292746621</v>
      </c>
      <c r="Z505" s="5">
        <v>136011123350</v>
      </c>
      <c r="AA505" s="5">
        <v>18296970000</v>
      </c>
      <c r="AB505" s="5">
        <v>2937901660945</v>
      </c>
      <c r="AC505" s="5">
        <v>2085166309109</v>
      </c>
      <c r="AD505" s="36">
        <f t="shared" si="37"/>
        <v>33.495038522104302</v>
      </c>
      <c r="AE505" s="5">
        <v>2486303875747</v>
      </c>
      <c r="AF505" s="5">
        <v>2418745884361</v>
      </c>
      <c r="AG505" s="5">
        <v>0</v>
      </c>
      <c r="AH505" s="5">
        <v>31210866053</v>
      </c>
      <c r="AI505" s="5">
        <v>89332947799</v>
      </c>
      <c r="AJ505" s="5">
        <v>0</v>
      </c>
      <c r="AK505" s="5">
        <v>0</v>
      </c>
      <c r="AL505" s="6">
        <v>0</v>
      </c>
      <c r="AM505" s="5">
        <v>0</v>
      </c>
      <c r="AN505" s="6">
        <v>70</v>
      </c>
      <c r="AO505" s="5">
        <v>410315354489</v>
      </c>
      <c r="AP505" s="6">
        <v>82</v>
      </c>
      <c r="AQ505" s="5">
        <v>655533191147</v>
      </c>
      <c r="AR505" s="5">
        <v>83345452263</v>
      </c>
      <c r="AS505" s="5">
        <v>50543422672</v>
      </c>
      <c r="AT505" s="5">
        <f t="shared" si="38"/>
        <v>32802029591</v>
      </c>
      <c r="AU505" s="36">
        <f t="shared" si="39"/>
        <v>64.898710567876989</v>
      </c>
      <c r="AV505" s="5">
        <v>1730130040615</v>
      </c>
      <c r="AW505" s="5">
        <v>321851136014</v>
      </c>
      <c r="AX505" s="5">
        <v>480509906377</v>
      </c>
      <c r="AY505" s="5">
        <v>483404798806</v>
      </c>
      <c r="AZ505" s="5">
        <v>992016984019</v>
      </c>
      <c r="BA505" s="5">
        <v>911849747045</v>
      </c>
      <c r="BB505" s="5">
        <v>689870248383</v>
      </c>
      <c r="BC505" s="5">
        <v>2884834834185</v>
      </c>
      <c r="BD505" s="5">
        <v>1021666751597</v>
      </c>
      <c r="BE505" s="5">
        <v>992016984019</v>
      </c>
      <c r="BF505" s="5">
        <v>871151098569</v>
      </c>
      <c r="BG505" s="5">
        <v>1814410734049</v>
      </c>
      <c r="BH505" s="5">
        <v>671893141698</v>
      </c>
      <c r="BI505" s="5">
        <v>0</v>
      </c>
      <c r="BJ505" s="48">
        <v>0</v>
      </c>
      <c r="BK505" s="5">
        <v>38024006420</v>
      </c>
      <c r="BL505" s="5">
        <v>0</v>
      </c>
      <c r="BM505" s="5">
        <v>0</v>
      </c>
      <c r="BN505" s="5">
        <v>31210866053</v>
      </c>
    </row>
    <row r="506" spans="1:66" x14ac:dyDescent="0.25">
      <c r="A506" s="17" t="s">
        <v>619</v>
      </c>
      <c r="B506" s="4">
        <v>3102</v>
      </c>
      <c r="C506" s="4" t="s">
        <v>520</v>
      </c>
      <c r="D506" s="5">
        <v>1079653906990</v>
      </c>
      <c r="E506" s="5">
        <v>30527028191</v>
      </c>
      <c r="F506" s="5">
        <v>0</v>
      </c>
      <c r="G506" s="5">
        <v>0</v>
      </c>
      <c r="H506" s="5">
        <v>1110180935181</v>
      </c>
      <c r="I506" s="5">
        <v>121089905331</v>
      </c>
      <c r="J506" s="5">
        <v>3900409064</v>
      </c>
      <c r="K506" s="5">
        <v>985190620786</v>
      </c>
      <c r="L506" s="5">
        <v>843545733524</v>
      </c>
      <c r="M506" s="5">
        <f t="shared" si="35"/>
        <v>266635201657</v>
      </c>
      <c r="N506" s="36">
        <f t="shared" si="36"/>
        <v>31.608861388356946</v>
      </c>
      <c r="O506" s="5">
        <v>2545850266632</v>
      </c>
      <c r="P506" s="36">
        <v>277.52</v>
      </c>
      <c r="Q506" s="6">
        <v>258.41000000000003</v>
      </c>
      <c r="R506" s="6">
        <v>4.46</v>
      </c>
      <c r="S506" s="5">
        <v>2836091673610</v>
      </c>
      <c r="T506" s="5">
        <v>132618260335</v>
      </c>
      <c r="U506" s="5">
        <v>61895885793</v>
      </c>
      <c r="V506" s="5">
        <v>66450656213</v>
      </c>
      <c r="W506" s="5">
        <v>4271718329</v>
      </c>
      <c r="X506" s="5">
        <v>2968709933945</v>
      </c>
      <c r="Y506" s="5">
        <v>4754768909</v>
      </c>
      <c r="Z506" s="5">
        <v>109239918380</v>
      </c>
      <c r="AA506" s="5">
        <v>3000000000</v>
      </c>
      <c r="AB506" s="5">
        <v>3080949852325</v>
      </c>
      <c r="AC506" s="5">
        <v>2377041036109</v>
      </c>
      <c r="AD506" s="36">
        <f t="shared" si="37"/>
        <v>24.890983741892324</v>
      </c>
      <c r="AE506" s="5">
        <v>1614030319170</v>
      </c>
      <c r="AF506" s="5">
        <v>1614030319170</v>
      </c>
      <c r="AG506" s="5">
        <v>0</v>
      </c>
      <c r="AH506" s="5">
        <v>172430136</v>
      </c>
      <c r="AI506" s="5">
        <v>124192637470</v>
      </c>
      <c r="AJ506" s="5">
        <v>0</v>
      </c>
      <c r="AK506" s="5">
        <v>0</v>
      </c>
      <c r="AL506" s="6">
        <v>0</v>
      </c>
      <c r="AM506" s="5">
        <v>0</v>
      </c>
      <c r="AN506" s="6">
        <v>7</v>
      </c>
      <c r="AO506" s="5">
        <v>282045000000</v>
      </c>
      <c r="AP506" s="6">
        <v>15</v>
      </c>
      <c r="AQ506" s="5">
        <v>59900361305</v>
      </c>
      <c r="AR506" s="5">
        <v>132618260335</v>
      </c>
      <c r="AS506" s="5">
        <v>40418571858</v>
      </c>
      <c r="AT506" s="5">
        <f t="shared" si="38"/>
        <v>92199688477</v>
      </c>
      <c r="AU506" s="36">
        <f t="shared" si="39"/>
        <v>228.11218763720626</v>
      </c>
      <c r="AV506" s="5">
        <v>949398544892</v>
      </c>
      <c r="AW506" s="5">
        <v>440557148343</v>
      </c>
      <c r="AX506" s="5">
        <v>335717215433</v>
      </c>
      <c r="AY506" s="5">
        <v>284297896356</v>
      </c>
      <c r="AZ506" s="5">
        <v>161687795201</v>
      </c>
      <c r="BA506" s="5">
        <v>412273799528</v>
      </c>
      <c r="BB506" s="5">
        <v>129338075855</v>
      </c>
      <c r="BC506" s="5">
        <v>1110180935181</v>
      </c>
      <c r="BD506" s="5">
        <v>650538405026</v>
      </c>
      <c r="BE506" s="5">
        <v>161687795201</v>
      </c>
      <c r="BF506" s="5">
        <v>297954734954</v>
      </c>
      <c r="BG506" s="5">
        <v>1290678346670</v>
      </c>
      <c r="BH506" s="5">
        <v>323351972500</v>
      </c>
      <c r="BI506" s="5">
        <v>0</v>
      </c>
      <c r="BJ506" s="48">
        <v>0</v>
      </c>
      <c r="BK506" s="5">
        <v>0</v>
      </c>
      <c r="BL506" s="5">
        <v>0</v>
      </c>
      <c r="BM506" s="5">
        <v>0</v>
      </c>
      <c r="BN506" s="5">
        <v>172430136</v>
      </c>
    </row>
    <row r="507" spans="1:66" x14ac:dyDescent="0.25">
      <c r="A507" s="17" t="s">
        <v>619</v>
      </c>
      <c r="B507" s="4">
        <v>3103</v>
      </c>
      <c r="C507" s="4" t="s">
        <v>521</v>
      </c>
      <c r="D507" s="5">
        <v>2356054694082</v>
      </c>
      <c r="E507" s="5">
        <v>101056357265</v>
      </c>
      <c r="F507" s="5">
        <v>0</v>
      </c>
      <c r="G507" s="5">
        <v>0</v>
      </c>
      <c r="H507" s="5">
        <v>2457111051347</v>
      </c>
      <c r="I507" s="5">
        <v>205195786379</v>
      </c>
      <c r="J507" s="5">
        <v>3560039767</v>
      </c>
      <c r="K507" s="5">
        <v>2248355225201</v>
      </c>
      <c r="L507" s="5">
        <v>1800485704583</v>
      </c>
      <c r="M507" s="5">
        <f t="shared" si="35"/>
        <v>656625346764</v>
      </c>
      <c r="N507" s="36">
        <f t="shared" si="36"/>
        <v>36.469345193500281</v>
      </c>
      <c r="O507" s="5">
        <v>2080672522006</v>
      </c>
      <c r="P507" s="36">
        <v>97.64</v>
      </c>
      <c r="Q507" s="6">
        <v>92.54</v>
      </c>
      <c r="R507" s="6">
        <v>2.5099999999999998</v>
      </c>
      <c r="S507" s="5">
        <v>2228824104604</v>
      </c>
      <c r="T507" s="5">
        <v>56058741313</v>
      </c>
      <c r="U507" s="5">
        <v>43974850491</v>
      </c>
      <c r="V507" s="5">
        <v>9232410685</v>
      </c>
      <c r="W507" s="5">
        <v>2851480137</v>
      </c>
      <c r="X507" s="5">
        <v>2284882845917</v>
      </c>
      <c r="Y507" s="5">
        <v>4184802215</v>
      </c>
      <c r="Z507" s="5">
        <v>100150781602</v>
      </c>
      <c r="AA507" s="5">
        <v>14017774771</v>
      </c>
      <c r="AB507" s="5">
        <v>2399051402290</v>
      </c>
      <c r="AC507" s="5">
        <v>1508213943173</v>
      </c>
      <c r="AD507" s="36">
        <f t="shared" si="37"/>
        <v>51.49593704922485</v>
      </c>
      <c r="AE507" s="5">
        <v>1755716246966</v>
      </c>
      <c r="AF507" s="5">
        <v>1755716246966</v>
      </c>
      <c r="AG507" s="5">
        <v>0</v>
      </c>
      <c r="AH507" s="5">
        <v>1373651569</v>
      </c>
      <c r="AI507" s="5">
        <v>0</v>
      </c>
      <c r="AJ507" s="5">
        <v>0</v>
      </c>
      <c r="AK507" s="5">
        <v>0</v>
      </c>
      <c r="AL507" s="6">
        <v>0</v>
      </c>
      <c r="AM507" s="5">
        <v>0</v>
      </c>
      <c r="AN507" s="6">
        <v>138</v>
      </c>
      <c r="AO507" s="5">
        <v>634411279734</v>
      </c>
      <c r="AP507" s="6">
        <v>243</v>
      </c>
      <c r="AQ507" s="5">
        <v>1080737334143</v>
      </c>
      <c r="AR507" s="5">
        <v>56058741313</v>
      </c>
      <c r="AS507" s="5">
        <v>5817335568</v>
      </c>
      <c r="AT507" s="5">
        <f t="shared" si="38"/>
        <v>50241405745</v>
      </c>
      <c r="AU507" s="36">
        <f t="shared" si="39"/>
        <v>863.64977845472652</v>
      </c>
      <c r="AV507" s="5">
        <v>871562787587</v>
      </c>
      <c r="AW507" s="5">
        <v>159982817875</v>
      </c>
      <c r="AX507" s="5">
        <v>221647177464</v>
      </c>
      <c r="AY507" s="5">
        <v>387136498000</v>
      </c>
      <c r="AZ507" s="5">
        <v>792842009258</v>
      </c>
      <c r="BA507" s="5">
        <v>1142592759288</v>
      </c>
      <c r="BB507" s="5">
        <v>721440884049</v>
      </c>
      <c r="BC507" s="5">
        <v>2457111051347</v>
      </c>
      <c r="BD507" s="5">
        <v>709840032729</v>
      </c>
      <c r="BE507" s="5">
        <v>792842009258</v>
      </c>
      <c r="BF507" s="5">
        <v>954429009360</v>
      </c>
      <c r="BG507" s="5">
        <v>1338331188186</v>
      </c>
      <c r="BH507" s="5">
        <v>417385058780</v>
      </c>
      <c r="BI507" s="5">
        <v>0</v>
      </c>
      <c r="BJ507" s="48">
        <v>0</v>
      </c>
      <c r="BK507" s="5">
        <v>0</v>
      </c>
      <c r="BL507" s="5">
        <v>0</v>
      </c>
      <c r="BM507" s="5">
        <v>0</v>
      </c>
      <c r="BN507" s="5">
        <v>1373651569</v>
      </c>
    </row>
    <row r="508" spans="1:66" x14ac:dyDescent="0.25">
      <c r="A508" s="17" t="s">
        <v>619</v>
      </c>
      <c r="B508" s="4">
        <v>3104</v>
      </c>
      <c r="C508" s="4" t="s">
        <v>522</v>
      </c>
      <c r="D508" s="5">
        <v>1651359121856</v>
      </c>
      <c r="E508" s="5">
        <v>175191883366</v>
      </c>
      <c r="F508" s="5">
        <v>0</v>
      </c>
      <c r="G508" s="5">
        <v>0</v>
      </c>
      <c r="H508" s="5">
        <v>1826551005222</v>
      </c>
      <c r="I508" s="5">
        <v>147204085432</v>
      </c>
      <c r="J508" s="5">
        <v>7679375078</v>
      </c>
      <c r="K508" s="5">
        <v>1671667544712</v>
      </c>
      <c r="L508" s="5">
        <v>1131197534488</v>
      </c>
      <c r="M508" s="5">
        <f t="shared" si="35"/>
        <v>695353470734</v>
      </c>
      <c r="N508" s="36">
        <f t="shared" si="36"/>
        <v>61.47056102352002</v>
      </c>
      <c r="O508" s="5">
        <v>2010837968075</v>
      </c>
      <c r="P508" s="36">
        <v>126.43</v>
      </c>
      <c r="Q508" s="6">
        <v>120.29</v>
      </c>
      <c r="R508" s="6">
        <v>7.64</v>
      </c>
      <c r="S508" s="5">
        <v>2020630633693</v>
      </c>
      <c r="T508" s="5">
        <v>174881334799</v>
      </c>
      <c r="U508" s="5">
        <v>72574531316</v>
      </c>
      <c r="V508" s="5">
        <v>91157443896</v>
      </c>
      <c r="W508" s="5">
        <v>11149359587</v>
      </c>
      <c r="X508" s="5">
        <v>2195511968492</v>
      </c>
      <c r="Y508" s="5">
        <v>1632034219</v>
      </c>
      <c r="Z508" s="5">
        <v>108844530906</v>
      </c>
      <c r="AA508" s="5">
        <v>4899220556</v>
      </c>
      <c r="AB508" s="5">
        <v>2309255719954</v>
      </c>
      <c r="AC508" s="5">
        <v>1623239791178</v>
      </c>
      <c r="AD508" s="36">
        <f t="shared" si="37"/>
        <v>35.254937713096403</v>
      </c>
      <c r="AE508" s="5">
        <v>1563134955684</v>
      </c>
      <c r="AF508" s="5">
        <v>1418227535130</v>
      </c>
      <c r="AG508" s="5">
        <v>0</v>
      </c>
      <c r="AH508" s="5">
        <v>3941011575</v>
      </c>
      <c r="AI508" s="5">
        <v>0</v>
      </c>
      <c r="AJ508" s="5">
        <v>0</v>
      </c>
      <c r="AK508" s="5">
        <v>0</v>
      </c>
      <c r="AL508" s="6">
        <v>0</v>
      </c>
      <c r="AM508" s="5">
        <v>0</v>
      </c>
      <c r="AN508" s="6">
        <v>37</v>
      </c>
      <c r="AO508" s="5">
        <v>815579383693</v>
      </c>
      <c r="AP508" s="6">
        <v>96</v>
      </c>
      <c r="AQ508" s="5">
        <v>2080519713585</v>
      </c>
      <c r="AR508" s="5">
        <v>174881334799</v>
      </c>
      <c r="AS508" s="5">
        <v>40069299388</v>
      </c>
      <c r="AT508" s="5">
        <f t="shared" si="38"/>
        <v>134812035411</v>
      </c>
      <c r="AU508" s="36">
        <f t="shared" si="39"/>
        <v>336.44719890304265</v>
      </c>
      <c r="AV508" s="5">
        <v>875913532104</v>
      </c>
      <c r="AW508" s="5">
        <v>215743449587</v>
      </c>
      <c r="AX508" s="5">
        <v>455147160009</v>
      </c>
      <c r="AY508" s="5">
        <v>455547940888</v>
      </c>
      <c r="AZ508" s="5">
        <v>383828420549</v>
      </c>
      <c r="BA508" s="5">
        <v>625674737018</v>
      </c>
      <c r="BB508" s="5">
        <v>238142768583</v>
      </c>
      <c r="BC508" s="5">
        <v>1826551005222</v>
      </c>
      <c r="BD508" s="5">
        <v>1085886984263</v>
      </c>
      <c r="BE508" s="5">
        <v>383828420549</v>
      </c>
      <c r="BF508" s="5">
        <v>356835600410</v>
      </c>
      <c r="BG508" s="5">
        <v>1243460095538</v>
      </c>
      <c r="BH508" s="5">
        <v>319674860146</v>
      </c>
      <c r="BI508" s="5">
        <v>0</v>
      </c>
      <c r="BJ508" s="48">
        <v>0</v>
      </c>
      <c r="BK508" s="5">
        <v>0</v>
      </c>
      <c r="BL508" s="5">
        <v>0</v>
      </c>
      <c r="BM508" s="5">
        <v>0</v>
      </c>
      <c r="BN508" s="5">
        <v>3941011575</v>
      </c>
    </row>
    <row r="509" spans="1:66" x14ac:dyDescent="0.25">
      <c r="A509" s="17" t="s">
        <v>619</v>
      </c>
      <c r="B509" s="4">
        <v>3105</v>
      </c>
      <c r="C509" s="4" t="s">
        <v>523</v>
      </c>
      <c r="D509" s="5">
        <v>1271359385168</v>
      </c>
      <c r="E509" s="5">
        <v>8878235194</v>
      </c>
      <c r="F509" s="5">
        <v>0</v>
      </c>
      <c r="G509" s="5">
        <v>0</v>
      </c>
      <c r="H509" s="5">
        <v>1280237620362</v>
      </c>
      <c r="I509" s="5">
        <v>117739857119</v>
      </c>
      <c r="J509" s="5">
        <v>9494802651</v>
      </c>
      <c r="K509" s="5">
        <v>1153002960592</v>
      </c>
      <c r="L509" s="5">
        <v>927089341220</v>
      </c>
      <c r="M509" s="5">
        <f t="shared" si="35"/>
        <v>353148279142</v>
      </c>
      <c r="N509" s="36">
        <f t="shared" si="36"/>
        <v>38.092151795993658</v>
      </c>
      <c r="O509" s="5">
        <v>1304755750509</v>
      </c>
      <c r="P509" s="36">
        <v>109.06</v>
      </c>
      <c r="Q509" s="6">
        <v>113.16</v>
      </c>
      <c r="R509" s="6">
        <v>1.86</v>
      </c>
      <c r="S509" s="5">
        <v>1328100790981</v>
      </c>
      <c r="T509" s="5">
        <v>25918366393</v>
      </c>
      <c r="U509" s="5">
        <v>25441706531</v>
      </c>
      <c r="V509" s="5">
        <v>476659862</v>
      </c>
      <c r="W509" s="5">
        <v>0</v>
      </c>
      <c r="X509" s="5">
        <v>1354019157374</v>
      </c>
      <c r="Y509" s="5">
        <v>29500976</v>
      </c>
      <c r="Z509" s="5">
        <v>42261914602</v>
      </c>
      <c r="AA509" s="5">
        <v>0</v>
      </c>
      <c r="AB509" s="5">
        <v>1396281071976</v>
      </c>
      <c r="AC509" s="5">
        <v>1116463688244</v>
      </c>
      <c r="AD509" s="36">
        <f t="shared" si="37"/>
        <v>21.277491747504367</v>
      </c>
      <c r="AE509" s="5">
        <v>1137873137798</v>
      </c>
      <c r="AF509" s="5">
        <v>1137873137798</v>
      </c>
      <c r="AG509" s="5">
        <v>0</v>
      </c>
      <c r="AH509" s="5">
        <v>0</v>
      </c>
      <c r="AI509" s="5">
        <v>11704191781</v>
      </c>
      <c r="AJ509" s="5">
        <v>0</v>
      </c>
      <c r="AK509" s="5">
        <v>0</v>
      </c>
      <c r="AL509" s="6">
        <v>0</v>
      </c>
      <c r="AM509" s="5">
        <v>0</v>
      </c>
      <c r="AN509" s="6">
        <v>12</v>
      </c>
      <c r="AO509" s="5">
        <v>28276276830</v>
      </c>
      <c r="AP509" s="6">
        <v>8</v>
      </c>
      <c r="AQ509" s="5">
        <v>35784297792</v>
      </c>
      <c r="AR509" s="5">
        <v>25918366393</v>
      </c>
      <c r="AS509" s="5">
        <v>51329797875</v>
      </c>
      <c r="AT509" s="5">
        <f t="shared" si="38"/>
        <v>-25411431482</v>
      </c>
      <c r="AU509" s="36">
        <f t="shared" si="39"/>
        <v>-49.506198220150303</v>
      </c>
      <c r="AV509" s="5">
        <v>859934595052</v>
      </c>
      <c r="AW509" s="5">
        <v>133576277786</v>
      </c>
      <c r="AX509" s="5">
        <v>258372244670</v>
      </c>
      <c r="AY509" s="5">
        <v>397578971964</v>
      </c>
      <c r="AZ509" s="5">
        <v>362208668534</v>
      </c>
      <c r="BA509" s="5">
        <v>336053816972</v>
      </c>
      <c r="BB509" s="5">
        <v>244615176184</v>
      </c>
      <c r="BC509" s="5">
        <v>1280237620362</v>
      </c>
      <c r="BD509" s="5">
        <v>664829451828</v>
      </c>
      <c r="BE509" s="5">
        <v>362208668534</v>
      </c>
      <c r="BF509" s="5">
        <v>253199500000</v>
      </c>
      <c r="BG509" s="5">
        <v>878173977798</v>
      </c>
      <c r="BH509" s="5">
        <v>259699160000</v>
      </c>
      <c r="BI509" s="5">
        <v>0</v>
      </c>
      <c r="BJ509" s="48">
        <v>0</v>
      </c>
      <c r="BK509" s="5">
        <v>0</v>
      </c>
      <c r="BL509" s="5">
        <v>0</v>
      </c>
      <c r="BM509" s="5">
        <v>0</v>
      </c>
      <c r="BN509" s="5">
        <v>0</v>
      </c>
    </row>
    <row r="510" spans="1:66" x14ac:dyDescent="0.25">
      <c r="A510" s="17" t="s">
        <v>619</v>
      </c>
      <c r="B510" s="4">
        <v>3106</v>
      </c>
      <c r="C510" s="4" t="s">
        <v>524</v>
      </c>
      <c r="D510" s="5">
        <v>1704730372262</v>
      </c>
      <c r="E510" s="5">
        <v>87186925086</v>
      </c>
      <c r="F510" s="5">
        <v>0</v>
      </c>
      <c r="G510" s="5">
        <v>0</v>
      </c>
      <c r="H510" s="5">
        <v>1791917297348</v>
      </c>
      <c r="I510" s="5">
        <v>153894706635</v>
      </c>
      <c r="J510" s="5">
        <v>5091954746</v>
      </c>
      <c r="K510" s="5">
        <v>1632930635967</v>
      </c>
      <c r="L510" s="5">
        <v>1391281713396</v>
      </c>
      <c r="M510" s="5">
        <f t="shared" si="35"/>
        <v>400635583952</v>
      </c>
      <c r="N510" s="36">
        <f t="shared" si="36"/>
        <v>28.796151066636437</v>
      </c>
      <c r="O510" s="5">
        <v>1596614255520</v>
      </c>
      <c r="P510" s="36">
        <v>105.66</v>
      </c>
      <c r="Q510" s="6">
        <v>97.78</v>
      </c>
      <c r="R510" s="6">
        <v>3.21</v>
      </c>
      <c r="S510" s="5">
        <v>1734140258973</v>
      </c>
      <c r="T510" s="5">
        <v>60713353036</v>
      </c>
      <c r="U510" s="5">
        <v>48360680082</v>
      </c>
      <c r="V510" s="5">
        <v>12352672954</v>
      </c>
      <c r="W510" s="5">
        <v>0</v>
      </c>
      <c r="X510" s="5">
        <v>1794853612009</v>
      </c>
      <c r="Y510" s="5">
        <v>0</v>
      </c>
      <c r="Z510" s="5">
        <v>83808322055</v>
      </c>
      <c r="AA510" s="5">
        <v>14750000000</v>
      </c>
      <c r="AB510" s="5">
        <v>1893411934064</v>
      </c>
      <c r="AC510" s="5">
        <v>1233273571728</v>
      </c>
      <c r="AD510" s="36">
        <f t="shared" si="37"/>
        <v>45.535723229205558</v>
      </c>
      <c r="AE510" s="5">
        <v>1577869166874</v>
      </c>
      <c r="AF510" s="5">
        <v>1474257112081</v>
      </c>
      <c r="AG510" s="5">
        <v>0</v>
      </c>
      <c r="AH510" s="5">
        <v>278800000000</v>
      </c>
      <c r="AI510" s="5">
        <v>0</v>
      </c>
      <c r="AJ510" s="5">
        <v>0</v>
      </c>
      <c r="AK510" s="5">
        <v>0</v>
      </c>
      <c r="AL510" s="6">
        <v>0</v>
      </c>
      <c r="AM510" s="5">
        <v>0</v>
      </c>
      <c r="AN510" s="6">
        <v>74</v>
      </c>
      <c r="AO510" s="5">
        <v>707822044643</v>
      </c>
      <c r="AP510" s="6">
        <v>168</v>
      </c>
      <c r="AQ510" s="5">
        <v>946618308209</v>
      </c>
      <c r="AR510" s="5">
        <v>60713353036</v>
      </c>
      <c r="AS510" s="5">
        <v>28162558540</v>
      </c>
      <c r="AT510" s="5">
        <f t="shared" si="38"/>
        <v>32550794496</v>
      </c>
      <c r="AU510" s="36">
        <f t="shared" si="39"/>
        <v>115.58180855538134</v>
      </c>
      <c r="AV510" s="5">
        <v>970962560111</v>
      </c>
      <c r="AW510" s="5">
        <v>264751460443</v>
      </c>
      <c r="AX510" s="5">
        <v>243147307325</v>
      </c>
      <c r="AY510" s="5">
        <v>171134502304</v>
      </c>
      <c r="AZ510" s="5">
        <v>537183562633</v>
      </c>
      <c r="BA510" s="5">
        <v>988880894388</v>
      </c>
      <c r="BB510" s="5">
        <v>325822839235</v>
      </c>
      <c r="BC510" s="5">
        <v>1791917297348</v>
      </c>
      <c r="BD510" s="5">
        <v>501468734715</v>
      </c>
      <c r="BE510" s="5">
        <v>537183562633</v>
      </c>
      <c r="BF510" s="5">
        <v>753265000000</v>
      </c>
      <c r="BG510" s="5">
        <v>761196333170</v>
      </c>
      <c r="BH510" s="5">
        <v>816672833704</v>
      </c>
      <c r="BI510" s="5">
        <v>0</v>
      </c>
      <c r="BJ510" s="48">
        <v>0</v>
      </c>
      <c r="BK510" s="5">
        <v>0</v>
      </c>
      <c r="BL510" s="5">
        <v>0</v>
      </c>
      <c r="BM510" s="5">
        <v>0</v>
      </c>
      <c r="BN510" s="5">
        <v>278800000000</v>
      </c>
    </row>
    <row r="511" spans="1:66" x14ac:dyDescent="0.25">
      <c r="A511" s="17" t="s">
        <v>619</v>
      </c>
      <c r="B511" s="4">
        <v>3107</v>
      </c>
      <c r="C511" s="4" t="s">
        <v>525</v>
      </c>
      <c r="D511" s="5">
        <v>1261649260184</v>
      </c>
      <c r="E511" s="5">
        <v>24960616706</v>
      </c>
      <c r="F511" s="5">
        <v>0</v>
      </c>
      <c r="G511" s="5">
        <v>0</v>
      </c>
      <c r="H511" s="5">
        <v>1286609876890</v>
      </c>
      <c r="I511" s="5">
        <v>136757995100</v>
      </c>
      <c r="J511" s="5">
        <v>6054921869</v>
      </c>
      <c r="K511" s="5">
        <v>1143796959921</v>
      </c>
      <c r="L511" s="5">
        <v>968801623233</v>
      </c>
      <c r="M511" s="5">
        <f t="shared" si="35"/>
        <v>317808253657</v>
      </c>
      <c r="N511" s="36">
        <f t="shared" si="36"/>
        <v>32.80426519068353</v>
      </c>
      <c r="O511" s="5">
        <v>1451575163328</v>
      </c>
      <c r="P511" s="36">
        <v>128.94999999999999</v>
      </c>
      <c r="Q511" s="6">
        <v>126.91</v>
      </c>
      <c r="R511" s="6">
        <v>3.52</v>
      </c>
      <c r="S511" s="5">
        <v>1527026340621</v>
      </c>
      <c r="T511" s="5">
        <v>57294251770</v>
      </c>
      <c r="U511" s="5">
        <v>36716738896</v>
      </c>
      <c r="V511" s="5">
        <v>10815826870</v>
      </c>
      <c r="W511" s="5">
        <v>9761686004</v>
      </c>
      <c r="X511" s="5">
        <v>1584320592391</v>
      </c>
      <c r="Y511" s="5">
        <v>1036747494</v>
      </c>
      <c r="Z511" s="5">
        <v>63237463448</v>
      </c>
      <c r="AA511" s="5">
        <v>11499990000</v>
      </c>
      <c r="AB511" s="5">
        <v>1659058045839</v>
      </c>
      <c r="AC511" s="5">
        <v>1406832630875</v>
      </c>
      <c r="AD511" s="36">
        <f t="shared" si="37"/>
        <v>12.616139092935938</v>
      </c>
      <c r="AE511" s="5">
        <v>1021876309579</v>
      </c>
      <c r="AF511" s="5">
        <v>1018286309579</v>
      </c>
      <c r="AG511" s="5">
        <v>37155210400</v>
      </c>
      <c r="AH511" s="5">
        <v>1953000000</v>
      </c>
      <c r="AI511" s="5">
        <v>7221888625</v>
      </c>
      <c r="AJ511" s="5">
        <v>0</v>
      </c>
      <c r="AK511" s="5">
        <v>0</v>
      </c>
      <c r="AL511" s="6">
        <v>0</v>
      </c>
      <c r="AM511" s="5">
        <v>0</v>
      </c>
      <c r="AN511" s="6">
        <v>23</v>
      </c>
      <c r="AO511" s="5">
        <v>143730093340</v>
      </c>
      <c r="AP511" s="6">
        <v>14</v>
      </c>
      <c r="AQ511" s="5">
        <v>21033951292</v>
      </c>
      <c r="AR511" s="5">
        <v>57294251770</v>
      </c>
      <c r="AS511" s="5">
        <v>30570983418</v>
      </c>
      <c r="AT511" s="5">
        <f t="shared" si="38"/>
        <v>26723268352</v>
      </c>
      <c r="AU511" s="36">
        <f t="shared" si="39"/>
        <v>87.413832870896485</v>
      </c>
      <c r="AV511" s="5">
        <v>839766937731</v>
      </c>
      <c r="AW511" s="5">
        <v>298497770499</v>
      </c>
      <c r="AX511" s="5">
        <v>283785264651</v>
      </c>
      <c r="AY511" s="5">
        <v>131180782636</v>
      </c>
      <c r="AZ511" s="5">
        <v>676191938143</v>
      </c>
      <c r="BA511" s="5">
        <v>554054565494</v>
      </c>
      <c r="BB511" s="5">
        <v>621471294151</v>
      </c>
      <c r="BC511" s="5">
        <v>1286609876890</v>
      </c>
      <c r="BD511" s="5">
        <v>439926663993</v>
      </c>
      <c r="BE511" s="5">
        <v>676191938143</v>
      </c>
      <c r="BF511" s="5">
        <v>170491274754</v>
      </c>
      <c r="BG511" s="5">
        <v>549621456578</v>
      </c>
      <c r="BH511" s="5">
        <v>472254853001</v>
      </c>
      <c r="BI511" s="5">
        <v>0</v>
      </c>
      <c r="BJ511" s="48">
        <v>0</v>
      </c>
      <c r="BK511" s="5">
        <v>84330487120</v>
      </c>
      <c r="BL511" s="5">
        <v>0</v>
      </c>
      <c r="BM511" s="5">
        <v>1780047689</v>
      </c>
      <c r="BN511" s="5">
        <v>139500000</v>
      </c>
    </row>
    <row r="512" spans="1:66" x14ac:dyDescent="0.25">
      <c r="A512" s="17" t="s">
        <v>619</v>
      </c>
      <c r="B512" s="4">
        <v>3108</v>
      </c>
      <c r="C512" s="4" t="s">
        <v>526</v>
      </c>
      <c r="D512" s="5">
        <v>1303084721363</v>
      </c>
      <c r="E512" s="5">
        <v>13838221698</v>
      </c>
      <c r="F512" s="5">
        <v>0</v>
      </c>
      <c r="G512" s="5">
        <v>0</v>
      </c>
      <c r="H512" s="5">
        <v>1316922943061</v>
      </c>
      <c r="I512" s="5">
        <v>95880297582</v>
      </c>
      <c r="J512" s="5">
        <v>8157975441</v>
      </c>
      <c r="K512" s="5">
        <v>1212884670038</v>
      </c>
      <c r="L512" s="5">
        <v>748565113640</v>
      </c>
      <c r="M512" s="5">
        <f t="shared" si="35"/>
        <v>568357829421</v>
      </c>
      <c r="N512" s="36">
        <f t="shared" si="36"/>
        <v>75.926304748197865</v>
      </c>
      <c r="O512" s="5">
        <v>1682849340111</v>
      </c>
      <c r="P512" s="36">
        <v>148.97</v>
      </c>
      <c r="Q512" s="6">
        <v>138.75</v>
      </c>
      <c r="R512" s="6">
        <v>14.35</v>
      </c>
      <c r="S512" s="5">
        <v>1569786791151</v>
      </c>
      <c r="T512" s="5">
        <v>245162171127</v>
      </c>
      <c r="U512" s="5">
        <v>33672187122</v>
      </c>
      <c r="V512" s="5">
        <v>60540824833</v>
      </c>
      <c r="W512" s="5">
        <v>150949159172</v>
      </c>
      <c r="X512" s="5">
        <v>1814948962278</v>
      </c>
      <c r="Y512" s="5">
        <v>36279642806</v>
      </c>
      <c r="Z512" s="5">
        <v>141571994932</v>
      </c>
      <c r="AA512" s="5">
        <v>5300000000</v>
      </c>
      <c r="AB512" s="5">
        <v>1961820957210</v>
      </c>
      <c r="AC512" s="5">
        <v>1698786799768</v>
      </c>
      <c r="AD512" s="36">
        <f t="shared" si="37"/>
        <v>6.8379482655424466</v>
      </c>
      <c r="AE512" s="5">
        <v>878138256717</v>
      </c>
      <c r="AF512" s="5">
        <v>843757938779</v>
      </c>
      <c r="AG512" s="5">
        <v>0</v>
      </c>
      <c r="AH512" s="5">
        <v>0</v>
      </c>
      <c r="AI512" s="5">
        <v>19604387843</v>
      </c>
      <c r="AJ512" s="5">
        <v>0</v>
      </c>
      <c r="AK512" s="5">
        <v>0</v>
      </c>
      <c r="AL512" s="6">
        <v>0</v>
      </c>
      <c r="AM512" s="5">
        <v>0</v>
      </c>
      <c r="AN512" s="6">
        <v>25</v>
      </c>
      <c r="AO512" s="5">
        <v>105342146975</v>
      </c>
      <c r="AP512" s="6">
        <v>9</v>
      </c>
      <c r="AQ512" s="5">
        <v>19250000000</v>
      </c>
      <c r="AR512" s="5">
        <v>245162171127</v>
      </c>
      <c r="AS512" s="5">
        <v>144839182003</v>
      </c>
      <c r="AT512" s="5">
        <f t="shared" si="38"/>
        <v>100322989124</v>
      </c>
      <c r="AU512" s="36">
        <f t="shared" si="39"/>
        <v>69.265089554235431</v>
      </c>
      <c r="AV512" s="5">
        <v>744847242891</v>
      </c>
      <c r="AW512" s="5">
        <v>315236374211</v>
      </c>
      <c r="AX512" s="5">
        <v>374791954634</v>
      </c>
      <c r="AY512" s="5">
        <v>445731902798</v>
      </c>
      <c r="AZ512" s="5">
        <v>365590863931</v>
      </c>
      <c r="BA512" s="5">
        <v>152321355004</v>
      </c>
      <c r="BB512" s="5">
        <v>279015018197</v>
      </c>
      <c r="BC512" s="5">
        <v>1316922943061</v>
      </c>
      <c r="BD512" s="5">
        <v>834362079130</v>
      </c>
      <c r="BE512" s="5">
        <v>365590863931</v>
      </c>
      <c r="BF512" s="5">
        <v>116970000000</v>
      </c>
      <c r="BG512" s="5">
        <v>296625517438</v>
      </c>
      <c r="BH512" s="5">
        <v>581512739279</v>
      </c>
      <c r="BI512" s="5">
        <v>0</v>
      </c>
      <c r="BJ512" s="48">
        <v>145347429007</v>
      </c>
      <c r="BK512" s="5">
        <v>105518897875</v>
      </c>
      <c r="BL512" s="5">
        <v>0</v>
      </c>
      <c r="BM512" s="5">
        <v>0</v>
      </c>
      <c r="BN512" s="5">
        <v>0</v>
      </c>
    </row>
    <row r="513" spans="1:66" x14ac:dyDescent="0.25">
      <c r="A513" s="17" t="s">
        <v>619</v>
      </c>
      <c r="B513" s="4">
        <v>3109</v>
      </c>
      <c r="C513" s="4" t="s">
        <v>527</v>
      </c>
      <c r="D513" s="5">
        <v>1043387250596</v>
      </c>
      <c r="E513" s="5">
        <v>3441664361</v>
      </c>
      <c r="F513" s="5">
        <v>0</v>
      </c>
      <c r="G513" s="5">
        <v>0</v>
      </c>
      <c r="H513" s="5">
        <v>1046828914957</v>
      </c>
      <c r="I513" s="5">
        <v>87924390577</v>
      </c>
      <c r="J513" s="5">
        <v>8958642623</v>
      </c>
      <c r="K513" s="5">
        <v>949945881757</v>
      </c>
      <c r="L513" s="5">
        <v>708185062467</v>
      </c>
      <c r="M513" s="5">
        <f t="shared" si="35"/>
        <v>338643852490</v>
      </c>
      <c r="N513" s="36">
        <f t="shared" si="36"/>
        <v>47.818553431544615</v>
      </c>
      <c r="O513" s="5">
        <v>1686087760907</v>
      </c>
      <c r="P513" s="36">
        <v>177.23</v>
      </c>
      <c r="Q513" s="6">
        <v>177.49</v>
      </c>
      <c r="R513" s="6">
        <v>7.5</v>
      </c>
      <c r="S513" s="5">
        <v>1643398478373</v>
      </c>
      <c r="T513" s="5">
        <v>138801642652</v>
      </c>
      <c r="U513" s="5">
        <v>117528684835</v>
      </c>
      <c r="V513" s="5">
        <v>20579688521</v>
      </c>
      <c r="W513" s="5">
        <v>693269296</v>
      </c>
      <c r="X513" s="5">
        <v>1782200121025</v>
      </c>
      <c r="Y513" s="5">
        <v>318740540</v>
      </c>
      <c r="Z513" s="5">
        <v>65080720007</v>
      </c>
      <c r="AA513" s="5">
        <v>7999203383</v>
      </c>
      <c r="AB513" s="5">
        <v>1855280044415</v>
      </c>
      <c r="AC513" s="5">
        <v>1320944744339</v>
      </c>
      <c r="AD513" s="36">
        <f t="shared" si="37"/>
        <v>34.918597364707473</v>
      </c>
      <c r="AE513" s="5">
        <v>1566924220109</v>
      </c>
      <c r="AF513" s="5">
        <v>1566924220109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6">
        <v>0</v>
      </c>
      <c r="AM513" s="5">
        <v>0</v>
      </c>
      <c r="AN513" s="6">
        <v>1</v>
      </c>
      <c r="AO513" s="5">
        <v>1000000000</v>
      </c>
      <c r="AP513" s="6">
        <v>1</v>
      </c>
      <c r="AQ513" s="5">
        <v>675000000</v>
      </c>
      <c r="AR513" s="5">
        <v>138801642652</v>
      </c>
      <c r="AS513" s="5">
        <v>9705999816</v>
      </c>
      <c r="AT513" s="5">
        <f t="shared" si="38"/>
        <v>129095642836</v>
      </c>
      <c r="AU513" s="36">
        <f t="shared" si="39"/>
        <v>1330.0602234011003</v>
      </c>
      <c r="AV513" s="5">
        <v>1168776185053</v>
      </c>
      <c r="AW513" s="5">
        <v>460800620039</v>
      </c>
      <c r="AX513" s="5">
        <v>43493064617</v>
      </c>
      <c r="AY513" s="5">
        <v>113732258308</v>
      </c>
      <c r="AZ513" s="5">
        <v>536115927671</v>
      </c>
      <c r="BA513" s="5">
        <v>365874098104</v>
      </c>
      <c r="BB513" s="5">
        <v>505480134317</v>
      </c>
      <c r="BC513" s="5">
        <v>1046828914957</v>
      </c>
      <c r="BD513" s="5">
        <v>160666987286</v>
      </c>
      <c r="BE513" s="5">
        <v>536115927671</v>
      </c>
      <c r="BF513" s="5">
        <v>350046000000</v>
      </c>
      <c r="BG513" s="5">
        <v>729923107108</v>
      </c>
      <c r="BH513" s="5">
        <v>837001113001</v>
      </c>
      <c r="BI513" s="5">
        <v>0</v>
      </c>
      <c r="BJ513" s="48">
        <v>0</v>
      </c>
      <c r="BK513" s="5">
        <v>0</v>
      </c>
      <c r="BL513" s="5">
        <v>0</v>
      </c>
      <c r="BM513" s="5">
        <v>0</v>
      </c>
      <c r="BN513" s="5">
        <v>0</v>
      </c>
    </row>
    <row r="514" spans="1:66" x14ac:dyDescent="0.25">
      <c r="A514" s="17" t="s">
        <v>619</v>
      </c>
      <c r="B514" s="4">
        <v>3110</v>
      </c>
      <c r="C514" s="4" t="s">
        <v>528</v>
      </c>
      <c r="D514" s="5">
        <v>967598234414</v>
      </c>
      <c r="E514" s="5">
        <v>8582808211</v>
      </c>
      <c r="F514" s="5">
        <v>0</v>
      </c>
      <c r="G514" s="5">
        <v>0</v>
      </c>
      <c r="H514" s="5">
        <v>976181042625</v>
      </c>
      <c r="I514" s="5">
        <v>90903863776</v>
      </c>
      <c r="J514" s="5">
        <v>15518722897</v>
      </c>
      <c r="K514" s="5">
        <v>869758455952</v>
      </c>
      <c r="L514" s="5">
        <v>705845107220</v>
      </c>
      <c r="M514" s="5">
        <f t="shared" si="35"/>
        <v>270335935405</v>
      </c>
      <c r="N514" s="36">
        <f t="shared" si="36"/>
        <v>38.299611719308956</v>
      </c>
      <c r="O514" s="5">
        <v>936766130488</v>
      </c>
      <c r="P514" s="36">
        <v>107.15</v>
      </c>
      <c r="Q514" s="6">
        <v>107.7</v>
      </c>
      <c r="R514" s="6">
        <v>8.57</v>
      </c>
      <c r="S514" s="5">
        <v>877671923579</v>
      </c>
      <c r="T514" s="5">
        <v>87832819997</v>
      </c>
      <c r="U514" s="5">
        <v>36005794479</v>
      </c>
      <c r="V514" s="5">
        <v>29528623373</v>
      </c>
      <c r="W514" s="5">
        <v>22298402145</v>
      </c>
      <c r="X514" s="5">
        <v>965504743576</v>
      </c>
      <c r="Y514" s="5">
        <v>1844116897</v>
      </c>
      <c r="Z514" s="5">
        <v>73441995841</v>
      </c>
      <c r="AA514" s="5">
        <v>7000000000</v>
      </c>
      <c r="AB514" s="5">
        <v>1045946739417</v>
      </c>
      <c r="AC514" s="5">
        <v>933055763368</v>
      </c>
      <c r="AD514" s="36">
        <f t="shared" si="37"/>
        <v>3.4777107094725723</v>
      </c>
      <c r="AE514" s="5">
        <v>411461765170</v>
      </c>
      <c r="AF514" s="5">
        <v>411461765170</v>
      </c>
      <c r="AG514" s="5">
        <v>0</v>
      </c>
      <c r="AH514" s="5">
        <v>4000000000</v>
      </c>
      <c r="AI514" s="5">
        <v>0</v>
      </c>
      <c r="AJ514" s="5">
        <v>0</v>
      </c>
      <c r="AK514" s="5">
        <v>0</v>
      </c>
      <c r="AL514" s="6">
        <v>0</v>
      </c>
      <c r="AM514" s="5">
        <v>0</v>
      </c>
      <c r="AN514" s="6">
        <v>3</v>
      </c>
      <c r="AO514" s="5">
        <v>37668000000</v>
      </c>
      <c r="AP514" s="6">
        <v>5</v>
      </c>
      <c r="AQ514" s="5">
        <v>38737500000</v>
      </c>
      <c r="AR514" s="5">
        <v>87832819997</v>
      </c>
      <c r="AS514" s="5">
        <v>41965607844</v>
      </c>
      <c r="AT514" s="5">
        <f t="shared" si="38"/>
        <v>45867212153</v>
      </c>
      <c r="AU514" s="36">
        <f t="shared" si="39"/>
        <v>109.29714713892278</v>
      </c>
      <c r="AV514" s="5">
        <v>372694493631</v>
      </c>
      <c r="AW514" s="5">
        <v>138236011975</v>
      </c>
      <c r="AX514" s="5">
        <v>354174235764</v>
      </c>
      <c r="AY514" s="5">
        <v>350048984386</v>
      </c>
      <c r="AZ514" s="5">
        <v>237205014264</v>
      </c>
      <c r="BA514" s="5">
        <v>273724897492</v>
      </c>
      <c r="BB514" s="5">
        <v>200717565045</v>
      </c>
      <c r="BC514" s="5">
        <v>976181042625</v>
      </c>
      <c r="BD514" s="5">
        <v>712806028361</v>
      </c>
      <c r="BE514" s="5">
        <v>237205014264</v>
      </c>
      <c r="BF514" s="5">
        <v>26170000000</v>
      </c>
      <c r="BG514" s="5">
        <v>409411765170</v>
      </c>
      <c r="BH514" s="5">
        <v>2050000000</v>
      </c>
      <c r="BI514" s="5">
        <v>0</v>
      </c>
      <c r="BJ514" s="48">
        <v>0</v>
      </c>
      <c r="BK514" s="5">
        <v>0</v>
      </c>
      <c r="BL514" s="5">
        <v>0</v>
      </c>
      <c r="BM514" s="5">
        <v>3783846325</v>
      </c>
      <c r="BN514" s="5">
        <v>0</v>
      </c>
    </row>
    <row r="515" spans="1:66" x14ac:dyDescent="0.25">
      <c r="A515" s="17" t="s">
        <v>619</v>
      </c>
      <c r="B515" s="4">
        <v>3111</v>
      </c>
      <c r="C515" s="4" t="s">
        <v>529</v>
      </c>
      <c r="D515" s="5">
        <v>2493409805793</v>
      </c>
      <c r="E515" s="5">
        <v>29585900128</v>
      </c>
      <c r="F515" s="5">
        <v>0</v>
      </c>
      <c r="G515" s="5">
        <v>0</v>
      </c>
      <c r="H515" s="5">
        <v>2522995705921</v>
      </c>
      <c r="I515" s="5">
        <v>206668525216</v>
      </c>
      <c r="J515" s="5">
        <v>4401291200</v>
      </c>
      <c r="K515" s="5">
        <v>2311925889505</v>
      </c>
      <c r="L515" s="5">
        <v>2068653149285</v>
      </c>
      <c r="M515" s="5">
        <f t="shared" si="35"/>
        <v>454342556636</v>
      </c>
      <c r="N515" s="36">
        <f t="shared" si="36"/>
        <v>21.963206194960083</v>
      </c>
      <c r="O515" s="5">
        <v>2080791613522</v>
      </c>
      <c r="P515" s="36">
        <v>93.04</v>
      </c>
      <c r="Q515" s="6">
        <v>90</v>
      </c>
      <c r="R515" s="6">
        <v>3.33</v>
      </c>
      <c r="S515" s="5">
        <v>2144854268762</v>
      </c>
      <c r="T515" s="5">
        <v>78135715108</v>
      </c>
      <c r="U515" s="5">
        <v>44522696128</v>
      </c>
      <c r="V515" s="5">
        <v>33613018980</v>
      </c>
      <c r="W515" s="5">
        <v>0</v>
      </c>
      <c r="X515" s="5">
        <v>2222989983870</v>
      </c>
      <c r="Y515" s="5">
        <v>0</v>
      </c>
      <c r="Z515" s="5">
        <v>110459212005</v>
      </c>
      <c r="AA515" s="5">
        <v>14031866800</v>
      </c>
      <c r="AB515" s="5">
        <v>2347481062675</v>
      </c>
      <c r="AC515" s="5">
        <v>1716196897705</v>
      </c>
      <c r="AD515" s="36">
        <f t="shared" si="37"/>
        <v>29.530008289999454</v>
      </c>
      <c r="AE515" s="5">
        <v>1416313156562</v>
      </c>
      <c r="AF515" s="5">
        <v>1416313156562</v>
      </c>
      <c r="AG515" s="5">
        <v>0</v>
      </c>
      <c r="AH515" s="5">
        <v>12507373168</v>
      </c>
      <c r="AI515" s="5">
        <v>0</v>
      </c>
      <c r="AJ515" s="5">
        <v>0</v>
      </c>
      <c r="AK515" s="5">
        <v>0</v>
      </c>
      <c r="AL515" s="6">
        <v>0</v>
      </c>
      <c r="AM515" s="5">
        <v>0</v>
      </c>
      <c r="AN515" s="6">
        <v>14</v>
      </c>
      <c r="AO515" s="5">
        <v>55214517724</v>
      </c>
      <c r="AP515" s="6">
        <v>9</v>
      </c>
      <c r="AQ515" s="5">
        <v>50894214472</v>
      </c>
      <c r="AR515" s="5">
        <v>78135715108</v>
      </c>
      <c r="AS515" s="5">
        <v>14946941884</v>
      </c>
      <c r="AT515" s="5">
        <f t="shared" si="38"/>
        <v>63188773224</v>
      </c>
      <c r="AU515" s="36">
        <f t="shared" si="39"/>
        <v>422.75385637004865</v>
      </c>
      <c r="AV515" s="5">
        <v>959149584389</v>
      </c>
      <c r="AW515" s="5">
        <v>235345513032</v>
      </c>
      <c r="AX515" s="5">
        <v>571659078465</v>
      </c>
      <c r="AY515" s="5">
        <v>241562592913</v>
      </c>
      <c r="AZ515" s="5">
        <v>706380934415</v>
      </c>
      <c r="BA515" s="5">
        <v>1042089337280</v>
      </c>
      <c r="BB515" s="5">
        <v>566315166812</v>
      </c>
      <c r="BC515" s="5">
        <v>2522995705921</v>
      </c>
      <c r="BD515" s="5">
        <v>842807571506</v>
      </c>
      <c r="BE515" s="5">
        <v>706380934415</v>
      </c>
      <c r="BF515" s="5">
        <v>973807200000</v>
      </c>
      <c r="BG515" s="5">
        <v>1038864616562</v>
      </c>
      <c r="BH515" s="5">
        <v>377448540000</v>
      </c>
      <c r="BI515" s="5">
        <v>0</v>
      </c>
      <c r="BJ515" s="48">
        <v>0</v>
      </c>
      <c r="BK515" s="5">
        <v>0</v>
      </c>
      <c r="BL515" s="5">
        <v>0</v>
      </c>
      <c r="BM515" s="5">
        <v>0</v>
      </c>
      <c r="BN515" s="5">
        <v>12507373168</v>
      </c>
    </row>
    <row r="516" spans="1:66" x14ac:dyDescent="0.25">
      <c r="A516" s="17" t="s">
        <v>619</v>
      </c>
      <c r="B516" s="4">
        <v>3112</v>
      </c>
      <c r="C516" s="4" t="s">
        <v>530</v>
      </c>
      <c r="D516" s="5">
        <v>3736200075705</v>
      </c>
      <c r="E516" s="5">
        <v>147727187204</v>
      </c>
      <c r="F516" s="5">
        <v>0</v>
      </c>
      <c r="G516" s="5">
        <v>0</v>
      </c>
      <c r="H516" s="5">
        <v>3883927262909</v>
      </c>
      <c r="I516" s="5">
        <v>258607642588</v>
      </c>
      <c r="J516" s="5">
        <v>3647067165</v>
      </c>
      <c r="K516" s="5">
        <v>3621672553156</v>
      </c>
      <c r="L516" s="5">
        <v>2648386623965</v>
      </c>
      <c r="M516" s="5">
        <f t="shared" ref="M516:M540" si="40">H516-L516</f>
        <v>1235540638944</v>
      </c>
      <c r="N516" s="36">
        <f t="shared" ref="N516:N540" si="41">IFERROR(M516/L516*100,0)</f>
        <v>46.652578130538409</v>
      </c>
      <c r="O516" s="5">
        <v>3089925914791</v>
      </c>
      <c r="P516" s="36">
        <v>91.92</v>
      </c>
      <c r="Q516" s="6">
        <v>85.32</v>
      </c>
      <c r="R516" s="6">
        <v>1.9</v>
      </c>
      <c r="S516" s="5">
        <v>3322461891073</v>
      </c>
      <c r="T516" s="5">
        <v>66481162422</v>
      </c>
      <c r="U516" s="5">
        <v>54998844999</v>
      </c>
      <c r="V516" s="5">
        <v>10852922847</v>
      </c>
      <c r="W516" s="5">
        <v>629394576</v>
      </c>
      <c r="X516" s="5">
        <v>3388943053495</v>
      </c>
      <c r="Y516" s="5">
        <v>1426853854</v>
      </c>
      <c r="Z516" s="5">
        <v>173180011790</v>
      </c>
      <c r="AA516" s="5">
        <v>7932885005</v>
      </c>
      <c r="AB516" s="5">
        <v>3570055950290</v>
      </c>
      <c r="AC516" s="5">
        <v>2746240464360</v>
      </c>
      <c r="AD516" s="36">
        <f t="shared" ref="AD516:AD540" si="42">IFERROR((X516-AC516)/AC516*100,0)</f>
        <v>23.402997569798725</v>
      </c>
      <c r="AE516" s="5">
        <v>2922004705973</v>
      </c>
      <c r="AF516" s="5">
        <v>2922004705973</v>
      </c>
      <c r="AG516" s="5">
        <v>138202035344</v>
      </c>
      <c r="AH516" s="5">
        <v>2102542073</v>
      </c>
      <c r="AI516" s="5">
        <v>12840000000</v>
      </c>
      <c r="AJ516" s="5">
        <v>0</v>
      </c>
      <c r="AK516" s="5">
        <v>0</v>
      </c>
      <c r="AL516" s="6">
        <v>0</v>
      </c>
      <c r="AM516" s="5">
        <v>0</v>
      </c>
      <c r="AN516" s="6">
        <v>187</v>
      </c>
      <c r="AO516" s="5">
        <v>1891275877141</v>
      </c>
      <c r="AP516" s="6">
        <v>202</v>
      </c>
      <c r="AQ516" s="5">
        <v>1365791474316</v>
      </c>
      <c r="AR516" s="5">
        <v>66481162422</v>
      </c>
      <c r="AS516" s="5">
        <v>20911091877</v>
      </c>
      <c r="AT516" s="5">
        <f t="shared" ref="AT516:AT540" si="43">AR516-AS516</f>
        <v>45570070545</v>
      </c>
      <c r="AU516" s="36">
        <f t="shared" ref="AU516:AU540" si="44">IFERROR(AT516/AS516*100,0)</f>
        <v>217.92296075711991</v>
      </c>
      <c r="AV516" s="5">
        <v>2252201179060</v>
      </c>
      <c r="AW516" s="5">
        <v>535017447446</v>
      </c>
      <c r="AX516" s="5">
        <v>1353785303311</v>
      </c>
      <c r="AY516" s="5">
        <v>377870708122</v>
      </c>
      <c r="AZ516" s="5">
        <v>1174555560163</v>
      </c>
      <c r="BA516" s="5">
        <v>923459531885</v>
      </c>
      <c r="BB516" s="5">
        <v>984948584716</v>
      </c>
      <c r="BC516" s="5">
        <v>3883927262909</v>
      </c>
      <c r="BD516" s="5">
        <v>1855966888611</v>
      </c>
      <c r="BE516" s="5">
        <v>1174555560163</v>
      </c>
      <c r="BF516" s="5">
        <v>853404814135</v>
      </c>
      <c r="BG516" s="5">
        <v>1902827606752</v>
      </c>
      <c r="BH516" s="5">
        <v>1019177099221</v>
      </c>
      <c r="BI516" s="5">
        <v>0</v>
      </c>
      <c r="BJ516" s="48">
        <v>0</v>
      </c>
      <c r="BK516" s="5">
        <v>138202035344</v>
      </c>
      <c r="BL516" s="5">
        <v>0</v>
      </c>
      <c r="BM516" s="5">
        <v>0</v>
      </c>
      <c r="BN516" s="5">
        <v>2102542073</v>
      </c>
    </row>
    <row r="517" spans="1:66" x14ac:dyDescent="0.25">
      <c r="A517" s="17" t="s">
        <v>619</v>
      </c>
      <c r="B517" s="4">
        <v>3113</v>
      </c>
      <c r="C517" s="4" t="s">
        <v>531</v>
      </c>
      <c r="D517" s="5">
        <v>1148657252527</v>
      </c>
      <c r="E517" s="5">
        <v>1211749081</v>
      </c>
      <c r="F517" s="5">
        <v>0</v>
      </c>
      <c r="G517" s="5">
        <v>0</v>
      </c>
      <c r="H517" s="5">
        <v>1149869001608</v>
      </c>
      <c r="I517" s="5">
        <v>91351119623</v>
      </c>
      <c r="J517" s="5">
        <v>2196745000</v>
      </c>
      <c r="K517" s="5">
        <v>1056321136985</v>
      </c>
      <c r="L517" s="5">
        <v>870846454355</v>
      </c>
      <c r="M517" s="5">
        <f t="shared" si="40"/>
        <v>279022547253</v>
      </c>
      <c r="N517" s="36">
        <f t="shared" si="41"/>
        <v>32.04038391126717</v>
      </c>
      <c r="O517" s="5">
        <v>1026953129840</v>
      </c>
      <c r="P517" s="36">
        <v>104.97</v>
      </c>
      <c r="Q517" s="6">
        <v>97.22</v>
      </c>
      <c r="R517" s="6">
        <v>1.78</v>
      </c>
      <c r="S517" s="5">
        <v>1116822289394</v>
      </c>
      <c r="T517" s="5">
        <v>21508181852</v>
      </c>
      <c r="U517" s="5">
        <v>15384820607</v>
      </c>
      <c r="V517" s="5">
        <v>6123361245</v>
      </c>
      <c r="W517" s="5">
        <v>0</v>
      </c>
      <c r="X517" s="5">
        <v>1138330471246</v>
      </c>
      <c r="Y517" s="5">
        <v>0</v>
      </c>
      <c r="Z517" s="5">
        <v>62673544726</v>
      </c>
      <c r="AA517" s="5">
        <v>6000000000</v>
      </c>
      <c r="AB517" s="5">
        <v>1207004015972</v>
      </c>
      <c r="AC517" s="5">
        <v>648228244257</v>
      </c>
      <c r="AD517" s="36">
        <f t="shared" si="42"/>
        <v>75.606428959410081</v>
      </c>
      <c r="AE517" s="5">
        <v>782578212660</v>
      </c>
      <c r="AF517" s="5">
        <v>782578212660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6">
        <v>0</v>
      </c>
      <c r="AM517" s="5">
        <v>0</v>
      </c>
      <c r="AN517" s="6">
        <v>1</v>
      </c>
      <c r="AO517" s="5">
        <v>2587479768</v>
      </c>
      <c r="AP517" s="6">
        <v>0</v>
      </c>
      <c r="AQ517" s="5">
        <v>0</v>
      </c>
      <c r="AR517" s="5">
        <v>21508181852</v>
      </c>
      <c r="AS517" s="5">
        <v>4049454799</v>
      </c>
      <c r="AT517" s="5">
        <f t="shared" si="43"/>
        <v>17458727053</v>
      </c>
      <c r="AU517" s="36">
        <f t="shared" si="44"/>
        <v>431.13771901618401</v>
      </c>
      <c r="AV517" s="5">
        <v>297721455791</v>
      </c>
      <c r="AW517" s="5">
        <v>41226175425</v>
      </c>
      <c r="AX517" s="5">
        <v>67940021305</v>
      </c>
      <c r="AY517" s="5">
        <v>349711999554</v>
      </c>
      <c r="AZ517" s="5">
        <v>297023165668</v>
      </c>
      <c r="BA517" s="5">
        <v>454615011340</v>
      </c>
      <c r="BB517" s="5">
        <v>286379828358</v>
      </c>
      <c r="BC517" s="5">
        <v>1149869001608</v>
      </c>
      <c r="BD517" s="5">
        <v>418863769940</v>
      </c>
      <c r="BE517" s="5">
        <v>297023165668</v>
      </c>
      <c r="BF517" s="5">
        <v>433982066000</v>
      </c>
      <c r="BG517" s="5">
        <v>197100000000</v>
      </c>
      <c r="BH517" s="5">
        <v>585478212660</v>
      </c>
      <c r="BI517" s="5">
        <v>0</v>
      </c>
      <c r="BJ517" s="48">
        <v>0</v>
      </c>
      <c r="BK517" s="5">
        <v>0</v>
      </c>
      <c r="BL517" s="5">
        <v>0</v>
      </c>
      <c r="BM517" s="5">
        <v>0</v>
      </c>
      <c r="BN517" s="5">
        <v>0</v>
      </c>
    </row>
    <row r="518" spans="1:66" s="32" customFormat="1" x14ac:dyDescent="0.25">
      <c r="A518" s="17" t="s">
        <v>619</v>
      </c>
      <c r="B518" s="8">
        <v>3199</v>
      </c>
      <c r="C518" s="8" t="s">
        <v>532</v>
      </c>
      <c r="D518" s="9">
        <v>0</v>
      </c>
      <c r="E518" s="9">
        <v>118469635408</v>
      </c>
      <c r="F518" s="9">
        <v>0</v>
      </c>
      <c r="G518" s="9">
        <v>0</v>
      </c>
      <c r="H518" s="9">
        <v>118469635408</v>
      </c>
      <c r="I518" s="9">
        <v>11386875730</v>
      </c>
      <c r="J518" s="9">
        <v>7822500000</v>
      </c>
      <c r="K518" s="9">
        <v>99260259678</v>
      </c>
      <c r="L518" s="9">
        <v>41921882146</v>
      </c>
      <c r="M518" s="5">
        <f t="shared" si="40"/>
        <v>76547753262</v>
      </c>
      <c r="N518" s="36">
        <f t="shared" si="41"/>
        <v>182.5961749413101</v>
      </c>
      <c r="O518" s="9">
        <v>0</v>
      </c>
      <c r="P518" s="36">
        <v>0</v>
      </c>
      <c r="Q518" s="10">
        <v>0</v>
      </c>
      <c r="R518" s="10">
        <v>0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36">
        <f t="shared" si="42"/>
        <v>0</v>
      </c>
      <c r="AE518" s="9">
        <v>0</v>
      </c>
      <c r="AF518" s="9">
        <v>0</v>
      </c>
      <c r="AG518" s="9">
        <v>0</v>
      </c>
      <c r="AH518" s="9">
        <v>0</v>
      </c>
      <c r="AI518" s="9">
        <v>0</v>
      </c>
      <c r="AJ518" s="9">
        <v>0</v>
      </c>
      <c r="AK518" s="9">
        <v>0</v>
      </c>
      <c r="AL518" s="10">
        <v>0</v>
      </c>
      <c r="AM518" s="9">
        <v>0</v>
      </c>
      <c r="AN518" s="11">
        <v>0</v>
      </c>
      <c r="AO518" s="9">
        <v>0</v>
      </c>
      <c r="AP518" s="11">
        <v>0</v>
      </c>
      <c r="AQ518" s="9">
        <v>0</v>
      </c>
      <c r="AR518" s="9">
        <v>0</v>
      </c>
      <c r="AS518" s="9">
        <v>0</v>
      </c>
      <c r="AT518" s="5">
        <f t="shared" si="43"/>
        <v>0</v>
      </c>
      <c r="AU518" s="36">
        <f t="shared" si="44"/>
        <v>0</v>
      </c>
      <c r="AV518" s="9">
        <v>0</v>
      </c>
      <c r="AW518" s="9">
        <v>0</v>
      </c>
      <c r="AX518" s="9">
        <v>0</v>
      </c>
      <c r="AY518" s="9">
        <v>0</v>
      </c>
      <c r="AZ518" s="9">
        <v>0</v>
      </c>
      <c r="BA518" s="9">
        <v>0</v>
      </c>
      <c r="BB518" s="9">
        <v>0</v>
      </c>
      <c r="BC518" s="9">
        <v>118469635408</v>
      </c>
      <c r="BD518" s="9">
        <v>118469635408</v>
      </c>
      <c r="BE518" s="9">
        <v>0</v>
      </c>
      <c r="BF518" s="9">
        <v>0</v>
      </c>
      <c r="BG518" s="9">
        <v>0</v>
      </c>
      <c r="BH518" s="9">
        <v>0</v>
      </c>
      <c r="BI518" s="9">
        <v>0</v>
      </c>
      <c r="BJ518" s="51">
        <v>0</v>
      </c>
      <c r="BK518" s="9">
        <v>0</v>
      </c>
      <c r="BL518" s="9">
        <v>0</v>
      </c>
      <c r="BM518" s="9">
        <v>0</v>
      </c>
      <c r="BN518" s="9">
        <v>0</v>
      </c>
    </row>
    <row r="519" spans="1:66" x14ac:dyDescent="0.25">
      <c r="A519" s="30" t="s">
        <v>620</v>
      </c>
      <c r="B519" s="13" t="s">
        <v>625</v>
      </c>
      <c r="C519" s="13" t="s">
        <v>625</v>
      </c>
      <c r="D519" s="14">
        <v>29515741590195</v>
      </c>
      <c r="E519" s="14">
        <v>1155468744906</v>
      </c>
      <c r="F519" s="14">
        <v>0</v>
      </c>
      <c r="G519" s="14">
        <v>2745574378</v>
      </c>
      <c r="H519" s="14">
        <v>30673955909479</v>
      </c>
      <c r="I519" s="14">
        <v>2450956588086</v>
      </c>
      <c r="J519" s="14">
        <v>271022457179</v>
      </c>
      <c r="K519" s="14">
        <v>27951976864214</v>
      </c>
      <c r="L519" s="14">
        <v>21545069098884</v>
      </c>
      <c r="M519" s="14">
        <f t="shared" si="40"/>
        <v>9128886810595</v>
      </c>
      <c r="N519" s="41">
        <f t="shared" si="41"/>
        <v>42.371118740426141</v>
      </c>
      <c r="O519" s="14">
        <v>35241209865545</v>
      </c>
      <c r="P519" s="41">
        <v>140.16</v>
      </c>
      <c r="Q519" s="15">
        <v>126.08</v>
      </c>
      <c r="R519" s="15">
        <v>3.72</v>
      </c>
      <c r="S519" s="14">
        <v>39711831677663</v>
      </c>
      <c r="T519" s="14">
        <v>1529213112522</v>
      </c>
      <c r="U519" s="14">
        <v>796442829370</v>
      </c>
      <c r="V519" s="14">
        <v>477003803355</v>
      </c>
      <c r="W519" s="14">
        <v>255766479797</v>
      </c>
      <c r="X519" s="14">
        <v>41241044790185</v>
      </c>
      <c r="Y519" s="14">
        <v>71497863846</v>
      </c>
      <c r="Z519" s="14">
        <v>1613663934704</v>
      </c>
      <c r="AA519" s="14">
        <v>137528707191</v>
      </c>
      <c r="AB519" s="14">
        <v>42992237432080</v>
      </c>
      <c r="AC519" s="14">
        <v>30489124743905</v>
      </c>
      <c r="AD519" s="41">
        <f t="shared" si="42"/>
        <v>35.264771083431597</v>
      </c>
      <c r="AE519" s="14">
        <v>27617835488726</v>
      </c>
      <c r="AF519" s="14">
        <v>26603680794081</v>
      </c>
      <c r="AG519" s="14">
        <v>277975952423</v>
      </c>
      <c r="AH519" s="14">
        <v>339556994492</v>
      </c>
      <c r="AI519" s="14">
        <v>264896053518</v>
      </c>
      <c r="AJ519" s="14">
        <v>0</v>
      </c>
      <c r="AK519" s="14">
        <v>0</v>
      </c>
      <c r="AL519" s="15">
        <v>3</v>
      </c>
      <c r="AM519" s="14">
        <v>136000000000</v>
      </c>
      <c r="AN519" s="16">
        <v>822</v>
      </c>
      <c r="AO519" s="14">
        <v>8469871479150</v>
      </c>
      <c r="AP519" s="16">
        <v>1089</v>
      </c>
      <c r="AQ519" s="14">
        <v>8385743369531</v>
      </c>
      <c r="AR519" s="14">
        <v>1529213112522</v>
      </c>
      <c r="AS519" s="14">
        <v>591759979444</v>
      </c>
      <c r="AT519" s="14">
        <f t="shared" si="43"/>
        <v>937453133078</v>
      </c>
      <c r="AU519" s="41">
        <f t="shared" si="44"/>
        <v>158.41779870933533</v>
      </c>
      <c r="AV519" s="14">
        <v>17247043141212</v>
      </c>
      <c r="AW519" s="14">
        <v>4417973192590</v>
      </c>
      <c r="AX519" s="14">
        <v>7376230721228</v>
      </c>
      <c r="AY519" s="14">
        <v>4609552913547</v>
      </c>
      <c r="AZ519" s="14">
        <v>9058029191125</v>
      </c>
      <c r="BA519" s="14">
        <v>10727934696643</v>
      </c>
      <c r="BB519" s="14">
        <v>7169460150769</v>
      </c>
      <c r="BC519" s="14">
        <v>30673955909479</v>
      </c>
      <c r="BD519" s="14">
        <v>13038339750756</v>
      </c>
      <c r="BE519" s="14">
        <v>9058029191125</v>
      </c>
      <c r="BF519" s="14">
        <v>8577586967598</v>
      </c>
      <c r="BG519" s="14">
        <v>16392910988758</v>
      </c>
      <c r="BH519" s="14">
        <v>11224924499968</v>
      </c>
      <c r="BI519" s="14">
        <v>0</v>
      </c>
      <c r="BJ519" s="49">
        <v>145347429007</v>
      </c>
      <c r="BK519" s="14">
        <v>468694133438</v>
      </c>
      <c r="BL519" s="14">
        <v>0</v>
      </c>
      <c r="BM519" s="14">
        <v>5563894014</v>
      </c>
      <c r="BN519" s="14">
        <v>333743494492</v>
      </c>
    </row>
    <row r="520" spans="1:66" x14ac:dyDescent="0.25">
      <c r="A520" s="17" t="s">
        <v>621</v>
      </c>
      <c r="B520" s="4">
        <v>3200</v>
      </c>
      <c r="C520" s="4" t="s">
        <v>533</v>
      </c>
      <c r="D520" s="5">
        <v>3919219902959</v>
      </c>
      <c r="E520" s="5">
        <v>321662118753</v>
      </c>
      <c r="F520" s="5">
        <v>38750000000</v>
      </c>
      <c r="G520" s="5">
        <v>797634039</v>
      </c>
      <c r="H520" s="5">
        <v>4280429655751</v>
      </c>
      <c r="I520" s="5">
        <v>326235018323</v>
      </c>
      <c r="J520" s="5">
        <v>54927934392</v>
      </c>
      <c r="K520" s="5">
        <v>3899266703036</v>
      </c>
      <c r="L520" s="5">
        <v>3280954272055</v>
      </c>
      <c r="M520" s="5">
        <f t="shared" si="40"/>
        <v>999475383696</v>
      </c>
      <c r="N520" s="36">
        <f t="shared" si="41"/>
        <v>30.462947692044075</v>
      </c>
      <c r="O520" s="5">
        <v>9438197635123</v>
      </c>
      <c r="P520" s="36">
        <v>303.70999999999998</v>
      </c>
      <c r="Q520" s="6">
        <v>242.05</v>
      </c>
      <c r="R520" s="6">
        <v>2.79</v>
      </c>
      <c r="S520" s="5">
        <v>12196940658283</v>
      </c>
      <c r="T520" s="5">
        <v>333507343324</v>
      </c>
      <c r="U520" s="5">
        <v>22541762757</v>
      </c>
      <c r="V520" s="5">
        <v>210433393061</v>
      </c>
      <c r="W520" s="5">
        <v>100532187506</v>
      </c>
      <c r="X520" s="5">
        <v>12530448001607</v>
      </c>
      <c r="Y520" s="5">
        <v>29846627515</v>
      </c>
      <c r="Z520" s="5">
        <v>439625821932</v>
      </c>
      <c r="AA520" s="5">
        <v>30172174765</v>
      </c>
      <c r="AB520" s="5">
        <v>13000245998304</v>
      </c>
      <c r="AC520" s="5">
        <v>7514222845793</v>
      </c>
      <c r="AD520" s="36">
        <f t="shared" si="42"/>
        <v>66.756406600616614</v>
      </c>
      <c r="AE520" s="5">
        <v>8291228813721</v>
      </c>
      <c r="AF520" s="5">
        <v>8027934816744</v>
      </c>
      <c r="AG520" s="5">
        <v>583927585796</v>
      </c>
      <c r="AH520" s="5">
        <v>1596615441</v>
      </c>
      <c r="AI520" s="5">
        <v>0</v>
      </c>
      <c r="AJ520" s="5">
        <v>0</v>
      </c>
      <c r="AK520" s="5">
        <v>0</v>
      </c>
      <c r="AL520" s="6">
        <v>2</v>
      </c>
      <c r="AM520" s="5">
        <v>151113000021</v>
      </c>
      <c r="AN520" s="6">
        <v>43</v>
      </c>
      <c r="AO520" s="5">
        <v>292971026762</v>
      </c>
      <c r="AP520" s="6">
        <v>71</v>
      </c>
      <c r="AQ520" s="5">
        <v>785710966048</v>
      </c>
      <c r="AR520" s="5">
        <v>333507343324</v>
      </c>
      <c r="AS520" s="5">
        <v>59121849258</v>
      </c>
      <c r="AT520" s="5">
        <f t="shared" si="43"/>
        <v>274385494066</v>
      </c>
      <c r="AU520" s="36">
        <f t="shared" si="44"/>
        <v>464.10167731495966</v>
      </c>
      <c r="AV520" s="5">
        <v>4854778519001</v>
      </c>
      <c r="AW520" s="5">
        <v>709553610797</v>
      </c>
      <c r="AX520" s="5">
        <v>1223004049638</v>
      </c>
      <c r="AY520" s="5">
        <v>369790520048</v>
      </c>
      <c r="AZ520" s="5">
        <v>1527040384054</v>
      </c>
      <c r="BA520" s="5">
        <v>1173261800679</v>
      </c>
      <c r="BB520" s="5">
        <v>1068964449790</v>
      </c>
      <c r="BC520" s="5">
        <v>4280429655751</v>
      </c>
      <c r="BD520" s="5">
        <v>1706481231638</v>
      </c>
      <c r="BE520" s="5">
        <v>1565790384054</v>
      </c>
      <c r="BF520" s="5">
        <v>1008158040059</v>
      </c>
      <c r="BG520" s="5">
        <v>6822442157043</v>
      </c>
      <c r="BH520" s="5">
        <v>1468786656678</v>
      </c>
      <c r="BI520" s="5">
        <v>0</v>
      </c>
      <c r="BJ520" s="48">
        <v>55635166778</v>
      </c>
      <c r="BK520" s="5">
        <v>1163758286765</v>
      </c>
      <c r="BL520" s="5">
        <v>0</v>
      </c>
      <c r="BM520" s="5">
        <v>0</v>
      </c>
      <c r="BN520" s="5">
        <v>1596615441</v>
      </c>
    </row>
    <row r="521" spans="1:66" x14ac:dyDescent="0.25">
      <c r="A521" s="17" t="s">
        <v>621</v>
      </c>
      <c r="B521" s="4">
        <v>3201</v>
      </c>
      <c r="C521" s="4" t="s">
        <v>534</v>
      </c>
      <c r="D521" s="5">
        <v>1880002904948</v>
      </c>
      <c r="E521" s="5">
        <v>2935752518</v>
      </c>
      <c r="F521" s="5">
        <v>0</v>
      </c>
      <c r="G521" s="5">
        <v>0</v>
      </c>
      <c r="H521" s="5">
        <v>1882938657466</v>
      </c>
      <c r="I521" s="5">
        <v>168210856919</v>
      </c>
      <c r="J521" s="5">
        <v>781355000</v>
      </c>
      <c r="K521" s="5">
        <v>1713946445547</v>
      </c>
      <c r="L521" s="5">
        <v>1314095146429</v>
      </c>
      <c r="M521" s="5">
        <f t="shared" si="40"/>
        <v>568843511037</v>
      </c>
      <c r="N521" s="36">
        <f t="shared" si="41"/>
        <v>43.287848112277793</v>
      </c>
      <c r="O521" s="5">
        <v>988204209121</v>
      </c>
      <c r="P521" s="36">
        <v>59.11</v>
      </c>
      <c r="Q521" s="6">
        <v>57.66</v>
      </c>
      <c r="R521" s="6">
        <v>4.01</v>
      </c>
      <c r="S521" s="5">
        <v>1005549194337</v>
      </c>
      <c r="T521" s="5">
        <v>43297734934</v>
      </c>
      <c r="U521" s="5">
        <v>19332309159</v>
      </c>
      <c r="V521" s="5">
        <v>9837744547</v>
      </c>
      <c r="W521" s="5">
        <v>14127681228</v>
      </c>
      <c r="X521" s="5">
        <v>1048846929271</v>
      </c>
      <c r="Y521" s="5">
        <v>1362204888</v>
      </c>
      <c r="Z521" s="5">
        <v>54657927569</v>
      </c>
      <c r="AA521" s="5">
        <v>9500000000</v>
      </c>
      <c r="AB521" s="5">
        <v>1113004856840</v>
      </c>
      <c r="AC521" s="5">
        <v>983578746993</v>
      </c>
      <c r="AD521" s="36">
        <f t="shared" si="42"/>
        <v>6.6357861510873528</v>
      </c>
      <c r="AE521" s="5">
        <v>527004898900</v>
      </c>
      <c r="AF521" s="5">
        <v>527004898900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6">
        <v>0</v>
      </c>
      <c r="AM521" s="5">
        <v>0</v>
      </c>
      <c r="AN521" s="6">
        <v>10</v>
      </c>
      <c r="AO521" s="5">
        <v>20314180511</v>
      </c>
      <c r="AP521" s="6">
        <v>3</v>
      </c>
      <c r="AQ521" s="5">
        <v>5697407225</v>
      </c>
      <c r="AR521" s="5">
        <v>43297734934</v>
      </c>
      <c r="AS521" s="5">
        <v>36940054721</v>
      </c>
      <c r="AT521" s="5">
        <f t="shared" si="43"/>
        <v>6357680213</v>
      </c>
      <c r="AU521" s="36">
        <f t="shared" si="44"/>
        <v>17.210803451749442</v>
      </c>
      <c r="AV521" s="5">
        <v>459338168493</v>
      </c>
      <c r="AW521" s="5">
        <v>124666851445</v>
      </c>
      <c r="AX521" s="5">
        <v>265960820392</v>
      </c>
      <c r="AY521" s="5">
        <v>320398842764</v>
      </c>
      <c r="AZ521" s="5">
        <v>387787441792</v>
      </c>
      <c r="BA521" s="5">
        <v>1006746183944</v>
      </c>
      <c r="BB521" s="5">
        <v>215518284087</v>
      </c>
      <c r="BC521" s="5">
        <v>1882938657466</v>
      </c>
      <c r="BD521" s="5">
        <v>589295415674</v>
      </c>
      <c r="BE521" s="5">
        <v>387787441792</v>
      </c>
      <c r="BF521" s="5">
        <v>905855800000</v>
      </c>
      <c r="BG521" s="5">
        <v>426444898900</v>
      </c>
      <c r="BH521" s="5">
        <v>100560000000</v>
      </c>
      <c r="BI521" s="5">
        <v>0</v>
      </c>
      <c r="BJ521" s="48">
        <v>0</v>
      </c>
      <c r="BK521" s="5">
        <v>0</v>
      </c>
      <c r="BL521" s="5">
        <v>0</v>
      </c>
      <c r="BM521" s="5">
        <v>0</v>
      </c>
      <c r="BN521" s="5">
        <v>0</v>
      </c>
    </row>
    <row r="522" spans="1:66" x14ac:dyDescent="0.25">
      <c r="A522" s="17" t="s">
        <v>621</v>
      </c>
      <c r="B522" s="4">
        <v>3202</v>
      </c>
      <c r="C522" s="4" t="s">
        <v>535</v>
      </c>
      <c r="D522" s="5">
        <v>1920075028305</v>
      </c>
      <c r="E522" s="5">
        <v>240216835568</v>
      </c>
      <c r="F522" s="5">
        <v>0</v>
      </c>
      <c r="G522" s="5">
        <v>0</v>
      </c>
      <c r="H522" s="5">
        <v>2160291863873</v>
      </c>
      <c r="I522" s="5">
        <v>151898939303</v>
      </c>
      <c r="J522" s="5">
        <v>2850685000</v>
      </c>
      <c r="K522" s="5">
        <v>2005542239570</v>
      </c>
      <c r="L522" s="5">
        <v>1385895260315</v>
      </c>
      <c r="M522" s="5">
        <f t="shared" si="40"/>
        <v>774396603558</v>
      </c>
      <c r="N522" s="36">
        <f t="shared" si="41"/>
        <v>55.876993430368429</v>
      </c>
      <c r="O522" s="5">
        <v>973164858907</v>
      </c>
      <c r="P522" s="36">
        <v>49.66</v>
      </c>
      <c r="Q522" s="6">
        <v>48.52</v>
      </c>
      <c r="R522" s="6">
        <v>2.39</v>
      </c>
      <c r="S522" s="5">
        <v>996815584127</v>
      </c>
      <c r="T522" s="5">
        <v>22306008732</v>
      </c>
      <c r="U522" s="5">
        <v>10350970683</v>
      </c>
      <c r="V522" s="5">
        <v>8757262826</v>
      </c>
      <c r="W522" s="5">
        <v>3197775223</v>
      </c>
      <c r="X522" s="5">
        <v>1019121592859</v>
      </c>
      <c r="Y522" s="5">
        <v>3293157879</v>
      </c>
      <c r="Z522" s="5">
        <v>45740974452</v>
      </c>
      <c r="AA522" s="5">
        <v>8000000000</v>
      </c>
      <c r="AB522" s="5">
        <v>1072862567311</v>
      </c>
      <c r="AC522" s="5">
        <v>770702240185</v>
      </c>
      <c r="AD522" s="36">
        <f t="shared" si="42"/>
        <v>32.232857220496626</v>
      </c>
      <c r="AE522" s="5">
        <v>810935250479</v>
      </c>
      <c r="AF522" s="5">
        <v>810935250479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6">
        <v>0</v>
      </c>
      <c r="AM522" s="5">
        <v>0</v>
      </c>
      <c r="AN522" s="6">
        <v>19</v>
      </c>
      <c r="AO522" s="5">
        <v>463835895348</v>
      </c>
      <c r="AP522" s="6">
        <v>17</v>
      </c>
      <c r="AQ522" s="5">
        <v>4411373088957</v>
      </c>
      <c r="AR522" s="5">
        <v>22306008732</v>
      </c>
      <c r="AS522" s="5">
        <v>19761318789</v>
      </c>
      <c r="AT522" s="5">
        <f t="shared" si="43"/>
        <v>2544689943</v>
      </c>
      <c r="AU522" s="36">
        <f t="shared" si="44"/>
        <v>12.877126117799808</v>
      </c>
      <c r="AV522" s="5">
        <v>534305049644</v>
      </c>
      <c r="AW522" s="5">
        <v>52155937960</v>
      </c>
      <c r="AX522" s="5">
        <v>561321280184</v>
      </c>
      <c r="AY522" s="5">
        <v>264484623136</v>
      </c>
      <c r="AZ522" s="5">
        <v>702523124985</v>
      </c>
      <c r="BA522" s="5">
        <v>525084918440</v>
      </c>
      <c r="BB522" s="5">
        <v>329888566101</v>
      </c>
      <c r="BC522" s="5">
        <v>2160291863873</v>
      </c>
      <c r="BD522" s="5">
        <v>1066022738888</v>
      </c>
      <c r="BE522" s="5">
        <v>702523124985</v>
      </c>
      <c r="BF522" s="5">
        <v>391746000000</v>
      </c>
      <c r="BG522" s="5">
        <v>469395964229</v>
      </c>
      <c r="BH522" s="5">
        <v>341539286250</v>
      </c>
      <c r="BI522" s="5">
        <v>0</v>
      </c>
      <c r="BJ522" s="48">
        <v>0</v>
      </c>
      <c r="BK522" s="5">
        <v>0</v>
      </c>
      <c r="BL522" s="5">
        <v>0</v>
      </c>
      <c r="BM522" s="5">
        <v>0</v>
      </c>
      <c r="BN522" s="5">
        <v>0</v>
      </c>
    </row>
    <row r="523" spans="1:66" x14ac:dyDescent="0.25">
      <c r="A523" s="17" t="s">
        <v>621</v>
      </c>
      <c r="B523" s="4">
        <v>3203</v>
      </c>
      <c r="C523" s="4" t="s">
        <v>536</v>
      </c>
      <c r="D523" s="5">
        <v>1587827127351</v>
      </c>
      <c r="E523" s="5">
        <v>31061482749</v>
      </c>
      <c r="F523" s="5">
        <v>0</v>
      </c>
      <c r="G523" s="5">
        <v>0</v>
      </c>
      <c r="H523" s="5">
        <v>1618888610100</v>
      </c>
      <c r="I523" s="5">
        <v>137190097749</v>
      </c>
      <c r="J523" s="5">
        <v>7157953947</v>
      </c>
      <c r="K523" s="5">
        <v>1474540558404</v>
      </c>
      <c r="L523" s="5">
        <v>1148431909704</v>
      </c>
      <c r="M523" s="5">
        <f t="shared" si="40"/>
        <v>470456700396</v>
      </c>
      <c r="N523" s="36">
        <f t="shared" si="41"/>
        <v>40.965136585002831</v>
      </c>
      <c r="O523" s="5">
        <v>1369115087893</v>
      </c>
      <c r="P523" s="36">
        <v>93.79</v>
      </c>
      <c r="Q523" s="6">
        <v>92.85</v>
      </c>
      <c r="R523" s="6">
        <v>6.64</v>
      </c>
      <c r="S523" s="5">
        <v>1288515870537</v>
      </c>
      <c r="T523" s="5">
        <v>86784739554</v>
      </c>
      <c r="U523" s="5">
        <v>16474428535</v>
      </c>
      <c r="V523" s="5">
        <v>33053611339</v>
      </c>
      <c r="W523" s="5">
        <v>37256699680</v>
      </c>
      <c r="X523" s="5">
        <v>1375300610091</v>
      </c>
      <c r="Y523" s="5">
        <v>13965919145</v>
      </c>
      <c r="Z523" s="5">
        <v>135719905546</v>
      </c>
      <c r="AA523" s="5">
        <v>7275890000</v>
      </c>
      <c r="AB523" s="5">
        <v>1518296405637</v>
      </c>
      <c r="AC523" s="5">
        <v>1203278217952</v>
      </c>
      <c r="AD523" s="36">
        <f t="shared" si="42"/>
        <v>14.29614444710759</v>
      </c>
      <c r="AE523" s="5">
        <v>589033162580</v>
      </c>
      <c r="AF523" s="5">
        <v>581914217375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6">
        <v>0</v>
      </c>
      <c r="AM523" s="5">
        <v>0</v>
      </c>
      <c r="AN523" s="6">
        <v>34</v>
      </c>
      <c r="AO523" s="5">
        <v>289032762023</v>
      </c>
      <c r="AP523" s="6">
        <v>18</v>
      </c>
      <c r="AQ523" s="5">
        <v>475579234640</v>
      </c>
      <c r="AR523" s="5">
        <v>86784739554</v>
      </c>
      <c r="AS523" s="5">
        <v>75507872677</v>
      </c>
      <c r="AT523" s="5">
        <f t="shared" si="43"/>
        <v>11276866877</v>
      </c>
      <c r="AU523" s="36">
        <f t="shared" si="44"/>
        <v>14.934690221295268</v>
      </c>
      <c r="AV523" s="5">
        <v>478258373372</v>
      </c>
      <c r="AW523" s="5">
        <v>242669433216</v>
      </c>
      <c r="AX523" s="5">
        <v>245072927478</v>
      </c>
      <c r="AY523" s="5">
        <v>241619452689</v>
      </c>
      <c r="AZ523" s="5">
        <v>342703678301</v>
      </c>
      <c r="BA523" s="5">
        <v>865071090875</v>
      </c>
      <c r="BB523" s="5">
        <v>233744794515</v>
      </c>
      <c r="BC523" s="5">
        <v>1618888610100</v>
      </c>
      <c r="BD523" s="5">
        <v>517753862916</v>
      </c>
      <c r="BE523" s="5">
        <v>342703678301</v>
      </c>
      <c r="BF523" s="5">
        <v>758431068883</v>
      </c>
      <c r="BG523" s="5">
        <v>554567263865</v>
      </c>
      <c r="BH523" s="5">
        <v>34465898715</v>
      </c>
      <c r="BI523" s="5">
        <v>0</v>
      </c>
      <c r="BJ523" s="48">
        <v>0</v>
      </c>
      <c r="BK523" s="5">
        <v>0</v>
      </c>
      <c r="BL523" s="5">
        <v>0</v>
      </c>
      <c r="BM523" s="5">
        <v>0</v>
      </c>
      <c r="BN523" s="5">
        <v>0</v>
      </c>
    </row>
    <row r="524" spans="1:66" x14ac:dyDescent="0.25">
      <c r="A524" s="17" t="s">
        <v>621</v>
      </c>
      <c r="B524" s="4">
        <v>3204</v>
      </c>
      <c r="C524" s="4" t="s">
        <v>537</v>
      </c>
      <c r="D524" s="5">
        <v>1500892213049</v>
      </c>
      <c r="E524" s="5">
        <v>11385020135</v>
      </c>
      <c r="F524" s="5">
        <v>0</v>
      </c>
      <c r="G524" s="5">
        <v>0</v>
      </c>
      <c r="H524" s="5">
        <v>1512277233184</v>
      </c>
      <c r="I524" s="5">
        <v>115899547355</v>
      </c>
      <c r="J524" s="5">
        <v>1447204771</v>
      </c>
      <c r="K524" s="5">
        <v>1394930481058</v>
      </c>
      <c r="L524" s="5">
        <v>965690548344</v>
      </c>
      <c r="M524" s="5">
        <f t="shared" si="40"/>
        <v>546586684840</v>
      </c>
      <c r="N524" s="36">
        <f t="shared" si="41"/>
        <v>56.600604176700905</v>
      </c>
      <c r="O524" s="5">
        <v>711250126136</v>
      </c>
      <c r="P524" s="36">
        <v>54.56</v>
      </c>
      <c r="Q524" s="6">
        <v>50.99</v>
      </c>
      <c r="R524" s="6">
        <v>7.59</v>
      </c>
      <c r="S524" s="5">
        <v>702119035681</v>
      </c>
      <c r="T524" s="5">
        <v>46743258537</v>
      </c>
      <c r="U524" s="5">
        <v>13463497517</v>
      </c>
      <c r="V524" s="5">
        <v>20044825193</v>
      </c>
      <c r="W524" s="5">
        <v>13234935827</v>
      </c>
      <c r="X524" s="5">
        <v>748862294218</v>
      </c>
      <c r="Y524" s="5">
        <v>15925307016</v>
      </c>
      <c r="Z524" s="5">
        <v>69290730989</v>
      </c>
      <c r="AA524" s="5">
        <v>7000000000</v>
      </c>
      <c r="AB524" s="5">
        <v>825153025207</v>
      </c>
      <c r="AC524" s="5">
        <v>564211793631</v>
      </c>
      <c r="AD524" s="36">
        <f t="shared" si="42"/>
        <v>32.727160734921327</v>
      </c>
      <c r="AE524" s="5">
        <v>412866766702</v>
      </c>
      <c r="AF524" s="5">
        <v>412866766702</v>
      </c>
      <c r="AG524" s="5">
        <v>0</v>
      </c>
      <c r="AH524" s="5">
        <v>2084343750</v>
      </c>
      <c r="AI524" s="5">
        <v>3190000000</v>
      </c>
      <c r="AJ524" s="5">
        <v>0</v>
      </c>
      <c r="AK524" s="5">
        <v>0</v>
      </c>
      <c r="AL524" s="6">
        <v>0</v>
      </c>
      <c r="AM524" s="5">
        <v>0</v>
      </c>
      <c r="AN524" s="6">
        <v>0</v>
      </c>
      <c r="AO524" s="5">
        <v>0</v>
      </c>
      <c r="AP524" s="6">
        <v>4</v>
      </c>
      <c r="AQ524" s="5">
        <v>2732000000</v>
      </c>
      <c r="AR524" s="5">
        <v>46743258537</v>
      </c>
      <c r="AS524" s="5">
        <v>27447603758</v>
      </c>
      <c r="AT524" s="5">
        <f t="shared" si="43"/>
        <v>19295654779</v>
      </c>
      <c r="AU524" s="36">
        <f t="shared" si="44"/>
        <v>70.299961151894735</v>
      </c>
      <c r="AV524" s="5">
        <v>253129195733</v>
      </c>
      <c r="AW524" s="5">
        <v>64197080460</v>
      </c>
      <c r="AX524" s="5">
        <v>233301835145</v>
      </c>
      <c r="AY524" s="5">
        <v>308798344162</v>
      </c>
      <c r="AZ524" s="5">
        <v>376993033742</v>
      </c>
      <c r="BA524" s="5">
        <v>614995277828</v>
      </c>
      <c r="BB524" s="5">
        <v>159117947706</v>
      </c>
      <c r="BC524" s="5">
        <v>1512277233184</v>
      </c>
      <c r="BD524" s="5">
        <v>553485199442</v>
      </c>
      <c r="BE524" s="5">
        <v>376993033742</v>
      </c>
      <c r="BF524" s="5">
        <v>581799000000</v>
      </c>
      <c r="BG524" s="5">
        <v>307645361308</v>
      </c>
      <c r="BH524" s="5">
        <v>105221405394</v>
      </c>
      <c r="BI524" s="5">
        <v>0</v>
      </c>
      <c r="BJ524" s="48">
        <v>0</v>
      </c>
      <c r="BK524" s="5">
        <v>0</v>
      </c>
      <c r="BL524" s="5">
        <v>0</v>
      </c>
      <c r="BM524" s="5">
        <v>0</v>
      </c>
      <c r="BN524" s="5">
        <v>2084343750</v>
      </c>
    </row>
    <row r="525" spans="1:66" x14ac:dyDescent="0.25">
      <c r="A525" s="17" t="s">
        <v>621</v>
      </c>
      <c r="B525" s="4">
        <v>3205</v>
      </c>
      <c r="C525" s="4" t="s">
        <v>538</v>
      </c>
      <c r="D525" s="5">
        <v>2079328001854</v>
      </c>
      <c r="E525" s="5">
        <v>5652182848</v>
      </c>
      <c r="F525" s="5">
        <v>0</v>
      </c>
      <c r="G525" s="5">
        <v>0</v>
      </c>
      <c r="H525" s="5">
        <v>2084980184702</v>
      </c>
      <c r="I525" s="5">
        <v>187308704402</v>
      </c>
      <c r="J525" s="5">
        <v>1127125000</v>
      </c>
      <c r="K525" s="5">
        <v>1896544355300</v>
      </c>
      <c r="L525" s="5">
        <v>1662152113401</v>
      </c>
      <c r="M525" s="5">
        <f t="shared" si="40"/>
        <v>422828071301</v>
      </c>
      <c r="N525" s="36">
        <f t="shared" si="41"/>
        <v>25.438590601424171</v>
      </c>
      <c r="O525" s="5">
        <v>1434521518037</v>
      </c>
      <c r="P525" s="36">
        <v>81.2</v>
      </c>
      <c r="Q525" s="6">
        <v>75.64</v>
      </c>
      <c r="R525" s="6">
        <v>4.4400000000000004</v>
      </c>
      <c r="S525" s="5">
        <v>1497652944076</v>
      </c>
      <c r="T525" s="5">
        <v>72619013033</v>
      </c>
      <c r="U525" s="5">
        <v>27035308108</v>
      </c>
      <c r="V525" s="5">
        <v>20242171367</v>
      </c>
      <c r="W525" s="5">
        <v>25341533558</v>
      </c>
      <c r="X525" s="5">
        <v>1570271957109</v>
      </c>
      <c r="Y525" s="5">
        <v>2564684922</v>
      </c>
      <c r="Z525" s="5">
        <v>104305357334</v>
      </c>
      <c r="AA525" s="5">
        <v>18492587000</v>
      </c>
      <c r="AB525" s="5">
        <v>1693069901443</v>
      </c>
      <c r="AC525" s="5">
        <v>1265158290569</v>
      </c>
      <c r="AD525" s="36">
        <f t="shared" si="42"/>
        <v>24.116639697533525</v>
      </c>
      <c r="AE525" s="5">
        <v>938162624400</v>
      </c>
      <c r="AF525" s="5">
        <v>938162624400</v>
      </c>
      <c r="AG525" s="5">
        <v>0</v>
      </c>
      <c r="AH525" s="5">
        <v>0</v>
      </c>
      <c r="AI525" s="5">
        <v>19670000000</v>
      </c>
      <c r="AJ525" s="5">
        <v>0</v>
      </c>
      <c r="AK525" s="5">
        <v>0</v>
      </c>
      <c r="AL525" s="6">
        <v>0</v>
      </c>
      <c r="AM525" s="5">
        <v>0</v>
      </c>
      <c r="AN525" s="6">
        <v>1</v>
      </c>
      <c r="AO525" s="5">
        <v>6000000000</v>
      </c>
      <c r="AP525" s="6">
        <v>3</v>
      </c>
      <c r="AQ525" s="5">
        <v>4440000000</v>
      </c>
      <c r="AR525" s="5">
        <v>72619013033</v>
      </c>
      <c r="AS525" s="5">
        <v>82805075826</v>
      </c>
      <c r="AT525" s="5">
        <f t="shared" si="43"/>
        <v>-10186062793</v>
      </c>
      <c r="AU525" s="36">
        <f t="shared" si="44"/>
        <v>-12.30125410959611</v>
      </c>
      <c r="AV525" s="5">
        <v>665037979184</v>
      </c>
      <c r="AW525" s="5">
        <v>177093005768</v>
      </c>
      <c r="AX525" s="5">
        <v>373407460857</v>
      </c>
      <c r="AY525" s="5">
        <v>407509715965</v>
      </c>
      <c r="AZ525" s="5">
        <v>533017825032</v>
      </c>
      <c r="BA525" s="5">
        <v>1156620400620</v>
      </c>
      <c r="BB525" s="5">
        <v>289691715287</v>
      </c>
      <c r="BC525" s="5">
        <v>2084980184702</v>
      </c>
      <c r="BD525" s="5">
        <v>786569359670</v>
      </c>
      <c r="BE525" s="5">
        <v>533017825032</v>
      </c>
      <c r="BF525" s="5">
        <v>765393000000</v>
      </c>
      <c r="BG525" s="5">
        <v>733584636335</v>
      </c>
      <c r="BH525" s="5">
        <v>204577988065</v>
      </c>
      <c r="BI525" s="5">
        <v>0</v>
      </c>
      <c r="BJ525" s="48">
        <v>0</v>
      </c>
      <c r="BK525" s="5">
        <v>0</v>
      </c>
      <c r="BL525" s="5">
        <v>0</v>
      </c>
      <c r="BM525" s="5">
        <v>0</v>
      </c>
      <c r="BN525" s="5">
        <v>0</v>
      </c>
    </row>
    <row r="526" spans="1:66" x14ac:dyDescent="0.25">
      <c r="A526" s="17" t="s">
        <v>621</v>
      </c>
      <c r="B526" s="4">
        <v>3206</v>
      </c>
      <c r="C526" s="4" t="s">
        <v>539</v>
      </c>
      <c r="D526" s="5">
        <v>2653730517657</v>
      </c>
      <c r="E526" s="5">
        <v>-24257034961</v>
      </c>
      <c r="F526" s="5">
        <v>0</v>
      </c>
      <c r="G526" s="5">
        <v>0</v>
      </c>
      <c r="H526" s="5">
        <v>2629473482696</v>
      </c>
      <c r="I526" s="5">
        <v>222896531952</v>
      </c>
      <c r="J526" s="5">
        <v>2772394000</v>
      </c>
      <c r="K526" s="5">
        <v>2403804556744</v>
      </c>
      <c r="L526" s="5">
        <v>1430943310491</v>
      </c>
      <c r="M526" s="5">
        <f t="shared" si="40"/>
        <v>1198530172205</v>
      </c>
      <c r="N526" s="36">
        <f t="shared" si="41"/>
        <v>83.758047116048786</v>
      </c>
      <c r="O526" s="5">
        <v>1279257568292</v>
      </c>
      <c r="P526" s="36">
        <v>53.85</v>
      </c>
      <c r="Q526" s="6">
        <v>53.22</v>
      </c>
      <c r="R526" s="6">
        <v>2.4</v>
      </c>
      <c r="S526" s="5">
        <v>1294258017556</v>
      </c>
      <c r="T526" s="5">
        <v>33696425499</v>
      </c>
      <c r="U526" s="5">
        <v>23944105743</v>
      </c>
      <c r="V526" s="5">
        <v>5585590429</v>
      </c>
      <c r="W526" s="5">
        <v>4166729327</v>
      </c>
      <c r="X526" s="5">
        <v>1327954443055</v>
      </c>
      <c r="Y526" s="5">
        <v>265727358</v>
      </c>
      <c r="Z526" s="5">
        <v>75254731486</v>
      </c>
      <c r="AA526" s="5">
        <v>12660481000</v>
      </c>
      <c r="AB526" s="5">
        <v>1415869655541</v>
      </c>
      <c r="AC526" s="5">
        <v>852341689757</v>
      </c>
      <c r="AD526" s="36">
        <f t="shared" si="42"/>
        <v>55.800714550709799</v>
      </c>
      <c r="AE526" s="5">
        <v>1460192562588</v>
      </c>
      <c r="AF526" s="5">
        <v>1420920771084</v>
      </c>
      <c r="AG526" s="5">
        <v>0</v>
      </c>
      <c r="AH526" s="5">
        <v>332283623012</v>
      </c>
      <c r="AI526" s="5">
        <v>8340536544</v>
      </c>
      <c r="AJ526" s="5">
        <v>0</v>
      </c>
      <c r="AK526" s="5">
        <v>0</v>
      </c>
      <c r="AL526" s="6">
        <v>0</v>
      </c>
      <c r="AM526" s="5">
        <v>0</v>
      </c>
      <c r="AN526" s="6">
        <v>28</v>
      </c>
      <c r="AO526" s="5">
        <v>443972639657</v>
      </c>
      <c r="AP526" s="6">
        <v>7</v>
      </c>
      <c r="AQ526" s="5">
        <v>28649493850</v>
      </c>
      <c r="AR526" s="5">
        <v>33696425499</v>
      </c>
      <c r="AS526" s="5">
        <v>17686279247</v>
      </c>
      <c r="AT526" s="5">
        <f t="shared" si="43"/>
        <v>16010146252</v>
      </c>
      <c r="AU526" s="36">
        <f t="shared" si="44"/>
        <v>90.522975626519582</v>
      </c>
      <c r="AV526" s="5">
        <v>912245298596</v>
      </c>
      <c r="AW526" s="5">
        <v>182053222286</v>
      </c>
      <c r="AX526" s="5">
        <v>703823660099</v>
      </c>
      <c r="AY526" s="5">
        <v>281517602074</v>
      </c>
      <c r="AZ526" s="5">
        <v>841548255484</v>
      </c>
      <c r="BA526" s="5">
        <v>906932503884</v>
      </c>
      <c r="BB526" s="5">
        <v>569620437527</v>
      </c>
      <c r="BC526" s="5">
        <v>2629473482696</v>
      </c>
      <c r="BD526" s="5">
        <v>961084227212</v>
      </c>
      <c r="BE526" s="5">
        <v>841548255484</v>
      </c>
      <c r="BF526" s="5">
        <v>826841000000</v>
      </c>
      <c r="BG526" s="5">
        <v>986987052151</v>
      </c>
      <c r="BH526" s="5">
        <v>473205510437</v>
      </c>
      <c r="BI526" s="5">
        <v>0</v>
      </c>
      <c r="BJ526" s="48">
        <v>0</v>
      </c>
      <c r="BK526" s="5">
        <v>0</v>
      </c>
      <c r="BL526" s="5">
        <v>20891180449</v>
      </c>
      <c r="BM526" s="5">
        <v>0</v>
      </c>
      <c r="BN526" s="5">
        <v>311392442563</v>
      </c>
    </row>
    <row r="527" spans="1:66" x14ac:dyDescent="0.25">
      <c r="A527" s="17" t="s">
        <v>621</v>
      </c>
      <c r="B527" s="4">
        <v>3207</v>
      </c>
      <c r="C527" s="4" t="s">
        <v>540</v>
      </c>
      <c r="D527" s="5">
        <v>4635587539437</v>
      </c>
      <c r="E527" s="5">
        <v>33130183985</v>
      </c>
      <c r="F527" s="5">
        <v>0</v>
      </c>
      <c r="G527" s="5">
        <v>0</v>
      </c>
      <c r="H527" s="5">
        <v>4668717723422</v>
      </c>
      <c r="I527" s="5">
        <v>329029270167</v>
      </c>
      <c r="J527" s="5">
        <v>369740000</v>
      </c>
      <c r="K527" s="5">
        <v>4339318713255</v>
      </c>
      <c r="L527" s="5">
        <v>2587654445116</v>
      </c>
      <c r="M527" s="5">
        <f t="shared" si="40"/>
        <v>2081063278306</v>
      </c>
      <c r="N527" s="36">
        <f t="shared" si="41"/>
        <v>80.422765962195925</v>
      </c>
      <c r="O527" s="5">
        <v>2305559727091</v>
      </c>
      <c r="P527" s="36">
        <v>58.01</v>
      </c>
      <c r="Q527" s="6">
        <v>53.13</v>
      </c>
      <c r="R527" s="6">
        <v>1.94</v>
      </c>
      <c r="S527" s="5">
        <v>2527944945451</v>
      </c>
      <c r="T527" s="5">
        <v>51428173217</v>
      </c>
      <c r="U527" s="5">
        <v>35102855048</v>
      </c>
      <c r="V527" s="5">
        <v>13632399285</v>
      </c>
      <c r="W527" s="5">
        <v>2692918884</v>
      </c>
      <c r="X527" s="5">
        <v>2579373118668</v>
      </c>
      <c r="Y527" s="5">
        <v>1031772792</v>
      </c>
      <c r="Z527" s="5">
        <v>105618832763</v>
      </c>
      <c r="AA527" s="5">
        <v>23460830000</v>
      </c>
      <c r="AB527" s="5">
        <v>2708452781431</v>
      </c>
      <c r="AC527" s="5">
        <v>1913418128340</v>
      </c>
      <c r="AD527" s="36">
        <f t="shared" si="42"/>
        <v>34.8044674848855</v>
      </c>
      <c r="AE527" s="5">
        <v>1986190823531</v>
      </c>
      <c r="AF527" s="5">
        <v>1669379888991</v>
      </c>
      <c r="AG527" s="5">
        <v>0</v>
      </c>
      <c r="AH527" s="5">
        <v>135505232</v>
      </c>
      <c r="AI527" s="5">
        <v>44471128501</v>
      </c>
      <c r="AJ527" s="5">
        <v>0</v>
      </c>
      <c r="AK527" s="5">
        <v>0</v>
      </c>
      <c r="AL527" s="6">
        <v>0</v>
      </c>
      <c r="AM527" s="5">
        <v>0</v>
      </c>
      <c r="AN527" s="6">
        <v>98</v>
      </c>
      <c r="AO527" s="5">
        <v>378003734904</v>
      </c>
      <c r="AP527" s="6">
        <v>70</v>
      </c>
      <c r="AQ527" s="5">
        <v>459686896419</v>
      </c>
      <c r="AR527" s="5">
        <v>51428173217</v>
      </c>
      <c r="AS527" s="5">
        <v>25472303407</v>
      </c>
      <c r="AT527" s="5">
        <f t="shared" si="43"/>
        <v>25955869810</v>
      </c>
      <c r="AU527" s="36">
        <f t="shared" si="44"/>
        <v>101.89840076601439</v>
      </c>
      <c r="AV527" s="5">
        <v>1229634923540</v>
      </c>
      <c r="AW527" s="5">
        <v>153723549339</v>
      </c>
      <c r="AX527" s="5">
        <v>1245502085130</v>
      </c>
      <c r="AY527" s="5">
        <v>610784216355</v>
      </c>
      <c r="AZ527" s="5">
        <v>863493474733</v>
      </c>
      <c r="BA527" s="5">
        <v>1983846183879</v>
      </c>
      <c r="BB527" s="5">
        <v>494033645214</v>
      </c>
      <c r="BC527" s="5">
        <v>4668717723422</v>
      </c>
      <c r="BD527" s="5">
        <v>1889417110702</v>
      </c>
      <c r="BE527" s="5">
        <v>863093474733</v>
      </c>
      <c r="BF527" s="5">
        <v>1916207137987</v>
      </c>
      <c r="BG527" s="5">
        <v>1165608462572</v>
      </c>
      <c r="BH527" s="5">
        <v>820582360959</v>
      </c>
      <c r="BI527" s="5">
        <v>0</v>
      </c>
      <c r="BJ527" s="48">
        <v>0</v>
      </c>
      <c r="BK527" s="5">
        <v>0</v>
      </c>
      <c r="BL527" s="5">
        <v>0</v>
      </c>
      <c r="BM527" s="5">
        <v>0</v>
      </c>
      <c r="BN527" s="5">
        <v>135505232</v>
      </c>
    </row>
    <row r="528" spans="1:66" x14ac:dyDescent="0.25">
      <c r="A528" s="17" t="s">
        <v>621</v>
      </c>
      <c r="B528" s="4">
        <v>3208</v>
      </c>
      <c r="C528" s="4" t="s">
        <v>541</v>
      </c>
      <c r="D528" s="5">
        <v>1294044195516</v>
      </c>
      <c r="E528" s="5">
        <v>9464778310</v>
      </c>
      <c r="F528" s="5">
        <v>0</v>
      </c>
      <c r="G528" s="5">
        <v>0</v>
      </c>
      <c r="H528" s="5">
        <v>1303508973826</v>
      </c>
      <c r="I528" s="5">
        <v>99124650015</v>
      </c>
      <c r="J528" s="5">
        <v>905235519</v>
      </c>
      <c r="K528" s="5">
        <v>1203479088292</v>
      </c>
      <c r="L528" s="5">
        <v>818745400564</v>
      </c>
      <c r="M528" s="5">
        <f t="shared" si="40"/>
        <v>484763573262</v>
      </c>
      <c r="N528" s="36">
        <f t="shared" si="41"/>
        <v>59.208097282508866</v>
      </c>
      <c r="O528" s="5">
        <v>665893125121</v>
      </c>
      <c r="P528" s="36">
        <v>56.77</v>
      </c>
      <c r="Q528" s="6">
        <v>55.33</v>
      </c>
      <c r="R528" s="6">
        <v>6.95</v>
      </c>
      <c r="S528" s="5">
        <v>646210848820</v>
      </c>
      <c r="T528" s="5">
        <v>47055460532</v>
      </c>
      <c r="U528" s="5">
        <v>10787131671</v>
      </c>
      <c r="V528" s="5">
        <v>11323911982</v>
      </c>
      <c r="W528" s="5">
        <v>24944416879</v>
      </c>
      <c r="X528" s="5">
        <v>693266309352</v>
      </c>
      <c r="Y528" s="5">
        <v>4355768543</v>
      </c>
      <c r="Z528" s="5">
        <v>44443645307</v>
      </c>
      <c r="AA528" s="5">
        <v>2318533000</v>
      </c>
      <c r="AB528" s="5">
        <v>740028487659</v>
      </c>
      <c r="AC528" s="5">
        <v>644615125735</v>
      </c>
      <c r="AD528" s="36">
        <f t="shared" si="42"/>
        <v>7.5473226852266579</v>
      </c>
      <c r="AE528" s="5">
        <v>395000130587</v>
      </c>
      <c r="AF528" s="5">
        <v>395000130587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6">
        <v>0</v>
      </c>
      <c r="AM528" s="5">
        <v>0</v>
      </c>
      <c r="AN528" s="6">
        <v>2</v>
      </c>
      <c r="AO528" s="5">
        <v>2875000000</v>
      </c>
      <c r="AP528" s="6">
        <v>38</v>
      </c>
      <c r="AQ528" s="5">
        <v>21903398115</v>
      </c>
      <c r="AR528" s="5">
        <v>47055460532</v>
      </c>
      <c r="AS528" s="5">
        <v>33165804985</v>
      </c>
      <c r="AT528" s="5">
        <f t="shared" si="43"/>
        <v>13889655547</v>
      </c>
      <c r="AU528" s="36">
        <f t="shared" si="44"/>
        <v>41.879446475916737</v>
      </c>
      <c r="AV528" s="5">
        <v>305203675627</v>
      </c>
      <c r="AW528" s="5">
        <v>45847681673</v>
      </c>
      <c r="AX528" s="5">
        <v>315383618650</v>
      </c>
      <c r="AY528" s="5">
        <v>141796037683</v>
      </c>
      <c r="AZ528" s="5">
        <v>407116539183</v>
      </c>
      <c r="BA528" s="5">
        <v>466452760064</v>
      </c>
      <c r="BB528" s="5">
        <v>197705104653</v>
      </c>
      <c r="BC528" s="5">
        <v>1303508973826</v>
      </c>
      <c r="BD528" s="5">
        <v>466644434643</v>
      </c>
      <c r="BE528" s="5">
        <v>407116539183</v>
      </c>
      <c r="BF528" s="5">
        <v>429748000000</v>
      </c>
      <c r="BG528" s="5">
        <v>275624091326</v>
      </c>
      <c r="BH528" s="5">
        <v>119376039261</v>
      </c>
      <c r="BI528" s="5">
        <v>0</v>
      </c>
      <c r="BJ528" s="48">
        <v>0</v>
      </c>
      <c r="BK528" s="5">
        <v>0</v>
      </c>
      <c r="BL528" s="5">
        <v>0</v>
      </c>
      <c r="BM528" s="5">
        <v>10110600000</v>
      </c>
      <c r="BN528" s="5">
        <v>0</v>
      </c>
    </row>
    <row r="529" spans="1:66" x14ac:dyDescent="0.25">
      <c r="A529" s="17" t="s">
        <v>621</v>
      </c>
      <c r="B529" s="4">
        <v>3209</v>
      </c>
      <c r="C529" s="4" t="s">
        <v>542</v>
      </c>
      <c r="D529" s="5">
        <v>1353409708679</v>
      </c>
      <c r="E529" s="5">
        <v>19107955831</v>
      </c>
      <c r="F529" s="5">
        <v>0</v>
      </c>
      <c r="G529" s="5">
        <v>0</v>
      </c>
      <c r="H529" s="5">
        <v>1372517664510</v>
      </c>
      <c r="I529" s="5">
        <v>106884659223</v>
      </c>
      <c r="J529" s="5">
        <v>1916282004</v>
      </c>
      <c r="K529" s="5">
        <v>1263716723283</v>
      </c>
      <c r="L529" s="5">
        <v>640433582765</v>
      </c>
      <c r="M529" s="5">
        <f t="shared" si="40"/>
        <v>732084081745</v>
      </c>
      <c r="N529" s="36">
        <f t="shared" si="41"/>
        <v>114.31069535490461</v>
      </c>
      <c r="O529" s="5">
        <v>1659538320537</v>
      </c>
      <c r="P529" s="36">
        <v>136.12</v>
      </c>
      <c r="Q529" s="6">
        <v>131.32</v>
      </c>
      <c r="R529" s="6">
        <v>8.6999999999999993</v>
      </c>
      <c r="S529" s="5">
        <v>1605799815985</v>
      </c>
      <c r="T529" s="5">
        <v>160621261024</v>
      </c>
      <c r="U529" s="5">
        <v>59450478438</v>
      </c>
      <c r="V529" s="5">
        <v>96712508126</v>
      </c>
      <c r="W529" s="5">
        <v>4458274460</v>
      </c>
      <c r="X529" s="5">
        <v>1766421077009</v>
      </c>
      <c r="Y529" s="5">
        <v>1864459898</v>
      </c>
      <c r="Z529" s="5">
        <v>92838325875</v>
      </c>
      <c r="AA529" s="5">
        <v>8992000000</v>
      </c>
      <c r="AB529" s="5">
        <v>1868251402884</v>
      </c>
      <c r="AC529" s="5">
        <v>1408068078693</v>
      </c>
      <c r="AD529" s="36">
        <f t="shared" si="42"/>
        <v>25.449976726170171</v>
      </c>
      <c r="AE529" s="5">
        <v>915995708761</v>
      </c>
      <c r="AF529" s="5">
        <v>881754256708</v>
      </c>
      <c r="AG529" s="5">
        <v>0</v>
      </c>
      <c r="AH529" s="5">
        <v>0</v>
      </c>
      <c r="AI529" s="5">
        <v>0</v>
      </c>
      <c r="AJ529" s="5">
        <v>0</v>
      </c>
      <c r="AK529" s="5">
        <v>11756265550</v>
      </c>
      <c r="AL529" s="6">
        <v>0</v>
      </c>
      <c r="AM529" s="5">
        <v>0</v>
      </c>
      <c r="AN529" s="6">
        <v>74</v>
      </c>
      <c r="AO529" s="5">
        <v>695141793059</v>
      </c>
      <c r="AP529" s="6">
        <v>24</v>
      </c>
      <c r="AQ529" s="5">
        <v>219710709500</v>
      </c>
      <c r="AR529" s="5">
        <v>160621261024</v>
      </c>
      <c r="AS529" s="5">
        <v>88528546455</v>
      </c>
      <c r="AT529" s="5">
        <f t="shared" si="43"/>
        <v>72092714569</v>
      </c>
      <c r="AU529" s="36">
        <f t="shared" si="44"/>
        <v>81.434427036080947</v>
      </c>
      <c r="AV529" s="5">
        <v>497101448885</v>
      </c>
      <c r="AW529" s="5">
        <v>247398012840</v>
      </c>
      <c r="AX529" s="5">
        <v>274310319833</v>
      </c>
      <c r="AY529" s="5">
        <v>182162076942</v>
      </c>
      <c r="AZ529" s="5">
        <v>347121311904</v>
      </c>
      <c r="BA529" s="5">
        <v>563128112912</v>
      </c>
      <c r="BB529" s="5">
        <v>259313570414</v>
      </c>
      <c r="BC529" s="5">
        <v>1372517664510</v>
      </c>
      <c r="BD529" s="5">
        <v>475580352606</v>
      </c>
      <c r="BE529" s="5">
        <v>347121311904</v>
      </c>
      <c r="BF529" s="5">
        <v>549816000000</v>
      </c>
      <c r="BG529" s="5">
        <v>718856708761</v>
      </c>
      <c r="BH529" s="5">
        <v>197139000000</v>
      </c>
      <c r="BI529" s="5">
        <v>0</v>
      </c>
      <c r="BJ529" s="48">
        <v>0</v>
      </c>
      <c r="BK529" s="5">
        <v>0</v>
      </c>
      <c r="BL529" s="5">
        <v>0</v>
      </c>
      <c r="BM529" s="5">
        <v>0</v>
      </c>
      <c r="BN529" s="5">
        <v>0</v>
      </c>
    </row>
    <row r="530" spans="1:66" x14ac:dyDescent="0.25">
      <c r="A530" s="17" t="s">
        <v>621</v>
      </c>
      <c r="B530" s="4">
        <v>3210</v>
      </c>
      <c r="C530" s="4" t="s">
        <v>543</v>
      </c>
      <c r="D530" s="5">
        <v>1203837853413</v>
      </c>
      <c r="E530" s="5">
        <v>5679015720</v>
      </c>
      <c r="F530" s="5">
        <v>0</v>
      </c>
      <c r="G530" s="5">
        <v>0</v>
      </c>
      <c r="H530" s="5">
        <v>1209516869133</v>
      </c>
      <c r="I530" s="5">
        <v>103913112760</v>
      </c>
      <c r="J530" s="5">
        <v>1148767771</v>
      </c>
      <c r="K530" s="5">
        <v>1104454988602</v>
      </c>
      <c r="L530" s="5">
        <v>891569069129</v>
      </c>
      <c r="M530" s="5">
        <f t="shared" si="40"/>
        <v>317947800004</v>
      </c>
      <c r="N530" s="36">
        <f t="shared" si="41"/>
        <v>35.661600543703535</v>
      </c>
      <c r="O530" s="5">
        <v>1031980289161</v>
      </c>
      <c r="P530" s="36">
        <v>98.89</v>
      </c>
      <c r="Q530" s="6">
        <v>93.44</v>
      </c>
      <c r="R530" s="6">
        <v>3.22</v>
      </c>
      <c r="S530" s="5">
        <v>1077732172600</v>
      </c>
      <c r="T530" s="5">
        <v>36332770517</v>
      </c>
      <c r="U530" s="5">
        <v>17937017795</v>
      </c>
      <c r="V530" s="5">
        <v>14937164494</v>
      </c>
      <c r="W530" s="5">
        <v>3458588228</v>
      </c>
      <c r="X530" s="5">
        <v>1114064943117</v>
      </c>
      <c r="Y530" s="5">
        <v>2154071147</v>
      </c>
      <c r="Z530" s="5">
        <v>74751366242</v>
      </c>
      <c r="AA530" s="5">
        <v>7285860274</v>
      </c>
      <c r="AB530" s="5">
        <v>1196102169633</v>
      </c>
      <c r="AC530" s="5">
        <v>589766415302</v>
      </c>
      <c r="AD530" s="36">
        <f t="shared" si="42"/>
        <v>88.899353067862293</v>
      </c>
      <c r="AE530" s="5">
        <v>779844375653</v>
      </c>
      <c r="AF530" s="5">
        <v>641225203053</v>
      </c>
      <c r="AG530" s="5">
        <v>0</v>
      </c>
      <c r="AH530" s="5">
        <v>0</v>
      </c>
      <c r="AI530" s="5">
        <v>4008328767</v>
      </c>
      <c r="AJ530" s="5">
        <v>119605000000</v>
      </c>
      <c r="AK530" s="5">
        <v>3708313225</v>
      </c>
      <c r="AL530" s="6">
        <v>0</v>
      </c>
      <c r="AM530" s="5">
        <v>0</v>
      </c>
      <c r="AN530" s="6">
        <v>1</v>
      </c>
      <c r="AO530" s="5">
        <v>7000000000</v>
      </c>
      <c r="AP530" s="6">
        <v>0</v>
      </c>
      <c r="AQ530" s="5">
        <v>0</v>
      </c>
      <c r="AR530" s="5">
        <v>36332770517</v>
      </c>
      <c r="AS530" s="5">
        <v>16833706403</v>
      </c>
      <c r="AT530" s="5">
        <f t="shared" si="43"/>
        <v>19499064114</v>
      </c>
      <c r="AU530" s="36">
        <f t="shared" si="44"/>
        <v>115.83345727429935</v>
      </c>
      <c r="AV530" s="5">
        <v>220396344453</v>
      </c>
      <c r="AW530" s="5">
        <v>64682967100</v>
      </c>
      <c r="AX530" s="5">
        <v>292621490011</v>
      </c>
      <c r="AY530" s="5">
        <v>202437934961</v>
      </c>
      <c r="AZ530" s="5">
        <v>203996428441</v>
      </c>
      <c r="BA530" s="5">
        <v>560572364140</v>
      </c>
      <c r="BB530" s="5">
        <v>136605774572</v>
      </c>
      <c r="BC530" s="5">
        <v>1209516869133</v>
      </c>
      <c r="BD530" s="5">
        <v>500738440692</v>
      </c>
      <c r="BE530" s="5">
        <v>203996428441</v>
      </c>
      <c r="BF530" s="5">
        <v>504782000000</v>
      </c>
      <c r="BG530" s="5">
        <v>618584375653</v>
      </c>
      <c r="BH530" s="5">
        <v>161260000000</v>
      </c>
      <c r="BI530" s="5">
        <v>0</v>
      </c>
      <c r="BJ530" s="48">
        <v>0</v>
      </c>
      <c r="BK530" s="5">
        <v>0</v>
      </c>
      <c r="BL530" s="5">
        <v>0</v>
      </c>
      <c r="BM530" s="5">
        <v>0</v>
      </c>
      <c r="BN530" s="5">
        <v>0</v>
      </c>
    </row>
    <row r="531" spans="1:66" x14ac:dyDescent="0.25">
      <c r="A531" s="17" t="s">
        <v>621</v>
      </c>
      <c r="B531" s="4">
        <v>3211</v>
      </c>
      <c r="C531" s="4" t="s">
        <v>544</v>
      </c>
      <c r="D531" s="5">
        <v>1570638681198</v>
      </c>
      <c r="E531" s="5">
        <v>2440843454</v>
      </c>
      <c r="F531" s="5">
        <v>0</v>
      </c>
      <c r="G531" s="5">
        <v>0</v>
      </c>
      <c r="H531" s="5">
        <v>1573079524652</v>
      </c>
      <c r="I531" s="5">
        <v>131304724649</v>
      </c>
      <c r="J531" s="5">
        <v>913919000</v>
      </c>
      <c r="K531" s="5">
        <v>1440860881003</v>
      </c>
      <c r="L531" s="5">
        <v>1073012488328</v>
      </c>
      <c r="M531" s="5">
        <f t="shared" si="40"/>
        <v>500067036324</v>
      </c>
      <c r="N531" s="36">
        <f t="shared" si="41"/>
        <v>46.60402761045394</v>
      </c>
      <c r="O531" s="5">
        <v>532434444303</v>
      </c>
      <c r="P531" s="36">
        <v>38.68</v>
      </c>
      <c r="Q531" s="6">
        <v>36.950000000000003</v>
      </c>
      <c r="R531" s="6">
        <v>4.3899999999999997</v>
      </c>
      <c r="S531" s="5">
        <v>526279256253</v>
      </c>
      <c r="T531" s="5">
        <v>26607236266</v>
      </c>
      <c r="U531" s="5">
        <v>10467697393</v>
      </c>
      <c r="V531" s="5">
        <v>11149105850</v>
      </c>
      <c r="W531" s="5">
        <v>4990433023</v>
      </c>
      <c r="X531" s="5">
        <v>552886492519</v>
      </c>
      <c r="Y531" s="5">
        <v>105422418</v>
      </c>
      <c r="Z531" s="5">
        <v>45021698593</v>
      </c>
      <c r="AA531" s="5">
        <v>10605430940</v>
      </c>
      <c r="AB531" s="5">
        <v>608513622052</v>
      </c>
      <c r="AC531" s="5">
        <v>448063578801</v>
      </c>
      <c r="AD531" s="36">
        <f t="shared" si="42"/>
        <v>23.394651714049573</v>
      </c>
      <c r="AE531" s="5">
        <v>315563474813</v>
      </c>
      <c r="AF531" s="5">
        <v>315563474813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6">
        <v>0</v>
      </c>
      <c r="AM531" s="5">
        <v>0</v>
      </c>
      <c r="AN531" s="6">
        <v>1</v>
      </c>
      <c r="AO531" s="5">
        <v>4750000000</v>
      </c>
      <c r="AP531" s="6">
        <v>0</v>
      </c>
      <c r="AQ531" s="5">
        <v>0</v>
      </c>
      <c r="AR531" s="5">
        <v>26607236266</v>
      </c>
      <c r="AS531" s="5">
        <v>30538388332</v>
      </c>
      <c r="AT531" s="5">
        <f t="shared" si="43"/>
        <v>-3931152066</v>
      </c>
      <c r="AU531" s="36">
        <f t="shared" si="44"/>
        <v>-12.872820999137986</v>
      </c>
      <c r="AV531" s="5">
        <v>248667231282</v>
      </c>
      <c r="AW531" s="5">
        <v>112472439131</v>
      </c>
      <c r="AX531" s="5">
        <v>224054823832</v>
      </c>
      <c r="AY531" s="5">
        <v>92116316777</v>
      </c>
      <c r="AZ531" s="5">
        <v>403202480806</v>
      </c>
      <c r="BA531" s="5">
        <v>888159607683</v>
      </c>
      <c r="BB531" s="5">
        <v>226833055948</v>
      </c>
      <c r="BC531" s="5">
        <v>1573079524652</v>
      </c>
      <c r="BD531" s="5">
        <v>318611984063</v>
      </c>
      <c r="BE531" s="5">
        <v>403202480806</v>
      </c>
      <c r="BF531" s="5">
        <v>851265059783</v>
      </c>
      <c r="BG531" s="5">
        <v>222350086648</v>
      </c>
      <c r="BH531" s="5">
        <v>93213388165</v>
      </c>
      <c r="BI531" s="5">
        <v>0</v>
      </c>
      <c r="BJ531" s="48">
        <v>0</v>
      </c>
      <c r="BK531" s="5">
        <v>0</v>
      </c>
      <c r="BL531" s="5">
        <v>0</v>
      </c>
      <c r="BM531" s="5">
        <v>0</v>
      </c>
      <c r="BN531" s="5">
        <v>18000000000</v>
      </c>
    </row>
    <row r="532" spans="1:66" x14ac:dyDescent="0.25">
      <c r="A532" s="17" t="s">
        <v>621</v>
      </c>
      <c r="B532" s="4">
        <v>3212</v>
      </c>
      <c r="C532" s="4" t="s">
        <v>545</v>
      </c>
      <c r="D532" s="5">
        <v>1397307545950</v>
      </c>
      <c r="E532" s="5">
        <v>15602802152</v>
      </c>
      <c r="F532" s="5">
        <v>0</v>
      </c>
      <c r="G532" s="5">
        <v>0</v>
      </c>
      <c r="H532" s="5">
        <v>1412910348102</v>
      </c>
      <c r="I532" s="5">
        <v>110746677912</v>
      </c>
      <c r="J532" s="5">
        <v>3991670429</v>
      </c>
      <c r="K532" s="5">
        <v>1298171999761</v>
      </c>
      <c r="L532" s="5">
        <v>1043619322565</v>
      </c>
      <c r="M532" s="5">
        <f t="shared" si="40"/>
        <v>369291025537</v>
      </c>
      <c r="N532" s="36">
        <f t="shared" si="41"/>
        <v>35.385606375067795</v>
      </c>
      <c r="O532" s="5">
        <v>767077556296</v>
      </c>
      <c r="P532" s="36">
        <v>61.1</v>
      </c>
      <c r="Q532" s="6">
        <v>59.09</v>
      </c>
      <c r="R532" s="6">
        <v>1.6</v>
      </c>
      <c r="S532" s="5">
        <v>802076699769</v>
      </c>
      <c r="T532" s="5">
        <v>13188813454</v>
      </c>
      <c r="U532" s="5">
        <v>6857611043</v>
      </c>
      <c r="V532" s="5">
        <v>5946472615</v>
      </c>
      <c r="W532" s="5">
        <v>384729796</v>
      </c>
      <c r="X532" s="5">
        <v>815265513223</v>
      </c>
      <c r="Y532" s="5">
        <v>606816148</v>
      </c>
      <c r="Z532" s="5">
        <v>39521548133</v>
      </c>
      <c r="AA532" s="5">
        <v>8499430000</v>
      </c>
      <c r="AB532" s="5">
        <v>863286491356</v>
      </c>
      <c r="AC532" s="5">
        <v>737121242146</v>
      </c>
      <c r="AD532" s="36">
        <f t="shared" si="42"/>
        <v>10.601277864343805</v>
      </c>
      <c r="AE532" s="5">
        <v>427346005871</v>
      </c>
      <c r="AF532" s="5">
        <v>427346005871</v>
      </c>
      <c r="AG532" s="5">
        <v>19651674606</v>
      </c>
      <c r="AH532" s="5">
        <v>231682191</v>
      </c>
      <c r="AI532" s="5">
        <v>0</v>
      </c>
      <c r="AJ532" s="5">
        <v>0</v>
      </c>
      <c r="AK532" s="5">
        <v>0</v>
      </c>
      <c r="AL532" s="6">
        <v>0</v>
      </c>
      <c r="AM532" s="5">
        <v>0</v>
      </c>
      <c r="AN532" s="6">
        <v>32</v>
      </c>
      <c r="AO532" s="5">
        <v>229143694500</v>
      </c>
      <c r="AP532" s="6">
        <v>9</v>
      </c>
      <c r="AQ532" s="5">
        <v>85611000000</v>
      </c>
      <c r="AR532" s="5">
        <v>13188813454</v>
      </c>
      <c r="AS532" s="5">
        <v>22618908300</v>
      </c>
      <c r="AT532" s="5">
        <f t="shared" si="43"/>
        <v>-9430094846</v>
      </c>
      <c r="AU532" s="36">
        <f t="shared" si="44"/>
        <v>-41.691202426423033</v>
      </c>
      <c r="AV532" s="5">
        <v>376977415904</v>
      </c>
      <c r="AW532" s="5">
        <v>151646262936</v>
      </c>
      <c r="AX532" s="5">
        <v>350659722560</v>
      </c>
      <c r="AY532" s="5">
        <v>165542839181</v>
      </c>
      <c r="AZ532" s="5">
        <v>438037984209</v>
      </c>
      <c r="BA532" s="5">
        <v>508277270776</v>
      </c>
      <c r="BB532" s="5">
        <v>188889022625</v>
      </c>
      <c r="BC532" s="5">
        <v>1412910348102</v>
      </c>
      <c r="BD532" s="5">
        <v>531805363893</v>
      </c>
      <c r="BE532" s="5">
        <v>438037984209</v>
      </c>
      <c r="BF532" s="5">
        <v>443067000000</v>
      </c>
      <c r="BG532" s="5">
        <v>420346005871</v>
      </c>
      <c r="BH532" s="5">
        <v>7000000000</v>
      </c>
      <c r="BI532" s="5">
        <v>0</v>
      </c>
      <c r="BJ532" s="48">
        <v>0</v>
      </c>
      <c r="BK532" s="5">
        <v>68980005074</v>
      </c>
      <c r="BL532" s="5">
        <v>0</v>
      </c>
      <c r="BM532" s="5">
        <v>0</v>
      </c>
      <c r="BN532" s="5">
        <v>231682191</v>
      </c>
    </row>
    <row r="533" spans="1:66" x14ac:dyDescent="0.25">
      <c r="A533" s="17" t="s">
        <v>621</v>
      </c>
      <c r="B533" s="4">
        <v>3213</v>
      </c>
      <c r="C533" s="4" t="s">
        <v>546</v>
      </c>
      <c r="D533" s="5">
        <v>1505053387924</v>
      </c>
      <c r="E533" s="5">
        <v>20822930014</v>
      </c>
      <c r="F533" s="5">
        <v>0</v>
      </c>
      <c r="G533" s="5">
        <v>0</v>
      </c>
      <c r="H533" s="5">
        <v>1525876317938</v>
      </c>
      <c r="I533" s="5">
        <v>118596120985</v>
      </c>
      <c r="J533" s="5">
        <v>1296463854</v>
      </c>
      <c r="K533" s="5">
        <v>1405983733099</v>
      </c>
      <c r="L533" s="5">
        <v>901376365225</v>
      </c>
      <c r="M533" s="5">
        <f t="shared" si="40"/>
        <v>624499952713</v>
      </c>
      <c r="N533" s="36">
        <f t="shared" si="41"/>
        <v>69.282929618097256</v>
      </c>
      <c r="O533" s="5">
        <v>1066601920599</v>
      </c>
      <c r="P533" s="36">
        <v>76.81</v>
      </c>
      <c r="Q533" s="6">
        <v>75.86</v>
      </c>
      <c r="R533" s="6">
        <v>4.5599999999999996</v>
      </c>
      <c r="S533" s="5">
        <v>1053888576700</v>
      </c>
      <c r="T533" s="5">
        <v>50649263539</v>
      </c>
      <c r="U533" s="5">
        <v>21310825309</v>
      </c>
      <c r="V533" s="5">
        <v>15698029857</v>
      </c>
      <c r="W533" s="5">
        <v>13640408373</v>
      </c>
      <c r="X533" s="5">
        <v>1104537840239</v>
      </c>
      <c r="Y533" s="5">
        <v>2809021611</v>
      </c>
      <c r="Z533" s="5">
        <v>63215635277</v>
      </c>
      <c r="AA533" s="5">
        <v>4305360791</v>
      </c>
      <c r="AB533" s="5">
        <v>1172058836307</v>
      </c>
      <c r="AC533" s="5">
        <v>767437045093</v>
      </c>
      <c r="AD533" s="36">
        <f t="shared" si="42"/>
        <v>43.925530739156493</v>
      </c>
      <c r="AE533" s="5">
        <v>697441023791</v>
      </c>
      <c r="AF533" s="5">
        <v>697441023791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6">
        <v>0</v>
      </c>
      <c r="AM533" s="5">
        <v>0</v>
      </c>
      <c r="AN533" s="6">
        <v>16</v>
      </c>
      <c r="AO533" s="5">
        <v>147065238238</v>
      </c>
      <c r="AP533" s="6">
        <v>3</v>
      </c>
      <c r="AQ533" s="5">
        <v>22883293275</v>
      </c>
      <c r="AR533" s="5">
        <v>50649263539</v>
      </c>
      <c r="AS533" s="5">
        <v>39282361174</v>
      </c>
      <c r="AT533" s="5">
        <f t="shared" si="43"/>
        <v>11366902365</v>
      </c>
      <c r="AU533" s="36">
        <f t="shared" si="44"/>
        <v>28.936403070708145</v>
      </c>
      <c r="AV533" s="5">
        <v>369892337639</v>
      </c>
      <c r="AW533" s="5">
        <v>84874381806</v>
      </c>
      <c r="AX533" s="5">
        <v>362443895332</v>
      </c>
      <c r="AY533" s="5">
        <v>306530314640</v>
      </c>
      <c r="AZ533" s="5">
        <v>546820777952</v>
      </c>
      <c r="BA533" s="5">
        <v>336214814484</v>
      </c>
      <c r="BB533" s="5">
        <v>413745308448</v>
      </c>
      <c r="BC533" s="5">
        <v>1525876317938</v>
      </c>
      <c r="BD533" s="5">
        <v>689797139986</v>
      </c>
      <c r="BE533" s="5">
        <v>546820777952</v>
      </c>
      <c r="BF533" s="5">
        <v>289258400000</v>
      </c>
      <c r="BG533" s="5">
        <v>507841293791</v>
      </c>
      <c r="BH533" s="5">
        <v>189599730000</v>
      </c>
      <c r="BI533" s="5">
        <v>0</v>
      </c>
      <c r="BJ533" s="48">
        <v>0</v>
      </c>
      <c r="BK533" s="5">
        <v>0</v>
      </c>
      <c r="BL533" s="5">
        <v>0</v>
      </c>
      <c r="BM533" s="5">
        <v>0</v>
      </c>
      <c r="BN533" s="5">
        <v>0</v>
      </c>
    </row>
    <row r="534" spans="1:66" x14ac:dyDescent="0.25">
      <c r="A534" s="17" t="s">
        <v>621</v>
      </c>
      <c r="B534" s="4">
        <v>3214</v>
      </c>
      <c r="C534" s="4" t="s">
        <v>547</v>
      </c>
      <c r="D534" s="5">
        <v>880064858609</v>
      </c>
      <c r="E534" s="5">
        <v>4024480525</v>
      </c>
      <c r="F534" s="5">
        <v>0</v>
      </c>
      <c r="G534" s="5">
        <v>0</v>
      </c>
      <c r="H534" s="5">
        <v>884089339134</v>
      </c>
      <c r="I534" s="5">
        <v>71577968291</v>
      </c>
      <c r="J534" s="5">
        <v>1517695702</v>
      </c>
      <c r="K534" s="5">
        <v>810993675141</v>
      </c>
      <c r="L534" s="5">
        <v>558233533161</v>
      </c>
      <c r="M534" s="5">
        <f t="shared" si="40"/>
        <v>325855805973</v>
      </c>
      <c r="N534" s="36">
        <f t="shared" si="41"/>
        <v>58.372667820193456</v>
      </c>
      <c r="O534" s="5">
        <v>472569919434</v>
      </c>
      <c r="P534" s="36">
        <v>61.31</v>
      </c>
      <c r="Q534" s="6">
        <v>58.27</v>
      </c>
      <c r="R534" s="6">
        <v>3.78</v>
      </c>
      <c r="S534" s="5">
        <v>461536617366</v>
      </c>
      <c r="T534" s="5">
        <v>17849692255</v>
      </c>
      <c r="U534" s="5">
        <v>8698612046</v>
      </c>
      <c r="V534" s="5">
        <v>4686039985</v>
      </c>
      <c r="W534" s="5">
        <v>4465040224</v>
      </c>
      <c r="X534" s="5">
        <v>479386309621</v>
      </c>
      <c r="Y534" s="5">
        <v>2652226056</v>
      </c>
      <c r="Z534" s="5">
        <v>50725829045</v>
      </c>
      <c r="AA534" s="5">
        <v>11900000000</v>
      </c>
      <c r="AB534" s="5">
        <v>542012138666</v>
      </c>
      <c r="AC534" s="5">
        <v>391229392930</v>
      </c>
      <c r="AD534" s="36">
        <f t="shared" si="42"/>
        <v>22.533306107389869</v>
      </c>
      <c r="AE534" s="5">
        <v>239294428028</v>
      </c>
      <c r="AF534" s="5">
        <v>239294428028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6">
        <v>0</v>
      </c>
      <c r="AM534" s="5">
        <v>0</v>
      </c>
      <c r="AN534" s="6">
        <v>1</v>
      </c>
      <c r="AO534" s="5">
        <v>2000000000</v>
      </c>
      <c r="AP534" s="6">
        <v>0</v>
      </c>
      <c r="AQ534" s="5">
        <v>0</v>
      </c>
      <c r="AR534" s="5">
        <v>17849692255</v>
      </c>
      <c r="AS534" s="5">
        <v>9831693873</v>
      </c>
      <c r="AT534" s="5">
        <f t="shared" si="43"/>
        <v>8017998382</v>
      </c>
      <c r="AU534" s="36">
        <f t="shared" si="44"/>
        <v>81.552563429778786</v>
      </c>
      <c r="AV534" s="5">
        <v>153382235098</v>
      </c>
      <c r="AW534" s="5">
        <v>49509585751</v>
      </c>
      <c r="AX534" s="5">
        <v>198126457281</v>
      </c>
      <c r="AY534" s="5">
        <v>264085453271</v>
      </c>
      <c r="AZ534" s="5">
        <v>165642948057</v>
      </c>
      <c r="BA534" s="5">
        <v>265001492728</v>
      </c>
      <c r="BB534" s="5">
        <v>22507074220</v>
      </c>
      <c r="BC534" s="5">
        <v>884089339134</v>
      </c>
      <c r="BD534" s="5">
        <v>466236391077</v>
      </c>
      <c r="BE534" s="5">
        <v>165642948057</v>
      </c>
      <c r="BF534" s="5">
        <v>252210000000</v>
      </c>
      <c r="BG534" s="5">
        <v>176347149226</v>
      </c>
      <c r="BH534" s="5">
        <v>62947278802</v>
      </c>
      <c r="BI534" s="5">
        <v>0</v>
      </c>
      <c r="BJ534" s="48">
        <v>0</v>
      </c>
      <c r="BK534" s="5">
        <v>0</v>
      </c>
      <c r="BL534" s="5">
        <v>0</v>
      </c>
      <c r="BM534" s="5">
        <v>0</v>
      </c>
      <c r="BN534" s="5">
        <v>0</v>
      </c>
    </row>
    <row r="535" spans="1:66" x14ac:dyDescent="0.25">
      <c r="A535" s="17" t="s">
        <v>621</v>
      </c>
      <c r="B535" s="20">
        <v>3215</v>
      </c>
      <c r="C535" s="20" t="s">
        <v>548</v>
      </c>
      <c r="D535" s="19">
        <v>2857319756721</v>
      </c>
      <c r="E535" s="19">
        <v>688576415320</v>
      </c>
      <c r="F535" s="19">
        <v>0</v>
      </c>
      <c r="G535" s="19">
        <v>0</v>
      </c>
      <c r="H535" s="19">
        <v>3545896172041</v>
      </c>
      <c r="I535" s="19">
        <v>430490713244</v>
      </c>
      <c r="J535" s="19">
        <v>657015000</v>
      </c>
      <c r="K535" s="19">
        <v>3114748443797</v>
      </c>
      <c r="L535" s="19">
        <v>3194810471304</v>
      </c>
      <c r="M535" s="5">
        <f t="shared" si="40"/>
        <v>351085700737</v>
      </c>
      <c r="N535" s="36">
        <f t="shared" si="41"/>
        <v>10.989249718894911</v>
      </c>
      <c r="O535" s="19">
        <v>7193658185391</v>
      </c>
      <c r="P535" s="36">
        <v>241.35</v>
      </c>
      <c r="Q535" s="20">
        <v>230.95</v>
      </c>
      <c r="R535" s="20">
        <v>0.39</v>
      </c>
      <c r="S535" s="19">
        <v>8217088708947</v>
      </c>
      <c r="T535" s="19">
        <v>25114380135</v>
      </c>
      <c r="U535" s="19">
        <v>12903204878</v>
      </c>
      <c r="V535" s="19">
        <v>1597951229</v>
      </c>
      <c r="W535" s="19">
        <v>10613224028</v>
      </c>
      <c r="X535" s="19">
        <v>8242203089082</v>
      </c>
      <c r="Y535" s="5">
        <v>8365263128</v>
      </c>
      <c r="Z535" s="19">
        <v>308652772939</v>
      </c>
      <c r="AA535" s="19">
        <v>7000000000</v>
      </c>
      <c r="AB535" s="19">
        <v>8557855862021</v>
      </c>
      <c r="AC535" s="19">
        <v>4202780868839</v>
      </c>
      <c r="AD535" s="36">
        <f t="shared" si="42"/>
        <v>96.11308194040754</v>
      </c>
      <c r="AE535" s="19">
        <v>6404339221130</v>
      </c>
      <c r="AF535" s="19">
        <v>5984414082604</v>
      </c>
      <c r="AG535" s="19">
        <v>769695897110</v>
      </c>
      <c r="AH535" s="19">
        <v>0</v>
      </c>
      <c r="AI535" s="19">
        <v>446992306997</v>
      </c>
      <c r="AJ535" s="19">
        <v>0</v>
      </c>
      <c r="AK535" s="19">
        <v>0</v>
      </c>
      <c r="AL535" s="21">
        <v>5</v>
      </c>
      <c r="AM535" s="19">
        <v>978008230600</v>
      </c>
      <c r="AN535" s="21">
        <v>35</v>
      </c>
      <c r="AO535" s="19">
        <v>2267830714060</v>
      </c>
      <c r="AP535" s="21">
        <v>28</v>
      </c>
      <c r="AQ535" s="19">
        <v>445384578000</v>
      </c>
      <c r="AR535" s="19">
        <v>25114380135</v>
      </c>
      <c r="AS535" s="19">
        <v>20746240746</v>
      </c>
      <c r="AT535" s="5">
        <f t="shared" si="43"/>
        <v>4368139389</v>
      </c>
      <c r="AU535" s="36">
        <f t="shared" si="44"/>
        <v>21.055088690427944</v>
      </c>
      <c r="AV535" s="19">
        <v>2761391724256</v>
      </c>
      <c r="AW535" s="19">
        <v>1181891699174</v>
      </c>
      <c r="AX535" s="19">
        <v>1336104836452</v>
      </c>
      <c r="AY535" s="19">
        <v>212194636804</v>
      </c>
      <c r="AZ535" s="19">
        <v>515408283160</v>
      </c>
      <c r="BA535" s="19">
        <v>2619455454650</v>
      </c>
      <c r="BB535" s="19">
        <v>313349827199</v>
      </c>
      <c r="BC535" s="19">
        <v>3545896172041</v>
      </c>
      <c r="BD535" s="19">
        <v>1845538205366</v>
      </c>
      <c r="BE535" s="19">
        <v>515408283160</v>
      </c>
      <c r="BF535" s="19">
        <v>1184949683515</v>
      </c>
      <c r="BG535" s="19">
        <v>5255216256304</v>
      </c>
      <c r="BH535" s="19">
        <v>1149122964826</v>
      </c>
      <c r="BI535" s="19">
        <v>0</v>
      </c>
      <c r="BJ535" s="50">
        <v>0</v>
      </c>
      <c r="BK535" s="19">
        <v>395210310662</v>
      </c>
      <c r="BL535" s="19">
        <v>0</v>
      </c>
      <c r="BM535" s="19">
        <v>0</v>
      </c>
      <c r="BN535" s="19">
        <v>0</v>
      </c>
    </row>
    <row r="536" spans="1:66" x14ac:dyDescent="0.25">
      <c r="A536" s="17" t="s">
        <v>621</v>
      </c>
      <c r="B536" s="20">
        <v>3216</v>
      </c>
      <c r="C536" s="20" t="s">
        <v>549</v>
      </c>
      <c r="D536" s="19">
        <v>3620590638895</v>
      </c>
      <c r="E536" s="19">
        <v>34226753621</v>
      </c>
      <c r="F536" s="19">
        <v>0</v>
      </c>
      <c r="G536" s="19">
        <v>0</v>
      </c>
      <c r="H536" s="19">
        <v>3654817392516</v>
      </c>
      <c r="I536" s="19">
        <v>282651346042</v>
      </c>
      <c r="J536" s="19">
        <v>59968447535</v>
      </c>
      <c r="K536" s="19">
        <v>3312197598939</v>
      </c>
      <c r="L536" s="19">
        <v>2466803790425</v>
      </c>
      <c r="M536" s="5">
        <f t="shared" si="40"/>
        <v>1188013602091</v>
      </c>
      <c r="N536" s="36">
        <f t="shared" si="41"/>
        <v>48.16003634753293</v>
      </c>
      <c r="O536" s="19">
        <v>5105404038228</v>
      </c>
      <c r="P536" s="36">
        <v>147.32</v>
      </c>
      <c r="Q536" s="20">
        <v>154.13999999999999</v>
      </c>
      <c r="R536" s="20">
        <v>54.49</v>
      </c>
      <c r="S536" s="19">
        <v>1937216544448</v>
      </c>
      <c r="T536" s="19">
        <v>2933614287994</v>
      </c>
      <c r="U536" s="19">
        <v>23697304368</v>
      </c>
      <c r="V536" s="19">
        <v>2907896993430</v>
      </c>
      <c r="W536" s="19">
        <v>2019990196</v>
      </c>
      <c r="X536" s="19">
        <v>4870830832442</v>
      </c>
      <c r="Y536" s="5">
        <v>48390157</v>
      </c>
      <c r="Z536" s="19">
        <v>501875079485</v>
      </c>
      <c r="AA536" s="19">
        <v>11417996308</v>
      </c>
      <c r="AB536" s="19">
        <v>5384123908235</v>
      </c>
      <c r="AC536" s="19">
        <v>4393389943304</v>
      </c>
      <c r="AD536" s="36">
        <f t="shared" si="42"/>
        <v>10.867255019456477</v>
      </c>
      <c r="AE536" s="19">
        <v>1274053875269</v>
      </c>
      <c r="AF536" s="19">
        <v>1274053875269</v>
      </c>
      <c r="AG536" s="19">
        <v>0</v>
      </c>
      <c r="AH536" s="19">
        <v>0</v>
      </c>
      <c r="AI536" s="19">
        <v>0</v>
      </c>
      <c r="AJ536" s="19">
        <v>0</v>
      </c>
      <c r="AK536" s="19">
        <v>0</v>
      </c>
      <c r="AL536" s="21">
        <v>0</v>
      </c>
      <c r="AM536" s="19">
        <v>0</v>
      </c>
      <c r="AN536" s="21">
        <v>11</v>
      </c>
      <c r="AO536" s="19">
        <v>35743387030</v>
      </c>
      <c r="AP536" s="21">
        <v>7</v>
      </c>
      <c r="AQ536" s="19">
        <v>74647000000</v>
      </c>
      <c r="AR536" s="19">
        <v>2933614287994</v>
      </c>
      <c r="AS536" s="19">
        <v>208034365987</v>
      </c>
      <c r="AT536" s="5">
        <f t="shared" si="43"/>
        <v>2725579922007</v>
      </c>
      <c r="AU536" s="36">
        <f t="shared" si="44"/>
        <v>1310.1584966867063</v>
      </c>
      <c r="AV536" s="19">
        <v>779128522804</v>
      </c>
      <c r="AW536" s="19">
        <v>104577270020</v>
      </c>
      <c r="AX536" s="19">
        <v>673623785533</v>
      </c>
      <c r="AY536" s="19">
        <v>206472594061</v>
      </c>
      <c r="AZ536" s="19">
        <v>1387807534864</v>
      </c>
      <c r="BA536" s="19">
        <v>1392140815393</v>
      </c>
      <c r="BB536" s="19">
        <v>1247513824355</v>
      </c>
      <c r="BC536" s="19">
        <v>3654817392516</v>
      </c>
      <c r="BD536" s="19">
        <v>914323133215</v>
      </c>
      <c r="BE536" s="19">
        <v>1387807534864</v>
      </c>
      <c r="BF536" s="19">
        <v>1352686724437</v>
      </c>
      <c r="BG536" s="19">
        <v>432633471507</v>
      </c>
      <c r="BH536" s="19">
        <v>841420403762</v>
      </c>
      <c r="BI536" s="19">
        <v>0</v>
      </c>
      <c r="BJ536" s="50">
        <v>0</v>
      </c>
      <c r="BK536" s="19">
        <v>0</v>
      </c>
      <c r="BL536" s="19">
        <v>0</v>
      </c>
      <c r="BM536" s="19">
        <v>0</v>
      </c>
      <c r="BN536" s="19">
        <v>0</v>
      </c>
    </row>
    <row r="537" spans="1:66" x14ac:dyDescent="0.25">
      <c r="A537" s="17" t="s">
        <v>621</v>
      </c>
      <c r="B537" s="4">
        <v>3217</v>
      </c>
      <c r="C537" s="4" t="s">
        <v>550</v>
      </c>
      <c r="D537" s="5">
        <v>1191231552011</v>
      </c>
      <c r="E537" s="5">
        <v>4718915272</v>
      </c>
      <c r="F537" s="5">
        <v>0</v>
      </c>
      <c r="G537" s="5">
        <v>0</v>
      </c>
      <c r="H537" s="5">
        <v>1195950467283</v>
      </c>
      <c r="I537" s="5">
        <v>92919343652</v>
      </c>
      <c r="J537" s="5">
        <v>923259536</v>
      </c>
      <c r="K537" s="5">
        <v>1102107864095</v>
      </c>
      <c r="L537" s="5">
        <v>734802827247</v>
      </c>
      <c r="M537" s="5">
        <f t="shared" si="40"/>
        <v>461147640036</v>
      </c>
      <c r="N537" s="36">
        <f t="shared" si="41"/>
        <v>62.758011120306655</v>
      </c>
      <c r="O537" s="5">
        <v>635675748402</v>
      </c>
      <c r="P537" s="36">
        <v>60.08</v>
      </c>
      <c r="Q537" s="6">
        <v>57.68</v>
      </c>
      <c r="R537" s="6">
        <v>1.48</v>
      </c>
      <c r="S537" s="5">
        <v>662793359546</v>
      </c>
      <c r="T537" s="5">
        <v>10658519528</v>
      </c>
      <c r="U537" s="5">
        <v>10199205216</v>
      </c>
      <c r="V537" s="5">
        <v>459314312</v>
      </c>
      <c r="W537" s="5">
        <v>0</v>
      </c>
      <c r="X537" s="5">
        <v>673451879074</v>
      </c>
      <c r="Y537" s="5">
        <v>0</v>
      </c>
      <c r="Z537" s="5">
        <v>37963065822</v>
      </c>
      <c r="AA537" s="5">
        <v>7151800000</v>
      </c>
      <c r="AB537" s="5">
        <v>718566744896</v>
      </c>
      <c r="AC537" s="5">
        <v>248306493357</v>
      </c>
      <c r="AD537" s="36">
        <f t="shared" si="42"/>
        <v>171.21798949725883</v>
      </c>
      <c r="AE537" s="5">
        <v>572446000119</v>
      </c>
      <c r="AF537" s="5">
        <v>572446000119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6">
        <v>0</v>
      </c>
      <c r="AM537" s="5">
        <v>0</v>
      </c>
      <c r="AN537" s="6">
        <v>21</v>
      </c>
      <c r="AO537" s="5">
        <v>17764598870</v>
      </c>
      <c r="AP537" s="6">
        <v>17</v>
      </c>
      <c r="AQ537" s="5">
        <v>15117060760</v>
      </c>
      <c r="AR537" s="5">
        <v>10658519528</v>
      </c>
      <c r="AS537" s="5">
        <v>306961676</v>
      </c>
      <c r="AT537" s="5">
        <f t="shared" si="43"/>
        <v>10351557852</v>
      </c>
      <c r="AU537" s="36">
        <f t="shared" si="44"/>
        <v>3372.2639213111415</v>
      </c>
      <c r="AV537" s="5">
        <v>147843089443</v>
      </c>
      <c r="AW537" s="5">
        <v>11812834770</v>
      </c>
      <c r="AX537" s="5">
        <v>178634891236</v>
      </c>
      <c r="AY537" s="5">
        <v>111460054544</v>
      </c>
      <c r="AZ537" s="5">
        <v>472186606231</v>
      </c>
      <c r="BA537" s="5">
        <v>429135639468</v>
      </c>
      <c r="BB537" s="5">
        <v>471265689397</v>
      </c>
      <c r="BC537" s="5">
        <v>1195950467283</v>
      </c>
      <c r="BD537" s="5">
        <v>294813861052</v>
      </c>
      <c r="BE537" s="5">
        <v>472186606231</v>
      </c>
      <c r="BF537" s="5">
        <v>428950000000</v>
      </c>
      <c r="BG537" s="5">
        <v>492251299019</v>
      </c>
      <c r="BH537" s="5">
        <v>80194701100</v>
      </c>
      <c r="BI537" s="5">
        <v>0</v>
      </c>
      <c r="BJ537" s="48">
        <v>0</v>
      </c>
      <c r="BK537" s="5">
        <v>0</v>
      </c>
      <c r="BL537" s="5">
        <v>0</v>
      </c>
      <c r="BM537" s="5">
        <v>0</v>
      </c>
      <c r="BN537" s="5">
        <v>0</v>
      </c>
    </row>
    <row r="538" spans="1:66" s="32" customFormat="1" x14ac:dyDescent="0.25">
      <c r="A538" s="17" t="s">
        <v>621</v>
      </c>
      <c r="B538" s="4">
        <v>3299</v>
      </c>
      <c r="C538" s="33" t="s">
        <v>551</v>
      </c>
      <c r="D538" s="9">
        <v>0</v>
      </c>
      <c r="E538" s="9">
        <v>4796446191</v>
      </c>
      <c r="F538" s="9">
        <v>0</v>
      </c>
      <c r="G538" s="9">
        <v>0</v>
      </c>
      <c r="H538" s="9">
        <v>4796446191</v>
      </c>
      <c r="I538" s="9">
        <v>51158984177</v>
      </c>
      <c r="J538" s="9">
        <v>13299000000</v>
      </c>
      <c r="K538" s="9">
        <v>-59661537986</v>
      </c>
      <c r="L538" s="9">
        <v>4129681900</v>
      </c>
      <c r="M538" s="5">
        <f t="shared" si="40"/>
        <v>666764291</v>
      </c>
      <c r="N538" s="36">
        <f t="shared" si="41"/>
        <v>16.145657393127543</v>
      </c>
      <c r="O538" s="9">
        <v>0</v>
      </c>
      <c r="P538" s="36">
        <v>0</v>
      </c>
      <c r="Q538" s="10">
        <v>0</v>
      </c>
      <c r="R538" s="10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36">
        <f t="shared" si="42"/>
        <v>0</v>
      </c>
      <c r="AE538" s="9">
        <v>0</v>
      </c>
      <c r="AF538" s="9">
        <v>0</v>
      </c>
      <c r="AG538" s="9">
        <v>0</v>
      </c>
      <c r="AH538" s="9">
        <v>0</v>
      </c>
      <c r="AI538" s="9">
        <v>0</v>
      </c>
      <c r="AJ538" s="9">
        <v>0</v>
      </c>
      <c r="AK538" s="9">
        <v>0</v>
      </c>
      <c r="AL538" s="10">
        <v>0</v>
      </c>
      <c r="AM538" s="9">
        <v>0</v>
      </c>
      <c r="AN538" s="10">
        <v>0</v>
      </c>
      <c r="AO538" s="9">
        <v>0</v>
      </c>
      <c r="AP538" s="10">
        <v>0</v>
      </c>
      <c r="AQ538" s="9">
        <v>0</v>
      </c>
      <c r="AR538" s="9">
        <v>0</v>
      </c>
      <c r="AS538" s="9">
        <v>0</v>
      </c>
      <c r="AT538" s="5">
        <f t="shared" si="43"/>
        <v>0</v>
      </c>
      <c r="AU538" s="36">
        <f t="shared" si="44"/>
        <v>0</v>
      </c>
      <c r="AV538" s="9">
        <v>0</v>
      </c>
      <c r="AW538" s="9">
        <v>0</v>
      </c>
      <c r="AX538" s="9">
        <v>0</v>
      </c>
      <c r="AY538" s="9">
        <v>0</v>
      </c>
      <c r="AZ538" s="9">
        <v>0</v>
      </c>
      <c r="BA538" s="9">
        <v>0</v>
      </c>
      <c r="BB538" s="9">
        <v>0</v>
      </c>
      <c r="BC538" s="9">
        <v>4796446191</v>
      </c>
      <c r="BD538" s="9">
        <v>4796446191</v>
      </c>
      <c r="BE538" s="9">
        <v>0</v>
      </c>
      <c r="BF538" s="9">
        <v>0</v>
      </c>
      <c r="BG538" s="9">
        <v>0</v>
      </c>
      <c r="BH538" s="9">
        <v>0</v>
      </c>
      <c r="BI538" s="9">
        <v>0</v>
      </c>
      <c r="BJ538" s="51">
        <v>0</v>
      </c>
      <c r="BK538" s="9">
        <v>0</v>
      </c>
      <c r="BL538" s="9">
        <v>0</v>
      </c>
      <c r="BM538" s="9">
        <v>0</v>
      </c>
      <c r="BN538" s="9">
        <v>0</v>
      </c>
    </row>
    <row r="539" spans="1:66" x14ac:dyDescent="0.25">
      <c r="A539" s="30" t="s">
        <v>557</v>
      </c>
      <c r="B539" s="13" t="s">
        <v>625</v>
      </c>
      <c r="C539" s="13" t="s">
        <v>625</v>
      </c>
      <c r="D539" s="14">
        <v>37050161414476</v>
      </c>
      <c r="E539" s="14">
        <v>1431247878005</v>
      </c>
      <c r="F539" s="14">
        <v>38750000000</v>
      </c>
      <c r="G539" s="14">
        <v>797634039</v>
      </c>
      <c r="H539" s="14">
        <v>38520956926520</v>
      </c>
      <c r="I539" s="14">
        <v>3238037267120</v>
      </c>
      <c r="J539" s="14">
        <v>157972148460</v>
      </c>
      <c r="K539" s="14">
        <v>35124947510940</v>
      </c>
      <c r="L539" s="14">
        <v>26103353538468</v>
      </c>
      <c r="M539" s="14">
        <f t="shared" si="40"/>
        <v>12417603388052</v>
      </c>
      <c r="N539" s="41">
        <f t="shared" si="41"/>
        <v>47.570912180890559</v>
      </c>
      <c r="O539" s="14">
        <v>37630104278072</v>
      </c>
      <c r="P539" s="41">
        <v>116.81</v>
      </c>
      <c r="Q539" s="15">
        <v>107.13</v>
      </c>
      <c r="R539" s="15">
        <v>9.1199999999999992</v>
      </c>
      <c r="S539" s="14">
        <v>38500418850482</v>
      </c>
      <c r="T539" s="14">
        <v>4012074382074</v>
      </c>
      <c r="U539" s="14">
        <v>350554325707</v>
      </c>
      <c r="V539" s="14">
        <v>3391994489927</v>
      </c>
      <c r="W539" s="14">
        <v>269525566440</v>
      </c>
      <c r="X539" s="14">
        <v>42512493232556</v>
      </c>
      <c r="Y539" s="14">
        <v>91216840621</v>
      </c>
      <c r="Z539" s="14">
        <v>2289223248789</v>
      </c>
      <c r="AA539" s="14">
        <v>196038374078</v>
      </c>
      <c r="AB539" s="14">
        <v>44997754855423</v>
      </c>
      <c r="AC539" s="14">
        <v>28897690137420</v>
      </c>
      <c r="AD539" s="41">
        <f t="shared" si="42"/>
        <v>47.11381093226553</v>
      </c>
      <c r="AE539" s="14">
        <v>27036939146923</v>
      </c>
      <c r="AF539" s="14">
        <v>25817657715518</v>
      </c>
      <c r="AG539" s="14">
        <v>1373275157512</v>
      </c>
      <c r="AH539" s="14">
        <v>336331769626</v>
      </c>
      <c r="AI539" s="14">
        <v>526672300809</v>
      </c>
      <c r="AJ539" s="14">
        <v>119605000000</v>
      </c>
      <c r="AK539" s="14">
        <v>15464578775</v>
      </c>
      <c r="AL539" s="15">
        <v>7</v>
      </c>
      <c r="AM539" s="14">
        <v>1129121230621</v>
      </c>
      <c r="AN539" s="15">
        <v>427</v>
      </c>
      <c r="AO539" s="14">
        <v>5303444664962</v>
      </c>
      <c r="AP539" s="15">
        <v>319</v>
      </c>
      <c r="AQ539" s="14">
        <v>7059126126789</v>
      </c>
      <c r="AR539" s="14">
        <v>4012074382074</v>
      </c>
      <c r="AS539" s="14">
        <v>814629335614</v>
      </c>
      <c r="AT539" s="14">
        <f t="shared" si="43"/>
        <v>3197445046460</v>
      </c>
      <c r="AU539" s="41">
        <f t="shared" si="44"/>
        <v>392.50305711738594</v>
      </c>
      <c r="AV539" s="14">
        <v>15246711532954</v>
      </c>
      <c r="AW539" s="14">
        <v>3760825826472</v>
      </c>
      <c r="AX539" s="14">
        <v>9057357959643</v>
      </c>
      <c r="AY539" s="14">
        <v>4689701576057</v>
      </c>
      <c r="AZ539" s="14">
        <v>10462448112930</v>
      </c>
      <c r="BA539" s="14">
        <v>16261096692447</v>
      </c>
      <c r="BB539" s="14">
        <v>6838308092058</v>
      </c>
      <c r="BC539" s="14">
        <v>38520956926520</v>
      </c>
      <c r="BD539" s="14">
        <v>14578994898926</v>
      </c>
      <c r="BE539" s="14">
        <v>10500798112930</v>
      </c>
      <c r="BF539" s="14">
        <v>13441163914664</v>
      </c>
      <c r="BG539" s="14">
        <v>20586726534509</v>
      </c>
      <c r="BH539" s="14">
        <v>6450212612414</v>
      </c>
      <c r="BI539" s="14">
        <v>0</v>
      </c>
      <c r="BJ539" s="49">
        <v>55635166778</v>
      </c>
      <c r="BK539" s="14">
        <v>1627948602501</v>
      </c>
      <c r="BL539" s="14">
        <v>20891180449</v>
      </c>
      <c r="BM539" s="14">
        <v>10110600000</v>
      </c>
      <c r="BN539" s="14">
        <v>333440589177</v>
      </c>
    </row>
    <row r="540" spans="1:66" x14ac:dyDescent="0.25">
      <c r="A540" s="31" t="s">
        <v>622</v>
      </c>
      <c r="B540" s="44" t="s">
        <v>625</v>
      </c>
      <c r="C540" s="44" t="s">
        <v>625</v>
      </c>
      <c r="D540" s="29">
        <v>1330932304260290</v>
      </c>
      <c r="E540" s="29">
        <v>82006672215076</v>
      </c>
      <c r="F540" s="29">
        <v>39507999045121</v>
      </c>
      <c r="G540" s="29">
        <v>54063254033367</v>
      </c>
      <c r="H540" s="29">
        <v>1506510229553860</v>
      </c>
      <c r="I540" s="29">
        <v>117322740000000</v>
      </c>
      <c r="J540" s="29">
        <v>68116936907529</v>
      </c>
      <c r="K540" s="29">
        <v>1321070552646330</v>
      </c>
      <c r="L540" s="29">
        <v>1021508351317500</v>
      </c>
      <c r="M540" s="42">
        <f t="shared" si="40"/>
        <v>485001878236360</v>
      </c>
      <c r="N540" s="43">
        <f t="shared" si="41"/>
        <v>47.478992962791175</v>
      </c>
      <c r="O540" s="29">
        <v>1313374576767070</v>
      </c>
      <c r="P540" s="43">
        <v>106.46</v>
      </c>
      <c r="Q540" s="26">
        <v>99.42</v>
      </c>
      <c r="R540" s="26">
        <v>8.5299999999999994</v>
      </c>
      <c r="S540" s="29">
        <v>1363174255703550</v>
      </c>
      <c r="T540" s="29">
        <v>118560974089257</v>
      </c>
      <c r="U540" s="29">
        <v>26506799613279</v>
      </c>
      <c r="V540" s="29">
        <v>51697714452982</v>
      </c>
      <c r="W540" s="29">
        <v>40356460022996</v>
      </c>
      <c r="X540" s="29">
        <v>1481735229792800</v>
      </c>
      <c r="Y540" s="29">
        <v>18279067324858</v>
      </c>
      <c r="Z540" s="29">
        <v>116449754171745</v>
      </c>
      <c r="AA540" s="29">
        <v>5685738686401</v>
      </c>
      <c r="AB540" s="29">
        <v>1603870722650950</v>
      </c>
      <c r="AC540" s="29">
        <v>1044534983923290</v>
      </c>
      <c r="AD540" s="43">
        <f t="shared" si="42"/>
        <v>41.855969651430811</v>
      </c>
      <c r="AE540" s="29">
        <v>950422630300165</v>
      </c>
      <c r="AF540" s="29">
        <v>909747583924669</v>
      </c>
      <c r="AG540" s="29">
        <v>108576379718717</v>
      </c>
      <c r="AH540" s="29">
        <v>24247887085243</v>
      </c>
      <c r="AI540" s="29">
        <v>10298577700477</v>
      </c>
      <c r="AJ540" s="29">
        <v>851715000000</v>
      </c>
      <c r="AK540" s="29">
        <v>167491238620</v>
      </c>
      <c r="AL540" s="27">
        <v>853</v>
      </c>
      <c r="AM540" s="29">
        <v>131446021641487</v>
      </c>
      <c r="AN540" s="27">
        <v>40442</v>
      </c>
      <c r="AO540" s="29">
        <v>526867746485012</v>
      </c>
      <c r="AP540" s="27">
        <v>27695</v>
      </c>
      <c r="AQ540" s="29">
        <v>368421549538801</v>
      </c>
      <c r="AR540" s="29">
        <v>118560974089257</v>
      </c>
      <c r="AS540" s="29">
        <v>47710085049324</v>
      </c>
      <c r="AT540" s="42">
        <f t="shared" si="43"/>
        <v>70850889039933</v>
      </c>
      <c r="AU540" s="43">
        <f t="shared" si="44"/>
        <v>148.50296109655937</v>
      </c>
      <c r="AV540" s="29">
        <v>606252723923147</v>
      </c>
      <c r="AW540" s="29">
        <v>119030128113882</v>
      </c>
      <c r="AX540" s="29">
        <v>270883113160992</v>
      </c>
      <c r="AY540" s="29">
        <v>201535264431381</v>
      </c>
      <c r="AZ540" s="29">
        <v>311427167149707</v>
      </c>
      <c r="BA540" s="29">
        <v>777874277745741</v>
      </c>
      <c r="BB540" s="29">
        <v>196195571839738</v>
      </c>
      <c r="BC540" s="29">
        <v>1448263753583630</v>
      </c>
      <c r="BD540" s="29">
        <v>596311078893787</v>
      </c>
      <c r="BE540" s="29">
        <v>350894016594828</v>
      </c>
      <c r="BF540" s="29">
        <v>559305134065242</v>
      </c>
      <c r="BG540" s="29">
        <v>636313695495261</v>
      </c>
      <c r="BH540" s="29">
        <v>314108934804904</v>
      </c>
      <c r="BI540" s="29">
        <v>2734546835354</v>
      </c>
      <c r="BJ540" s="52">
        <v>12310506565331</v>
      </c>
      <c r="BK540" s="29">
        <v>96047564877285</v>
      </c>
      <c r="BL540" s="29">
        <v>1381937777013</v>
      </c>
      <c r="BM540" s="29">
        <v>8314648434477</v>
      </c>
      <c r="BN540" s="29">
        <v>15816290780993</v>
      </c>
    </row>
    <row r="541" spans="1:66" x14ac:dyDescent="0.25">
      <c r="AA541" s="34"/>
      <c r="AE541" s="25"/>
    </row>
    <row r="542" spans="1:66" x14ac:dyDescent="0.25">
      <c r="AA542" s="35"/>
      <c r="AE542" s="25"/>
      <c r="AT542" s="34"/>
      <c r="BC542" s="34"/>
    </row>
    <row r="543" spans="1:66" x14ac:dyDescent="0.25">
      <c r="L543" s="45"/>
      <c r="M543" s="45"/>
    </row>
  </sheetData>
  <autoFilter ref="A2:BN2"/>
  <mergeCells count="1">
    <mergeCell ref="A1:M1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Payam_Salar</cp:lastModifiedBy>
  <dcterms:created xsi:type="dcterms:W3CDTF">2024-11-21T06:38:35Z</dcterms:created>
  <dcterms:modified xsi:type="dcterms:W3CDTF">2026-09-14T06:53:26Z</dcterms:modified>
</cp:coreProperties>
</file>